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dos" sheetId="2" state="visible" r:id="rId4"/>
    <sheet name="Resumo Diári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<sst xmlns="http://schemas.openxmlformats.org/spreadsheetml/2006/main" count="126" uniqueCount="56">
  <si>
    <t xml:space="preserve">Dashboard de Propostas</t>
  </si>
  <si>
    <t xml:space="preserve">Controle diário de propostas, ajustes e conclusões</t>
  </si>
  <si>
    <t xml:space="preserve">Selecione a data:</t>
  </si>
  <si>
    <t xml:space="preserve">(altere aqui para ver outro dia)</t>
  </si>
  <si>
    <t xml:space="preserve">Propostas novas no dia</t>
  </si>
  <si>
    <t xml:space="preserve">Ficaram em ajustes no dia</t>
  </si>
  <si>
    <t xml:space="preserve">Concluídas após ajustes
(exclui as do próprio dia)</t>
  </si>
  <si>
    <t xml:space="preserve">Concluídas no dia (total)</t>
  </si>
  <si>
    <t xml:space="preserve">Histórico (últimos 30 dias até a data selecionada)</t>
  </si>
  <si>
    <t xml:space="preserve">Data</t>
  </si>
  <si>
    <t xml:space="preserve">Propostas novas</t>
  </si>
  <si>
    <t xml:space="preserve">Em ajustes</t>
  </si>
  <si>
    <t xml:space="preserve">Concl. após ajustes</t>
  </si>
  <si>
    <t xml:space="preserve">Concl. no dia (total)</t>
  </si>
  <si>
    <t xml:space="preserve">Notas: 'Concluídas após ajustes' conta apenas propostas que estavam em ajustes em um dia ANTERIOR ao da conclusão (fase Formalização + status Concluído). 'Concluídas no dia (total)' conta TODAS as conclusões daquele dia, incluindo as que vieram de ajuste de outro dia (ou seja, esse número já inclui o de 'Concluídas após ajustes'). 'Ficaram em ajustes' conta cada proposta 1 única vez, no dia da PRIMEIRA vez que ela entrou em ajustes — mesmo que ela volte a ficar em ajustes depois, em outra fase ou dia.</t>
  </si>
  <si>
    <t xml:space="preserve">DATA_HORA</t>
  </si>
  <si>
    <t xml:space="preserve">CODIGO</t>
  </si>
  <si>
    <t xml:space="preserve">COLABORADOR</t>
  </si>
  <si>
    <t xml:space="preserve">FASE</t>
  </si>
  <si>
    <t xml:space="preserve">STATUS</t>
  </si>
  <si>
    <t xml:space="preserve">ASSOCIADO</t>
  </si>
  <si>
    <t xml:space="preserve">AGENCIA</t>
  </si>
  <si>
    <t xml:space="preserve">VALOR</t>
  </si>
  <si>
    <t xml:space="preserve">DATA</t>
  </si>
  <si>
    <t xml:space="preserve">PROPOSTA_NOVA</t>
  </si>
  <si>
    <t xml:space="preserve">AJUSTE_ANTERIOR_OUTRO_DIA</t>
  </si>
  <si>
    <t xml:space="preserve">ULTIMA_DO_DIA</t>
  </si>
  <si>
    <t xml:space="preserve">PRIMEIRA_VEZ_EM_AJUSTES</t>
  </si>
  <si>
    <t xml:space="preserve">DATA_HORA_REAL</t>
  </si>
  <si>
    <t xml:space="preserve">1001</t>
  </si>
  <si>
    <t xml:space="preserve">Ana</t>
  </si>
  <si>
    <t xml:space="preserve">Análise</t>
  </si>
  <si>
    <t xml:space="preserve">Em andamento</t>
  </si>
  <si>
    <t xml:space="preserve">João Silva</t>
  </si>
  <si>
    <t xml:space="preserve">0123</t>
  </si>
  <si>
    <t xml:space="preserve">Formalização</t>
  </si>
  <si>
    <t xml:space="preserve">Concluído</t>
  </si>
  <si>
    <t xml:space="preserve">1002</t>
  </si>
  <si>
    <t xml:space="preserve">Bruno</t>
  </si>
  <si>
    <t xml:space="preserve">Maria Souza</t>
  </si>
  <si>
    <t xml:space="preserve">0456</t>
  </si>
  <si>
    <t xml:space="preserve">1003</t>
  </si>
  <si>
    <t xml:space="preserve">Carlos Lima</t>
  </si>
  <si>
    <t xml:space="preserve">1004</t>
  </si>
  <si>
    <t xml:space="preserve">Paulo Reis</t>
  </si>
  <si>
    <t xml:space="preserve">0789</t>
  </si>
  <si>
    <t xml:space="preserve">1005</t>
  </si>
  <si>
    <t xml:space="preserve">Rita Alves</t>
  </si>
  <si>
    <t xml:space="preserve">1006</t>
  </si>
  <si>
    <t xml:space="preserve">Esteira</t>
  </si>
  <si>
    <t xml:space="preserve">Sofia Melo</t>
  </si>
  <si>
    <t xml:space="preserve">15/08/2026 09:00:00</t>
  </si>
  <si>
    <t xml:space="preserve">1007</t>
  </si>
  <si>
    <t xml:space="preserve">Marta Nunes</t>
  </si>
  <si>
    <t xml:space="preserve">Cole/insira novas linhas sempre ACIMA desta marca, dentro do intervalo com fórmulas (linhas 2 a 5001).</t>
  </si>
  <si>
    <t xml:space="preserve">Ficaram em ajustes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</si>
</sst>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dd/mm/yyyy\ hh:mm"/>
    <numFmt numFmtId="168" formatCode="#,##0.00"/>
    <numFmt numFmtId="169" formatCode="dd/mm/yyyy\ hh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Propostas novas x Em ajustes x Concluídas após ajustes (30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Propostas novas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Dashboard!$B$13:$B$42</c:f>
              <c:strCache>
                <c:ptCount val="30"/>
                <c:pt idx="0">
                  <c:v>17/08/2026</c:v>
                </c:pt>
                <c:pt idx="1">
                  <c:v>16/08/2026</c:v>
                </c:pt>
                <c:pt idx="2">
                  <c:v>15/08/2026</c:v>
                </c:pt>
                <c:pt idx="3">
                  <c:v>14/08/2026</c:v>
                </c:pt>
                <c:pt idx="4">
                  <c:v>13/08/2026</c:v>
                </c:pt>
                <c:pt idx="5">
                  <c:v>12/08/2026</c:v>
                </c:pt>
                <c:pt idx="6">
                  <c:v>11/08/2026</c:v>
                </c:pt>
                <c:pt idx="7">
                  <c:v>10/08/2026</c:v>
                </c:pt>
                <c:pt idx="8">
                  <c:v>09/08/2026</c:v>
                </c:pt>
                <c:pt idx="9">
                  <c:v>08/08/2026</c:v>
                </c:pt>
                <c:pt idx="10">
                  <c:v>07/08/2026</c:v>
                </c:pt>
                <c:pt idx="11">
                  <c:v>06/08/2026</c:v>
                </c:pt>
                <c:pt idx="12">
                  <c:v>05/08/2026</c:v>
                </c:pt>
                <c:pt idx="13">
                  <c:v>04/08/2026</c:v>
                </c:pt>
                <c:pt idx="14">
                  <c:v>03/08/2026</c:v>
                </c:pt>
                <c:pt idx="15">
                  <c:v>02/08/2026</c:v>
                </c:pt>
                <c:pt idx="16">
                  <c:v>01/08/2026</c:v>
                </c:pt>
                <c:pt idx="17">
                  <c:v>31/07/2026</c:v>
                </c:pt>
                <c:pt idx="18">
                  <c:v>30/07/2026</c:v>
                </c:pt>
                <c:pt idx="19">
                  <c:v>29/07/2026</c:v>
                </c:pt>
                <c:pt idx="20">
                  <c:v>28/07/2026</c:v>
                </c:pt>
                <c:pt idx="21">
                  <c:v>27/07/2026</c:v>
                </c:pt>
                <c:pt idx="22">
                  <c:v>26/07/2026</c:v>
                </c:pt>
                <c:pt idx="23">
                  <c:v>25/07/2026</c:v>
                </c:pt>
                <c:pt idx="24">
                  <c:v>24/07/2026</c:v>
                </c:pt>
                <c:pt idx="25">
                  <c:v>23/07/2026</c:v>
                </c:pt>
                <c:pt idx="26">
                  <c:v>22/07/2026</c:v>
                </c:pt>
                <c:pt idx="27">
                  <c:v>21/07/2026</c:v>
                </c:pt>
                <c:pt idx="28">
                  <c:v>20/07/2026</c:v>
                </c:pt>
                <c:pt idx="29">
                  <c:v>19/07/2026</c:v>
                </c:pt>
              </c:strCache>
            </c:strRef>
          </c:cat>
          <c:val>
            <c:numRef>
              <c:f>Dashboard!$C$13:$C$42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Dashboard!D12</c:f>
              <c:strCache>
                <c:ptCount val="1"/>
                <c:pt idx="0">
                  <c:v>Em ajustes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Dashboard!$B$13:$B$42</c:f>
              <c:strCache>
                <c:ptCount val="30"/>
                <c:pt idx="0">
                  <c:v>17/08/2026</c:v>
                </c:pt>
                <c:pt idx="1">
                  <c:v>16/08/2026</c:v>
                </c:pt>
                <c:pt idx="2">
                  <c:v>15/08/2026</c:v>
                </c:pt>
                <c:pt idx="3">
                  <c:v>14/08/2026</c:v>
                </c:pt>
                <c:pt idx="4">
                  <c:v>13/08/2026</c:v>
                </c:pt>
                <c:pt idx="5">
                  <c:v>12/08/2026</c:v>
                </c:pt>
                <c:pt idx="6">
                  <c:v>11/08/2026</c:v>
                </c:pt>
                <c:pt idx="7">
                  <c:v>10/08/2026</c:v>
                </c:pt>
                <c:pt idx="8">
                  <c:v>09/08/2026</c:v>
                </c:pt>
                <c:pt idx="9">
                  <c:v>08/08/2026</c:v>
                </c:pt>
                <c:pt idx="10">
                  <c:v>07/08/2026</c:v>
                </c:pt>
                <c:pt idx="11">
                  <c:v>06/08/2026</c:v>
                </c:pt>
                <c:pt idx="12">
                  <c:v>05/08/2026</c:v>
                </c:pt>
                <c:pt idx="13">
                  <c:v>04/08/2026</c:v>
                </c:pt>
                <c:pt idx="14">
                  <c:v>03/08/2026</c:v>
                </c:pt>
                <c:pt idx="15">
                  <c:v>02/08/2026</c:v>
                </c:pt>
                <c:pt idx="16">
                  <c:v>01/08/2026</c:v>
                </c:pt>
                <c:pt idx="17">
                  <c:v>31/07/2026</c:v>
                </c:pt>
                <c:pt idx="18">
                  <c:v>30/07/2026</c:v>
                </c:pt>
                <c:pt idx="19">
                  <c:v>29/07/2026</c:v>
                </c:pt>
                <c:pt idx="20">
                  <c:v>28/07/2026</c:v>
                </c:pt>
                <c:pt idx="21">
                  <c:v>27/07/2026</c:v>
                </c:pt>
                <c:pt idx="22">
                  <c:v>26/07/2026</c:v>
                </c:pt>
                <c:pt idx="23">
                  <c:v>25/07/2026</c:v>
                </c:pt>
                <c:pt idx="24">
                  <c:v>24/07/2026</c:v>
                </c:pt>
                <c:pt idx="25">
                  <c:v>23/07/2026</c:v>
                </c:pt>
                <c:pt idx="26">
                  <c:v>22/07/2026</c:v>
                </c:pt>
                <c:pt idx="27">
                  <c:v>21/07/2026</c:v>
                </c:pt>
                <c:pt idx="28">
                  <c:v>20/07/2026</c:v>
                </c:pt>
                <c:pt idx="29">
                  <c:v>19/07/2026</c:v>
                </c:pt>
              </c:strCache>
            </c:strRef>
          </c:cat>
          <c:val>
            <c:numRef>
              <c:f>Dashboard!$D$13:$D$42</c:f>
              <c:numCache>
                <c:formatCode>General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Dashboard!E12</c:f>
              <c:strCache>
                <c:ptCount val="1"/>
                <c:pt idx="0">
                  <c:v>Concl. após ajustes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Dashboard!$B$13:$B$42</c:f>
              <c:strCache>
                <c:ptCount val="30"/>
                <c:pt idx="0">
                  <c:v>17/08/2026</c:v>
                </c:pt>
                <c:pt idx="1">
                  <c:v>16/08/2026</c:v>
                </c:pt>
                <c:pt idx="2">
                  <c:v>15/08/2026</c:v>
                </c:pt>
                <c:pt idx="3">
                  <c:v>14/08/2026</c:v>
                </c:pt>
                <c:pt idx="4">
                  <c:v>13/08/2026</c:v>
                </c:pt>
                <c:pt idx="5">
                  <c:v>12/08/2026</c:v>
                </c:pt>
                <c:pt idx="6">
                  <c:v>11/08/2026</c:v>
                </c:pt>
                <c:pt idx="7">
                  <c:v>10/08/2026</c:v>
                </c:pt>
                <c:pt idx="8">
                  <c:v>09/08/2026</c:v>
                </c:pt>
                <c:pt idx="9">
                  <c:v>08/08/2026</c:v>
                </c:pt>
                <c:pt idx="10">
                  <c:v>07/08/2026</c:v>
                </c:pt>
                <c:pt idx="11">
                  <c:v>06/08/2026</c:v>
                </c:pt>
                <c:pt idx="12">
                  <c:v>05/08/2026</c:v>
                </c:pt>
                <c:pt idx="13">
                  <c:v>04/08/2026</c:v>
                </c:pt>
                <c:pt idx="14">
                  <c:v>03/08/2026</c:v>
                </c:pt>
                <c:pt idx="15">
                  <c:v>02/08/2026</c:v>
                </c:pt>
                <c:pt idx="16">
                  <c:v>01/08/2026</c:v>
                </c:pt>
                <c:pt idx="17">
                  <c:v>31/07/2026</c:v>
                </c:pt>
                <c:pt idx="18">
                  <c:v>30/07/2026</c:v>
                </c:pt>
                <c:pt idx="19">
                  <c:v>29/07/2026</c:v>
                </c:pt>
                <c:pt idx="20">
                  <c:v>28/07/2026</c:v>
                </c:pt>
                <c:pt idx="21">
                  <c:v>27/07/2026</c:v>
                </c:pt>
                <c:pt idx="22">
                  <c:v>26/07/2026</c:v>
                </c:pt>
                <c:pt idx="23">
                  <c:v>25/07/2026</c:v>
                </c:pt>
                <c:pt idx="24">
                  <c:v>24/07/2026</c:v>
                </c:pt>
                <c:pt idx="25">
                  <c:v>23/07/2026</c:v>
                </c:pt>
                <c:pt idx="26">
                  <c:v>22/07/2026</c:v>
                </c:pt>
                <c:pt idx="27">
                  <c:v>21/07/2026</c:v>
                </c:pt>
                <c:pt idx="28">
                  <c:v>20/07/2026</c:v>
                </c:pt>
                <c:pt idx="29">
                  <c:v>19/07/2026</c:v>
                </c:pt>
              </c:strCache>
            </c:strRef>
          </c:cat>
          <c:val>
            <c:numRef>
              <c:f>Dashboard!$E$13:$E$42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150"/>
        <c:overlap val="0"/>
        <c:axId val="32502926"/>
        <c:axId val="64968858"/>
      </c:barChart>
      <c:catAx>
        <c:axId val="325029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68858"/>
        <c:crosses val="autoZero"/>
        <c:auto val="1"/>
        <c:lblAlgn val="ctr"/>
        <c:lblOffset val="100"/>
        <c:noMultiLvlLbl val="0"/>
      </c:catAx>
      <c:valAx>
        <c:axId val="64968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029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10</xdr:row>
      <xdr:rowOff>160560</xdr:rowOff>
    </xdr:from>
    <xdr:to>
      <xdr:col>21</xdr:col>
      <xdr:colOff>78480</xdr:colOff>
      <xdr:row>25</xdr:row>
      <xdr:rowOff>182880</xdr:rowOff>
    </xdr:to>
    <xdr:graphicFrame>
      <xdr:nvGraphicFramePr>
        <xdr:cNvPr id="0" name="Chart 1"/>
        <xdr:cNvGraphicFramePr/>
      </xdr:nvGraphicFramePr>
      <xdr:xfrm>
        <a:off x="7471440" y="261936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0"/>
    <col collapsed="false" customWidth="true" hidden="false" outlineLevel="0" max="7" min="7" style="0" width="3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46251</v>
      </c>
      <c r="D5" s="2" t="s">
        <v>3</v>
      </c>
    </row>
    <row r="7" customFormat="false" ht="31.5" hidden="false" customHeight="true" outlineLevel="0" collapsed="false">
      <c r="B7" s="5" t="s">
        <v>4</v>
      </c>
      <c r="C7" s="5" t="s">
        <v>5</v>
      </c>
      <c r="D7" s="5" t="s">
        <v>6</v>
      </c>
      <c r="E7" s="5" t="s">
        <v>7</v>
      </c>
    </row>
    <row r="8" customFormat="false" ht="39.75" hidden="false" customHeight="true" outlineLevel="0" collapsed="false">
      <c r="B8" s="6" t="n">
        <f aca="false">IFERROR(INDEX('Resumo Diário'!B:B,MATCH($C$5,'Resumo Diário'!A:A,0)),0)</f>
        <v>3</v>
      </c>
      <c r="C8" s="6" t="n">
        <f aca="false">IFERROR(INDEX('Resumo Diário'!C:C,MATCH($C$5,'Resumo Diário'!A:A,0)),0)</f>
        <v>2</v>
      </c>
      <c r="D8" s="6" t="n">
        <f aca="false">IFERROR(INDEX('Resumo Diário'!D:D,MATCH($C$5,'Resumo Diário'!A:A,0)),0)</f>
        <v>0</v>
      </c>
      <c r="E8" s="6" t="n">
        <f aca="false">IFERROR(INDEX('Resumo Diário'!E:E,MATCH($C$5,'Resumo Diário'!A:A,0)),0)</f>
        <v>0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7" t="s">
        <v>9</v>
      </c>
      <c r="C12" s="7" t="s">
        <v>10</v>
      </c>
      <c r="D12" s="7" t="s">
        <v>11</v>
      </c>
      <c r="E12" s="7" t="s">
        <v>12</v>
      </c>
      <c r="F12" s="7" t="s">
        <v>13</v>
      </c>
    </row>
    <row r="13" customFormat="false" ht="15" hidden="false" customHeight="false" outlineLevel="0" collapsed="false">
      <c r="B13" s="8" t="n">
        <f aca="false">$C$5-0</f>
        <v>46251</v>
      </c>
      <c r="C13" s="9" t="n">
        <f aca="false">IFERROR(INDEX('Resumo Diário'!B:B,MATCH($B13,'Resumo Diário'!$A:$A,0)),"")</f>
        <v>3</v>
      </c>
      <c r="D13" s="9" t="n">
        <f aca="false">IFERROR(INDEX('Resumo Diário'!C:C,MATCH($B13,'Resumo Diário'!$A:$A,0)),"")</f>
        <v>2</v>
      </c>
      <c r="E13" s="9" t="n">
        <f aca="false">IFERROR(INDEX('Resumo Diário'!D:D,MATCH($B13,'Resumo Diário'!$A:$A,0)),"")</f>
        <v>0</v>
      </c>
      <c r="F13" s="9" t="n">
        <f aca="false">IFERROR(INDEX('Resumo Diário'!E:E,MATCH($B13,'Resumo Diário'!$A:$A,0)),"")</f>
        <v>0</v>
      </c>
    </row>
    <row r="14" customFormat="false" ht="15" hidden="false" customHeight="false" outlineLevel="0" collapsed="false">
      <c r="B14" s="8" t="n">
        <f aca="false">$C$5-1</f>
        <v>46250</v>
      </c>
      <c r="C14" s="9" t="n">
        <f aca="false">IFERROR(INDEX('Resumo Diário'!B:B,MATCH($B14,'Resumo Diário'!$A:$A,0)),"")</f>
        <v>0</v>
      </c>
      <c r="D14" s="9" t="n">
        <f aca="false">IFERROR(INDEX('Resumo Diário'!C:C,MATCH($B14,'Resumo Diário'!$A:$A,0)),"")</f>
        <v>0</v>
      </c>
      <c r="E14" s="9" t="n">
        <f aca="false">IFERROR(INDEX('Resumo Diário'!D:D,MATCH($B14,'Resumo Diário'!$A:$A,0)),"")</f>
        <v>1</v>
      </c>
      <c r="F14" s="9" t="n">
        <f aca="false">IFERROR(INDEX('Resumo Diário'!E:E,MATCH($B14,'Resumo Diário'!$A:$A,0)),"")</f>
        <v>1</v>
      </c>
    </row>
    <row r="15" customFormat="false" ht="15" hidden="false" customHeight="false" outlineLevel="0" collapsed="false">
      <c r="B15" s="8" t="n">
        <f aca="false">$C$5-2</f>
        <v>46249</v>
      </c>
      <c r="C15" s="9" t="n">
        <f aca="false">IFERROR(INDEX('Resumo Diário'!B:B,MATCH($B15,'Resumo Diário'!$A:$A,0)),"")</f>
        <v>1</v>
      </c>
      <c r="D15" s="9" t="n">
        <f aca="false">IFERROR(INDEX('Resumo Diário'!C:C,MATCH($B15,'Resumo Diário'!$A:$A,0)),"")</f>
        <v>0</v>
      </c>
      <c r="E15" s="9" t="n">
        <f aca="false">IFERROR(INDEX('Resumo Diário'!D:D,MATCH($B15,'Resumo Diário'!$A:$A,0)),"")</f>
        <v>1</v>
      </c>
      <c r="F15" s="9" t="n">
        <f aca="false">IFERROR(INDEX('Resumo Diário'!E:E,MATCH($B15,'Resumo Diário'!$A:$A,0)),"")</f>
        <v>1</v>
      </c>
    </row>
    <row r="16" customFormat="false" ht="15" hidden="false" customHeight="false" outlineLevel="0" collapsed="false">
      <c r="B16" s="8" t="n">
        <f aca="false">$C$5-3</f>
        <v>46248</v>
      </c>
      <c r="C16" s="9" t="n">
        <f aca="false">IFERROR(INDEX('Resumo Diário'!B:B,MATCH($B16,'Resumo Diário'!$A:$A,0)),"")</f>
        <v>1</v>
      </c>
      <c r="D16" s="9" t="n">
        <f aca="false">IFERROR(INDEX('Resumo Diário'!C:C,MATCH($B16,'Resumo Diário'!$A:$A,0)),"")</f>
        <v>1</v>
      </c>
      <c r="E16" s="9" t="n">
        <f aca="false">IFERROR(INDEX('Resumo Diário'!D:D,MATCH($B16,'Resumo Diário'!$A:$A,0)),"")</f>
        <v>0</v>
      </c>
      <c r="F16" s="9" t="n">
        <f aca="false">IFERROR(INDEX('Resumo Diário'!E:E,MATCH($B16,'Resumo Diário'!$A:$A,0)),"")</f>
        <v>0</v>
      </c>
    </row>
    <row r="17" customFormat="false" ht="15" hidden="false" customHeight="false" outlineLevel="0" collapsed="false">
      <c r="B17" s="8" t="n">
        <f aca="false">$C$5-4</f>
        <v>46247</v>
      </c>
      <c r="C17" s="9" t="n">
        <f aca="false">IFERROR(INDEX('Resumo Diário'!B:B,MATCH($B17,'Resumo Diário'!$A:$A,0)),"")</f>
        <v>0</v>
      </c>
      <c r="D17" s="9" t="n">
        <f aca="false">IFERROR(INDEX('Resumo Diário'!C:C,MATCH($B17,'Resumo Diário'!$A:$A,0)),"")</f>
        <v>0</v>
      </c>
      <c r="E17" s="9" t="n">
        <f aca="false">IFERROR(INDEX('Resumo Diário'!D:D,MATCH($B17,'Resumo Diário'!$A:$A,0)),"")</f>
        <v>0</v>
      </c>
      <c r="F17" s="9" t="n">
        <f aca="false">IFERROR(INDEX('Resumo Diário'!E:E,MATCH($B17,'Resumo Diário'!$A:$A,0)),"")</f>
        <v>0</v>
      </c>
    </row>
    <row r="18" customFormat="false" ht="15" hidden="false" customHeight="false" outlineLevel="0" collapsed="false">
      <c r="B18" s="8" t="n">
        <f aca="false">$C$5-5</f>
        <v>46246</v>
      </c>
      <c r="C18" s="9" t="n">
        <f aca="false">IFERROR(INDEX('Resumo Diário'!B:B,MATCH($B18,'Resumo Diário'!$A:$A,0)),"")</f>
        <v>0</v>
      </c>
      <c r="D18" s="9" t="n">
        <f aca="false">IFERROR(INDEX('Resumo Diário'!C:C,MATCH($B18,'Resumo Diário'!$A:$A,0)),"")</f>
        <v>0</v>
      </c>
      <c r="E18" s="9" t="n">
        <f aca="false">IFERROR(INDEX('Resumo Diário'!D:D,MATCH($B18,'Resumo Diário'!$A:$A,0)),"")</f>
        <v>0</v>
      </c>
      <c r="F18" s="9" t="n">
        <f aca="false">IFERROR(INDEX('Resumo Diário'!E:E,MATCH($B18,'Resumo Diário'!$A:$A,0)),"")</f>
        <v>0</v>
      </c>
    </row>
    <row r="19" customFormat="false" ht="15" hidden="false" customHeight="false" outlineLevel="0" collapsed="false">
      <c r="B19" s="8" t="n">
        <f aca="false">$C$5-6</f>
        <v>46245</v>
      </c>
      <c r="C19" s="9" t="n">
        <f aca="false">IFERROR(INDEX('Resumo Diário'!B:B,MATCH($B19,'Resumo Diário'!$A:$A,0)),"")</f>
        <v>1</v>
      </c>
      <c r="D19" s="9" t="n">
        <f aca="false">IFERROR(INDEX('Resumo Diário'!C:C,MATCH($B19,'Resumo Diário'!$A:$A,0)),"")</f>
        <v>1</v>
      </c>
      <c r="E19" s="9" t="n">
        <f aca="false">IFERROR(INDEX('Resumo Diário'!D:D,MATCH($B19,'Resumo Diário'!$A:$A,0)),"")</f>
        <v>0</v>
      </c>
      <c r="F19" s="9" t="n">
        <f aca="false">IFERROR(INDEX('Resumo Diário'!E:E,MATCH($B19,'Resumo Diário'!$A:$A,0)),"")</f>
        <v>0</v>
      </c>
    </row>
    <row r="20" customFormat="false" ht="15" hidden="false" customHeight="false" outlineLevel="0" collapsed="false">
      <c r="B20" s="8" t="n">
        <f aca="false">$C$5-7</f>
        <v>46244</v>
      </c>
      <c r="C20" s="9" t="n">
        <f aca="false">IFERROR(INDEX('Resumo Diário'!B:B,MATCH($B20,'Resumo Diário'!$A:$A,0)),"")</f>
        <v>0</v>
      </c>
      <c r="D20" s="9" t="n">
        <f aca="false">IFERROR(INDEX('Resumo Diário'!C:C,MATCH($B20,'Resumo Diário'!$A:$A,0)),"")</f>
        <v>1</v>
      </c>
      <c r="E20" s="9" t="n">
        <f aca="false">IFERROR(INDEX('Resumo Diário'!D:D,MATCH($B20,'Resumo Diário'!$A:$A,0)),"")</f>
        <v>0</v>
      </c>
      <c r="F20" s="9" t="n">
        <f aca="false">IFERROR(INDEX('Resumo Diário'!E:E,MATCH($B20,'Resumo Diário'!$A:$A,0)),"")</f>
        <v>0</v>
      </c>
    </row>
    <row r="21" customFormat="false" ht="15" hidden="false" customHeight="false" outlineLevel="0" collapsed="false">
      <c r="B21" s="8" t="n">
        <f aca="false">$C$5-8</f>
        <v>46243</v>
      </c>
      <c r="C21" s="9" t="n">
        <f aca="false">IFERROR(INDEX('Resumo Diário'!B:B,MATCH($B21,'Resumo Diário'!$A:$A,0)),"")</f>
        <v>1</v>
      </c>
      <c r="D21" s="9" t="n">
        <f aca="false">IFERROR(INDEX('Resumo Diário'!C:C,MATCH($B21,'Resumo Diário'!$A:$A,0)),"")</f>
        <v>0</v>
      </c>
      <c r="E21" s="9" t="n">
        <f aca="false">IFERROR(INDEX('Resumo Diário'!D:D,MATCH($B21,'Resumo Diário'!$A:$A,0)),"")</f>
        <v>0</v>
      </c>
      <c r="F21" s="9" t="n">
        <f aca="false">IFERROR(INDEX('Resumo Diário'!E:E,MATCH($B21,'Resumo Diário'!$A:$A,0)),"")</f>
        <v>0</v>
      </c>
    </row>
    <row r="22" customFormat="false" ht="15" hidden="false" customHeight="false" outlineLevel="0" collapsed="false">
      <c r="B22" s="8" t="n">
        <f aca="false">$C$5-9</f>
        <v>46242</v>
      </c>
      <c r="C22" s="9" t="n">
        <f aca="false">IFERROR(INDEX('Resumo Diário'!B:B,MATCH($B22,'Resumo Diário'!$A:$A,0)),"")</f>
        <v>0</v>
      </c>
      <c r="D22" s="9" t="n">
        <f aca="false">IFERROR(INDEX('Resumo Diário'!C:C,MATCH($B22,'Resumo Diário'!$A:$A,0)),"")</f>
        <v>0</v>
      </c>
      <c r="E22" s="9" t="n">
        <f aca="false">IFERROR(INDEX('Resumo Diário'!D:D,MATCH($B22,'Resumo Diário'!$A:$A,0)),"")</f>
        <v>0</v>
      </c>
      <c r="F22" s="9" t="n">
        <f aca="false">IFERROR(INDEX('Resumo Diário'!E:E,MATCH($B22,'Resumo Diário'!$A:$A,0)),"")</f>
        <v>0</v>
      </c>
    </row>
    <row r="23" customFormat="false" ht="15" hidden="false" customHeight="false" outlineLevel="0" collapsed="false">
      <c r="B23" s="8" t="n">
        <f aca="false">$C$5-10</f>
        <v>46241</v>
      </c>
      <c r="C23" s="9" t="n">
        <f aca="false">IFERROR(INDEX('Resumo Diário'!B:B,MATCH($B23,'Resumo Diário'!$A:$A,0)),"")</f>
        <v>0</v>
      </c>
      <c r="D23" s="9" t="n">
        <f aca="false">IFERROR(INDEX('Resumo Diário'!C:C,MATCH($B23,'Resumo Diário'!$A:$A,0)),"")</f>
        <v>0</v>
      </c>
      <c r="E23" s="9" t="n">
        <f aca="false">IFERROR(INDEX('Resumo Diário'!D:D,MATCH($B23,'Resumo Diário'!$A:$A,0)),"")</f>
        <v>0</v>
      </c>
      <c r="F23" s="9" t="n">
        <f aca="false">IFERROR(INDEX('Resumo Diário'!E:E,MATCH($B23,'Resumo Diário'!$A:$A,0)),"")</f>
        <v>0</v>
      </c>
    </row>
    <row r="24" customFormat="false" ht="15" hidden="false" customHeight="false" outlineLevel="0" collapsed="false">
      <c r="B24" s="8" t="n">
        <f aca="false">$C$5-11</f>
        <v>46240</v>
      </c>
      <c r="C24" s="9" t="n">
        <f aca="false">IFERROR(INDEX('Resumo Diário'!B:B,MATCH($B24,'Resumo Diário'!$A:$A,0)),"")</f>
        <v>0</v>
      </c>
      <c r="D24" s="9" t="n">
        <f aca="false">IFERROR(INDEX('Resumo Diário'!C:C,MATCH($B24,'Resumo Diário'!$A:$A,0)),"")</f>
        <v>0</v>
      </c>
      <c r="E24" s="9" t="n">
        <f aca="false">IFERROR(INDEX('Resumo Diário'!D:D,MATCH($B24,'Resumo Diário'!$A:$A,0)),"")</f>
        <v>0</v>
      </c>
      <c r="F24" s="9" t="n">
        <f aca="false">IFERROR(INDEX('Resumo Diário'!E:E,MATCH($B24,'Resumo Diário'!$A:$A,0)),"")</f>
        <v>0</v>
      </c>
    </row>
    <row r="25" customFormat="false" ht="15" hidden="false" customHeight="false" outlineLevel="0" collapsed="false">
      <c r="B25" s="8" t="n">
        <f aca="false">$C$5-12</f>
        <v>46239</v>
      </c>
      <c r="C25" s="9" t="n">
        <f aca="false">IFERROR(INDEX('Resumo Diário'!B:B,MATCH($B25,'Resumo Diário'!$A:$A,0)),"")</f>
        <v>0</v>
      </c>
      <c r="D25" s="9" t="n">
        <f aca="false">IFERROR(INDEX('Resumo Diário'!C:C,MATCH($B25,'Resumo Diário'!$A:$A,0)),"")</f>
        <v>0</v>
      </c>
      <c r="E25" s="9" t="n">
        <f aca="false">IFERROR(INDEX('Resumo Diário'!D:D,MATCH($B25,'Resumo Diário'!$A:$A,0)),"")</f>
        <v>0</v>
      </c>
      <c r="F25" s="9" t="n">
        <f aca="false">IFERROR(INDEX('Resumo Diário'!E:E,MATCH($B25,'Resumo Diário'!$A:$A,0)),"")</f>
        <v>0</v>
      </c>
    </row>
    <row r="26" customFormat="false" ht="15" hidden="false" customHeight="false" outlineLevel="0" collapsed="false">
      <c r="B26" s="8" t="n">
        <f aca="false">$C$5-13</f>
        <v>46238</v>
      </c>
      <c r="C26" s="9" t="n">
        <f aca="false">IFERROR(INDEX('Resumo Diário'!B:B,MATCH($B26,'Resumo Diário'!$A:$A,0)),"")</f>
        <v>0</v>
      </c>
      <c r="D26" s="9" t="n">
        <f aca="false">IFERROR(INDEX('Resumo Diário'!C:C,MATCH($B26,'Resumo Diário'!$A:$A,0)),"")</f>
        <v>0</v>
      </c>
      <c r="E26" s="9" t="n">
        <f aca="false">IFERROR(INDEX('Resumo Diário'!D:D,MATCH($B26,'Resumo Diário'!$A:$A,0)),"")</f>
        <v>0</v>
      </c>
      <c r="F26" s="9" t="n">
        <f aca="false">IFERROR(INDEX('Resumo Diário'!E:E,MATCH($B26,'Resumo Diário'!$A:$A,0)),"")</f>
        <v>0</v>
      </c>
    </row>
    <row r="27" customFormat="false" ht="15" hidden="false" customHeight="false" outlineLevel="0" collapsed="false">
      <c r="B27" s="8" t="n">
        <f aca="false">$C$5-14</f>
        <v>46237</v>
      </c>
      <c r="C27" s="9" t="n">
        <f aca="false">IFERROR(INDEX('Resumo Diário'!B:B,MATCH($B27,'Resumo Diário'!$A:$A,0)),"")</f>
        <v>0</v>
      </c>
      <c r="D27" s="9" t="n">
        <f aca="false">IFERROR(INDEX('Resumo Diário'!C:C,MATCH($B27,'Resumo Diário'!$A:$A,0)),"")</f>
        <v>0</v>
      </c>
      <c r="E27" s="9" t="n">
        <f aca="false">IFERROR(INDEX('Resumo Diário'!D:D,MATCH($B27,'Resumo Diário'!$A:$A,0)),"")</f>
        <v>0</v>
      </c>
      <c r="F27" s="9" t="n">
        <f aca="false">IFERROR(INDEX('Resumo Diário'!E:E,MATCH($B27,'Resumo Diário'!$A:$A,0)),"")</f>
        <v>0</v>
      </c>
    </row>
    <row r="28" customFormat="false" ht="15" hidden="false" customHeight="false" outlineLevel="0" collapsed="false">
      <c r="B28" s="8" t="n">
        <f aca="false">$C$5-15</f>
        <v>46236</v>
      </c>
      <c r="C28" s="9" t="n">
        <f aca="false">IFERROR(INDEX('Resumo Diário'!B:B,MATCH($B28,'Resumo Diário'!$A:$A,0)),"")</f>
        <v>0</v>
      </c>
      <c r="D28" s="9" t="n">
        <f aca="false">IFERROR(INDEX('Resumo Diário'!C:C,MATCH($B28,'Resumo Diário'!$A:$A,0)),"")</f>
        <v>0</v>
      </c>
      <c r="E28" s="9" t="n">
        <f aca="false">IFERROR(INDEX('Resumo Diário'!D:D,MATCH($B28,'Resumo Diário'!$A:$A,0)),"")</f>
        <v>0</v>
      </c>
      <c r="F28" s="9" t="n">
        <f aca="false">IFERROR(INDEX('Resumo Diário'!E:E,MATCH($B28,'Resumo Diário'!$A:$A,0)),"")</f>
        <v>0</v>
      </c>
    </row>
    <row r="29" customFormat="false" ht="15" hidden="false" customHeight="false" outlineLevel="0" collapsed="false">
      <c r="B29" s="8" t="n">
        <f aca="false">$C$5-16</f>
        <v>46235</v>
      </c>
      <c r="C29" s="9" t="n">
        <f aca="false">IFERROR(INDEX('Resumo Diário'!B:B,MATCH($B29,'Resumo Diário'!$A:$A,0)),"")</f>
        <v>0</v>
      </c>
      <c r="D29" s="9" t="n">
        <f aca="false">IFERROR(INDEX('Resumo Diário'!C:C,MATCH($B29,'Resumo Diário'!$A:$A,0)),"")</f>
        <v>0</v>
      </c>
      <c r="E29" s="9" t="n">
        <f aca="false">IFERROR(INDEX('Resumo Diário'!D:D,MATCH($B29,'Resumo Diário'!$A:$A,0)),"")</f>
        <v>0</v>
      </c>
      <c r="F29" s="9" t="n">
        <f aca="false">IFERROR(INDEX('Resumo Diário'!E:E,MATCH($B29,'Resumo Diário'!$A:$A,0)),"")</f>
        <v>0</v>
      </c>
    </row>
    <row r="30" customFormat="false" ht="15" hidden="false" customHeight="false" outlineLevel="0" collapsed="false">
      <c r="B30" s="8" t="n">
        <f aca="false">$C$5-17</f>
        <v>46234</v>
      </c>
      <c r="C30" s="9" t="str">
        <f aca="false">IFERROR(INDEX('Resumo Diário'!B:B,MATCH($B30,'Resumo Diário'!$A:$A,0)),"")</f>
        <v/>
      </c>
      <c r="D30" s="9" t="str">
        <f aca="false">IFERROR(INDEX('Resumo Diário'!C:C,MATCH($B30,'Resumo Diário'!$A:$A,0)),"")</f>
        <v/>
      </c>
      <c r="E30" s="9" t="str">
        <f aca="false">IFERROR(INDEX('Resumo Diário'!D:D,MATCH($B30,'Resumo Diário'!$A:$A,0)),"")</f>
        <v/>
      </c>
      <c r="F30" s="9" t="str">
        <f aca="false">IFERROR(INDEX('Resumo Diário'!E:E,MATCH($B30,'Resumo Diário'!$A:$A,0)),"")</f>
        <v/>
      </c>
    </row>
    <row r="31" customFormat="false" ht="15" hidden="false" customHeight="false" outlineLevel="0" collapsed="false">
      <c r="B31" s="8" t="n">
        <f aca="false">$C$5-18</f>
        <v>46233</v>
      </c>
      <c r="C31" s="9" t="str">
        <f aca="false">IFERROR(INDEX('Resumo Diário'!B:B,MATCH($B31,'Resumo Diário'!$A:$A,0)),"")</f>
        <v/>
      </c>
      <c r="D31" s="9" t="str">
        <f aca="false">IFERROR(INDEX('Resumo Diário'!C:C,MATCH($B31,'Resumo Diário'!$A:$A,0)),"")</f>
        <v/>
      </c>
      <c r="E31" s="9" t="str">
        <f aca="false">IFERROR(INDEX('Resumo Diário'!D:D,MATCH($B31,'Resumo Diário'!$A:$A,0)),"")</f>
        <v/>
      </c>
      <c r="F31" s="9" t="str">
        <f aca="false">IFERROR(INDEX('Resumo Diário'!E:E,MATCH($B31,'Resumo Diário'!$A:$A,0)),"")</f>
        <v/>
      </c>
    </row>
    <row r="32" customFormat="false" ht="15" hidden="false" customHeight="false" outlineLevel="0" collapsed="false">
      <c r="B32" s="8" t="n">
        <f aca="false">$C$5-19</f>
        <v>46232</v>
      </c>
      <c r="C32" s="9" t="str">
        <f aca="false">IFERROR(INDEX('Resumo Diário'!B:B,MATCH($B32,'Resumo Diário'!$A:$A,0)),"")</f>
        <v/>
      </c>
      <c r="D32" s="9" t="str">
        <f aca="false">IFERROR(INDEX('Resumo Diário'!C:C,MATCH($B32,'Resumo Diário'!$A:$A,0)),"")</f>
        <v/>
      </c>
      <c r="E32" s="9" t="str">
        <f aca="false">IFERROR(INDEX('Resumo Diário'!D:D,MATCH($B32,'Resumo Diário'!$A:$A,0)),"")</f>
        <v/>
      </c>
      <c r="F32" s="9" t="str">
        <f aca="false">IFERROR(INDEX('Resumo Diário'!E:E,MATCH($B32,'Resumo Diário'!$A:$A,0)),"")</f>
        <v/>
      </c>
    </row>
    <row r="33" customFormat="false" ht="15" hidden="false" customHeight="false" outlineLevel="0" collapsed="false">
      <c r="B33" s="8" t="n">
        <f aca="false">$C$5-20</f>
        <v>46231</v>
      </c>
      <c r="C33" s="9" t="str">
        <f aca="false">IFERROR(INDEX('Resumo Diário'!B:B,MATCH($B33,'Resumo Diário'!$A:$A,0)),"")</f>
        <v/>
      </c>
      <c r="D33" s="9" t="str">
        <f aca="false">IFERROR(INDEX('Resumo Diário'!C:C,MATCH($B33,'Resumo Diário'!$A:$A,0)),"")</f>
        <v/>
      </c>
      <c r="E33" s="9" t="str">
        <f aca="false">IFERROR(INDEX('Resumo Diário'!D:D,MATCH($B33,'Resumo Diário'!$A:$A,0)),"")</f>
        <v/>
      </c>
      <c r="F33" s="9" t="str">
        <f aca="false">IFERROR(INDEX('Resumo Diário'!E:E,MATCH($B33,'Resumo Diário'!$A:$A,0)),"")</f>
        <v/>
      </c>
    </row>
    <row r="34" customFormat="false" ht="15" hidden="false" customHeight="false" outlineLevel="0" collapsed="false">
      <c r="B34" s="8" t="n">
        <f aca="false">$C$5-21</f>
        <v>46230</v>
      </c>
      <c r="C34" s="9" t="str">
        <f aca="false">IFERROR(INDEX('Resumo Diário'!B:B,MATCH($B34,'Resumo Diário'!$A:$A,0)),"")</f>
        <v/>
      </c>
      <c r="D34" s="9" t="str">
        <f aca="false">IFERROR(INDEX('Resumo Diário'!C:C,MATCH($B34,'Resumo Diário'!$A:$A,0)),"")</f>
        <v/>
      </c>
      <c r="E34" s="9" t="str">
        <f aca="false">IFERROR(INDEX('Resumo Diário'!D:D,MATCH($B34,'Resumo Diário'!$A:$A,0)),"")</f>
        <v/>
      </c>
      <c r="F34" s="9" t="str">
        <f aca="false">IFERROR(INDEX('Resumo Diário'!E:E,MATCH($B34,'Resumo Diário'!$A:$A,0)),"")</f>
        <v/>
      </c>
    </row>
    <row r="35" customFormat="false" ht="15" hidden="false" customHeight="false" outlineLevel="0" collapsed="false">
      <c r="B35" s="8" t="n">
        <f aca="false">$C$5-22</f>
        <v>46229</v>
      </c>
      <c r="C35" s="9" t="str">
        <f aca="false">IFERROR(INDEX('Resumo Diário'!B:B,MATCH($B35,'Resumo Diário'!$A:$A,0)),"")</f>
        <v/>
      </c>
      <c r="D35" s="9" t="str">
        <f aca="false">IFERROR(INDEX('Resumo Diário'!C:C,MATCH($B35,'Resumo Diário'!$A:$A,0)),"")</f>
        <v/>
      </c>
      <c r="E35" s="9" t="str">
        <f aca="false">IFERROR(INDEX('Resumo Diário'!D:D,MATCH($B35,'Resumo Diário'!$A:$A,0)),"")</f>
        <v/>
      </c>
      <c r="F35" s="9" t="str">
        <f aca="false">IFERROR(INDEX('Resumo Diário'!E:E,MATCH($B35,'Resumo Diário'!$A:$A,0)),"")</f>
        <v/>
      </c>
    </row>
    <row r="36" customFormat="false" ht="15" hidden="false" customHeight="false" outlineLevel="0" collapsed="false">
      <c r="B36" s="8" t="n">
        <f aca="false">$C$5-23</f>
        <v>46228</v>
      </c>
      <c r="C36" s="9" t="str">
        <f aca="false">IFERROR(INDEX('Resumo Diário'!B:B,MATCH($B36,'Resumo Diário'!$A:$A,0)),"")</f>
        <v/>
      </c>
      <c r="D36" s="9" t="str">
        <f aca="false">IFERROR(INDEX('Resumo Diário'!C:C,MATCH($B36,'Resumo Diário'!$A:$A,0)),"")</f>
        <v/>
      </c>
      <c r="E36" s="9" t="str">
        <f aca="false">IFERROR(INDEX('Resumo Diário'!D:D,MATCH($B36,'Resumo Diário'!$A:$A,0)),"")</f>
        <v/>
      </c>
      <c r="F36" s="9" t="str">
        <f aca="false">IFERROR(INDEX('Resumo Diário'!E:E,MATCH($B36,'Resumo Diário'!$A:$A,0)),"")</f>
        <v/>
      </c>
    </row>
    <row r="37" customFormat="false" ht="15" hidden="false" customHeight="false" outlineLevel="0" collapsed="false">
      <c r="B37" s="8" t="n">
        <f aca="false">$C$5-24</f>
        <v>46227</v>
      </c>
      <c r="C37" s="9" t="str">
        <f aca="false">IFERROR(INDEX('Resumo Diário'!B:B,MATCH($B37,'Resumo Diário'!$A:$A,0)),"")</f>
        <v/>
      </c>
      <c r="D37" s="9" t="str">
        <f aca="false">IFERROR(INDEX('Resumo Diário'!C:C,MATCH($B37,'Resumo Diário'!$A:$A,0)),"")</f>
        <v/>
      </c>
      <c r="E37" s="9" t="str">
        <f aca="false">IFERROR(INDEX('Resumo Diário'!D:D,MATCH($B37,'Resumo Diário'!$A:$A,0)),"")</f>
        <v/>
      </c>
      <c r="F37" s="9" t="str">
        <f aca="false">IFERROR(INDEX('Resumo Diário'!E:E,MATCH($B37,'Resumo Diário'!$A:$A,0)),"")</f>
        <v/>
      </c>
    </row>
    <row r="38" customFormat="false" ht="15" hidden="false" customHeight="false" outlineLevel="0" collapsed="false">
      <c r="B38" s="8" t="n">
        <f aca="false">$C$5-25</f>
        <v>46226</v>
      </c>
      <c r="C38" s="9" t="str">
        <f aca="false">IFERROR(INDEX('Resumo Diário'!B:B,MATCH($B38,'Resumo Diário'!$A:$A,0)),"")</f>
        <v/>
      </c>
      <c r="D38" s="9" t="str">
        <f aca="false">IFERROR(INDEX('Resumo Diário'!C:C,MATCH($B38,'Resumo Diário'!$A:$A,0)),"")</f>
        <v/>
      </c>
      <c r="E38" s="9" t="str">
        <f aca="false">IFERROR(INDEX('Resumo Diário'!D:D,MATCH($B38,'Resumo Diário'!$A:$A,0)),"")</f>
        <v/>
      </c>
      <c r="F38" s="9" t="str">
        <f aca="false">IFERROR(INDEX('Resumo Diário'!E:E,MATCH($B38,'Resumo Diário'!$A:$A,0)),"")</f>
        <v/>
      </c>
    </row>
    <row r="39" customFormat="false" ht="15" hidden="false" customHeight="false" outlineLevel="0" collapsed="false">
      <c r="B39" s="8" t="n">
        <f aca="false">$C$5-26</f>
        <v>46225</v>
      </c>
      <c r="C39" s="9" t="str">
        <f aca="false">IFERROR(INDEX('Resumo Diário'!B:B,MATCH($B39,'Resumo Diário'!$A:$A,0)),"")</f>
        <v/>
      </c>
      <c r="D39" s="9" t="str">
        <f aca="false">IFERROR(INDEX('Resumo Diário'!C:C,MATCH($B39,'Resumo Diário'!$A:$A,0)),"")</f>
        <v/>
      </c>
      <c r="E39" s="9" t="str">
        <f aca="false">IFERROR(INDEX('Resumo Diário'!D:D,MATCH($B39,'Resumo Diário'!$A:$A,0)),"")</f>
        <v/>
      </c>
      <c r="F39" s="9" t="str">
        <f aca="false">IFERROR(INDEX('Resumo Diário'!E:E,MATCH($B39,'Resumo Diário'!$A:$A,0)),"")</f>
        <v/>
      </c>
    </row>
    <row r="40" customFormat="false" ht="15" hidden="false" customHeight="false" outlineLevel="0" collapsed="false">
      <c r="B40" s="8" t="n">
        <f aca="false">$C$5-27</f>
        <v>46224</v>
      </c>
      <c r="C40" s="9" t="str">
        <f aca="false">IFERROR(INDEX('Resumo Diário'!B:B,MATCH($B40,'Resumo Diário'!$A:$A,0)),"")</f>
        <v/>
      </c>
      <c r="D40" s="9" t="str">
        <f aca="false">IFERROR(INDEX('Resumo Diário'!C:C,MATCH($B40,'Resumo Diário'!$A:$A,0)),"")</f>
        <v/>
      </c>
      <c r="E40" s="9" t="str">
        <f aca="false">IFERROR(INDEX('Resumo Diário'!D:D,MATCH($B40,'Resumo Diário'!$A:$A,0)),"")</f>
        <v/>
      </c>
      <c r="F40" s="9" t="str">
        <f aca="false">IFERROR(INDEX('Resumo Diário'!E:E,MATCH($B40,'Resumo Diário'!$A:$A,0)),"")</f>
        <v/>
      </c>
    </row>
    <row r="41" customFormat="false" ht="15" hidden="false" customHeight="false" outlineLevel="0" collapsed="false">
      <c r="B41" s="8" t="n">
        <f aca="false">$C$5-28</f>
        <v>46223</v>
      </c>
      <c r="C41" s="9" t="str">
        <f aca="false">IFERROR(INDEX('Resumo Diário'!B:B,MATCH($B41,'Resumo Diário'!$A:$A,0)),"")</f>
        <v/>
      </c>
      <c r="D41" s="9" t="str">
        <f aca="false">IFERROR(INDEX('Resumo Diário'!C:C,MATCH($B41,'Resumo Diário'!$A:$A,0)),"")</f>
        <v/>
      </c>
      <c r="E41" s="9" t="str">
        <f aca="false">IFERROR(INDEX('Resumo Diário'!D:D,MATCH($B41,'Resumo Diário'!$A:$A,0)),"")</f>
        <v/>
      </c>
      <c r="F41" s="9" t="str">
        <f aca="false">IFERROR(INDEX('Resumo Diário'!E:E,MATCH($B41,'Resumo Diário'!$A:$A,0)),"")</f>
        <v/>
      </c>
    </row>
    <row r="42" customFormat="false" ht="15" hidden="false" customHeight="false" outlineLevel="0" collapsed="false">
      <c r="B42" s="8" t="n">
        <f aca="false">$C$5-29</f>
        <v>46222</v>
      </c>
      <c r="C42" s="9" t="str">
        <f aca="false">IFERROR(INDEX('Resumo Diário'!B:B,MATCH($B42,'Resumo Diário'!$A:$A,0)),"")</f>
        <v/>
      </c>
      <c r="D42" s="9" t="str">
        <f aca="false">IFERROR(INDEX('Resumo Diário'!C:C,MATCH($B42,'Resumo Diário'!$A:$A,0)),"")</f>
        <v/>
      </c>
      <c r="E42" s="9" t="str">
        <f aca="false">IFERROR(INDEX('Resumo Diário'!D:D,MATCH($B42,'Resumo Diário'!$A:$A,0)),"")</f>
        <v/>
      </c>
      <c r="F42" s="9" t="str">
        <f aca="false">IFERROR(INDEX('Resumo Diário'!E:E,MATCH($B42,'Resumo Diário'!$A:$A,0)),"")</f>
        <v/>
      </c>
    </row>
    <row r="45" customFormat="false" ht="15" hidden="false" customHeight="true" outlineLevel="0" collapsed="false">
      <c r="B45" s="10" t="s">
        <v>14</v>
      </c>
      <c r="C45" s="10"/>
      <c r="D45" s="10"/>
      <c r="E45" s="10"/>
      <c r="F45" s="10"/>
    </row>
    <row r="46" customFormat="false" ht="15" hidden="false" customHeight="false" outlineLevel="0" collapsed="false">
      <c r="B46" s="10"/>
      <c r="C46" s="10"/>
      <c r="D46" s="10"/>
      <c r="E46" s="10"/>
      <c r="F46" s="10"/>
    </row>
    <row r="47" customFormat="false" ht="15" hidden="false" customHeight="false" outlineLevel="0" collapsed="false">
      <c r="B47" s="10"/>
      <c r="C47" s="10"/>
      <c r="D47" s="10"/>
      <c r="E47" s="10"/>
      <c r="F47" s="10"/>
    </row>
  </sheetData>
  <mergeCells count="1">
    <mergeCell ref="B45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9" min="7" style="0" width="12"/>
    <col collapsed="false" customWidth="true" hidden="false" outlineLevel="0" max="10" min="10" style="0" width="15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</row>
    <row r="2" customFormat="false" ht="15" hidden="false" customHeight="false" outlineLevel="0" collapsed="false">
      <c r="A2" s="12" t="n">
        <v>46248.3333333333</v>
      </c>
      <c r="B2" s="13" t="s">
        <v>29</v>
      </c>
      <c r="C2" s="13" t="s">
        <v>30</v>
      </c>
      <c r="D2" s="13" t="s">
        <v>31</v>
      </c>
      <c r="E2" s="13" t="s">
        <v>32</v>
      </c>
      <c r="F2" s="13" t="s">
        <v>33</v>
      </c>
      <c r="G2" s="13" t="s">
        <v>34</v>
      </c>
      <c r="H2" s="14" t="n">
        <v>50000</v>
      </c>
      <c r="I2" s="15" t="n">
        <f aca="false">IF(N2="","",INT(N2))</f>
        <v>46248</v>
      </c>
      <c r="J2" s="16" t="n">
        <f aca="false">IF(B2="","",IF(N2=_xlfn.MINIFS($N$2:$N$5001,$B$2:$B$5001,B2),1,0))</f>
        <v>1</v>
      </c>
      <c r="K2" s="16" t="n">
        <f aca="false">IF(B2="","",IF(AND(D2="Formalização",E2="Concluído"),IF(COUNTIFS($B$2:$B$5001,B2,$E$2:$E$5001,"Em ajustes",$N$2:$N$5001,"&lt;"&amp;I2)&gt;0,1,0),0))</f>
        <v>0</v>
      </c>
      <c r="L2" s="16" t="n">
        <f aca="false">IF(B2="","",IF(N2=_xlfn.MAXIFS($N$2:$N$5001,$B$2:$B$5001,B2,$I$2:$I$5001,I2),1,0))</f>
        <v>0</v>
      </c>
      <c r="M2" s="16" t="n">
        <f aca="false">IF(B2="","",IF(E2="Em ajustes",IF(N2=_xlfn.MINIFS($N$2:$N$5001,$B$2:$B$5001,B2,$E$2:$E$5001,"Em ajustes"),1,0),0))</f>
        <v>0</v>
      </c>
      <c r="N2" s="17" t="n">
        <f aca="false">IF(A2="","",IF(ISNUMBER(A2),A2,IFERROR(DATE(VALUE(MID(A2,7,4)),VALUE(MID(A2,4,2)),VALUE(MID(A2,1,2)))+TIME(VALUE(MID(A2,12,2)),VALUE(MID(A2,15,2)),VALUE(MID(A2,18,2))),"")))</f>
        <v>46248.3333333333</v>
      </c>
    </row>
    <row r="3" customFormat="false" ht="15" hidden="false" customHeight="false" outlineLevel="0" collapsed="false">
      <c r="A3" s="12" t="n">
        <v>46248.375</v>
      </c>
      <c r="B3" s="13" t="s">
        <v>29</v>
      </c>
      <c r="C3" s="13" t="s">
        <v>30</v>
      </c>
      <c r="D3" s="13" t="s">
        <v>31</v>
      </c>
      <c r="E3" s="13" t="s">
        <v>11</v>
      </c>
      <c r="F3" s="13" t="s">
        <v>33</v>
      </c>
      <c r="G3" s="13" t="s">
        <v>34</v>
      </c>
      <c r="H3" s="14" t="n">
        <v>50000</v>
      </c>
      <c r="I3" s="15" t="n">
        <f aca="false">IF(N3="","",INT(N3))</f>
        <v>46248</v>
      </c>
      <c r="J3" s="16" t="n">
        <f aca="false">IF(B3="","",IF(N3=_xlfn.MINIFS($N$2:$N$5001,$B$2:$B$5001,B3),1,0))</f>
        <v>0</v>
      </c>
      <c r="K3" s="16" t="n">
        <f aca="false">IF(B3="","",IF(AND(D3="Formalização",E3="Concluído"),IF(COUNTIFS($B$2:$B$5001,B3,$E$2:$E$5001,"Em ajustes",$N$2:$N$5001,"&lt;"&amp;I3)&gt;0,1,0),0))</f>
        <v>0</v>
      </c>
      <c r="L3" s="16" t="n">
        <f aca="false">IF(B3="","",IF(N3=_xlfn.MAXIFS($N$2:$N$5001,$B$2:$B$5001,B3,$I$2:$I$5001,I3),1,0))</f>
        <v>1</v>
      </c>
      <c r="M3" s="16" t="n">
        <f aca="false">IF(B3="","",IF(E3="Em ajustes",IF(N3=_xlfn.MINIFS($N$2:$N$5001,$B$2:$B$5001,B3,$E$2:$E$5001,"Em ajustes"),1,0),0))</f>
        <v>1</v>
      </c>
      <c r="N3" s="17" t="n">
        <f aca="false">IF(A3="","",IF(ISNUMBER(A3),A3,IFERROR(DATE(VALUE(MID(A3,7,4)),VALUE(MID(A3,4,2)),VALUE(MID(A3,1,2)))+TIME(VALUE(MID(A3,12,2)),VALUE(MID(A3,15,2)),VALUE(MID(A3,18,2))),"")))</f>
        <v>46248.375</v>
      </c>
    </row>
    <row r="4" customFormat="false" ht="15" hidden="false" customHeight="false" outlineLevel="0" collapsed="false">
      <c r="A4" s="12" t="n">
        <v>46250.375</v>
      </c>
      <c r="B4" s="13" t="s">
        <v>29</v>
      </c>
      <c r="C4" s="13" t="s">
        <v>30</v>
      </c>
      <c r="D4" s="13" t="s">
        <v>35</v>
      </c>
      <c r="E4" s="13" t="s">
        <v>36</v>
      </c>
      <c r="F4" s="13" t="s">
        <v>33</v>
      </c>
      <c r="G4" s="13" t="s">
        <v>34</v>
      </c>
      <c r="H4" s="14" t="n">
        <v>50000</v>
      </c>
      <c r="I4" s="15" t="n">
        <f aca="false">IF(N4="","",INT(N4))</f>
        <v>46250</v>
      </c>
      <c r="J4" s="16" t="n">
        <f aca="false">IF(B4="","",IF(N4=_xlfn.MINIFS($N$2:$N$5001,$B$2:$B$5001,B4),1,0))</f>
        <v>0</v>
      </c>
      <c r="K4" s="16" t="n">
        <f aca="false">IF(B4="","",IF(AND(D4="Formalização",E4="Concluído"),IF(COUNTIFS($B$2:$B$5001,B4,$E$2:$E$5001,"Em ajustes",$N$2:$N$5001,"&lt;"&amp;I4)&gt;0,1,0),0))</f>
        <v>1</v>
      </c>
      <c r="L4" s="16" t="n">
        <f aca="false">IF(B4="","",IF(N4=_xlfn.MAXIFS($N$2:$N$5001,$B$2:$B$5001,B4,$I$2:$I$5001,I4),1,0))</f>
        <v>1</v>
      </c>
      <c r="M4" s="16" t="n">
        <f aca="false">IF(B4="","",IF(E4="Em ajustes",IF(N4=_xlfn.MINIFS($N$2:$N$5001,$B$2:$B$5001,B4,$E$2:$E$5001,"Em ajustes"),1,0),0))</f>
        <v>0</v>
      </c>
      <c r="N4" s="17" t="n">
        <f aca="false">IF(A4="","",IF(ISNUMBER(A4),A4,IFERROR(DATE(VALUE(MID(A4,7,4)),VALUE(MID(A4,4,2)),VALUE(MID(A4,1,2)))+TIME(VALUE(MID(A4,12,2)),VALUE(MID(A4,15,2)),VALUE(MID(A4,18,2))),"")))</f>
        <v>46250.375</v>
      </c>
    </row>
    <row r="5" customFormat="false" ht="15" hidden="false" customHeight="false" outlineLevel="0" collapsed="false">
      <c r="A5" s="12" t="n">
        <v>46251.1666666667</v>
      </c>
      <c r="B5" s="13" t="s">
        <v>37</v>
      </c>
      <c r="C5" s="13" t="s">
        <v>38</v>
      </c>
      <c r="D5" s="13" t="s">
        <v>31</v>
      </c>
      <c r="E5" s="13" t="s">
        <v>32</v>
      </c>
      <c r="F5" s="13" t="s">
        <v>39</v>
      </c>
      <c r="G5" s="13" t="s">
        <v>40</v>
      </c>
      <c r="H5" s="14" t="n">
        <v>32000</v>
      </c>
      <c r="I5" s="15" t="n">
        <f aca="false">IF(N5="","",INT(N5))</f>
        <v>46251</v>
      </c>
      <c r="J5" s="16" t="n">
        <f aca="false">IF(B5="","",IF(N5=_xlfn.MINIFS($N$2:$N$5001,$B$2:$B$5001,B5),1,0))</f>
        <v>1</v>
      </c>
      <c r="K5" s="16" t="n">
        <f aca="false">IF(B5="","",IF(AND(D5="Formalização",E5="Concluído"),IF(COUNTIFS($B$2:$B$5001,B5,$E$2:$E$5001,"Em ajustes",$N$2:$N$5001,"&lt;"&amp;I5)&gt;0,1,0),0))</f>
        <v>0</v>
      </c>
      <c r="L5" s="16" t="n">
        <f aca="false">IF(B5="","",IF(N5=_xlfn.MAXIFS($N$2:$N$5001,$B$2:$B$5001,B5,$I$2:$I$5001,I5),1,0))</f>
        <v>0</v>
      </c>
      <c r="M5" s="16" t="n">
        <f aca="false">IF(B5="","",IF(E5="Em ajustes",IF(N5=_xlfn.MINIFS($N$2:$N$5001,$B$2:$B$5001,B5,$E$2:$E$5001,"Em ajustes"),1,0),0))</f>
        <v>0</v>
      </c>
      <c r="N5" s="17" t="n">
        <f aca="false">IF(A5="","",IF(ISNUMBER(A5),A5,IFERROR(DATE(VALUE(MID(A5,7,4)),VALUE(MID(A5,4,2)),VALUE(MID(A5,1,2)))+TIME(VALUE(MID(A5,12,2)),VALUE(MID(A5,15,2)),VALUE(MID(A5,18,2))),"")))</f>
        <v>46251.1666666667</v>
      </c>
    </row>
    <row r="6" customFormat="false" ht="15" hidden="false" customHeight="false" outlineLevel="0" collapsed="false">
      <c r="A6" s="12" t="n">
        <v>46251.2916666667</v>
      </c>
      <c r="B6" s="13" t="s">
        <v>37</v>
      </c>
      <c r="C6" s="13" t="s">
        <v>38</v>
      </c>
      <c r="D6" s="13" t="s">
        <v>31</v>
      </c>
      <c r="E6" s="13" t="s">
        <v>11</v>
      </c>
      <c r="F6" s="13" t="s">
        <v>39</v>
      </c>
      <c r="G6" s="13" t="s">
        <v>40</v>
      </c>
      <c r="H6" s="14" t="n">
        <v>32000</v>
      </c>
      <c r="I6" s="15" t="n">
        <f aca="false">IF(N6="","",INT(N6))</f>
        <v>46251</v>
      </c>
      <c r="J6" s="16" t="n">
        <f aca="false">IF(B6="","",IF(N6=_xlfn.MINIFS($N$2:$N$5001,$B$2:$B$5001,B6),1,0))</f>
        <v>0</v>
      </c>
      <c r="K6" s="16" t="n">
        <f aca="false">IF(B6="","",IF(AND(D6="Formalização",E6="Concluído"),IF(COUNTIFS($B$2:$B$5001,B6,$E$2:$E$5001,"Em ajustes",$N$2:$N$5001,"&lt;"&amp;I6)&gt;0,1,0),0))</f>
        <v>0</v>
      </c>
      <c r="L6" s="16" t="n">
        <f aca="false">IF(B6="","",IF(N6=_xlfn.MAXIFS($N$2:$N$5001,$B$2:$B$5001,B6,$I$2:$I$5001,I6),1,0))</f>
        <v>1</v>
      </c>
      <c r="M6" s="16" t="n">
        <f aca="false">IF(B6="","",IF(E6="Em ajustes",IF(N6=_xlfn.MINIFS($N$2:$N$5001,$B$2:$B$5001,B6,$E$2:$E$5001,"Em ajustes"),1,0),0))</f>
        <v>1</v>
      </c>
      <c r="N6" s="17" t="n">
        <f aca="false">IF(A6="","",IF(ISNUMBER(A6),A6,IFERROR(DATE(VALUE(MID(A6,7,4)),VALUE(MID(A6,4,2)),VALUE(MID(A6,1,2)))+TIME(VALUE(MID(A6,12,2)),VALUE(MID(A6,15,2)),VALUE(MID(A6,18,2))),"")))</f>
        <v>46251.2916666667</v>
      </c>
    </row>
    <row r="7" customFormat="false" ht="15" hidden="false" customHeight="false" outlineLevel="0" collapsed="false">
      <c r="A7" s="12" t="n">
        <v>46251.375</v>
      </c>
      <c r="B7" s="13" t="s">
        <v>41</v>
      </c>
      <c r="C7" s="13" t="s">
        <v>30</v>
      </c>
      <c r="D7" s="13" t="s">
        <v>31</v>
      </c>
      <c r="E7" s="13" t="s">
        <v>32</v>
      </c>
      <c r="F7" s="13" t="s">
        <v>42</v>
      </c>
      <c r="G7" s="13" t="s">
        <v>34</v>
      </c>
      <c r="H7" s="14" t="n">
        <v>41000</v>
      </c>
      <c r="I7" s="15" t="n">
        <f aca="false">IF(N7="","",INT(N7))</f>
        <v>46251</v>
      </c>
      <c r="J7" s="16" t="n">
        <f aca="false">IF(B7="","",IF(N7=_xlfn.MINIFS($N$2:$N$5001,$B$2:$B$5001,B7),1,0))</f>
        <v>1</v>
      </c>
      <c r="K7" s="16" t="n">
        <f aca="false">IF(B7="","",IF(AND(D7="Formalização",E7="Concluído"),IF(COUNTIFS($B$2:$B$5001,B7,$E$2:$E$5001,"Em ajustes",$N$2:$N$5001,"&lt;"&amp;I7)&gt;0,1,0),0))</f>
        <v>0</v>
      </c>
      <c r="L7" s="16" t="n">
        <f aca="false">IF(B7="","",IF(N7=_xlfn.MAXIFS($N$2:$N$5001,$B$2:$B$5001,B7,$I$2:$I$5001,I7),1,0))</f>
        <v>1</v>
      </c>
      <c r="M7" s="16" t="n">
        <f aca="false">IF(B7="","",IF(E7="Em ajustes",IF(N7=_xlfn.MINIFS($N$2:$N$5001,$B$2:$B$5001,B7,$E$2:$E$5001,"Em ajustes"),1,0),0))</f>
        <v>0</v>
      </c>
      <c r="N7" s="17" t="n">
        <f aca="false">IF(A7="","",IF(ISNUMBER(A7),A7,IFERROR(DATE(VALUE(MID(A7,7,4)),VALUE(MID(A7,4,2)),VALUE(MID(A7,1,2)))+TIME(VALUE(MID(A7,12,2)),VALUE(MID(A7,15,2)),VALUE(MID(A7,18,2))),"")))</f>
        <v>46251.375</v>
      </c>
    </row>
    <row r="8" customFormat="false" ht="15" hidden="false" customHeight="false" outlineLevel="0" collapsed="false">
      <c r="A8" s="12" t="n">
        <v>46243.375</v>
      </c>
      <c r="B8" s="13" t="s">
        <v>43</v>
      </c>
      <c r="C8" s="13" t="s">
        <v>38</v>
      </c>
      <c r="D8" s="13" t="s">
        <v>31</v>
      </c>
      <c r="E8" s="13" t="s">
        <v>32</v>
      </c>
      <c r="F8" s="13" t="s">
        <v>44</v>
      </c>
      <c r="G8" s="13" t="s">
        <v>45</v>
      </c>
      <c r="H8" s="14" t="n">
        <v>27000</v>
      </c>
      <c r="I8" s="15" t="n">
        <f aca="false">IF(N8="","",INT(N8))</f>
        <v>46243</v>
      </c>
      <c r="J8" s="16" t="n">
        <f aca="false">IF(B8="","",IF(N8=_xlfn.MINIFS($N$2:$N$5001,$B$2:$B$5001,B8),1,0))</f>
        <v>1</v>
      </c>
      <c r="K8" s="16" t="n">
        <f aca="false">IF(B8="","",IF(AND(D8="Formalização",E8="Concluído"),IF(COUNTIFS($B$2:$B$5001,B8,$E$2:$E$5001,"Em ajustes",$N$2:$N$5001,"&lt;"&amp;I8)&gt;0,1,0),0))</f>
        <v>0</v>
      </c>
      <c r="L8" s="16" t="n">
        <f aca="false">IF(B8="","",IF(N8=_xlfn.MAXIFS($N$2:$N$5001,$B$2:$B$5001,B8,$I$2:$I$5001,I8),1,0))</f>
        <v>1</v>
      </c>
      <c r="M8" s="16" t="n">
        <f aca="false">IF(B8="","",IF(E8="Em ajustes",IF(N8=_xlfn.MINIFS($N$2:$N$5001,$B$2:$B$5001,B8,$E$2:$E$5001,"Em ajustes"),1,0),0))</f>
        <v>0</v>
      </c>
      <c r="N8" s="17" t="n">
        <f aca="false">IF(A8="","",IF(ISNUMBER(A8),A8,IFERROR(DATE(VALUE(MID(A8,7,4)),VALUE(MID(A8,4,2)),VALUE(MID(A8,1,2)))+TIME(VALUE(MID(A8,12,2)),VALUE(MID(A8,15,2)),VALUE(MID(A8,18,2))),"")))</f>
        <v>46243.375</v>
      </c>
    </row>
    <row r="9" customFormat="false" ht="15" hidden="false" customHeight="false" outlineLevel="0" collapsed="false">
      <c r="A9" s="12" t="n">
        <v>46244.375</v>
      </c>
      <c r="B9" s="13" t="s">
        <v>43</v>
      </c>
      <c r="C9" s="13" t="s">
        <v>38</v>
      </c>
      <c r="D9" s="13" t="s">
        <v>31</v>
      </c>
      <c r="E9" s="13" t="s">
        <v>11</v>
      </c>
      <c r="F9" s="13" t="s">
        <v>44</v>
      </c>
      <c r="G9" s="13" t="s">
        <v>45</v>
      </c>
      <c r="H9" s="14" t="n">
        <v>27000</v>
      </c>
      <c r="I9" s="15" t="n">
        <f aca="false">IF(N9="","",INT(N9))</f>
        <v>46244</v>
      </c>
      <c r="J9" s="16" t="n">
        <f aca="false">IF(B9="","",IF(N9=_xlfn.MINIFS($N$2:$N$5001,$B$2:$B$5001,B9),1,0))</f>
        <v>0</v>
      </c>
      <c r="K9" s="16" t="n">
        <f aca="false">IF(B9="","",IF(AND(D9="Formalização",E9="Concluído"),IF(COUNTIFS($B$2:$B$5001,B9,$E$2:$E$5001,"Em ajustes",$N$2:$N$5001,"&lt;"&amp;I9)&gt;0,1,0),0))</f>
        <v>0</v>
      </c>
      <c r="L9" s="16" t="n">
        <f aca="false">IF(B9="","",IF(N9=_xlfn.MAXIFS($N$2:$N$5001,$B$2:$B$5001,B9,$I$2:$I$5001,I9),1,0))</f>
        <v>1</v>
      </c>
      <c r="M9" s="16" t="n">
        <f aca="false">IF(B9="","",IF(E9="Em ajustes",IF(N9=_xlfn.MINIFS($N$2:$N$5001,$B$2:$B$5001,B9,$E$2:$E$5001,"Em ajustes"),1,0),0))</f>
        <v>1</v>
      </c>
      <c r="N9" s="17" t="n">
        <f aca="false">IF(A9="","",IF(ISNUMBER(A9),A9,IFERROR(DATE(VALUE(MID(A9,7,4)),VALUE(MID(A9,4,2)),VALUE(MID(A9,1,2)))+TIME(VALUE(MID(A9,12,2)),VALUE(MID(A9,15,2)),VALUE(MID(A9,18,2))),"")))</f>
        <v>46244.375</v>
      </c>
    </row>
    <row r="10" customFormat="false" ht="15" hidden="false" customHeight="false" outlineLevel="0" collapsed="false">
      <c r="A10" s="12" t="n">
        <v>46249.375</v>
      </c>
      <c r="B10" s="13" t="s">
        <v>43</v>
      </c>
      <c r="C10" s="13" t="s">
        <v>38</v>
      </c>
      <c r="D10" s="13" t="s">
        <v>35</v>
      </c>
      <c r="E10" s="13" t="s">
        <v>36</v>
      </c>
      <c r="F10" s="13" t="s">
        <v>44</v>
      </c>
      <c r="G10" s="13" t="s">
        <v>45</v>
      </c>
      <c r="H10" s="14" t="n">
        <v>27000</v>
      </c>
      <c r="I10" s="15" t="n">
        <f aca="false">IF(N10="","",INT(N10))</f>
        <v>46249</v>
      </c>
      <c r="J10" s="16" t="n">
        <f aca="false">IF(B10="","",IF(N10=_xlfn.MINIFS($N$2:$N$5001,$B$2:$B$5001,B10),1,0))</f>
        <v>0</v>
      </c>
      <c r="K10" s="16" t="n">
        <f aca="false">IF(B10="","",IF(AND(D10="Formalização",E10="Concluído"),IF(COUNTIFS($B$2:$B$5001,B10,$E$2:$E$5001,"Em ajustes",$N$2:$N$5001,"&lt;"&amp;I10)&gt;0,1,0),0))</f>
        <v>1</v>
      </c>
      <c r="L10" s="16" t="n">
        <f aca="false">IF(B10="","",IF(N10=_xlfn.MAXIFS($N$2:$N$5001,$B$2:$B$5001,B10,$I$2:$I$5001,I10),1,0))</f>
        <v>1</v>
      </c>
      <c r="M10" s="16" t="n">
        <f aca="false">IF(B10="","",IF(E10="Em ajustes",IF(N10=_xlfn.MINIFS($N$2:$N$5001,$B$2:$B$5001,B10,$E$2:$E$5001,"Em ajustes"),1,0),0))</f>
        <v>0</v>
      </c>
      <c r="N10" s="17" t="n">
        <f aca="false">IF(A10="","",IF(ISNUMBER(A10),A10,IFERROR(DATE(VALUE(MID(A10,7,4)),VALUE(MID(A10,4,2)),VALUE(MID(A10,1,2)))+TIME(VALUE(MID(A10,12,2)),VALUE(MID(A10,15,2)),VALUE(MID(A10,18,2))),"")))</f>
        <v>46249.375</v>
      </c>
    </row>
    <row r="11" customFormat="false" ht="15" hidden="false" customHeight="false" outlineLevel="0" collapsed="false">
      <c r="A11" s="12" t="n">
        <v>46251.125</v>
      </c>
      <c r="B11" s="13" t="s">
        <v>46</v>
      </c>
      <c r="C11" s="13" t="s">
        <v>30</v>
      </c>
      <c r="D11" s="13" t="s">
        <v>31</v>
      </c>
      <c r="E11" s="13" t="s">
        <v>11</v>
      </c>
      <c r="F11" s="13" t="s">
        <v>47</v>
      </c>
      <c r="G11" s="13" t="s">
        <v>34</v>
      </c>
      <c r="H11" s="14" t="n">
        <v>18000</v>
      </c>
      <c r="I11" s="15" t="n">
        <f aca="false">IF(N11="","",INT(N11))</f>
        <v>46251</v>
      </c>
      <c r="J11" s="16" t="n">
        <f aca="false">IF(B11="","",IF(N11=_xlfn.MINIFS($N$2:$N$5001,$B$2:$B$5001,B11),1,0))</f>
        <v>1</v>
      </c>
      <c r="K11" s="16" t="n">
        <f aca="false">IF(B11="","",IF(AND(D11="Formalização",E11="Concluído"),IF(COUNTIFS($B$2:$B$5001,B11,$E$2:$E$5001,"Em ajustes",$N$2:$N$5001,"&lt;"&amp;I11)&gt;0,1,0),0))</f>
        <v>0</v>
      </c>
      <c r="L11" s="16" t="n">
        <f aca="false">IF(B11="","",IF(N11=_xlfn.MAXIFS($N$2:$N$5001,$B$2:$B$5001,B11,$I$2:$I$5001,I11),1,0))</f>
        <v>0</v>
      </c>
      <c r="M11" s="16" t="n">
        <f aca="false">IF(B11="","",IF(E11="Em ajustes",IF(N11=_xlfn.MINIFS($N$2:$N$5001,$B$2:$B$5001,B11,$E$2:$E$5001,"Em ajustes"),1,0),0))</f>
        <v>1</v>
      </c>
      <c r="N11" s="17" t="n">
        <f aca="false">IF(A11="","",IF(ISNUMBER(A11),A11,IFERROR(DATE(VALUE(MID(A11,7,4)),VALUE(MID(A11,4,2)),VALUE(MID(A11,1,2)))+TIME(VALUE(MID(A11,12,2)),VALUE(MID(A11,15,2)),VALUE(MID(A11,18,2))),"")))</f>
        <v>46251.125</v>
      </c>
    </row>
    <row r="12" customFormat="false" ht="15" hidden="false" customHeight="false" outlineLevel="0" collapsed="false">
      <c r="A12" s="12" t="n">
        <v>46251.25</v>
      </c>
      <c r="B12" s="13" t="s">
        <v>46</v>
      </c>
      <c r="C12" s="13" t="s">
        <v>30</v>
      </c>
      <c r="D12" s="13" t="s">
        <v>31</v>
      </c>
      <c r="E12" s="13" t="s">
        <v>11</v>
      </c>
      <c r="F12" s="13" t="s">
        <v>47</v>
      </c>
      <c r="G12" s="13" t="s">
        <v>34</v>
      </c>
      <c r="H12" s="14" t="n">
        <v>18000</v>
      </c>
      <c r="I12" s="15" t="n">
        <f aca="false">IF(N12="","",INT(N12))</f>
        <v>46251</v>
      </c>
      <c r="J12" s="16" t="n">
        <f aca="false">IF(B12="","",IF(N12=_xlfn.MINIFS($N$2:$N$5001,$B$2:$B$5001,B12),1,0))</f>
        <v>0</v>
      </c>
      <c r="K12" s="16" t="n">
        <f aca="false">IF(B12="","",IF(AND(D12="Formalização",E12="Concluído"),IF(COUNTIFS($B$2:$B$5001,B12,$E$2:$E$5001,"Em ajustes",$N$2:$N$5001,"&lt;"&amp;I12)&gt;0,1,0),0))</f>
        <v>0</v>
      </c>
      <c r="L12" s="16" t="n">
        <f aca="false">IF(B12="","",IF(N12=_xlfn.MAXIFS($N$2:$N$5001,$B$2:$B$5001,B12,$I$2:$I$5001,I12),1,0))</f>
        <v>1</v>
      </c>
      <c r="M12" s="16" t="n">
        <f aca="false">IF(B12="","",IF(E12="Em ajustes",IF(N12=_xlfn.MINIFS($N$2:$N$5001,$B$2:$B$5001,B12,$E$2:$E$5001,"Em ajustes"),1,0),0))</f>
        <v>0</v>
      </c>
      <c r="N12" s="17" t="n">
        <f aca="false">IF(A12="","",IF(ISNUMBER(A12),A12,IFERROR(DATE(VALUE(MID(A12,7,4)),VALUE(MID(A12,4,2)),VALUE(MID(A12,1,2)))+TIME(VALUE(MID(A12,12,2)),VALUE(MID(A12,15,2)),VALUE(MID(A12,18,2))),"")))</f>
        <v>46251.25</v>
      </c>
    </row>
    <row r="13" customFormat="false" ht="15" hidden="false" customHeight="false" outlineLevel="0" collapsed="false">
      <c r="A13" s="12" t="n">
        <v>46245.375</v>
      </c>
      <c r="B13" s="13" t="s">
        <v>48</v>
      </c>
      <c r="C13" s="13" t="s">
        <v>38</v>
      </c>
      <c r="D13" s="13" t="s">
        <v>49</v>
      </c>
      <c r="E13" s="13" t="s">
        <v>11</v>
      </c>
      <c r="F13" s="13" t="s">
        <v>50</v>
      </c>
      <c r="G13" s="13" t="s">
        <v>40</v>
      </c>
      <c r="H13" s="14" t="n">
        <v>22000</v>
      </c>
      <c r="I13" s="15" t="n">
        <f aca="false">IF(N13="","",INT(N13))</f>
        <v>46245</v>
      </c>
      <c r="J13" s="16" t="n">
        <f aca="false">IF(B13="","",IF(N13=_xlfn.MINIFS($N$2:$N$5001,$B$2:$B$5001,B13),1,0))</f>
        <v>1</v>
      </c>
      <c r="K13" s="16" t="n">
        <f aca="false">IF(B13="","",IF(AND(D13="Formalização",E13="Concluído"),IF(COUNTIFS($B$2:$B$5001,B13,$E$2:$E$5001,"Em ajustes",$N$2:$N$5001,"&lt;"&amp;I13)&gt;0,1,0),0))</f>
        <v>0</v>
      </c>
      <c r="L13" s="16" t="n">
        <f aca="false">IF(B13="","",IF(N13=_xlfn.MAXIFS($N$2:$N$5001,$B$2:$B$5001,B13,$I$2:$I$5001,I13),1,0))</f>
        <v>1</v>
      </c>
      <c r="M13" s="16" t="n">
        <f aca="false">IF(B13="","",IF(E13="Em ajustes",IF(N13=_xlfn.MINIFS($N$2:$N$5001,$B$2:$B$5001,B13,$E$2:$E$5001,"Em ajustes"),1,0),0))</f>
        <v>1</v>
      </c>
      <c r="N13" s="17" t="n">
        <f aca="false">IF(A13="","",IF(ISNUMBER(A13),A13,IFERROR(DATE(VALUE(MID(A13,7,4)),VALUE(MID(A13,4,2)),VALUE(MID(A13,1,2)))+TIME(VALUE(MID(A13,12,2)),VALUE(MID(A13,15,2)),VALUE(MID(A13,18,2))),"")))</f>
        <v>46245.375</v>
      </c>
    </row>
    <row r="14" customFormat="false" ht="15" hidden="false" customHeight="false" outlineLevel="0" collapsed="false">
      <c r="A14" s="12" t="n">
        <v>46247.375</v>
      </c>
      <c r="B14" s="13" t="s">
        <v>48</v>
      </c>
      <c r="C14" s="13" t="s">
        <v>38</v>
      </c>
      <c r="D14" s="13" t="s">
        <v>49</v>
      </c>
      <c r="E14" s="13" t="s">
        <v>32</v>
      </c>
      <c r="F14" s="13" t="s">
        <v>50</v>
      </c>
      <c r="G14" s="13" t="s">
        <v>40</v>
      </c>
      <c r="H14" s="14" t="n">
        <v>22000</v>
      </c>
      <c r="I14" s="15" t="n">
        <f aca="false">IF(N14="","",INT(N14))</f>
        <v>46247</v>
      </c>
      <c r="J14" s="16" t="n">
        <f aca="false">IF(B14="","",IF(N14=_xlfn.MINIFS($N$2:$N$5001,$B$2:$B$5001,B14),1,0))</f>
        <v>0</v>
      </c>
      <c r="K14" s="16" t="n">
        <f aca="false">IF(B14="","",IF(AND(D14="Formalização",E14="Concluído"),IF(COUNTIFS($B$2:$B$5001,B14,$E$2:$E$5001,"Em ajustes",$N$2:$N$5001,"&lt;"&amp;I14)&gt;0,1,0),0))</f>
        <v>0</v>
      </c>
      <c r="L14" s="16" t="n">
        <f aca="false">IF(B14="","",IF(N14=_xlfn.MAXIFS($N$2:$N$5001,$B$2:$B$5001,B14,$I$2:$I$5001,I14),1,0))</f>
        <v>1</v>
      </c>
      <c r="M14" s="16" t="n">
        <f aca="false">IF(B14="","",IF(E14="Em ajustes",IF(N14=_xlfn.MINIFS($N$2:$N$5001,$B$2:$B$5001,B14,$E$2:$E$5001,"Em ajustes"),1,0),0))</f>
        <v>0</v>
      </c>
      <c r="N14" s="17" t="n">
        <f aca="false">IF(A14="","",IF(ISNUMBER(A14),A14,IFERROR(DATE(VALUE(MID(A14,7,4)),VALUE(MID(A14,4,2)),VALUE(MID(A14,1,2)))+TIME(VALUE(MID(A14,12,2)),VALUE(MID(A14,15,2)),VALUE(MID(A14,18,2))),"")))</f>
        <v>46247.375</v>
      </c>
    </row>
    <row r="15" customFormat="false" ht="15" hidden="false" customHeight="false" outlineLevel="0" collapsed="false">
      <c r="A15" s="12" t="n">
        <v>46250.375</v>
      </c>
      <c r="B15" s="13" t="s">
        <v>48</v>
      </c>
      <c r="C15" s="13" t="s">
        <v>38</v>
      </c>
      <c r="D15" s="13" t="s">
        <v>35</v>
      </c>
      <c r="E15" s="13" t="s">
        <v>11</v>
      </c>
      <c r="F15" s="13" t="s">
        <v>50</v>
      </c>
      <c r="G15" s="13" t="s">
        <v>40</v>
      </c>
      <c r="H15" s="14" t="n">
        <v>22000</v>
      </c>
      <c r="I15" s="15" t="n">
        <f aca="false">IF(N15="","",INT(N15))</f>
        <v>46250</v>
      </c>
      <c r="J15" s="16" t="n">
        <f aca="false">IF(B15="","",IF(N15=_xlfn.MINIFS($N$2:$N$5001,$B$2:$B$5001,B15),1,0))</f>
        <v>0</v>
      </c>
      <c r="K15" s="16" t="n">
        <f aca="false">IF(B15="","",IF(AND(D15="Formalização",E15="Concluído"),IF(COUNTIFS($B$2:$B$5001,B15,$E$2:$E$5001,"Em ajustes",$N$2:$N$5001,"&lt;"&amp;I15)&gt;0,1,0),0))</f>
        <v>0</v>
      </c>
      <c r="L15" s="16" t="n">
        <f aca="false">IF(B15="","",IF(N15=_xlfn.MAXIFS($N$2:$N$5001,$B$2:$B$5001,B15,$I$2:$I$5001,I15),1,0))</f>
        <v>1</v>
      </c>
      <c r="M15" s="16" t="n">
        <f aca="false">IF(B15="","",IF(E15="Em ajustes",IF(N15=_xlfn.MINIFS($N$2:$N$5001,$B$2:$B$5001,B15,$E$2:$E$5001,"Em ajustes"),1,0),0))</f>
        <v>0</v>
      </c>
      <c r="N15" s="17" t="n">
        <f aca="false">IF(A15="","",IF(ISNUMBER(A15),A15,IFERROR(DATE(VALUE(MID(A15,7,4)),VALUE(MID(A15,4,2)),VALUE(MID(A15,1,2)))+TIME(VALUE(MID(A15,12,2)),VALUE(MID(A15,15,2)),VALUE(MID(A15,18,2))),"")))</f>
        <v>46250.375</v>
      </c>
    </row>
    <row r="16" customFormat="false" ht="15" hidden="false" customHeight="false" outlineLevel="0" collapsed="false">
      <c r="A16" s="13" t="s">
        <v>51</v>
      </c>
      <c r="B16" s="13" t="s">
        <v>52</v>
      </c>
      <c r="C16" s="13" t="s">
        <v>30</v>
      </c>
      <c r="D16" s="13" t="s">
        <v>31</v>
      </c>
      <c r="E16" s="13" t="s">
        <v>32</v>
      </c>
      <c r="F16" s="13" t="s">
        <v>53</v>
      </c>
      <c r="G16" s="13" t="s">
        <v>45</v>
      </c>
      <c r="H16" s="14" t="n">
        <v>15000</v>
      </c>
      <c r="I16" s="15" t="n">
        <f aca="false">IF(N16="","",INT(N16))</f>
        <v>46249</v>
      </c>
      <c r="J16" s="16" t="n">
        <f aca="false">IF(B16="","",IF(N16=_xlfn.MINIFS($N$2:$N$5001,$B$2:$B$5001,B16),1,0))</f>
        <v>1</v>
      </c>
      <c r="K16" s="16" t="n">
        <f aca="false">IF(B16="","",IF(AND(D16="Formalização",E16="Concluído"),IF(COUNTIFS($B$2:$B$5001,B16,$E$2:$E$5001,"Em ajustes",$N$2:$N$5001,"&lt;"&amp;I16)&gt;0,1,0),0))</f>
        <v>0</v>
      </c>
      <c r="L16" s="16" t="n">
        <f aca="false">IF(B16="","",IF(N16=_xlfn.MAXIFS($N$2:$N$5001,$B$2:$B$5001,B16,$I$2:$I$5001,I16),1,0))</f>
        <v>1</v>
      </c>
      <c r="M16" s="16" t="n">
        <f aca="false">IF(B16="","",IF(E16="Em ajustes",IF(N16=_xlfn.MINIFS($N$2:$N$5001,$B$2:$B$5001,B16,$E$2:$E$5001,"Em ajustes"),1,0),0))</f>
        <v>0</v>
      </c>
      <c r="N16" s="17" t="n">
        <f aca="false">IF(A16="","",IF(ISNUMBER(A16),A16,IFERROR(DATE(VALUE(MID(A16,7,4)),VALUE(MID(A16,4,2)),VALUE(MID(A16,1,2)))+TIME(VALUE(MID(A16,12,2)),VALUE(MID(A16,15,2)),VALUE(MID(A16,18,2))),"")))</f>
        <v>46249.375</v>
      </c>
    </row>
    <row r="17" customFormat="false" ht="15" hidden="false" customHeight="false" outlineLevel="0" collapsed="false">
      <c r="I17" s="15" t="str">
        <f aca="false">IF(N17="","",INT(N17))</f>
        <v/>
      </c>
      <c r="J17" s="16" t="str">
        <f aca="false">IF(B17="","",IF(N17=_xlfn.MINIFS($N$2:$N$5001,$B$2:$B$5001,B17),1,0))</f>
        <v/>
      </c>
      <c r="K17" s="16" t="str">
        <f aca="false">IF(B17="","",IF(AND(D17="Formalização",E17="Concluído"),IF(COUNTIFS($B$2:$B$5001,B17,$E$2:$E$5001,"Em ajustes",$N$2:$N$5001,"&lt;"&amp;I17)&gt;0,1,0),0))</f>
        <v/>
      </c>
      <c r="L17" s="16" t="str">
        <f aca="false">IF(B17="","",IF(N17=_xlfn.MAXIFS($N$2:$N$5001,$B$2:$B$5001,B17,$I$2:$I$5001,I17),1,0))</f>
        <v/>
      </c>
      <c r="M17" s="16" t="str">
        <f aca="false">IF(B17="","",IF(E17="Em ajustes",IF(N17=_xlfn.MINIFS($N$2:$N$5001,$B$2:$B$5001,B17,$E$2:$E$5001,"Em ajustes"),1,0),0))</f>
        <v/>
      </c>
      <c r="N17" s="17" t="str">
        <f aca="false">IF(A17="","",IF(ISNUMBER(A17),A17,IFERROR(DATE(VALUE(MID(A17,7,4)),VALUE(MID(A17,4,2)),VALUE(MID(A17,1,2)))+TIME(VALUE(MID(A17,12,2)),VALUE(MID(A17,15,2)),VALUE(MID(A17,18,2))),"")))</f>
        <v/>
      </c>
    </row>
    <row r="18" customFormat="false" ht="15" hidden="false" customHeight="false" outlineLevel="0" collapsed="false">
      <c r="I18" s="15" t="str">
        <f aca="false">IF(N18="","",INT(N18))</f>
        <v/>
      </c>
      <c r="J18" s="16" t="str">
        <f aca="false">IF(B18="","",IF(N18=_xlfn.MINIFS($N$2:$N$5001,$B$2:$B$5001,B18),1,0))</f>
        <v/>
      </c>
      <c r="K18" s="16" t="str">
        <f aca="false">IF(B18="","",IF(AND(D18="Formalização",E18="Concluído"),IF(COUNTIFS($B$2:$B$5001,B18,$E$2:$E$5001,"Em ajustes",$N$2:$N$5001,"&lt;"&amp;I18)&gt;0,1,0),0))</f>
        <v/>
      </c>
      <c r="L18" s="16" t="str">
        <f aca="false">IF(B18="","",IF(N18=_xlfn.MAXIFS($N$2:$N$5001,$B$2:$B$5001,B18,$I$2:$I$5001,I18),1,0))</f>
        <v/>
      </c>
      <c r="M18" s="16" t="str">
        <f aca="false">IF(B18="","",IF(E18="Em ajustes",IF(N18=_xlfn.MINIFS($N$2:$N$5001,$B$2:$B$5001,B18,$E$2:$E$5001,"Em ajustes"),1,0),0))</f>
        <v/>
      </c>
      <c r="N18" s="17" t="str">
        <f aca="false">IF(A18="","",IF(ISNUMBER(A18),A18,IFERROR(DATE(VALUE(MID(A18,7,4)),VALUE(MID(A18,4,2)),VALUE(MID(A18,1,2)))+TIME(VALUE(MID(A18,12,2)),VALUE(MID(A18,15,2)),VALUE(MID(A18,18,2))),"")))</f>
        <v/>
      </c>
    </row>
    <row r="19" customFormat="false" ht="15" hidden="false" customHeight="false" outlineLevel="0" collapsed="false">
      <c r="I19" s="15" t="str">
        <f aca="false">IF(N19="","",INT(N19))</f>
        <v/>
      </c>
      <c r="J19" s="16" t="str">
        <f aca="false">IF(B19="","",IF(N19=_xlfn.MINIFS($N$2:$N$5001,$B$2:$B$5001,B19),1,0))</f>
        <v/>
      </c>
      <c r="K19" s="16" t="str">
        <f aca="false">IF(B19="","",IF(AND(D19="Formalização",E19="Concluído"),IF(COUNTIFS($B$2:$B$5001,B19,$E$2:$E$5001,"Em ajustes",$N$2:$N$5001,"&lt;"&amp;I19)&gt;0,1,0),0))</f>
        <v/>
      </c>
      <c r="L19" s="16" t="str">
        <f aca="false">IF(B19="","",IF(N19=_xlfn.MAXIFS($N$2:$N$5001,$B$2:$B$5001,B19,$I$2:$I$5001,I19),1,0))</f>
        <v/>
      </c>
      <c r="M19" s="16" t="str">
        <f aca="false">IF(B19="","",IF(E19="Em ajustes",IF(N19=_xlfn.MINIFS($N$2:$N$5001,$B$2:$B$5001,B19,$E$2:$E$5001,"Em ajustes"),1,0),0))</f>
        <v/>
      </c>
      <c r="N19" s="17" t="str">
        <f aca="false">IF(A19="","",IF(ISNUMBER(A19),A19,IFERROR(DATE(VALUE(MID(A19,7,4)),VALUE(MID(A19,4,2)),VALUE(MID(A19,1,2)))+TIME(VALUE(MID(A19,12,2)),VALUE(MID(A19,15,2)),VALUE(MID(A19,18,2))),"")))</f>
        <v/>
      </c>
    </row>
    <row r="20" customFormat="false" ht="15" hidden="false" customHeight="false" outlineLevel="0" collapsed="false">
      <c r="I20" s="15" t="str">
        <f aca="false">IF(N20="","",INT(N20))</f>
        <v/>
      </c>
      <c r="J20" s="16" t="str">
        <f aca="false">IF(B20="","",IF(N20=_xlfn.MINIFS($N$2:$N$5001,$B$2:$B$5001,B20),1,0))</f>
        <v/>
      </c>
      <c r="K20" s="16" t="str">
        <f aca="false">IF(B20="","",IF(AND(D20="Formalização",E20="Concluído"),IF(COUNTIFS($B$2:$B$5001,B20,$E$2:$E$5001,"Em ajustes",$N$2:$N$5001,"&lt;"&amp;I20)&gt;0,1,0),0))</f>
        <v/>
      </c>
      <c r="L20" s="16" t="str">
        <f aca="false">IF(B20="","",IF(N20=_xlfn.MAXIFS($N$2:$N$5001,$B$2:$B$5001,B20,$I$2:$I$5001,I20),1,0))</f>
        <v/>
      </c>
      <c r="M20" s="16" t="str">
        <f aca="false">IF(B20="","",IF(E20="Em ajustes",IF(N20=_xlfn.MINIFS($N$2:$N$5001,$B$2:$B$5001,B20,$E$2:$E$5001,"Em ajustes"),1,0),0))</f>
        <v/>
      </c>
      <c r="N20" s="17" t="str">
        <f aca="false">IF(A20="","",IF(ISNUMBER(A20),A20,IFERROR(DATE(VALUE(MID(A20,7,4)),VALUE(MID(A20,4,2)),VALUE(MID(A20,1,2)))+TIME(VALUE(MID(A20,12,2)),VALUE(MID(A20,15,2)),VALUE(MID(A20,18,2))),"")))</f>
        <v/>
      </c>
    </row>
    <row r="21" customFormat="false" ht="15" hidden="false" customHeight="false" outlineLevel="0" collapsed="false">
      <c r="I21" s="15" t="str">
        <f aca="false">IF(N21="","",INT(N21))</f>
        <v/>
      </c>
      <c r="J21" s="16" t="str">
        <f aca="false">IF(B21="","",IF(N21=_xlfn.MINIFS($N$2:$N$5001,$B$2:$B$5001,B21),1,0))</f>
        <v/>
      </c>
      <c r="K21" s="16" t="str">
        <f aca="false">IF(B21="","",IF(AND(D21="Formalização",E21="Concluído"),IF(COUNTIFS($B$2:$B$5001,B21,$E$2:$E$5001,"Em ajustes",$N$2:$N$5001,"&lt;"&amp;I21)&gt;0,1,0),0))</f>
        <v/>
      </c>
      <c r="L21" s="16" t="str">
        <f aca="false">IF(B21="","",IF(N21=_xlfn.MAXIFS($N$2:$N$5001,$B$2:$B$5001,B21,$I$2:$I$5001,I21),1,0))</f>
        <v/>
      </c>
      <c r="M21" s="16" t="str">
        <f aca="false">IF(B21="","",IF(E21="Em ajustes",IF(N21=_xlfn.MINIFS($N$2:$N$5001,$B$2:$B$5001,B21,$E$2:$E$5001,"Em ajustes"),1,0),0))</f>
        <v/>
      </c>
      <c r="N21" s="17" t="str">
        <f aca="false">IF(A21="","",IF(ISNUMBER(A21),A21,IFERROR(DATE(VALUE(MID(A21,7,4)),VALUE(MID(A21,4,2)),VALUE(MID(A21,1,2)))+TIME(VALUE(MID(A21,12,2)),VALUE(MID(A21,15,2)),VALUE(MID(A21,18,2))),"")))</f>
        <v/>
      </c>
    </row>
    <row r="22" customFormat="false" ht="15" hidden="false" customHeight="false" outlineLevel="0" collapsed="false">
      <c r="I22" s="15" t="str">
        <f aca="false">IF(N22="","",INT(N22))</f>
        <v/>
      </c>
      <c r="J22" s="16" t="str">
        <f aca="false">IF(B22="","",IF(N22=_xlfn.MINIFS($N$2:$N$5001,$B$2:$B$5001,B22),1,0))</f>
        <v/>
      </c>
      <c r="K22" s="16" t="str">
        <f aca="false">IF(B22="","",IF(AND(D22="Formalização",E22="Concluído"),IF(COUNTIFS($B$2:$B$5001,B22,$E$2:$E$5001,"Em ajustes",$N$2:$N$5001,"&lt;"&amp;I22)&gt;0,1,0),0))</f>
        <v/>
      </c>
      <c r="L22" s="16" t="str">
        <f aca="false">IF(B22="","",IF(N22=_xlfn.MAXIFS($N$2:$N$5001,$B$2:$B$5001,B22,$I$2:$I$5001,I22),1,0))</f>
        <v/>
      </c>
      <c r="M22" s="16" t="str">
        <f aca="false">IF(B22="","",IF(E22="Em ajustes",IF(N22=_xlfn.MINIFS($N$2:$N$5001,$B$2:$B$5001,B22,$E$2:$E$5001,"Em ajustes"),1,0),0))</f>
        <v/>
      </c>
      <c r="N22" s="17" t="str">
        <f aca="false">IF(A22="","",IF(ISNUMBER(A22),A22,IFERROR(DATE(VALUE(MID(A22,7,4)),VALUE(MID(A22,4,2)),VALUE(MID(A22,1,2)))+TIME(VALUE(MID(A22,12,2)),VALUE(MID(A22,15,2)),VALUE(MID(A22,18,2))),"")))</f>
        <v/>
      </c>
    </row>
    <row r="23" customFormat="false" ht="15" hidden="false" customHeight="false" outlineLevel="0" collapsed="false">
      <c r="I23" s="15" t="str">
        <f aca="false">IF(N23="","",INT(N23))</f>
        <v/>
      </c>
      <c r="J23" s="16" t="str">
        <f aca="false">IF(B23="","",IF(N23=_xlfn.MINIFS($N$2:$N$5001,$B$2:$B$5001,B23),1,0))</f>
        <v/>
      </c>
      <c r="K23" s="16" t="str">
        <f aca="false">IF(B23="","",IF(AND(D23="Formalização",E23="Concluído"),IF(COUNTIFS($B$2:$B$5001,B23,$E$2:$E$5001,"Em ajustes",$N$2:$N$5001,"&lt;"&amp;I23)&gt;0,1,0),0))</f>
        <v/>
      </c>
      <c r="L23" s="16" t="str">
        <f aca="false">IF(B23="","",IF(N23=_xlfn.MAXIFS($N$2:$N$5001,$B$2:$B$5001,B23,$I$2:$I$5001,I23),1,0))</f>
        <v/>
      </c>
      <c r="M23" s="16" t="str">
        <f aca="false">IF(B23="","",IF(E23="Em ajustes",IF(N23=_xlfn.MINIFS($N$2:$N$5001,$B$2:$B$5001,B23,$E$2:$E$5001,"Em ajustes"),1,0),0))</f>
        <v/>
      </c>
      <c r="N23" s="17" t="str">
        <f aca="false">IF(A23="","",IF(ISNUMBER(A23),A23,IFERROR(DATE(VALUE(MID(A23,7,4)),VALUE(MID(A23,4,2)),VALUE(MID(A23,1,2)))+TIME(VALUE(MID(A23,12,2)),VALUE(MID(A23,15,2)),VALUE(MID(A23,18,2))),"")))</f>
        <v/>
      </c>
    </row>
    <row r="24" customFormat="false" ht="15" hidden="false" customHeight="false" outlineLevel="0" collapsed="false">
      <c r="I24" s="15" t="str">
        <f aca="false">IF(N24="","",INT(N24))</f>
        <v/>
      </c>
      <c r="J24" s="16" t="str">
        <f aca="false">IF(B24="","",IF(N24=_xlfn.MINIFS($N$2:$N$5001,$B$2:$B$5001,B24),1,0))</f>
        <v/>
      </c>
      <c r="K24" s="16" t="str">
        <f aca="false">IF(B24="","",IF(AND(D24="Formalização",E24="Concluído"),IF(COUNTIFS($B$2:$B$5001,B24,$E$2:$E$5001,"Em ajustes",$N$2:$N$5001,"&lt;"&amp;I24)&gt;0,1,0),0))</f>
        <v/>
      </c>
      <c r="L24" s="16" t="str">
        <f aca="false">IF(B24="","",IF(N24=_xlfn.MAXIFS($N$2:$N$5001,$B$2:$B$5001,B24,$I$2:$I$5001,I24),1,0))</f>
        <v/>
      </c>
      <c r="M24" s="16" t="str">
        <f aca="false">IF(B24="","",IF(E24="Em ajustes",IF(N24=_xlfn.MINIFS($N$2:$N$5001,$B$2:$B$5001,B24,$E$2:$E$5001,"Em ajustes"),1,0),0))</f>
        <v/>
      </c>
      <c r="N24" s="17" t="str">
        <f aca="false">IF(A24="","",IF(ISNUMBER(A24),A24,IFERROR(DATE(VALUE(MID(A24,7,4)),VALUE(MID(A24,4,2)),VALUE(MID(A24,1,2)))+TIME(VALUE(MID(A24,12,2)),VALUE(MID(A24,15,2)),VALUE(MID(A24,18,2))),"")))</f>
        <v/>
      </c>
    </row>
    <row r="25" customFormat="false" ht="15" hidden="false" customHeight="false" outlineLevel="0" collapsed="false">
      <c r="I25" s="15" t="str">
        <f aca="false">IF(N25="","",INT(N25))</f>
        <v/>
      </c>
      <c r="J25" s="16" t="str">
        <f aca="false">IF(B25="","",IF(N25=_xlfn.MINIFS($N$2:$N$5001,$B$2:$B$5001,B25),1,0))</f>
        <v/>
      </c>
      <c r="K25" s="16" t="str">
        <f aca="false">IF(B25="","",IF(AND(D25="Formalização",E25="Concluído"),IF(COUNTIFS($B$2:$B$5001,B25,$E$2:$E$5001,"Em ajustes",$N$2:$N$5001,"&lt;"&amp;I25)&gt;0,1,0),0))</f>
        <v/>
      </c>
      <c r="L25" s="16" t="str">
        <f aca="false">IF(B25="","",IF(N25=_xlfn.MAXIFS($N$2:$N$5001,$B$2:$B$5001,B25,$I$2:$I$5001,I25),1,0))</f>
        <v/>
      </c>
      <c r="M25" s="16" t="str">
        <f aca="false">IF(B25="","",IF(E25="Em ajustes",IF(N25=_xlfn.MINIFS($N$2:$N$5001,$B$2:$B$5001,B25,$E$2:$E$5001,"Em ajustes"),1,0),0))</f>
        <v/>
      </c>
      <c r="N25" s="17" t="str">
        <f aca="false">IF(A25="","",IF(ISNUMBER(A25),A25,IFERROR(DATE(VALUE(MID(A25,7,4)),VALUE(MID(A25,4,2)),VALUE(MID(A25,1,2)))+TIME(VALUE(MID(A25,12,2)),VALUE(MID(A25,15,2)),VALUE(MID(A25,18,2))),"")))</f>
        <v/>
      </c>
    </row>
    <row r="26" customFormat="false" ht="15" hidden="false" customHeight="false" outlineLevel="0" collapsed="false">
      <c r="I26" s="15" t="str">
        <f aca="false">IF(N26="","",INT(N26))</f>
        <v/>
      </c>
      <c r="J26" s="16" t="str">
        <f aca="false">IF(B26="","",IF(N26=_xlfn.MINIFS($N$2:$N$5001,$B$2:$B$5001,B26),1,0))</f>
        <v/>
      </c>
      <c r="K26" s="16" t="str">
        <f aca="false">IF(B26="","",IF(AND(D26="Formalização",E26="Concluído"),IF(COUNTIFS($B$2:$B$5001,B26,$E$2:$E$5001,"Em ajustes",$N$2:$N$5001,"&lt;"&amp;I26)&gt;0,1,0),0))</f>
        <v/>
      </c>
      <c r="L26" s="16" t="str">
        <f aca="false">IF(B26="","",IF(N26=_xlfn.MAXIFS($N$2:$N$5001,$B$2:$B$5001,B26,$I$2:$I$5001,I26),1,0))</f>
        <v/>
      </c>
      <c r="M26" s="16" t="str">
        <f aca="false">IF(B26="","",IF(E26="Em ajustes",IF(N26=_xlfn.MINIFS($N$2:$N$5001,$B$2:$B$5001,B26,$E$2:$E$5001,"Em ajustes"),1,0),0))</f>
        <v/>
      </c>
      <c r="N26" s="17" t="str">
        <f aca="false">IF(A26="","",IF(ISNUMBER(A26),A26,IFERROR(DATE(VALUE(MID(A26,7,4)),VALUE(MID(A26,4,2)),VALUE(MID(A26,1,2)))+TIME(VALUE(MID(A26,12,2)),VALUE(MID(A26,15,2)),VALUE(MID(A26,18,2))),"")))</f>
        <v/>
      </c>
    </row>
    <row r="27" customFormat="false" ht="15" hidden="false" customHeight="false" outlineLevel="0" collapsed="false">
      <c r="I27" s="15" t="str">
        <f aca="false">IF(N27="","",INT(N27))</f>
        <v/>
      </c>
      <c r="J27" s="16" t="str">
        <f aca="false">IF(B27="","",IF(N27=_xlfn.MINIFS($N$2:$N$5001,$B$2:$B$5001,B27),1,0))</f>
        <v/>
      </c>
      <c r="K27" s="16" t="str">
        <f aca="false">IF(B27="","",IF(AND(D27="Formalização",E27="Concluído"),IF(COUNTIFS($B$2:$B$5001,B27,$E$2:$E$5001,"Em ajustes",$N$2:$N$5001,"&lt;"&amp;I27)&gt;0,1,0),0))</f>
        <v/>
      </c>
      <c r="L27" s="16" t="str">
        <f aca="false">IF(B27="","",IF(N27=_xlfn.MAXIFS($N$2:$N$5001,$B$2:$B$5001,B27,$I$2:$I$5001,I27),1,0))</f>
        <v/>
      </c>
      <c r="M27" s="16" t="str">
        <f aca="false">IF(B27="","",IF(E27="Em ajustes",IF(N27=_xlfn.MINIFS($N$2:$N$5001,$B$2:$B$5001,B27,$E$2:$E$5001,"Em ajustes"),1,0),0))</f>
        <v/>
      </c>
      <c r="N27" s="17" t="str">
        <f aca="false">IF(A27="","",IF(ISNUMBER(A27),A27,IFERROR(DATE(VALUE(MID(A27,7,4)),VALUE(MID(A27,4,2)),VALUE(MID(A27,1,2)))+TIME(VALUE(MID(A27,12,2)),VALUE(MID(A27,15,2)),VALUE(MID(A27,18,2))),"")))</f>
        <v/>
      </c>
    </row>
    <row r="28" customFormat="false" ht="15" hidden="false" customHeight="false" outlineLevel="0" collapsed="false">
      <c r="I28" s="15" t="str">
        <f aca="false">IF(N28="","",INT(N28))</f>
        <v/>
      </c>
      <c r="J28" s="16" t="str">
        <f aca="false">IF(B28="","",IF(N28=_xlfn.MINIFS($N$2:$N$5001,$B$2:$B$5001,B28),1,0))</f>
        <v/>
      </c>
      <c r="K28" s="16" t="str">
        <f aca="false">IF(B28="","",IF(AND(D28="Formalização",E28="Concluído"),IF(COUNTIFS($B$2:$B$5001,B28,$E$2:$E$5001,"Em ajustes",$N$2:$N$5001,"&lt;"&amp;I28)&gt;0,1,0),0))</f>
        <v/>
      </c>
      <c r="L28" s="16" t="str">
        <f aca="false">IF(B28="","",IF(N28=_xlfn.MAXIFS($N$2:$N$5001,$B$2:$B$5001,B28,$I$2:$I$5001,I28),1,0))</f>
        <v/>
      </c>
      <c r="M28" s="16" t="str">
        <f aca="false">IF(B28="","",IF(E28="Em ajustes",IF(N28=_xlfn.MINIFS($N$2:$N$5001,$B$2:$B$5001,B28,$E$2:$E$5001,"Em ajustes"),1,0),0))</f>
        <v/>
      </c>
      <c r="N28" s="17" t="str">
        <f aca="false">IF(A28="","",IF(ISNUMBER(A28),A28,IFERROR(DATE(VALUE(MID(A28,7,4)),VALUE(MID(A28,4,2)),VALUE(MID(A28,1,2)))+TIME(VALUE(MID(A28,12,2)),VALUE(MID(A28,15,2)),VALUE(MID(A28,18,2))),"")))</f>
        <v/>
      </c>
    </row>
    <row r="29" customFormat="false" ht="15" hidden="false" customHeight="false" outlineLevel="0" collapsed="false">
      <c r="I29" s="15" t="str">
        <f aca="false">IF(N29="","",INT(N29))</f>
        <v/>
      </c>
      <c r="J29" s="16" t="str">
        <f aca="false">IF(B29="","",IF(N29=_xlfn.MINIFS($N$2:$N$5001,$B$2:$B$5001,B29),1,0))</f>
        <v/>
      </c>
      <c r="K29" s="16" t="str">
        <f aca="false">IF(B29="","",IF(AND(D29="Formalização",E29="Concluído"),IF(COUNTIFS($B$2:$B$5001,B29,$E$2:$E$5001,"Em ajustes",$N$2:$N$5001,"&lt;"&amp;I29)&gt;0,1,0),0))</f>
        <v/>
      </c>
      <c r="L29" s="16" t="str">
        <f aca="false">IF(B29="","",IF(N29=_xlfn.MAXIFS($N$2:$N$5001,$B$2:$B$5001,B29,$I$2:$I$5001,I29),1,0))</f>
        <v/>
      </c>
      <c r="M29" s="16" t="str">
        <f aca="false">IF(B29="","",IF(E29="Em ajustes",IF(N29=_xlfn.MINIFS($N$2:$N$5001,$B$2:$B$5001,B29,$E$2:$E$5001,"Em ajustes"),1,0),0))</f>
        <v/>
      </c>
      <c r="N29" s="17" t="str">
        <f aca="false">IF(A29="","",IF(ISNUMBER(A29),A29,IFERROR(DATE(VALUE(MID(A29,7,4)),VALUE(MID(A29,4,2)),VALUE(MID(A29,1,2)))+TIME(VALUE(MID(A29,12,2)),VALUE(MID(A29,15,2)),VALUE(MID(A29,18,2))),"")))</f>
        <v/>
      </c>
    </row>
    <row r="30" customFormat="false" ht="15" hidden="false" customHeight="false" outlineLevel="0" collapsed="false">
      <c r="I30" s="15" t="str">
        <f aca="false">IF(N30="","",INT(N30))</f>
        <v/>
      </c>
      <c r="J30" s="16" t="str">
        <f aca="false">IF(B30="","",IF(N30=_xlfn.MINIFS($N$2:$N$5001,$B$2:$B$5001,B30),1,0))</f>
        <v/>
      </c>
      <c r="K30" s="16" t="str">
        <f aca="false">IF(B30="","",IF(AND(D30="Formalização",E30="Concluído"),IF(COUNTIFS($B$2:$B$5001,B30,$E$2:$E$5001,"Em ajustes",$N$2:$N$5001,"&lt;"&amp;I30)&gt;0,1,0),0))</f>
        <v/>
      </c>
      <c r="L30" s="16" t="str">
        <f aca="false">IF(B30="","",IF(N30=_xlfn.MAXIFS($N$2:$N$5001,$B$2:$B$5001,B30,$I$2:$I$5001,I30),1,0))</f>
        <v/>
      </c>
      <c r="M30" s="16" t="str">
        <f aca="false">IF(B30="","",IF(E30="Em ajustes",IF(N30=_xlfn.MINIFS($N$2:$N$5001,$B$2:$B$5001,B30,$E$2:$E$5001,"Em ajustes"),1,0),0))</f>
        <v/>
      </c>
      <c r="N30" s="17" t="str">
        <f aca="false">IF(A30="","",IF(ISNUMBER(A30),A30,IFERROR(DATE(VALUE(MID(A30,7,4)),VALUE(MID(A30,4,2)),VALUE(MID(A30,1,2)))+TIME(VALUE(MID(A30,12,2)),VALUE(MID(A30,15,2)),VALUE(MID(A30,18,2))),"")))</f>
        <v/>
      </c>
    </row>
    <row r="31" customFormat="false" ht="15" hidden="false" customHeight="false" outlineLevel="0" collapsed="false">
      <c r="I31" s="15" t="str">
        <f aca="false">IF(N31="","",INT(N31))</f>
        <v/>
      </c>
      <c r="J31" s="16" t="str">
        <f aca="false">IF(B31="","",IF(N31=_xlfn.MINIFS($N$2:$N$5001,$B$2:$B$5001,B31),1,0))</f>
        <v/>
      </c>
      <c r="K31" s="16" t="str">
        <f aca="false">IF(B31="","",IF(AND(D31="Formalização",E31="Concluído"),IF(COUNTIFS($B$2:$B$5001,B31,$E$2:$E$5001,"Em ajustes",$N$2:$N$5001,"&lt;"&amp;I31)&gt;0,1,0),0))</f>
        <v/>
      </c>
      <c r="L31" s="16" t="str">
        <f aca="false">IF(B31="","",IF(N31=_xlfn.MAXIFS($N$2:$N$5001,$B$2:$B$5001,B31,$I$2:$I$5001,I31),1,0))</f>
        <v/>
      </c>
      <c r="M31" s="16" t="str">
        <f aca="false">IF(B31="","",IF(E31="Em ajustes",IF(N31=_xlfn.MINIFS($N$2:$N$5001,$B$2:$B$5001,B31,$E$2:$E$5001,"Em ajustes"),1,0),0))</f>
        <v/>
      </c>
      <c r="N31" s="17" t="str">
        <f aca="false">IF(A31="","",IF(ISNUMBER(A31),A31,IFERROR(DATE(VALUE(MID(A31,7,4)),VALUE(MID(A31,4,2)),VALUE(MID(A31,1,2)))+TIME(VALUE(MID(A31,12,2)),VALUE(MID(A31,15,2)),VALUE(MID(A31,18,2))),"")))</f>
        <v/>
      </c>
    </row>
    <row r="32" customFormat="false" ht="15" hidden="false" customHeight="false" outlineLevel="0" collapsed="false">
      <c r="I32" s="15" t="str">
        <f aca="false">IF(N32="","",INT(N32))</f>
        <v/>
      </c>
      <c r="J32" s="16" t="str">
        <f aca="false">IF(B32="","",IF(N32=_xlfn.MINIFS($N$2:$N$5001,$B$2:$B$5001,B32),1,0))</f>
        <v/>
      </c>
      <c r="K32" s="16" t="str">
        <f aca="false">IF(B32="","",IF(AND(D32="Formalização",E32="Concluído"),IF(COUNTIFS($B$2:$B$5001,B32,$E$2:$E$5001,"Em ajustes",$N$2:$N$5001,"&lt;"&amp;I32)&gt;0,1,0),0))</f>
        <v/>
      </c>
      <c r="L32" s="16" t="str">
        <f aca="false">IF(B32="","",IF(N32=_xlfn.MAXIFS($N$2:$N$5001,$B$2:$B$5001,B32,$I$2:$I$5001,I32),1,0))</f>
        <v/>
      </c>
      <c r="M32" s="16" t="str">
        <f aca="false">IF(B32="","",IF(E32="Em ajustes",IF(N32=_xlfn.MINIFS($N$2:$N$5001,$B$2:$B$5001,B32,$E$2:$E$5001,"Em ajustes"),1,0),0))</f>
        <v/>
      </c>
      <c r="N32" s="17" t="str">
        <f aca="false">IF(A32="","",IF(ISNUMBER(A32),A32,IFERROR(DATE(VALUE(MID(A32,7,4)),VALUE(MID(A32,4,2)),VALUE(MID(A32,1,2)))+TIME(VALUE(MID(A32,12,2)),VALUE(MID(A32,15,2)),VALUE(MID(A32,18,2))),"")))</f>
        <v/>
      </c>
    </row>
    <row r="33" customFormat="false" ht="15" hidden="false" customHeight="false" outlineLevel="0" collapsed="false">
      <c r="I33" s="15" t="str">
        <f aca="false">IF(N33="","",INT(N33))</f>
        <v/>
      </c>
      <c r="J33" s="16" t="str">
        <f aca="false">IF(B33="","",IF(N33=_xlfn.MINIFS($N$2:$N$5001,$B$2:$B$5001,B33),1,0))</f>
        <v/>
      </c>
      <c r="K33" s="16" t="str">
        <f aca="false">IF(B33="","",IF(AND(D33="Formalização",E33="Concluído"),IF(COUNTIFS($B$2:$B$5001,B33,$E$2:$E$5001,"Em ajustes",$N$2:$N$5001,"&lt;"&amp;I33)&gt;0,1,0),0))</f>
        <v/>
      </c>
      <c r="L33" s="16" t="str">
        <f aca="false">IF(B33="","",IF(N33=_xlfn.MAXIFS($N$2:$N$5001,$B$2:$B$5001,B33,$I$2:$I$5001,I33),1,0))</f>
        <v/>
      </c>
      <c r="M33" s="16" t="str">
        <f aca="false">IF(B33="","",IF(E33="Em ajustes",IF(N33=_xlfn.MINIFS($N$2:$N$5001,$B$2:$B$5001,B33,$E$2:$E$5001,"Em ajustes"),1,0),0))</f>
        <v/>
      </c>
      <c r="N33" s="17" t="str">
        <f aca="false">IF(A33="","",IF(ISNUMBER(A33),A33,IFERROR(DATE(VALUE(MID(A33,7,4)),VALUE(MID(A33,4,2)),VALUE(MID(A33,1,2)))+TIME(VALUE(MID(A33,12,2)),VALUE(MID(A33,15,2)),VALUE(MID(A33,18,2))),"")))</f>
        <v/>
      </c>
    </row>
    <row r="34" customFormat="false" ht="15" hidden="false" customHeight="false" outlineLevel="0" collapsed="false">
      <c r="I34" s="15" t="str">
        <f aca="false">IF(N34="","",INT(N34))</f>
        <v/>
      </c>
      <c r="J34" s="16" t="str">
        <f aca="false">IF(B34="","",IF(N34=_xlfn.MINIFS($N$2:$N$5001,$B$2:$B$5001,B34),1,0))</f>
        <v/>
      </c>
      <c r="K34" s="16" t="str">
        <f aca="false">IF(B34="","",IF(AND(D34="Formalização",E34="Concluído"),IF(COUNTIFS($B$2:$B$5001,B34,$E$2:$E$5001,"Em ajustes",$N$2:$N$5001,"&lt;"&amp;I34)&gt;0,1,0),0))</f>
        <v/>
      </c>
      <c r="L34" s="16" t="str">
        <f aca="false">IF(B34="","",IF(N34=_xlfn.MAXIFS($N$2:$N$5001,$B$2:$B$5001,B34,$I$2:$I$5001,I34),1,0))</f>
        <v/>
      </c>
      <c r="M34" s="16" t="str">
        <f aca="false">IF(B34="","",IF(E34="Em ajustes",IF(N34=_xlfn.MINIFS($N$2:$N$5001,$B$2:$B$5001,B34,$E$2:$E$5001,"Em ajustes"),1,0),0))</f>
        <v/>
      </c>
      <c r="N34" s="17" t="str">
        <f aca="false">IF(A34="","",IF(ISNUMBER(A34),A34,IFERROR(DATE(VALUE(MID(A34,7,4)),VALUE(MID(A34,4,2)),VALUE(MID(A34,1,2)))+TIME(VALUE(MID(A34,12,2)),VALUE(MID(A34,15,2)),VALUE(MID(A34,18,2))),"")))</f>
        <v/>
      </c>
    </row>
    <row r="35" customFormat="false" ht="15" hidden="false" customHeight="false" outlineLevel="0" collapsed="false">
      <c r="I35" s="15" t="str">
        <f aca="false">IF(N35="","",INT(N35))</f>
        <v/>
      </c>
      <c r="J35" s="16" t="str">
        <f aca="false">IF(B35="","",IF(N35=_xlfn.MINIFS($N$2:$N$5001,$B$2:$B$5001,B35),1,0))</f>
        <v/>
      </c>
      <c r="K35" s="16" t="str">
        <f aca="false">IF(B35="","",IF(AND(D35="Formalização",E35="Concluído"),IF(COUNTIFS($B$2:$B$5001,B35,$E$2:$E$5001,"Em ajustes",$N$2:$N$5001,"&lt;"&amp;I35)&gt;0,1,0),0))</f>
        <v/>
      </c>
      <c r="L35" s="16" t="str">
        <f aca="false">IF(B35="","",IF(N35=_xlfn.MAXIFS($N$2:$N$5001,$B$2:$B$5001,B35,$I$2:$I$5001,I35),1,0))</f>
        <v/>
      </c>
      <c r="M35" s="16" t="str">
        <f aca="false">IF(B35="","",IF(E35="Em ajustes",IF(N35=_xlfn.MINIFS($N$2:$N$5001,$B$2:$B$5001,B35,$E$2:$E$5001,"Em ajustes"),1,0),0))</f>
        <v/>
      </c>
      <c r="N35" s="17" t="str">
        <f aca="false">IF(A35="","",IF(ISNUMBER(A35),A35,IFERROR(DATE(VALUE(MID(A35,7,4)),VALUE(MID(A35,4,2)),VALUE(MID(A35,1,2)))+TIME(VALUE(MID(A35,12,2)),VALUE(MID(A35,15,2)),VALUE(MID(A35,18,2))),"")))</f>
        <v/>
      </c>
    </row>
    <row r="36" customFormat="false" ht="15" hidden="false" customHeight="false" outlineLevel="0" collapsed="false">
      <c r="I36" s="15" t="str">
        <f aca="false">IF(N36="","",INT(N36))</f>
        <v/>
      </c>
      <c r="J36" s="16" t="str">
        <f aca="false">IF(B36="","",IF(N36=_xlfn.MINIFS($N$2:$N$5001,$B$2:$B$5001,B36),1,0))</f>
        <v/>
      </c>
      <c r="K36" s="16" t="str">
        <f aca="false">IF(B36="","",IF(AND(D36="Formalização",E36="Concluído"),IF(COUNTIFS($B$2:$B$5001,B36,$E$2:$E$5001,"Em ajustes",$N$2:$N$5001,"&lt;"&amp;I36)&gt;0,1,0),0))</f>
        <v/>
      </c>
      <c r="L36" s="16" t="str">
        <f aca="false">IF(B36="","",IF(N36=_xlfn.MAXIFS($N$2:$N$5001,$B$2:$B$5001,B36,$I$2:$I$5001,I36),1,0))</f>
        <v/>
      </c>
      <c r="M36" s="16" t="str">
        <f aca="false">IF(B36="","",IF(E36="Em ajustes",IF(N36=_xlfn.MINIFS($N$2:$N$5001,$B$2:$B$5001,B36,$E$2:$E$5001,"Em ajustes"),1,0),0))</f>
        <v/>
      </c>
      <c r="N36" s="17" t="str">
        <f aca="false">IF(A36="","",IF(ISNUMBER(A36),A36,IFERROR(DATE(VALUE(MID(A36,7,4)),VALUE(MID(A36,4,2)),VALUE(MID(A36,1,2)))+TIME(VALUE(MID(A36,12,2)),VALUE(MID(A36,15,2)),VALUE(MID(A36,18,2))),"")))</f>
        <v/>
      </c>
    </row>
    <row r="37" customFormat="false" ht="15" hidden="false" customHeight="false" outlineLevel="0" collapsed="false">
      <c r="I37" s="15" t="str">
        <f aca="false">IF(N37="","",INT(N37))</f>
        <v/>
      </c>
      <c r="J37" s="16" t="str">
        <f aca="false">IF(B37="","",IF(N37=_xlfn.MINIFS($N$2:$N$5001,$B$2:$B$5001,B37),1,0))</f>
        <v/>
      </c>
      <c r="K37" s="16" t="str">
        <f aca="false">IF(B37="","",IF(AND(D37="Formalização",E37="Concluído"),IF(COUNTIFS($B$2:$B$5001,B37,$E$2:$E$5001,"Em ajustes",$N$2:$N$5001,"&lt;"&amp;I37)&gt;0,1,0),0))</f>
        <v/>
      </c>
      <c r="L37" s="16" t="str">
        <f aca="false">IF(B37="","",IF(N37=_xlfn.MAXIFS($N$2:$N$5001,$B$2:$B$5001,B37,$I$2:$I$5001,I37),1,0))</f>
        <v/>
      </c>
      <c r="M37" s="16" t="str">
        <f aca="false">IF(B37="","",IF(E37="Em ajustes",IF(N37=_xlfn.MINIFS($N$2:$N$5001,$B$2:$B$5001,B37,$E$2:$E$5001,"Em ajustes"),1,0),0))</f>
        <v/>
      </c>
      <c r="N37" s="17" t="str">
        <f aca="false">IF(A37="","",IF(ISNUMBER(A37),A37,IFERROR(DATE(VALUE(MID(A37,7,4)),VALUE(MID(A37,4,2)),VALUE(MID(A37,1,2)))+TIME(VALUE(MID(A37,12,2)),VALUE(MID(A37,15,2)),VALUE(MID(A37,18,2))),"")))</f>
        <v/>
      </c>
    </row>
    <row r="38" customFormat="false" ht="15" hidden="false" customHeight="false" outlineLevel="0" collapsed="false">
      <c r="I38" s="15" t="str">
        <f aca="false">IF(N38="","",INT(N38))</f>
        <v/>
      </c>
      <c r="J38" s="16" t="str">
        <f aca="false">IF(B38="","",IF(N38=_xlfn.MINIFS($N$2:$N$5001,$B$2:$B$5001,B38),1,0))</f>
        <v/>
      </c>
      <c r="K38" s="16" t="str">
        <f aca="false">IF(B38="","",IF(AND(D38="Formalização",E38="Concluído"),IF(COUNTIFS($B$2:$B$5001,B38,$E$2:$E$5001,"Em ajustes",$N$2:$N$5001,"&lt;"&amp;I38)&gt;0,1,0),0))</f>
        <v/>
      </c>
      <c r="L38" s="16" t="str">
        <f aca="false">IF(B38="","",IF(N38=_xlfn.MAXIFS($N$2:$N$5001,$B$2:$B$5001,B38,$I$2:$I$5001,I38),1,0))</f>
        <v/>
      </c>
      <c r="M38" s="16" t="str">
        <f aca="false">IF(B38="","",IF(E38="Em ajustes",IF(N38=_xlfn.MINIFS($N$2:$N$5001,$B$2:$B$5001,B38,$E$2:$E$5001,"Em ajustes"),1,0),0))</f>
        <v/>
      </c>
      <c r="N38" s="17" t="str">
        <f aca="false">IF(A38="","",IF(ISNUMBER(A38),A38,IFERROR(DATE(VALUE(MID(A38,7,4)),VALUE(MID(A38,4,2)),VALUE(MID(A38,1,2)))+TIME(VALUE(MID(A38,12,2)),VALUE(MID(A38,15,2)),VALUE(MID(A38,18,2))),"")))</f>
        <v/>
      </c>
    </row>
    <row r="39" customFormat="false" ht="15" hidden="false" customHeight="false" outlineLevel="0" collapsed="false">
      <c r="I39" s="15" t="str">
        <f aca="false">IF(N39="","",INT(N39))</f>
        <v/>
      </c>
      <c r="J39" s="16" t="str">
        <f aca="false">IF(B39="","",IF(N39=_xlfn.MINIFS($N$2:$N$5001,$B$2:$B$5001,B39),1,0))</f>
        <v/>
      </c>
      <c r="K39" s="16" t="str">
        <f aca="false">IF(B39="","",IF(AND(D39="Formalização",E39="Concluído"),IF(COUNTIFS($B$2:$B$5001,B39,$E$2:$E$5001,"Em ajustes",$N$2:$N$5001,"&lt;"&amp;I39)&gt;0,1,0),0))</f>
        <v/>
      </c>
      <c r="L39" s="16" t="str">
        <f aca="false">IF(B39="","",IF(N39=_xlfn.MAXIFS($N$2:$N$5001,$B$2:$B$5001,B39,$I$2:$I$5001,I39),1,0))</f>
        <v/>
      </c>
      <c r="M39" s="16" t="str">
        <f aca="false">IF(B39="","",IF(E39="Em ajustes",IF(N39=_xlfn.MINIFS($N$2:$N$5001,$B$2:$B$5001,B39,$E$2:$E$5001,"Em ajustes"),1,0),0))</f>
        <v/>
      </c>
      <c r="N39" s="17" t="str">
        <f aca="false">IF(A39="","",IF(ISNUMBER(A39),A39,IFERROR(DATE(VALUE(MID(A39,7,4)),VALUE(MID(A39,4,2)),VALUE(MID(A39,1,2)))+TIME(VALUE(MID(A39,12,2)),VALUE(MID(A39,15,2)),VALUE(MID(A39,18,2))),"")))</f>
        <v/>
      </c>
    </row>
    <row r="40" customFormat="false" ht="15" hidden="false" customHeight="false" outlineLevel="0" collapsed="false">
      <c r="I40" s="15" t="str">
        <f aca="false">IF(N40="","",INT(N40))</f>
        <v/>
      </c>
      <c r="J40" s="16" t="str">
        <f aca="false">IF(B40="","",IF(N40=_xlfn.MINIFS($N$2:$N$5001,$B$2:$B$5001,B40),1,0))</f>
        <v/>
      </c>
      <c r="K40" s="16" t="str">
        <f aca="false">IF(B40="","",IF(AND(D40="Formalização",E40="Concluído"),IF(COUNTIFS($B$2:$B$5001,B40,$E$2:$E$5001,"Em ajustes",$N$2:$N$5001,"&lt;"&amp;I40)&gt;0,1,0),0))</f>
        <v/>
      </c>
      <c r="L40" s="16" t="str">
        <f aca="false">IF(B40="","",IF(N40=_xlfn.MAXIFS($N$2:$N$5001,$B$2:$B$5001,B40,$I$2:$I$5001,I40),1,0))</f>
        <v/>
      </c>
      <c r="M40" s="16" t="str">
        <f aca="false">IF(B40="","",IF(E40="Em ajustes",IF(N40=_xlfn.MINIFS($N$2:$N$5001,$B$2:$B$5001,B40,$E$2:$E$5001,"Em ajustes"),1,0),0))</f>
        <v/>
      </c>
      <c r="N40" s="17" t="str">
        <f aca="false">IF(A40="","",IF(ISNUMBER(A40),A40,IFERROR(DATE(VALUE(MID(A40,7,4)),VALUE(MID(A40,4,2)),VALUE(MID(A40,1,2)))+TIME(VALUE(MID(A40,12,2)),VALUE(MID(A40,15,2)),VALUE(MID(A40,18,2))),"")))</f>
        <v/>
      </c>
    </row>
    <row r="41" customFormat="false" ht="15" hidden="false" customHeight="false" outlineLevel="0" collapsed="false">
      <c r="I41" s="15" t="str">
        <f aca="false">IF(N41="","",INT(N41))</f>
        <v/>
      </c>
      <c r="J41" s="16" t="str">
        <f aca="false">IF(B41="","",IF(N41=_xlfn.MINIFS($N$2:$N$5001,$B$2:$B$5001,B41),1,0))</f>
        <v/>
      </c>
      <c r="K41" s="16" t="str">
        <f aca="false">IF(B41="","",IF(AND(D41="Formalização",E41="Concluído"),IF(COUNTIFS($B$2:$B$5001,B41,$E$2:$E$5001,"Em ajustes",$N$2:$N$5001,"&lt;"&amp;I41)&gt;0,1,0),0))</f>
        <v/>
      </c>
      <c r="L41" s="16" t="str">
        <f aca="false">IF(B41="","",IF(N41=_xlfn.MAXIFS($N$2:$N$5001,$B$2:$B$5001,B41,$I$2:$I$5001,I41),1,0))</f>
        <v/>
      </c>
      <c r="M41" s="16" t="str">
        <f aca="false">IF(B41="","",IF(E41="Em ajustes",IF(N41=_xlfn.MINIFS($N$2:$N$5001,$B$2:$B$5001,B41,$E$2:$E$5001,"Em ajustes"),1,0),0))</f>
        <v/>
      </c>
      <c r="N41" s="17" t="str">
        <f aca="false">IF(A41="","",IF(ISNUMBER(A41),A41,IFERROR(DATE(VALUE(MID(A41,7,4)),VALUE(MID(A41,4,2)),VALUE(MID(A41,1,2)))+TIME(VALUE(MID(A41,12,2)),VALUE(MID(A41,15,2)),VALUE(MID(A41,18,2))),"")))</f>
        <v/>
      </c>
    </row>
    <row r="42" customFormat="false" ht="15" hidden="false" customHeight="false" outlineLevel="0" collapsed="false">
      <c r="I42" s="15" t="str">
        <f aca="false">IF(N42="","",INT(N42))</f>
        <v/>
      </c>
      <c r="J42" s="16" t="str">
        <f aca="false">IF(B42="","",IF(N42=_xlfn.MINIFS($N$2:$N$5001,$B$2:$B$5001,B42),1,0))</f>
        <v/>
      </c>
      <c r="K42" s="16" t="str">
        <f aca="false">IF(B42="","",IF(AND(D42="Formalização",E42="Concluído"),IF(COUNTIFS($B$2:$B$5001,B42,$E$2:$E$5001,"Em ajustes",$N$2:$N$5001,"&lt;"&amp;I42)&gt;0,1,0),0))</f>
        <v/>
      </c>
      <c r="L42" s="16" t="str">
        <f aca="false">IF(B42="","",IF(N42=_xlfn.MAXIFS($N$2:$N$5001,$B$2:$B$5001,B42,$I$2:$I$5001,I42),1,0))</f>
        <v/>
      </c>
      <c r="M42" s="16" t="str">
        <f aca="false">IF(B42="","",IF(E42="Em ajustes",IF(N42=_xlfn.MINIFS($N$2:$N$5001,$B$2:$B$5001,B42,$E$2:$E$5001,"Em ajustes"),1,0),0))</f>
        <v/>
      </c>
      <c r="N42" s="17" t="str">
        <f aca="false">IF(A42="","",IF(ISNUMBER(A42),A42,IFERROR(DATE(VALUE(MID(A42,7,4)),VALUE(MID(A42,4,2)),VALUE(MID(A42,1,2)))+TIME(VALUE(MID(A42,12,2)),VALUE(MID(A42,15,2)),VALUE(MID(A42,18,2))),"")))</f>
        <v/>
      </c>
    </row>
    <row r="43" customFormat="false" ht="15" hidden="false" customHeight="false" outlineLevel="0" collapsed="false">
      <c r="I43" s="15" t="str">
        <f aca="false">IF(N43="","",INT(N43))</f>
        <v/>
      </c>
      <c r="J43" s="16" t="str">
        <f aca="false">IF(B43="","",IF(N43=_xlfn.MINIFS($N$2:$N$5001,$B$2:$B$5001,B43),1,0))</f>
        <v/>
      </c>
      <c r="K43" s="16" t="str">
        <f aca="false">IF(B43="","",IF(AND(D43="Formalização",E43="Concluído"),IF(COUNTIFS($B$2:$B$5001,B43,$E$2:$E$5001,"Em ajustes",$N$2:$N$5001,"&lt;"&amp;I43)&gt;0,1,0),0))</f>
        <v/>
      </c>
      <c r="L43" s="16" t="str">
        <f aca="false">IF(B43="","",IF(N43=_xlfn.MAXIFS($N$2:$N$5001,$B$2:$B$5001,B43,$I$2:$I$5001,I43),1,0))</f>
        <v/>
      </c>
      <c r="M43" s="16" t="str">
        <f aca="false">IF(B43="","",IF(E43="Em ajustes",IF(N43=_xlfn.MINIFS($N$2:$N$5001,$B$2:$B$5001,B43,$E$2:$E$5001,"Em ajustes"),1,0),0))</f>
        <v/>
      </c>
      <c r="N43" s="17" t="str">
        <f aca="false">IF(A43="","",IF(ISNUMBER(A43),A43,IFERROR(DATE(VALUE(MID(A43,7,4)),VALUE(MID(A43,4,2)),VALUE(MID(A43,1,2)))+TIME(VALUE(MID(A43,12,2)),VALUE(MID(A43,15,2)),VALUE(MID(A43,18,2))),"")))</f>
        <v/>
      </c>
    </row>
    <row r="44" customFormat="false" ht="15" hidden="false" customHeight="false" outlineLevel="0" collapsed="false">
      <c r="I44" s="15" t="str">
        <f aca="false">IF(N44="","",INT(N44))</f>
        <v/>
      </c>
      <c r="J44" s="16" t="str">
        <f aca="false">IF(B44="","",IF(N44=_xlfn.MINIFS($N$2:$N$5001,$B$2:$B$5001,B44),1,0))</f>
        <v/>
      </c>
      <c r="K44" s="16" t="str">
        <f aca="false">IF(B44="","",IF(AND(D44="Formalização",E44="Concluído"),IF(COUNTIFS($B$2:$B$5001,B44,$E$2:$E$5001,"Em ajustes",$N$2:$N$5001,"&lt;"&amp;I44)&gt;0,1,0),0))</f>
        <v/>
      </c>
      <c r="L44" s="16" t="str">
        <f aca="false">IF(B44="","",IF(N44=_xlfn.MAXIFS($N$2:$N$5001,$B$2:$B$5001,B44,$I$2:$I$5001,I44),1,0))</f>
        <v/>
      </c>
      <c r="M44" s="16" t="str">
        <f aca="false">IF(B44="","",IF(E44="Em ajustes",IF(N44=_xlfn.MINIFS($N$2:$N$5001,$B$2:$B$5001,B44,$E$2:$E$5001,"Em ajustes"),1,0),0))</f>
        <v/>
      </c>
      <c r="N44" s="17" t="str">
        <f aca="false">IF(A44="","",IF(ISNUMBER(A44),A44,IFERROR(DATE(VALUE(MID(A44,7,4)),VALUE(MID(A44,4,2)),VALUE(MID(A44,1,2)))+TIME(VALUE(MID(A44,12,2)),VALUE(MID(A44,15,2)),VALUE(MID(A44,18,2))),"")))</f>
        <v/>
      </c>
    </row>
    <row r="45" customFormat="false" ht="15" hidden="false" customHeight="false" outlineLevel="0" collapsed="false">
      <c r="I45" s="15" t="str">
        <f aca="false">IF(N45="","",INT(N45))</f>
        <v/>
      </c>
      <c r="J45" s="16" t="str">
        <f aca="false">IF(B45="","",IF(N45=_xlfn.MINIFS($N$2:$N$5001,$B$2:$B$5001,B45),1,0))</f>
        <v/>
      </c>
      <c r="K45" s="16" t="str">
        <f aca="false">IF(B45="","",IF(AND(D45="Formalização",E45="Concluído"),IF(COUNTIFS($B$2:$B$5001,B45,$E$2:$E$5001,"Em ajustes",$N$2:$N$5001,"&lt;"&amp;I45)&gt;0,1,0),0))</f>
        <v/>
      </c>
      <c r="L45" s="16" t="str">
        <f aca="false">IF(B45="","",IF(N45=_xlfn.MAXIFS($N$2:$N$5001,$B$2:$B$5001,B45,$I$2:$I$5001,I45),1,0))</f>
        <v/>
      </c>
      <c r="M45" s="16" t="str">
        <f aca="false">IF(B45="","",IF(E45="Em ajustes",IF(N45=_xlfn.MINIFS($N$2:$N$5001,$B$2:$B$5001,B45,$E$2:$E$5001,"Em ajustes"),1,0),0))</f>
        <v/>
      </c>
      <c r="N45" s="17" t="str">
        <f aca="false">IF(A45="","",IF(ISNUMBER(A45),A45,IFERROR(DATE(VALUE(MID(A45,7,4)),VALUE(MID(A45,4,2)),VALUE(MID(A45,1,2)))+TIME(VALUE(MID(A45,12,2)),VALUE(MID(A45,15,2)),VALUE(MID(A45,18,2))),"")))</f>
        <v/>
      </c>
    </row>
    <row r="46" customFormat="false" ht="15" hidden="false" customHeight="false" outlineLevel="0" collapsed="false">
      <c r="I46" s="15" t="str">
        <f aca="false">IF(N46="","",INT(N46))</f>
        <v/>
      </c>
      <c r="J46" s="16" t="str">
        <f aca="false">IF(B46="","",IF(N46=_xlfn.MINIFS($N$2:$N$5001,$B$2:$B$5001,B46),1,0))</f>
        <v/>
      </c>
      <c r="K46" s="16" t="str">
        <f aca="false">IF(B46="","",IF(AND(D46="Formalização",E46="Concluído"),IF(COUNTIFS($B$2:$B$5001,B46,$E$2:$E$5001,"Em ajustes",$N$2:$N$5001,"&lt;"&amp;I46)&gt;0,1,0),0))</f>
        <v/>
      </c>
      <c r="L46" s="16" t="str">
        <f aca="false">IF(B46="","",IF(N46=_xlfn.MAXIFS($N$2:$N$5001,$B$2:$B$5001,B46,$I$2:$I$5001,I46),1,0))</f>
        <v/>
      </c>
      <c r="M46" s="16" t="str">
        <f aca="false">IF(B46="","",IF(E46="Em ajustes",IF(N46=_xlfn.MINIFS($N$2:$N$5001,$B$2:$B$5001,B46,$E$2:$E$5001,"Em ajustes"),1,0),0))</f>
        <v/>
      </c>
      <c r="N46" s="17" t="str">
        <f aca="false">IF(A46="","",IF(ISNUMBER(A46),A46,IFERROR(DATE(VALUE(MID(A46,7,4)),VALUE(MID(A46,4,2)),VALUE(MID(A46,1,2)))+TIME(VALUE(MID(A46,12,2)),VALUE(MID(A46,15,2)),VALUE(MID(A46,18,2))),"")))</f>
        <v/>
      </c>
    </row>
    <row r="47" customFormat="false" ht="15" hidden="false" customHeight="false" outlineLevel="0" collapsed="false">
      <c r="I47" s="15" t="str">
        <f aca="false">IF(N47="","",INT(N47))</f>
        <v/>
      </c>
      <c r="J47" s="16" t="str">
        <f aca="false">IF(B47="","",IF(N47=_xlfn.MINIFS($N$2:$N$5001,$B$2:$B$5001,B47),1,0))</f>
        <v/>
      </c>
      <c r="K47" s="16" t="str">
        <f aca="false">IF(B47="","",IF(AND(D47="Formalização",E47="Concluído"),IF(COUNTIFS($B$2:$B$5001,B47,$E$2:$E$5001,"Em ajustes",$N$2:$N$5001,"&lt;"&amp;I47)&gt;0,1,0),0))</f>
        <v/>
      </c>
      <c r="L47" s="16" t="str">
        <f aca="false">IF(B47="","",IF(N47=_xlfn.MAXIFS($N$2:$N$5001,$B$2:$B$5001,B47,$I$2:$I$5001,I47),1,0))</f>
        <v/>
      </c>
      <c r="M47" s="16" t="str">
        <f aca="false">IF(B47="","",IF(E47="Em ajustes",IF(N47=_xlfn.MINIFS($N$2:$N$5001,$B$2:$B$5001,B47,$E$2:$E$5001,"Em ajustes"),1,0),0))</f>
        <v/>
      </c>
      <c r="N47" s="17" t="str">
        <f aca="false">IF(A47="","",IF(ISNUMBER(A47),A47,IFERROR(DATE(VALUE(MID(A47,7,4)),VALUE(MID(A47,4,2)),VALUE(MID(A47,1,2)))+TIME(VALUE(MID(A47,12,2)),VALUE(MID(A47,15,2)),VALUE(MID(A47,18,2))),"")))</f>
        <v/>
      </c>
    </row>
    <row r="48" customFormat="false" ht="15" hidden="false" customHeight="false" outlineLevel="0" collapsed="false">
      <c r="I48" s="15" t="str">
        <f aca="false">IF(N48="","",INT(N48))</f>
        <v/>
      </c>
      <c r="J48" s="16" t="str">
        <f aca="false">IF(B48="","",IF(N48=_xlfn.MINIFS($N$2:$N$5001,$B$2:$B$5001,B48),1,0))</f>
        <v/>
      </c>
      <c r="K48" s="16" t="str">
        <f aca="false">IF(B48="","",IF(AND(D48="Formalização",E48="Concluído"),IF(COUNTIFS($B$2:$B$5001,B48,$E$2:$E$5001,"Em ajustes",$N$2:$N$5001,"&lt;"&amp;I48)&gt;0,1,0),0))</f>
        <v/>
      </c>
      <c r="L48" s="16" t="str">
        <f aca="false">IF(B48="","",IF(N48=_xlfn.MAXIFS($N$2:$N$5001,$B$2:$B$5001,B48,$I$2:$I$5001,I48),1,0))</f>
        <v/>
      </c>
      <c r="M48" s="16" t="str">
        <f aca="false">IF(B48="","",IF(E48="Em ajustes",IF(N48=_xlfn.MINIFS($N$2:$N$5001,$B$2:$B$5001,B48,$E$2:$E$5001,"Em ajustes"),1,0),0))</f>
        <v/>
      </c>
      <c r="N48" s="17" t="str">
        <f aca="false">IF(A48="","",IF(ISNUMBER(A48),A48,IFERROR(DATE(VALUE(MID(A48,7,4)),VALUE(MID(A48,4,2)),VALUE(MID(A48,1,2)))+TIME(VALUE(MID(A48,12,2)),VALUE(MID(A48,15,2)),VALUE(MID(A48,18,2))),"")))</f>
        <v/>
      </c>
    </row>
    <row r="49" customFormat="false" ht="15" hidden="false" customHeight="false" outlineLevel="0" collapsed="false">
      <c r="I49" s="15" t="str">
        <f aca="false">IF(N49="","",INT(N49))</f>
        <v/>
      </c>
      <c r="J49" s="16" t="str">
        <f aca="false">IF(B49="","",IF(N49=_xlfn.MINIFS($N$2:$N$5001,$B$2:$B$5001,B49),1,0))</f>
        <v/>
      </c>
      <c r="K49" s="16" t="str">
        <f aca="false">IF(B49="","",IF(AND(D49="Formalização",E49="Concluído"),IF(COUNTIFS($B$2:$B$5001,B49,$E$2:$E$5001,"Em ajustes",$N$2:$N$5001,"&lt;"&amp;I49)&gt;0,1,0),0))</f>
        <v/>
      </c>
      <c r="L49" s="16" t="str">
        <f aca="false">IF(B49="","",IF(N49=_xlfn.MAXIFS($N$2:$N$5001,$B$2:$B$5001,B49,$I$2:$I$5001,I49),1,0))</f>
        <v/>
      </c>
      <c r="M49" s="16" t="str">
        <f aca="false">IF(B49="","",IF(E49="Em ajustes",IF(N49=_xlfn.MINIFS($N$2:$N$5001,$B$2:$B$5001,B49,$E$2:$E$5001,"Em ajustes"),1,0),0))</f>
        <v/>
      </c>
      <c r="N49" s="17" t="str">
        <f aca="false">IF(A49="","",IF(ISNUMBER(A49),A49,IFERROR(DATE(VALUE(MID(A49,7,4)),VALUE(MID(A49,4,2)),VALUE(MID(A49,1,2)))+TIME(VALUE(MID(A49,12,2)),VALUE(MID(A49,15,2)),VALUE(MID(A49,18,2))),"")))</f>
        <v/>
      </c>
    </row>
    <row r="50" customFormat="false" ht="15" hidden="false" customHeight="false" outlineLevel="0" collapsed="false">
      <c r="I50" s="15" t="str">
        <f aca="false">IF(N50="","",INT(N50))</f>
        <v/>
      </c>
      <c r="J50" s="16" t="str">
        <f aca="false">IF(B50="","",IF(N50=_xlfn.MINIFS($N$2:$N$5001,$B$2:$B$5001,B50),1,0))</f>
        <v/>
      </c>
      <c r="K50" s="16" t="str">
        <f aca="false">IF(B50="","",IF(AND(D50="Formalização",E50="Concluído"),IF(COUNTIFS($B$2:$B$5001,B50,$E$2:$E$5001,"Em ajustes",$N$2:$N$5001,"&lt;"&amp;I50)&gt;0,1,0),0))</f>
        <v/>
      </c>
      <c r="L50" s="16" t="str">
        <f aca="false">IF(B50="","",IF(N50=_xlfn.MAXIFS($N$2:$N$5001,$B$2:$B$5001,B50,$I$2:$I$5001,I50),1,0))</f>
        <v/>
      </c>
      <c r="M50" s="16" t="str">
        <f aca="false">IF(B50="","",IF(E50="Em ajustes",IF(N50=_xlfn.MINIFS($N$2:$N$5001,$B$2:$B$5001,B50,$E$2:$E$5001,"Em ajustes"),1,0),0))</f>
        <v/>
      </c>
      <c r="N50" s="17" t="str">
        <f aca="false">IF(A50="","",IF(ISNUMBER(A50),A50,IFERROR(DATE(VALUE(MID(A50,7,4)),VALUE(MID(A50,4,2)),VALUE(MID(A50,1,2)))+TIME(VALUE(MID(A50,12,2)),VALUE(MID(A50,15,2)),VALUE(MID(A50,18,2))),"")))</f>
        <v/>
      </c>
    </row>
    <row r="51" customFormat="false" ht="15" hidden="false" customHeight="false" outlineLevel="0" collapsed="false">
      <c r="I51" s="15" t="str">
        <f aca="false">IF(N51="","",INT(N51))</f>
        <v/>
      </c>
      <c r="J51" s="16" t="str">
        <f aca="false">IF(B51="","",IF(N51=_xlfn.MINIFS($N$2:$N$5001,$B$2:$B$5001,B51),1,0))</f>
        <v/>
      </c>
      <c r="K51" s="16" t="str">
        <f aca="false">IF(B51="","",IF(AND(D51="Formalização",E51="Concluído"),IF(COUNTIFS($B$2:$B$5001,B51,$E$2:$E$5001,"Em ajustes",$N$2:$N$5001,"&lt;"&amp;I51)&gt;0,1,0),0))</f>
        <v/>
      </c>
      <c r="L51" s="16" t="str">
        <f aca="false">IF(B51="","",IF(N51=_xlfn.MAXIFS($N$2:$N$5001,$B$2:$B$5001,B51,$I$2:$I$5001,I51),1,0))</f>
        <v/>
      </c>
      <c r="M51" s="16" t="str">
        <f aca="false">IF(B51="","",IF(E51="Em ajustes",IF(N51=_xlfn.MINIFS($N$2:$N$5001,$B$2:$B$5001,B51,$E$2:$E$5001,"Em ajustes"),1,0),0))</f>
        <v/>
      </c>
      <c r="N51" s="17" t="str">
        <f aca="false">IF(A51="","",IF(ISNUMBER(A51),A51,IFERROR(DATE(VALUE(MID(A51,7,4)),VALUE(MID(A51,4,2)),VALUE(MID(A51,1,2)))+TIME(VALUE(MID(A51,12,2)),VALUE(MID(A51,15,2)),VALUE(MID(A51,18,2))),"")))</f>
        <v/>
      </c>
    </row>
    <row r="52" customFormat="false" ht="15" hidden="false" customHeight="false" outlineLevel="0" collapsed="false">
      <c r="I52" s="15" t="str">
        <f aca="false">IF(N52="","",INT(N52))</f>
        <v/>
      </c>
      <c r="J52" s="16" t="str">
        <f aca="false">IF(B52="","",IF(N52=_xlfn.MINIFS($N$2:$N$5001,$B$2:$B$5001,B52),1,0))</f>
        <v/>
      </c>
      <c r="K52" s="16" t="str">
        <f aca="false">IF(B52="","",IF(AND(D52="Formalização",E52="Concluído"),IF(COUNTIFS($B$2:$B$5001,B52,$E$2:$E$5001,"Em ajustes",$N$2:$N$5001,"&lt;"&amp;I52)&gt;0,1,0),0))</f>
        <v/>
      </c>
      <c r="L52" s="16" t="str">
        <f aca="false">IF(B52="","",IF(N52=_xlfn.MAXIFS($N$2:$N$5001,$B$2:$B$5001,B52,$I$2:$I$5001,I52),1,0))</f>
        <v/>
      </c>
      <c r="M52" s="16" t="str">
        <f aca="false">IF(B52="","",IF(E52="Em ajustes",IF(N52=_xlfn.MINIFS($N$2:$N$5001,$B$2:$B$5001,B52,$E$2:$E$5001,"Em ajustes"),1,0),0))</f>
        <v/>
      </c>
      <c r="N52" s="17" t="str">
        <f aca="false">IF(A52="","",IF(ISNUMBER(A52),A52,IFERROR(DATE(VALUE(MID(A52,7,4)),VALUE(MID(A52,4,2)),VALUE(MID(A52,1,2)))+TIME(VALUE(MID(A52,12,2)),VALUE(MID(A52,15,2)),VALUE(MID(A52,18,2))),"")))</f>
        <v/>
      </c>
    </row>
    <row r="53" customFormat="false" ht="15" hidden="false" customHeight="false" outlineLevel="0" collapsed="false">
      <c r="I53" s="15" t="str">
        <f aca="false">IF(N53="","",INT(N53))</f>
        <v/>
      </c>
      <c r="J53" s="16" t="str">
        <f aca="false">IF(B53="","",IF(N53=_xlfn.MINIFS($N$2:$N$5001,$B$2:$B$5001,B53),1,0))</f>
        <v/>
      </c>
      <c r="K53" s="16" t="str">
        <f aca="false">IF(B53="","",IF(AND(D53="Formalização",E53="Concluído"),IF(COUNTIFS($B$2:$B$5001,B53,$E$2:$E$5001,"Em ajustes",$N$2:$N$5001,"&lt;"&amp;I53)&gt;0,1,0),0))</f>
        <v/>
      </c>
      <c r="L53" s="16" t="str">
        <f aca="false">IF(B53="","",IF(N53=_xlfn.MAXIFS($N$2:$N$5001,$B$2:$B$5001,B53,$I$2:$I$5001,I53),1,0))</f>
        <v/>
      </c>
      <c r="M53" s="16" t="str">
        <f aca="false">IF(B53="","",IF(E53="Em ajustes",IF(N53=_xlfn.MINIFS($N$2:$N$5001,$B$2:$B$5001,B53,$E$2:$E$5001,"Em ajustes"),1,0),0))</f>
        <v/>
      </c>
      <c r="N53" s="17" t="str">
        <f aca="false">IF(A53="","",IF(ISNUMBER(A53),A53,IFERROR(DATE(VALUE(MID(A53,7,4)),VALUE(MID(A53,4,2)),VALUE(MID(A53,1,2)))+TIME(VALUE(MID(A53,12,2)),VALUE(MID(A53,15,2)),VALUE(MID(A53,18,2))),"")))</f>
        <v/>
      </c>
    </row>
    <row r="54" customFormat="false" ht="15" hidden="false" customHeight="false" outlineLevel="0" collapsed="false">
      <c r="I54" s="15" t="str">
        <f aca="false">IF(N54="","",INT(N54))</f>
        <v/>
      </c>
      <c r="J54" s="16" t="str">
        <f aca="false">IF(B54="","",IF(N54=_xlfn.MINIFS($N$2:$N$5001,$B$2:$B$5001,B54),1,0))</f>
        <v/>
      </c>
      <c r="K54" s="16" t="str">
        <f aca="false">IF(B54="","",IF(AND(D54="Formalização",E54="Concluído"),IF(COUNTIFS($B$2:$B$5001,B54,$E$2:$E$5001,"Em ajustes",$N$2:$N$5001,"&lt;"&amp;I54)&gt;0,1,0),0))</f>
        <v/>
      </c>
      <c r="L54" s="16" t="str">
        <f aca="false">IF(B54="","",IF(N54=_xlfn.MAXIFS($N$2:$N$5001,$B$2:$B$5001,B54,$I$2:$I$5001,I54),1,0))</f>
        <v/>
      </c>
      <c r="M54" s="16" t="str">
        <f aca="false">IF(B54="","",IF(E54="Em ajustes",IF(N54=_xlfn.MINIFS($N$2:$N$5001,$B$2:$B$5001,B54,$E$2:$E$5001,"Em ajustes"),1,0),0))</f>
        <v/>
      </c>
      <c r="N54" s="17" t="str">
        <f aca="false">IF(A54="","",IF(ISNUMBER(A54),A54,IFERROR(DATE(VALUE(MID(A54,7,4)),VALUE(MID(A54,4,2)),VALUE(MID(A54,1,2)))+TIME(VALUE(MID(A54,12,2)),VALUE(MID(A54,15,2)),VALUE(MID(A54,18,2))),"")))</f>
        <v/>
      </c>
    </row>
    <row r="55" customFormat="false" ht="15" hidden="false" customHeight="false" outlineLevel="0" collapsed="false">
      <c r="I55" s="15" t="str">
        <f aca="false">IF(N55="","",INT(N55))</f>
        <v/>
      </c>
      <c r="J55" s="16" t="str">
        <f aca="false">IF(B55="","",IF(N55=_xlfn.MINIFS($N$2:$N$5001,$B$2:$B$5001,B55),1,0))</f>
        <v/>
      </c>
      <c r="K55" s="16" t="str">
        <f aca="false">IF(B55="","",IF(AND(D55="Formalização",E55="Concluído"),IF(COUNTIFS($B$2:$B$5001,B55,$E$2:$E$5001,"Em ajustes",$N$2:$N$5001,"&lt;"&amp;I55)&gt;0,1,0),0))</f>
        <v/>
      </c>
      <c r="L55" s="16" t="str">
        <f aca="false">IF(B55="","",IF(N55=_xlfn.MAXIFS($N$2:$N$5001,$B$2:$B$5001,B55,$I$2:$I$5001,I55),1,0))</f>
        <v/>
      </c>
      <c r="M55" s="16" t="str">
        <f aca="false">IF(B55="","",IF(E55="Em ajustes",IF(N55=_xlfn.MINIFS($N$2:$N$5001,$B$2:$B$5001,B55,$E$2:$E$5001,"Em ajustes"),1,0),0))</f>
        <v/>
      </c>
      <c r="N55" s="17" t="str">
        <f aca="false">IF(A55="","",IF(ISNUMBER(A55),A55,IFERROR(DATE(VALUE(MID(A55,7,4)),VALUE(MID(A55,4,2)),VALUE(MID(A55,1,2)))+TIME(VALUE(MID(A55,12,2)),VALUE(MID(A55,15,2)),VALUE(MID(A55,18,2))),"")))</f>
        <v/>
      </c>
    </row>
    <row r="56" customFormat="false" ht="15" hidden="false" customHeight="false" outlineLevel="0" collapsed="false">
      <c r="I56" s="15" t="str">
        <f aca="false">IF(N56="","",INT(N56))</f>
        <v/>
      </c>
      <c r="J56" s="16" t="str">
        <f aca="false">IF(B56="","",IF(N56=_xlfn.MINIFS($N$2:$N$5001,$B$2:$B$5001,B56),1,0))</f>
        <v/>
      </c>
      <c r="K56" s="16" t="str">
        <f aca="false">IF(B56="","",IF(AND(D56="Formalização",E56="Concluído"),IF(COUNTIFS($B$2:$B$5001,B56,$E$2:$E$5001,"Em ajustes",$N$2:$N$5001,"&lt;"&amp;I56)&gt;0,1,0),0))</f>
        <v/>
      </c>
      <c r="L56" s="16" t="str">
        <f aca="false">IF(B56="","",IF(N56=_xlfn.MAXIFS($N$2:$N$5001,$B$2:$B$5001,B56,$I$2:$I$5001,I56),1,0))</f>
        <v/>
      </c>
      <c r="M56" s="16" t="str">
        <f aca="false">IF(B56="","",IF(E56="Em ajustes",IF(N56=_xlfn.MINIFS($N$2:$N$5001,$B$2:$B$5001,B56,$E$2:$E$5001,"Em ajustes"),1,0),0))</f>
        <v/>
      </c>
      <c r="N56" s="17" t="str">
        <f aca="false">IF(A56="","",IF(ISNUMBER(A56),A56,IFERROR(DATE(VALUE(MID(A56,7,4)),VALUE(MID(A56,4,2)),VALUE(MID(A56,1,2)))+TIME(VALUE(MID(A56,12,2)),VALUE(MID(A56,15,2)),VALUE(MID(A56,18,2))),"")))</f>
        <v/>
      </c>
    </row>
    <row r="57" customFormat="false" ht="15" hidden="false" customHeight="false" outlineLevel="0" collapsed="false">
      <c r="I57" s="15" t="str">
        <f aca="false">IF(N57="","",INT(N57))</f>
        <v/>
      </c>
      <c r="J57" s="16" t="str">
        <f aca="false">IF(B57="","",IF(N57=_xlfn.MINIFS($N$2:$N$5001,$B$2:$B$5001,B57),1,0))</f>
        <v/>
      </c>
      <c r="K57" s="16" t="str">
        <f aca="false">IF(B57="","",IF(AND(D57="Formalização",E57="Concluído"),IF(COUNTIFS($B$2:$B$5001,B57,$E$2:$E$5001,"Em ajustes",$N$2:$N$5001,"&lt;"&amp;I57)&gt;0,1,0),0))</f>
        <v/>
      </c>
      <c r="L57" s="16" t="str">
        <f aca="false">IF(B57="","",IF(N57=_xlfn.MAXIFS($N$2:$N$5001,$B$2:$B$5001,B57,$I$2:$I$5001,I57),1,0))</f>
        <v/>
      </c>
      <c r="M57" s="16" t="str">
        <f aca="false">IF(B57="","",IF(E57="Em ajustes",IF(N57=_xlfn.MINIFS($N$2:$N$5001,$B$2:$B$5001,B57,$E$2:$E$5001,"Em ajustes"),1,0),0))</f>
        <v/>
      </c>
      <c r="N57" s="17" t="str">
        <f aca="false">IF(A57="","",IF(ISNUMBER(A57),A57,IFERROR(DATE(VALUE(MID(A57,7,4)),VALUE(MID(A57,4,2)),VALUE(MID(A57,1,2)))+TIME(VALUE(MID(A57,12,2)),VALUE(MID(A57,15,2)),VALUE(MID(A57,18,2))),"")))</f>
        <v/>
      </c>
    </row>
    <row r="58" customFormat="false" ht="15" hidden="false" customHeight="false" outlineLevel="0" collapsed="false">
      <c r="I58" s="15" t="str">
        <f aca="false">IF(N58="","",INT(N58))</f>
        <v/>
      </c>
      <c r="J58" s="16" t="str">
        <f aca="false">IF(B58="","",IF(N58=_xlfn.MINIFS($N$2:$N$5001,$B$2:$B$5001,B58),1,0))</f>
        <v/>
      </c>
      <c r="K58" s="16" t="str">
        <f aca="false">IF(B58="","",IF(AND(D58="Formalização",E58="Concluído"),IF(COUNTIFS($B$2:$B$5001,B58,$E$2:$E$5001,"Em ajustes",$N$2:$N$5001,"&lt;"&amp;I58)&gt;0,1,0),0))</f>
        <v/>
      </c>
      <c r="L58" s="16" t="str">
        <f aca="false">IF(B58="","",IF(N58=_xlfn.MAXIFS($N$2:$N$5001,$B$2:$B$5001,B58,$I$2:$I$5001,I58),1,0))</f>
        <v/>
      </c>
      <c r="M58" s="16" t="str">
        <f aca="false">IF(B58="","",IF(E58="Em ajustes",IF(N58=_xlfn.MINIFS($N$2:$N$5001,$B$2:$B$5001,B58,$E$2:$E$5001,"Em ajustes"),1,0),0))</f>
        <v/>
      </c>
      <c r="N58" s="17" t="str">
        <f aca="false">IF(A58="","",IF(ISNUMBER(A58),A58,IFERROR(DATE(VALUE(MID(A58,7,4)),VALUE(MID(A58,4,2)),VALUE(MID(A58,1,2)))+TIME(VALUE(MID(A58,12,2)),VALUE(MID(A58,15,2)),VALUE(MID(A58,18,2))),"")))</f>
        <v/>
      </c>
    </row>
    <row r="59" customFormat="false" ht="15" hidden="false" customHeight="false" outlineLevel="0" collapsed="false">
      <c r="I59" s="15" t="str">
        <f aca="false">IF(N59="","",INT(N59))</f>
        <v/>
      </c>
      <c r="J59" s="16" t="str">
        <f aca="false">IF(B59="","",IF(N59=_xlfn.MINIFS($N$2:$N$5001,$B$2:$B$5001,B59),1,0))</f>
        <v/>
      </c>
      <c r="K59" s="16" t="str">
        <f aca="false">IF(B59="","",IF(AND(D59="Formalização",E59="Concluído"),IF(COUNTIFS($B$2:$B$5001,B59,$E$2:$E$5001,"Em ajustes",$N$2:$N$5001,"&lt;"&amp;I59)&gt;0,1,0),0))</f>
        <v/>
      </c>
      <c r="L59" s="16" t="str">
        <f aca="false">IF(B59="","",IF(N59=_xlfn.MAXIFS($N$2:$N$5001,$B$2:$B$5001,B59,$I$2:$I$5001,I59),1,0))</f>
        <v/>
      </c>
      <c r="M59" s="16" t="str">
        <f aca="false">IF(B59="","",IF(E59="Em ajustes",IF(N59=_xlfn.MINIFS($N$2:$N$5001,$B$2:$B$5001,B59,$E$2:$E$5001,"Em ajustes"),1,0),0))</f>
        <v/>
      </c>
      <c r="N59" s="17" t="str">
        <f aca="false">IF(A59="","",IF(ISNUMBER(A59),A59,IFERROR(DATE(VALUE(MID(A59,7,4)),VALUE(MID(A59,4,2)),VALUE(MID(A59,1,2)))+TIME(VALUE(MID(A59,12,2)),VALUE(MID(A59,15,2)),VALUE(MID(A59,18,2))),"")))</f>
        <v/>
      </c>
    </row>
    <row r="60" customFormat="false" ht="15" hidden="false" customHeight="false" outlineLevel="0" collapsed="false">
      <c r="I60" s="15" t="str">
        <f aca="false">IF(N60="","",INT(N60))</f>
        <v/>
      </c>
      <c r="J60" s="16" t="str">
        <f aca="false">IF(B60="","",IF(N60=_xlfn.MINIFS($N$2:$N$5001,$B$2:$B$5001,B60),1,0))</f>
        <v/>
      </c>
      <c r="K60" s="16" t="str">
        <f aca="false">IF(B60="","",IF(AND(D60="Formalização",E60="Concluído"),IF(COUNTIFS($B$2:$B$5001,B60,$E$2:$E$5001,"Em ajustes",$N$2:$N$5001,"&lt;"&amp;I60)&gt;0,1,0),0))</f>
        <v/>
      </c>
      <c r="L60" s="16" t="str">
        <f aca="false">IF(B60="","",IF(N60=_xlfn.MAXIFS($N$2:$N$5001,$B$2:$B$5001,B60,$I$2:$I$5001,I60),1,0))</f>
        <v/>
      </c>
      <c r="M60" s="16" t="str">
        <f aca="false">IF(B60="","",IF(E60="Em ajustes",IF(N60=_xlfn.MINIFS($N$2:$N$5001,$B$2:$B$5001,B60,$E$2:$E$5001,"Em ajustes"),1,0),0))</f>
        <v/>
      </c>
      <c r="N60" s="17" t="str">
        <f aca="false">IF(A60="","",IF(ISNUMBER(A60),A60,IFERROR(DATE(VALUE(MID(A60,7,4)),VALUE(MID(A60,4,2)),VALUE(MID(A60,1,2)))+TIME(VALUE(MID(A60,12,2)),VALUE(MID(A60,15,2)),VALUE(MID(A60,18,2))),"")))</f>
        <v/>
      </c>
    </row>
    <row r="61" customFormat="false" ht="15" hidden="false" customHeight="false" outlineLevel="0" collapsed="false">
      <c r="I61" s="15" t="str">
        <f aca="false">IF(N61="","",INT(N61))</f>
        <v/>
      </c>
      <c r="J61" s="16" t="str">
        <f aca="false">IF(B61="","",IF(N61=_xlfn.MINIFS($N$2:$N$5001,$B$2:$B$5001,B61),1,0))</f>
        <v/>
      </c>
      <c r="K61" s="16" t="str">
        <f aca="false">IF(B61="","",IF(AND(D61="Formalização",E61="Concluído"),IF(COUNTIFS($B$2:$B$5001,B61,$E$2:$E$5001,"Em ajustes",$N$2:$N$5001,"&lt;"&amp;I61)&gt;0,1,0),0))</f>
        <v/>
      </c>
      <c r="L61" s="16" t="str">
        <f aca="false">IF(B61="","",IF(N61=_xlfn.MAXIFS($N$2:$N$5001,$B$2:$B$5001,B61,$I$2:$I$5001,I61),1,0))</f>
        <v/>
      </c>
      <c r="M61" s="16" t="str">
        <f aca="false">IF(B61="","",IF(E61="Em ajustes",IF(N61=_xlfn.MINIFS($N$2:$N$5001,$B$2:$B$5001,B61,$E$2:$E$5001,"Em ajustes"),1,0),0))</f>
        <v/>
      </c>
      <c r="N61" s="17" t="str">
        <f aca="false">IF(A61="","",IF(ISNUMBER(A61),A61,IFERROR(DATE(VALUE(MID(A61,7,4)),VALUE(MID(A61,4,2)),VALUE(MID(A61,1,2)))+TIME(VALUE(MID(A61,12,2)),VALUE(MID(A61,15,2)),VALUE(MID(A61,18,2))),"")))</f>
        <v/>
      </c>
    </row>
    <row r="62" customFormat="false" ht="15" hidden="false" customHeight="false" outlineLevel="0" collapsed="false">
      <c r="I62" s="15" t="str">
        <f aca="false">IF(N62="","",INT(N62))</f>
        <v/>
      </c>
      <c r="J62" s="16" t="str">
        <f aca="false">IF(B62="","",IF(N62=_xlfn.MINIFS($N$2:$N$5001,$B$2:$B$5001,B62),1,0))</f>
        <v/>
      </c>
      <c r="K62" s="16" t="str">
        <f aca="false">IF(B62="","",IF(AND(D62="Formalização",E62="Concluído"),IF(COUNTIFS($B$2:$B$5001,B62,$E$2:$E$5001,"Em ajustes",$N$2:$N$5001,"&lt;"&amp;I62)&gt;0,1,0),0))</f>
        <v/>
      </c>
      <c r="L62" s="16" t="str">
        <f aca="false">IF(B62="","",IF(N62=_xlfn.MAXIFS($N$2:$N$5001,$B$2:$B$5001,B62,$I$2:$I$5001,I62),1,0))</f>
        <v/>
      </c>
      <c r="M62" s="16" t="str">
        <f aca="false">IF(B62="","",IF(E62="Em ajustes",IF(N62=_xlfn.MINIFS($N$2:$N$5001,$B$2:$B$5001,B62,$E$2:$E$5001,"Em ajustes"),1,0),0))</f>
        <v/>
      </c>
      <c r="N62" s="17" t="str">
        <f aca="false">IF(A62="","",IF(ISNUMBER(A62),A62,IFERROR(DATE(VALUE(MID(A62,7,4)),VALUE(MID(A62,4,2)),VALUE(MID(A62,1,2)))+TIME(VALUE(MID(A62,12,2)),VALUE(MID(A62,15,2)),VALUE(MID(A62,18,2))),"")))</f>
        <v/>
      </c>
    </row>
    <row r="63" customFormat="false" ht="15" hidden="false" customHeight="false" outlineLevel="0" collapsed="false">
      <c r="I63" s="15" t="str">
        <f aca="false">IF(N63="","",INT(N63))</f>
        <v/>
      </c>
      <c r="J63" s="16" t="str">
        <f aca="false">IF(B63="","",IF(N63=_xlfn.MINIFS($N$2:$N$5001,$B$2:$B$5001,B63),1,0))</f>
        <v/>
      </c>
      <c r="K63" s="16" t="str">
        <f aca="false">IF(B63="","",IF(AND(D63="Formalização",E63="Concluído"),IF(COUNTIFS($B$2:$B$5001,B63,$E$2:$E$5001,"Em ajustes",$N$2:$N$5001,"&lt;"&amp;I63)&gt;0,1,0),0))</f>
        <v/>
      </c>
      <c r="L63" s="16" t="str">
        <f aca="false">IF(B63="","",IF(N63=_xlfn.MAXIFS($N$2:$N$5001,$B$2:$B$5001,B63,$I$2:$I$5001,I63),1,0))</f>
        <v/>
      </c>
      <c r="M63" s="16" t="str">
        <f aca="false">IF(B63="","",IF(E63="Em ajustes",IF(N63=_xlfn.MINIFS($N$2:$N$5001,$B$2:$B$5001,B63,$E$2:$E$5001,"Em ajustes"),1,0),0))</f>
        <v/>
      </c>
      <c r="N63" s="17" t="str">
        <f aca="false">IF(A63="","",IF(ISNUMBER(A63),A63,IFERROR(DATE(VALUE(MID(A63,7,4)),VALUE(MID(A63,4,2)),VALUE(MID(A63,1,2)))+TIME(VALUE(MID(A63,12,2)),VALUE(MID(A63,15,2)),VALUE(MID(A63,18,2))),"")))</f>
        <v/>
      </c>
    </row>
    <row r="64" customFormat="false" ht="15" hidden="false" customHeight="false" outlineLevel="0" collapsed="false">
      <c r="I64" s="15" t="str">
        <f aca="false">IF(N64="","",INT(N64))</f>
        <v/>
      </c>
      <c r="J64" s="16" t="str">
        <f aca="false">IF(B64="","",IF(N64=_xlfn.MINIFS($N$2:$N$5001,$B$2:$B$5001,B64),1,0))</f>
        <v/>
      </c>
      <c r="K64" s="16" t="str">
        <f aca="false">IF(B64="","",IF(AND(D64="Formalização",E64="Concluído"),IF(COUNTIFS($B$2:$B$5001,B64,$E$2:$E$5001,"Em ajustes",$N$2:$N$5001,"&lt;"&amp;I64)&gt;0,1,0),0))</f>
        <v/>
      </c>
      <c r="L64" s="16" t="str">
        <f aca="false">IF(B64="","",IF(N64=_xlfn.MAXIFS($N$2:$N$5001,$B$2:$B$5001,B64,$I$2:$I$5001,I64),1,0))</f>
        <v/>
      </c>
      <c r="M64" s="16" t="str">
        <f aca="false">IF(B64="","",IF(E64="Em ajustes",IF(N64=_xlfn.MINIFS($N$2:$N$5001,$B$2:$B$5001,B64,$E$2:$E$5001,"Em ajustes"),1,0),0))</f>
        <v/>
      </c>
      <c r="N64" s="17" t="str">
        <f aca="false">IF(A64="","",IF(ISNUMBER(A64),A64,IFERROR(DATE(VALUE(MID(A64,7,4)),VALUE(MID(A64,4,2)),VALUE(MID(A64,1,2)))+TIME(VALUE(MID(A64,12,2)),VALUE(MID(A64,15,2)),VALUE(MID(A64,18,2))),"")))</f>
        <v/>
      </c>
    </row>
    <row r="65" customFormat="false" ht="15" hidden="false" customHeight="false" outlineLevel="0" collapsed="false">
      <c r="I65" s="15" t="str">
        <f aca="false">IF(N65="","",INT(N65))</f>
        <v/>
      </c>
      <c r="J65" s="16" t="str">
        <f aca="false">IF(B65="","",IF(N65=_xlfn.MINIFS($N$2:$N$5001,$B$2:$B$5001,B65),1,0))</f>
        <v/>
      </c>
      <c r="K65" s="16" t="str">
        <f aca="false">IF(B65="","",IF(AND(D65="Formalização",E65="Concluído"),IF(COUNTIFS($B$2:$B$5001,B65,$E$2:$E$5001,"Em ajustes",$N$2:$N$5001,"&lt;"&amp;I65)&gt;0,1,0),0))</f>
        <v/>
      </c>
      <c r="L65" s="16" t="str">
        <f aca="false">IF(B65="","",IF(N65=_xlfn.MAXIFS($N$2:$N$5001,$B$2:$B$5001,B65,$I$2:$I$5001,I65),1,0))</f>
        <v/>
      </c>
      <c r="M65" s="16" t="str">
        <f aca="false">IF(B65="","",IF(E65="Em ajustes",IF(N65=_xlfn.MINIFS($N$2:$N$5001,$B$2:$B$5001,B65,$E$2:$E$5001,"Em ajustes"),1,0),0))</f>
        <v/>
      </c>
      <c r="N65" s="17" t="str">
        <f aca="false">IF(A65="","",IF(ISNUMBER(A65),A65,IFERROR(DATE(VALUE(MID(A65,7,4)),VALUE(MID(A65,4,2)),VALUE(MID(A65,1,2)))+TIME(VALUE(MID(A65,12,2)),VALUE(MID(A65,15,2)),VALUE(MID(A65,18,2))),"")))</f>
        <v/>
      </c>
    </row>
    <row r="66" customFormat="false" ht="15" hidden="false" customHeight="false" outlineLevel="0" collapsed="false">
      <c r="I66" s="15" t="str">
        <f aca="false">IF(N66="","",INT(N66))</f>
        <v/>
      </c>
      <c r="J66" s="16" t="str">
        <f aca="false">IF(B66="","",IF(N66=_xlfn.MINIFS($N$2:$N$5001,$B$2:$B$5001,B66),1,0))</f>
        <v/>
      </c>
      <c r="K66" s="16" t="str">
        <f aca="false">IF(B66="","",IF(AND(D66="Formalização",E66="Concluído"),IF(COUNTIFS($B$2:$B$5001,B66,$E$2:$E$5001,"Em ajustes",$N$2:$N$5001,"&lt;"&amp;I66)&gt;0,1,0),0))</f>
        <v/>
      </c>
      <c r="L66" s="16" t="str">
        <f aca="false">IF(B66="","",IF(N66=_xlfn.MAXIFS($N$2:$N$5001,$B$2:$B$5001,B66,$I$2:$I$5001,I66),1,0))</f>
        <v/>
      </c>
      <c r="M66" s="16" t="str">
        <f aca="false">IF(B66="","",IF(E66="Em ajustes",IF(N66=_xlfn.MINIFS($N$2:$N$5001,$B$2:$B$5001,B66,$E$2:$E$5001,"Em ajustes"),1,0),0))</f>
        <v/>
      </c>
      <c r="N66" s="17" t="str">
        <f aca="false">IF(A66="","",IF(ISNUMBER(A66),A66,IFERROR(DATE(VALUE(MID(A66,7,4)),VALUE(MID(A66,4,2)),VALUE(MID(A66,1,2)))+TIME(VALUE(MID(A66,12,2)),VALUE(MID(A66,15,2)),VALUE(MID(A66,18,2))),"")))</f>
        <v/>
      </c>
    </row>
    <row r="67" customFormat="false" ht="15" hidden="false" customHeight="false" outlineLevel="0" collapsed="false">
      <c r="I67" s="15" t="str">
        <f aca="false">IF(N67="","",INT(N67))</f>
        <v/>
      </c>
      <c r="J67" s="16" t="str">
        <f aca="false">IF(B67="","",IF(N67=_xlfn.MINIFS($N$2:$N$5001,$B$2:$B$5001,B67),1,0))</f>
        <v/>
      </c>
      <c r="K67" s="16" t="str">
        <f aca="false">IF(B67="","",IF(AND(D67="Formalização",E67="Concluído"),IF(COUNTIFS($B$2:$B$5001,B67,$E$2:$E$5001,"Em ajustes",$N$2:$N$5001,"&lt;"&amp;I67)&gt;0,1,0),0))</f>
        <v/>
      </c>
      <c r="L67" s="16" t="str">
        <f aca="false">IF(B67="","",IF(N67=_xlfn.MAXIFS($N$2:$N$5001,$B$2:$B$5001,B67,$I$2:$I$5001,I67),1,0))</f>
        <v/>
      </c>
      <c r="M67" s="16" t="str">
        <f aca="false">IF(B67="","",IF(E67="Em ajustes",IF(N67=_xlfn.MINIFS($N$2:$N$5001,$B$2:$B$5001,B67,$E$2:$E$5001,"Em ajustes"),1,0),0))</f>
        <v/>
      </c>
      <c r="N67" s="17" t="str">
        <f aca="false">IF(A67="","",IF(ISNUMBER(A67),A67,IFERROR(DATE(VALUE(MID(A67,7,4)),VALUE(MID(A67,4,2)),VALUE(MID(A67,1,2)))+TIME(VALUE(MID(A67,12,2)),VALUE(MID(A67,15,2)),VALUE(MID(A67,18,2))),"")))</f>
        <v/>
      </c>
    </row>
    <row r="68" customFormat="false" ht="15" hidden="false" customHeight="false" outlineLevel="0" collapsed="false">
      <c r="I68" s="15" t="str">
        <f aca="false">IF(N68="","",INT(N68))</f>
        <v/>
      </c>
      <c r="J68" s="16" t="str">
        <f aca="false">IF(B68="","",IF(N68=_xlfn.MINIFS($N$2:$N$5001,$B$2:$B$5001,B68),1,0))</f>
        <v/>
      </c>
      <c r="K68" s="16" t="str">
        <f aca="false">IF(B68="","",IF(AND(D68="Formalização",E68="Concluído"),IF(COUNTIFS($B$2:$B$5001,B68,$E$2:$E$5001,"Em ajustes",$N$2:$N$5001,"&lt;"&amp;I68)&gt;0,1,0),0))</f>
        <v/>
      </c>
      <c r="L68" s="16" t="str">
        <f aca="false">IF(B68="","",IF(N68=_xlfn.MAXIFS($N$2:$N$5001,$B$2:$B$5001,B68,$I$2:$I$5001,I68),1,0))</f>
        <v/>
      </c>
      <c r="M68" s="16" t="str">
        <f aca="false">IF(B68="","",IF(E68="Em ajustes",IF(N68=_xlfn.MINIFS($N$2:$N$5001,$B$2:$B$5001,B68,$E$2:$E$5001,"Em ajustes"),1,0),0))</f>
        <v/>
      </c>
      <c r="N68" s="17" t="str">
        <f aca="false">IF(A68="","",IF(ISNUMBER(A68),A68,IFERROR(DATE(VALUE(MID(A68,7,4)),VALUE(MID(A68,4,2)),VALUE(MID(A68,1,2)))+TIME(VALUE(MID(A68,12,2)),VALUE(MID(A68,15,2)),VALUE(MID(A68,18,2))),"")))</f>
        <v/>
      </c>
    </row>
    <row r="69" customFormat="false" ht="15" hidden="false" customHeight="false" outlineLevel="0" collapsed="false">
      <c r="I69" s="15" t="str">
        <f aca="false">IF(N69="","",INT(N69))</f>
        <v/>
      </c>
      <c r="J69" s="16" t="str">
        <f aca="false">IF(B69="","",IF(N69=_xlfn.MINIFS($N$2:$N$5001,$B$2:$B$5001,B69),1,0))</f>
        <v/>
      </c>
      <c r="K69" s="16" t="str">
        <f aca="false">IF(B69="","",IF(AND(D69="Formalização",E69="Concluído"),IF(COUNTIFS($B$2:$B$5001,B69,$E$2:$E$5001,"Em ajustes",$N$2:$N$5001,"&lt;"&amp;I69)&gt;0,1,0),0))</f>
        <v/>
      </c>
      <c r="L69" s="16" t="str">
        <f aca="false">IF(B69="","",IF(N69=_xlfn.MAXIFS($N$2:$N$5001,$B$2:$B$5001,B69,$I$2:$I$5001,I69),1,0))</f>
        <v/>
      </c>
      <c r="M69" s="16" t="str">
        <f aca="false">IF(B69="","",IF(E69="Em ajustes",IF(N69=_xlfn.MINIFS($N$2:$N$5001,$B$2:$B$5001,B69,$E$2:$E$5001,"Em ajustes"),1,0),0))</f>
        <v/>
      </c>
      <c r="N69" s="17" t="str">
        <f aca="false">IF(A69="","",IF(ISNUMBER(A69),A69,IFERROR(DATE(VALUE(MID(A69,7,4)),VALUE(MID(A69,4,2)),VALUE(MID(A69,1,2)))+TIME(VALUE(MID(A69,12,2)),VALUE(MID(A69,15,2)),VALUE(MID(A69,18,2))),"")))</f>
        <v/>
      </c>
    </row>
    <row r="70" customFormat="false" ht="15" hidden="false" customHeight="false" outlineLevel="0" collapsed="false">
      <c r="I70" s="15" t="str">
        <f aca="false">IF(N70="","",INT(N70))</f>
        <v/>
      </c>
      <c r="J70" s="16" t="str">
        <f aca="false">IF(B70="","",IF(N70=_xlfn.MINIFS($N$2:$N$5001,$B$2:$B$5001,B70),1,0))</f>
        <v/>
      </c>
      <c r="K70" s="16" t="str">
        <f aca="false">IF(B70="","",IF(AND(D70="Formalização",E70="Concluído"),IF(COUNTIFS($B$2:$B$5001,B70,$E$2:$E$5001,"Em ajustes",$N$2:$N$5001,"&lt;"&amp;I70)&gt;0,1,0),0))</f>
        <v/>
      </c>
      <c r="L70" s="16" t="str">
        <f aca="false">IF(B70="","",IF(N70=_xlfn.MAXIFS($N$2:$N$5001,$B$2:$B$5001,B70,$I$2:$I$5001,I70),1,0))</f>
        <v/>
      </c>
      <c r="M70" s="16" t="str">
        <f aca="false">IF(B70="","",IF(E70="Em ajustes",IF(N70=_xlfn.MINIFS($N$2:$N$5001,$B$2:$B$5001,B70,$E$2:$E$5001,"Em ajustes"),1,0),0))</f>
        <v/>
      </c>
      <c r="N70" s="17" t="str">
        <f aca="false">IF(A70="","",IF(ISNUMBER(A70),A70,IFERROR(DATE(VALUE(MID(A70,7,4)),VALUE(MID(A70,4,2)),VALUE(MID(A70,1,2)))+TIME(VALUE(MID(A70,12,2)),VALUE(MID(A70,15,2)),VALUE(MID(A70,18,2))),"")))</f>
        <v/>
      </c>
    </row>
    <row r="71" customFormat="false" ht="15" hidden="false" customHeight="false" outlineLevel="0" collapsed="false">
      <c r="I71" s="15" t="str">
        <f aca="false">IF(N71="","",INT(N71))</f>
        <v/>
      </c>
      <c r="J71" s="16" t="str">
        <f aca="false">IF(B71="","",IF(N71=_xlfn.MINIFS($N$2:$N$5001,$B$2:$B$5001,B71),1,0))</f>
        <v/>
      </c>
      <c r="K71" s="16" t="str">
        <f aca="false">IF(B71="","",IF(AND(D71="Formalização",E71="Concluído"),IF(COUNTIFS($B$2:$B$5001,B71,$E$2:$E$5001,"Em ajustes",$N$2:$N$5001,"&lt;"&amp;I71)&gt;0,1,0),0))</f>
        <v/>
      </c>
      <c r="L71" s="16" t="str">
        <f aca="false">IF(B71="","",IF(N71=_xlfn.MAXIFS($N$2:$N$5001,$B$2:$B$5001,B71,$I$2:$I$5001,I71),1,0))</f>
        <v/>
      </c>
      <c r="M71" s="16" t="str">
        <f aca="false">IF(B71="","",IF(E71="Em ajustes",IF(N71=_xlfn.MINIFS($N$2:$N$5001,$B$2:$B$5001,B71,$E$2:$E$5001,"Em ajustes"),1,0),0))</f>
        <v/>
      </c>
      <c r="N71" s="17" t="str">
        <f aca="false">IF(A71="","",IF(ISNUMBER(A71),A71,IFERROR(DATE(VALUE(MID(A71,7,4)),VALUE(MID(A71,4,2)),VALUE(MID(A71,1,2)))+TIME(VALUE(MID(A71,12,2)),VALUE(MID(A71,15,2)),VALUE(MID(A71,18,2))),"")))</f>
        <v/>
      </c>
    </row>
    <row r="72" customFormat="false" ht="15" hidden="false" customHeight="false" outlineLevel="0" collapsed="false">
      <c r="I72" s="15" t="str">
        <f aca="false">IF(N72="","",INT(N72))</f>
        <v/>
      </c>
      <c r="J72" s="16" t="str">
        <f aca="false">IF(B72="","",IF(N72=_xlfn.MINIFS($N$2:$N$5001,$B$2:$B$5001,B72),1,0))</f>
        <v/>
      </c>
      <c r="K72" s="16" t="str">
        <f aca="false">IF(B72="","",IF(AND(D72="Formalização",E72="Concluído"),IF(COUNTIFS($B$2:$B$5001,B72,$E$2:$E$5001,"Em ajustes",$N$2:$N$5001,"&lt;"&amp;I72)&gt;0,1,0),0))</f>
        <v/>
      </c>
      <c r="L72" s="16" t="str">
        <f aca="false">IF(B72="","",IF(N72=_xlfn.MAXIFS($N$2:$N$5001,$B$2:$B$5001,B72,$I$2:$I$5001,I72),1,0))</f>
        <v/>
      </c>
      <c r="M72" s="16" t="str">
        <f aca="false">IF(B72="","",IF(E72="Em ajustes",IF(N72=_xlfn.MINIFS($N$2:$N$5001,$B$2:$B$5001,B72,$E$2:$E$5001,"Em ajustes"),1,0),0))</f>
        <v/>
      </c>
      <c r="N72" s="17" t="str">
        <f aca="false">IF(A72="","",IF(ISNUMBER(A72),A72,IFERROR(DATE(VALUE(MID(A72,7,4)),VALUE(MID(A72,4,2)),VALUE(MID(A72,1,2)))+TIME(VALUE(MID(A72,12,2)),VALUE(MID(A72,15,2)),VALUE(MID(A72,18,2))),"")))</f>
        <v/>
      </c>
    </row>
    <row r="73" customFormat="false" ht="15" hidden="false" customHeight="false" outlineLevel="0" collapsed="false">
      <c r="I73" s="15" t="str">
        <f aca="false">IF(N73="","",INT(N73))</f>
        <v/>
      </c>
      <c r="J73" s="16" t="str">
        <f aca="false">IF(B73="","",IF(N73=_xlfn.MINIFS($N$2:$N$5001,$B$2:$B$5001,B73),1,0))</f>
        <v/>
      </c>
      <c r="K73" s="16" t="str">
        <f aca="false">IF(B73="","",IF(AND(D73="Formalização",E73="Concluído"),IF(COUNTIFS($B$2:$B$5001,B73,$E$2:$E$5001,"Em ajustes",$N$2:$N$5001,"&lt;"&amp;I73)&gt;0,1,0),0))</f>
        <v/>
      </c>
      <c r="L73" s="16" t="str">
        <f aca="false">IF(B73="","",IF(N73=_xlfn.MAXIFS($N$2:$N$5001,$B$2:$B$5001,B73,$I$2:$I$5001,I73),1,0))</f>
        <v/>
      </c>
      <c r="M73" s="16" t="str">
        <f aca="false">IF(B73="","",IF(E73="Em ajustes",IF(N73=_xlfn.MINIFS($N$2:$N$5001,$B$2:$B$5001,B73,$E$2:$E$5001,"Em ajustes"),1,0),0))</f>
        <v/>
      </c>
      <c r="N73" s="17" t="str">
        <f aca="false">IF(A73="","",IF(ISNUMBER(A73),A73,IFERROR(DATE(VALUE(MID(A73,7,4)),VALUE(MID(A73,4,2)),VALUE(MID(A73,1,2)))+TIME(VALUE(MID(A73,12,2)),VALUE(MID(A73,15,2)),VALUE(MID(A73,18,2))),"")))</f>
        <v/>
      </c>
    </row>
    <row r="74" customFormat="false" ht="15" hidden="false" customHeight="false" outlineLevel="0" collapsed="false">
      <c r="I74" s="15" t="str">
        <f aca="false">IF(N74="","",INT(N74))</f>
        <v/>
      </c>
      <c r="J74" s="16" t="str">
        <f aca="false">IF(B74="","",IF(N74=_xlfn.MINIFS($N$2:$N$5001,$B$2:$B$5001,B74),1,0))</f>
        <v/>
      </c>
      <c r="K74" s="16" t="str">
        <f aca="false">IF(B74="","",IF(AND(D74="Formalização",E74="Concluído"),IF(COUNTIFS($B$2:$B$5001,B74,$E$2:$E$5001,"Em ajustes",$N$2:$N$5001,"&lt;"&amp;I74)&gt;0,1,0),0))</f>
        <v/>
      </c>
      <c r="L74" s="16" t="str">
        <f aca="false">IF(B74="","",IF(N74=_xlfn.MAXIFS($N$2:$N$5001,$B$2:$B$5001,B74,$I$2:$I$5001,I74),1,0))</f>
        <v/>
      </c>
      <c r="M74" s="16" t="str">
        <f aca="false">IF(B74="","",IF(E74="Em ajustes",IF(N74=_xlfn.MINIFS($N$2:$N$5001,$B$2:$B$5001,B74,$E$2:$E$5001,"Em ajustes"),1,0),0))</f>
        <v/>
      </c>
      <c r="N74" s="17" t="str">
        <f aca="false">IF(A74="","",IF(ISNUMBER(A74),A74,IFERROR(DATE(VALUE(MID(A74,7,4)),VALUE(MID(A74,4,2)),VALUE(MID(A74,1,2)))+TIME(VALUE(MID(A74,12,2)),VALUE(MID(A74,15,2)),VALUE(MID(A74,18,2))),"")))</f>
        <v/>
      </c>
    </row>
    <row r="75" customFormat="false" ht="15" hidden="false" customHeight="false" outlineLevel="0" collapsed="false">
      <c r="I75" s="15" t="str">
        <f aca="false">IF(N75="","",INT(N75))</f>
        <v/>
      </c>
      <c r="J75" s="16" t="str">
        <f aca="false">IF(B75="","",IF(N75=_xlfn.MINIFS($N$2:$N$5001,$B$2:$B$5001,B75),1,0))</f>
        <v/>
      </c>
      <c r="K75" s="16" t="str">
        <f aca="false">IF(B75="","",IF(AND(D75="Formalização",E75="Concluído"),IF(COUNTIFS($B$2:$B$5001,B75,$E$2:$E$5001,"Em ajustes",$N$2:$N$5001,"&lt;"&amp;I75)&gt;0,1,0),0))</f>
        <v/>
      </c>
      <c r="L75" s="16" t="str">
        <f aca="false">IF(B75="","",IF(N75=_xlfn.MAXIFS($N$2:$N$5001,$B$2:$B$5001,B75,$I$2:$I$5001,I75),1,0))</f>
        <v/>
      </c>
      <c r="M75" s="16" t="str">
        <f aca="false">IF(B75="","",IF(E75="Em ajustes",IF(N75=_xlfn.MINIFS($N$2:$N$5001,$B$2:$B$5001,B75,$E$2:$E$5001,"Em ajustes"),1,0),0))</f>
        <v/>
      </c>
      <c r="N75" s="17" t="str">
        <f aca="false">IF(A75="","",IF(ISNUMBER(A75),A75,IFERROR(DATE(VALUE(MID(A75,7,4)),VALUE(MID(A75,4,2)),VALUE(MID(A75,1,2)))+TIME(VALUE(MID(A75,12,2)),VALUE(MID(A75,15,2)),VALUE(MID(A75,18,2))),"")))</f>
        <v/>
      </c>
    </row>
    <row r="76" customFormat="false" ht="15" hidden="false" customHeight="false" outlineLevel="0" collapsed="false">
      <c r="I76" s="15" t="str">
        <f aca="false">IF(N76="","",INT(N76))</f>
        <v/>
      </c>
      <c r="J76" s="16" t="str">
        <f aca="false">IF(B76="","",IF(N76=_xlfn.MINIFS($N$2:$N$5001,$B$2:$B$5001,B76),1,0))</f>
        <v/>
      </c>
      <c r="K76" s="16" t="str">
        <f aca="false">IF(B76="","",IF(AND(D76="Formalização",E76="Concluído"),IF(COUNTIFS($B$2:$B$5001,B76,$E$2:$E$5001,"Em ajustes",$N$2:$N$5001,"&lt;"&amp;I76)&gt;0,1,0),0))</f>
        <v/>
      </c>
      <c r="L76" s="16" t="str">
        <f aca="false">IF(B76="","",IF(N76=_xlfn.MAXIFS($N$2:$N$5001,$B$2:$B$5001,B76,$I$2:$I$5001,I76),1,0))</f>
        <v/>
      </c>
      <c r="M76" s="16" t="str">
        <f aca="false">IF(B76="","",IF(E76="Em ajustes",IF(N76=_xlfn.MINIFS($N$2:$N$5001,$B$2:$B$5001,B76,$E$2:$E$5001,"Em ajustes"),1,0),0))</f>
        <v/>
      </c>
      <c r="N76" s="17" t="str">
        <f aca="false">IF(A76="","",IF(ISNUMBER(A76),A76,IFERROR(DATE(VALUE(MID(A76,7,4)),VALUE(MID(A76,4,2)),VALUE(MID(A76,1,2)))+TIME(VALUE(MID(A76,12,2)),VALUE(MID(A76,15,2)),VALUE(MID(A76,18,2))),"")))</f>
        <v/>
      </c>
    </row>
    <row r="77" customFormat="false" ht="15" hidden="false" customHeight="false" outlineLevel="0" collapsed="false">
      <c r="I77" s="15" t="str">
        <f aca="false">IF(N77="","",INT(N77))</f>
        <v/>
      </c>
      <c r="J77" s="16" t="str">
        <f aca="false">IF(B77="","",IF(N77=_xlfn.MINIFS($N$2:$N$5001,$B$2:$B$5001,B77),1,0))</f>
        <v/>
      </c>
      <c r="K77" s="16" t="str">
        <f aca="false">IF(B77="","",IF(AND(D77="Formalização",E77="Concluído"),IF(COUNTIFS($B$2:$B$5001,B77,$E$2:$E$5001,"Em ajustes",$N$2:$N$5001,"&lt;"&amp;I77)&gt;0,1,0),0))</f>
        <v/>
      </c>
      <c r="L77" s="16" t="str">
        <f aca="false">IF(B77="","",IF(N77=_xlfn.MAXIFS($N$2:$N$5001,$B$2:$B$5001,B77,$I$2:$I$5001,I77),1,0))</f>
        <v/>
      </c>
      <c r="M77" s="16" t="str">
        <f aca="false">IF(B77="","",IF(E77="Em ajustes",IF(N77=_xlfn.MINIFS($N$2:$N$5001,$B$2:$B$5001,B77,$E$2:$E$5001,"Em ajustes"),1,0),0))</f>
        <v/>
      </c>
      <c r="N77" s="17" t="str">
        <f aca="false">IF(A77="","",IF(ISNUMBER(A77),A77,IFERROR(DATE(VALUE(MID(A77,7,4)),VALUE(MID(A77,4,2)),VALUE(MID(A77,1,2)))+TIME(VALUE(MID(A77,12,2)),VALUE(MID(A77,15,2)),VALUE(MID(A77,18,2))),"")))</f>
        <v/>
      </c>
    </row>
    <row r="78" customFormat="false" ht="15" hidden="false" customHeight="false" outlineLevel="0" collapsed="false">
      <c r="I78" s="15" t="str">
        <f aca="false">IF(N78="","",INT(N78))</f>
        <v/>
      </c>
      <c r="J78" s="16" t="str">
        <f aca="false">IF(B78="","",IF(N78=_xlfn.MINIFS($N$2:$N$5001,$B$2:$B$5001,B78),1,0))</f>
        <v/>
      </c>
      <c r="K78" s="16" t="str">
        <f aca="false">IF(B78="","",IF(AND(D78="Formalização",E78="Concluído"),IF(COUNTIFS($B$2:$B$5001,B78,$E$2:$E$5001,"Em ajustes",$N$2:$N$5001,"&lt;"&amp;I78)&gt;0,1,0),0))</f>
        <v/>
      </c>
      <c r="L78" s="16" t="str">
        <f aca="false">IF(B78="","",IF(N78=_xlfn.MAXIFS($N$2:$N$5001,$B$2:$B$5001,B78,$I$2:$I$5001,I78),1,0))</f>
        <v/>
      </c>
      <c r="M78" s="16" t="str">
        <f aca="false">IF(B78="","",IF(E78="Em ajustes",IF(N78=_xlfn.MINIFS($N$2:$N$5001,$B$2:$B$5001,B78,$E$2:$E$5001,"Em ajustes"),1,0),0))</f>
        <v/>
      </c>
      <c r="N78" s="17" t="str">
        <f aca="false">IF(A78="","",IF(ISNUMBER(A78),A78,IFERROR(DATE(VALUE(MID(A78,7,4)),VALUE(MID(A78,4,2)),VALUE(MID(A78,1,2)))+TIME(VALUE(MID(A78,12,2)),VALUE(MID(A78,15,2)),VALUE(MID(A78,18,2))),"")))</f>
        <v/>
      </c>
    </row>
    <row r="79" customFormat="false" ht="15" hidden="false" customHeight="false" outlineLevel="0" collapsed="false">
      <c r="I79" s="15" t="str">
        <f aca="false">IF(N79="","",INT(N79))</f>
        <v/>
      </c>
      <c r="J79" s="16" t="str">
        <f aca="false">IF(B79="","",IF(N79=_xlfn.MINIFS($N$2:$N$5001,$B$2:$B$5001,B79),1,0))</f>
        <v/>
      </c>
      <c r="K79" s="16" t="str">
        <f aca="false">IF(B79="","",IF(AND(D79="Formalização",E79="Concluído"),IF(COUNTIFS($B$2:$B$5001,B79,$E$2:$E$5001,"Em ajustes",$N$2:$N$5001,"&lt;"&amp;I79)&gt;0,1,0),0))</f>
        <v/>
      </c>
      <c r="L79" s="16" t="str">
        <f aca="false">IF(B79="","",IF(N79=_xlfn.MAXIFS($N$2:$N$5001,$B$2:$B$5001,B79,$I$2:$I$5001,I79),1,0))</f>
        <v/>
      </c>
      <c r="M79" s="16" t="str">
        <f aca="false">IF(B79="","",IF(E79="Em ajustes",IF(N79=_xlfn.MINIFS($N$2:$N$5001,$B$2:$B$5001,B79,$E$2:$E$5001,"Em ajustes"),1,0),0))</f>
        <v/>
      </c>
      <c r="N79" s="17" t="str">
        <f aca="false">IF(A79="","",IF(ISNUMBER(A79),A79,IFERROR(DATE(VALUE(MID(A79,7,4)),VALUE(MID(A79,4,2)),VALUE(MID(A79,1,2)))+TIME(VALUE(MID(A79,12,2)),VALUE(MID(A79,15,2)),VALUE(MID(A79,18,2))),"")))</f>
        <v/>
      </c>
    </row>
    <row r="80" customFormat="false" ht="15" hidden="false" customHeight="false" outlineLevel="0" collapsed="false">
      <c r="I80" s="15" t="str">
        <f aca="false">IF(N80="","",INT(N80))</f>
        <v/>
      </c>
      <c r="J80" s="16" t="str">
        <f aca="false">IF(B80="","",IF(N80=_xlfn.MINIFS($N$2:$N$5001,$B$2:$B$5001,B80),1,0))</f>
        <v/>
      </c>
      <c r="K80" s="16" t="str">
        <f aca="false">IF(B80="","",IF(AND(D80="Formalização",E80="Concluído"),IF(COUNTIFS($B$2:$B$5001,B80,$E$2:$E$5001,"Em ajustes",$N$2:$N$5001,"&lt;"&amp;I80)&gt;0,1,0),0))</f>
        <v/>
      </c>
      <c r="L80" s="16" t="str">
        <f aca="false">IF(B80="","",IF(N80=_xlfn.MAXIFS($N$2:$N$5001,$B$2:$B$5001,B80,$I$2:$I$5001,I80),1,0))</f>
        <v/>
      </c>
      <c r="M80" s="16" t="str">
        <f aca="false">IF(B80="","",IF(E80="Em ajustes",IF(N80=_xlfn.MINIFS($N$2:$N$5001,$B$2:$B$5001,B80,$E$2:$E$5001,"Em ajustes"),1,0),0))</f>
        <v/>
      </c>
      <c r="N80" s="17" t="str">
        <f aca="false">IF(A80="","",IF(ISNUMBER(A80),A80,IFERROR(DATE(VALUE(MID(A80,7,4)),VALUE(MID(A80,4,2)),VALUE(MID(A80,1,2)))+TIME(VALUE(MID(A80,12,2)),VALUE(MID(A80,15,2)),VALUE(MID(A80,18,2))),"")))</f>
        <v/>
      </c>
    </row>
    <row r="81" customFormat="false" ht="15" hidden="false" customHeight="false" outlineLevel="0" collapsed="false">
      <c r="I81" s="15" t="str">
        <f aca="false">IF(N81="","",INT(N81))</f>
        <v/>
      </c>
      <c r="J81" s="16" t="str">
        <f aca="false">IF(B81="","",IF(N81=_xlfn.MINIFS($N$2:$N$5001,$B$2:$B$5001,B81),1,0))</f>
        <v/>
      </c>
      <c r="K81" s="16" t="str">
        <f aca="false">IF(B81="","",IF(AND(D81="Formalização",E81="Concluído"),IF(COUNTIFS($B$2:$B$5001,B81,$E$2:$E$5001,"Em ajustes",$N$2:$N$5001,"&lt;"&amp;I81)&gt;0,1,0),0))</f>
        <v/>
      </c>
      <c r="L81" s="16" t="str">
        <f aca="false">IF(B81="","",IF(N81=_xlfn.MAXIFS($N$2:$N$5001,$B$2:$B$5001,B81,$I$2:$I$5001,I81),1,0))</f>
        <v/>
      </c>
      <c r="M81" s="16" t="str">
        <f aca="false">IF(B81="","",IF(E81="Em ajustes",IF(N81=_xlfn.MINIFS($N$2:$N$5001,$B$2:$B$5001,B81,$E$2:$E$5001,"Em ajustes"),1,0),0))</f>
        <v/>
      </c>
      <c r="N81" s="17" t="str">
        <f aca="false">IF(A81="","",IF(ISNUMBER(A81),A81,IFERROR(DATE(VALUE(MID(A81,7,4)),VALUE(MID(A81,4,2)),VALUE(MID(A81,1,2)))+TIME(VALUE(MID(A81,12,2)),VALUE(MID(A81,15,2)),VALUE(MID(A81,18,2))),"")))</f>
        <v/>
      </c>
    </row>
    <row r="82" customFormat="false" ht="15" hidden="false" customHeight="false" outlineLevel="0" collapsed="false">
      <c r="I82" s="15" t="str">
        <f aca="false">IF(N82="","",INT(N82))</f>
        <v/>
      </c>
      <c r="J82" s="16" t="str">
        <f aca="false">IF(B82="","",IF(N82=_xlfn.MINIFS($N$2:$N$5001,$B$2:$B$5001,B82),1,0))</f>
        <v/>
      </c>
      <c r="K82" s="16" t="str">
        <f aca="false">IF(B82="","",IF(AND(D82="Formalização",E82="Concluído"),IF(COUNTIFS($B$2:$B$5001,B82,$E$2:$E$5001,"Em ajustes",$N$2:$N$5001,"&lt;"&amp;I82)&gt;0,1,0),0))</f>
        <v/>
      </c>
      <c r="L82" s="16" t="str">
        <f aca="false">IF(B82="","",IF(N82=_xlfn.MAXIFS($N$2:$N$5001,$B$2:$B$5001,B82,$I$2:$I$5001,I82),1,0))</f>
        <v/>
      </c>
      <c r="M82" s="16" t="str">
        <f aca="false">IF(B82="","",IF(E82="Em ajustes",IF(N82=_xlfn.MINIFS($N$2:$N$5001,$B$2:$B$5001,B82,$E$2:$E$5001,"Em ajustes"),1,0),0))</f>
        <v/>
      </c>
      <c r="N82" s="17" t="str">
        <f aca="false">IF(A82="","",IF(ISNUMBER(A82),A82,IFERROR(DATE(VALUE(MID(A82,7,4)),VALUE(MID(A82,4,2)),VALUE(MID(A82,1,2)))+TIME(VALUE(MID(A82,12,2)),VALUE(MID(A82,15,2)),VALUE(MID(A82,18,2))),"")))</f>
        <v/>
      </c>
    </row>
    <row r="83" customFormat="false" ht="15" hidden="false" customHeight="false" outlineLevel="0" collapsed="false">
      <c r="I83" s="15" t="str">
        <f aca="false">IF(N83="","",INT(N83))</f>
        <v/>
      </c>
      <c r="J83" s="16" t="str">
        <f aca="false">IF(B83="","",IF(N83=_xlfn.MINIFS($N$2:$N$5001,$B$2:$B$5001,B83),1,0))</f>
        <v/>
      </c>
      <c r="K83" s="16" t="str">
        <f aca="false">IF(B83="","",IF(AND(D83="Formalização",E83="Concluído"),IF(COUNTIFS($B$2:$B$5001,B83,$E$2:$E$5001,"Em ajustes",$N$2:$N$5001,"&lt;"&amp;I83)&gt;0,1,0),0))</f>
        <v/>
      </c>
      <c r="L83" s="16" t="str">
        <f aca="false">IF(B83="","",IF(N83=_xlfn.MAXIFS($N$2:$N$5001,$B$2:$B$5001,B83,$I$2:$I$5001,I83),1,0))</f>
        <v/>
      </c>
      <c r="M83" s="16" t="str">
        <f aca="false">IF(B83="","",IF(E83="Em ajustes",IF(N83=_xlfn.MINIFS($N$2:$N$5001,$B$2:$B$5001,B83,$E$2:$E$5001,"Em ajustes"),1,0),0))</f>
        <v/>
      </c>
      <c r="N83" s="17" t="str">
        <f aca="false">IF(A83="","",IF(ISNUMBER(A83),A83,IFERROR(DATE(VALUE(MID(A83,7,4)),VALUE(MID(A83,4,2)),VALUE(MID(A83,1,2)))+TIME(VALUE(MID(A83,12,2)),VALUE(MID(A83,15,2)),VALUE(MID(A83,18,2))),"")))</f>
        <v/>
      </c>
    </row>
    <row r="84" customFormat="false" ht="15" hidden="false" customHeight="false" outlineLevel="0" collapsed="false">
      <c r="I84" s="15" t="str">
        <f aca="false">IF(N84="","",INT(N84))</f>
        <v/>
      </c>
      <c r="J84" s="16" t="str">
        <f aca="false">IF(B84="","",IF(N84=_xlfn.MINIFS($N$2:$N$5001,$B$2:$B$5001,B84),1,0))</f>
        <v/>
      </c>
      <c r="K84" s="16" t="str">
        <f aca="false">IF(B84="","",IF(AND(D84="Formalização",E84="Concluído"),IF(COUNTIFS($B$2:$B$5001,B84,$E$2:$E$5001,"Em ajustes",$N$2:$N$5001,"&lt;"&amp;I84)&gt;0,1,0),0))</f>
        <v/>
      </c>
      <c r="L84" s="16" t="str">
        <f aca="false">IF(B84="","",IF(N84=_xlfn.MAXIFS($N$2:$N$5001,$B$2:$B$5001,B84,$I$2:$I$5001,I84),1,0))</f>
        <v/>
      </c>
      <c r="M84" s="16" t="str">
        <f aca="false">IF(B84="","",IF(E84="Em ajustes",IF(N84=_xlfn.MINIFS($N$2:$N$5001,$B$2:$B$5001,B84,$E$2:$E$5001,"Em ajustes"),1,0),0))</f>
        <v/>
      </c>
      <c r="N84" s="17" t="str">
        <f aca="false">IF(A84="","",IF(ISNUMBER(A84),A84,IFERROR(DATE(VALUE(MID(A84,7,4)),VALUE(MID(A84,4,2)),VALUE(MID(A84,1,2)))+TIME(VALUE(MID(A84,12,2)),VALUE(MID(A84,15,2)),VALUE(MID(A84,18,2))),"")))</f>
        <v/>
      </c>
    </row>
    <row r="85" customFormat="false" ht="15" hidden="false" customHeight="false" outlineLevel="0" collapsed="false">
      <c r="I85" s="15" t="str">
        <f aca="false">IF(N85="","",INT(N85))</f>
        <v/>
      </c>
      <c r="J85" s="16" t="str">
        <f aca="false">IF(B85="","",IF(N85=_xlfn.MINIFS($N$2:$N$5001,$B$2:$B$5001,B85),1,0))</f>
        <v/>
      </c>
      <c r="K85" s="16" t="str">
        <f aca="false">IF(B85="","",IF(AND(D85="Formalização",E85="Concluído"),IF(COUNTIFS($B$2:$B$5001,B85,$E$2:$E$5001,"Em ajustes",$N$2:$N$5001,"&lt;"&amp;I85)&gt;0,1,0),0))</f>
        <v/>
      </c>
      <c r="L85" s="16" t="str">
        <f aca="false">IF(B85="","",IF(N85=_xlfn.MAXIFS($N$2:$N$5001,$B$2:$B$5001,B85,$I$2:$I$5001,I85),1,0))</f>
        <v/>
      </c>
      <c r="M85" s="16" t="str">
        <f aca="false">IF(B85="","",IF(E85="Em ajustes",IF(N85=_xlfn.MINIFS($N$2:$N$5001,$B$2:$B$5001,B85,$E$2:$E$5001,"Em ajustes"),1,0),0))</f>
        <v/>
      </c>
      <c r="N85" s="17" t="str">
        <f aca="false">IF(A85="","",IF(ISNUMBER(A85),A85,IFERROR(DATE(VALUE(MID(A85,7,4)),VALUE(MID(A85,4,2)),VALUE(MID(A85,1,2)))+TIME(VALUE(MID(A85,12,2)),VALUE(MID(A85,15,2)),VALUE(MID(A85,18,2))),"")))</f>
        <v/>
      </c>
    </row>
    <row r="86" customFormat="false" ht="15" hidden="false" customHeight="false" outlineLevel="0" collapsed="false">
      <c r="I86" s="15" t="str">
        <f aca="false">IF(N86="","",INT(N86))</f>
        <v/>
      </c>
      <c r="J86" s="16" t="str">
        <f aca="false">IF(B86="","",IF(N86=_xlfn.MINIFS($N$2:$N$5001,$B$2:$B$5001,B86),1,0))</f>
        <v/>
      </c>
      <c r="K86" s="16" t="str">
        <f aca="false">IF(B86="","",IF(AND(D86="Formalização",E86="Concluído"),IF(COUNTIFS($B$2:$B$5001,B86,$E$2:$E$5001,"Em ajustes",$N$2:$N$5001,"&lt;"&amp;I86)&gt;0,1,0),0))</f>
        <v/>
      </c>
      <c r="L86" s="16" t="str">
        <f aca="false">IF(B86="","",IF(N86=_xlfn.MAXIFS($N$2:$N$5001,$B$2:$B$5001,B86,$I$2:$I$5001,I86),1,0))</f>
        <v/>
      </c>
      <c r="M86" s="16" t="str">
        <f aca="false">IF(B86="","",IF(E86="Em ajustes",IF(N86=_xlfn.MINIFS($N$2:$N$5001,$B$2:$B$5001,B86,$E$2:$E$5001,"Em ajustes"),1,0),0))</f>
        <v/>
      </c>
      <c r="N86" s="17" t="str">
        <f aca="false">IF(A86="","",IF(ISNUMBER(A86),A86,IFERROR(DATE(VALUE(MID(A86,7,4)),VALUE(MID(A86,4,2)),VALUE(MID(A86,1,2)))+TIME(VALUE(MID(A86,12,2)),VALUE(MID(A86,15,2)),VALUE(MID(A86,18,2))),"")))</f>
        <v/>
      </c>
    </row>
    <row r="87" customFormat="false" ht="15" hidden="false" customHeight="false" outlineLevel="0" collapsed="false">
      <c r="I87" s="15" t="str">
        <f aca="false">IF(N87="","",INT(N87))</f>
        <v/>
      </c>
      <c r="J87" s="16" t="str">
        <f aca="false">IF(B87="","",IF(N87=_xlfn.MINIFS($N$2:$N$5001,$B$2:$B$5001,B87),1,0))</f>
        <v/>
      </c>
      <c r="K87" s="16" t="str">
        <f aca="false">IF(B87="","",IF(AND(D87="Formalização",E87="Concluído"),IF(COUNTIFS($B$2:$B$5001,B87,$E$2:$E$5001,"Em ajustes",$N$2:$N$5001,"&lt;"&amp;I87)&gt;0,1,0),0))</f>
        <v/>
      </c>
      <c r="L87" s="16" t="str">
        <f aca="false">IF(B87="","",IF(N87=_xlfn.MAXIFS($N$2:$N$5001,$B$2:$B$5001,B87,$I$2:$I$5001,I87),1,0))</f>
        <v/>
      </c>
      <c r="M87" s="16" t="str">
        <f aca="false">IF(B87="","",IF(E87="Em ajustes",IF(N87=_xlfn.MINIFS($N$2:$N$5001,$B$2:$B$5001,B87,$E$2:$E$5001,"Em ajustes"),1,0),0))</f>
        <v/>
      </c>
      <c r="N87" s="17" t="str">
        <f aca="false">IF(A87="","",IF(ISNUMBER(A87),A87,IFERROR(DATE(VALUE(MID(A87,7,4)),VALUE(MID(A87,4,2)),VALUE(MID(A87,1,2)))+TIME(VALUE(MID(A87,12,2)),VALUE(MID(A87,15,2)),VALUE(MID(A87,18,2))),"")))</f>
        <v/>
      </c>
    </row>
    <row r="88" customFormat="false" ht="15" hidden="false" customHeight="false" outlineLevel="0" collapsed="false">
      <c r="I88" s="15" t="str">
        <f aca="false">IF(N88="","",INT(N88))</f>
        <v/>
      </c>
      <c r="J88" s="16" t="str">
        <f aca="false">IF(B88="","",IF(N88=_xlfn.MINIFS($N$2:$N$5001,$B$2:$B$5001,B88),1,0))</f>
        <v/>
      </c>
      <c r="K88" s="16" t="str">
        <f aca="false">IF(B88="","",IF(AND(D88="Formalização",E88="Concluído"),IF(COUNTIFS($B$2:$B$5001,B88,$E$2:$E$5001,"Em ajustes",$N$2:$N$5001,"&lt;"&amp;I88)&gt;0,1,0),0))</f>
        <v/>
      </c>
      <c r="L88" s="16" t="str">
        <f aca="false">IF(B88="","",IF(N88=_xlfn.MAXIFS($N$2:$N$5001,$B$2:$B$5001,B88,$I$2:$I$5001,I88),1,0))</f>
        <v/>
      </c>
      <c r="M88" s="16" t="str">
        <f aca="false">IF(B88="","",IF(E88="Em ajustes",IF(N88=_xlfn.MINIFS($N$2:$N$5001,$B$2:$B$5001,B88,$E$2:$E$5001,"Em ajustes"),1,0),0))</f>
        <v/>
      </c>
      <c r="N88" s="17" t="str">
        <f aca="false">IF(A88="","",IF(ISNUMBER(A88),A88,IFERROR(DATE(VALUE(MID(A88,7,4)),VALUE(MID(A88,4,2)),VALUE(MID(A88,1,2)))+TIME(VALUE(MID(A88,12,2)),VALUE(MID(A88,15,2)),VALUE(MID(A88,18,2))),"")))</f>
        <v/>
      </c>
    </row>
    <row r="89" customFormat="false" ht="15" hidden="false" customHeight="false" outlineLevel="0" collapsed="false">
      <c r="I89" s="15" t="str">
        <f aca="false">IF(N89="","",INT(N89))</f>
        <v/>
      </c>
      <c r="J89" s="16" t="str">
        <f aca="false">IF(B89="","",IF(N89=_xlfn.MINIFS($N$2:$N$5001,$B$2:$B$5001,B89),1,0))</f>
        <v/>
      </c>
      <c r="K89" s="16" t="str">
        <f aca="false">IF(B89="","",IF(AND(D89="Formalização",E89="Concluído"),IF(COUNTIFS($B$2:$B$5001,B89,$E$2:$E$5001,"Em ajustes",$N$2:$N$5001,"&lt;"&amp;I89)&gt;0,1,0),0))</f>
        <v/>
      </c>
      <c r="L89" s="16" t="str">
        <f aca="false">IF(B89="","",IF(N89=_xlfn.MAXIFS($N$2:$N$5001,$B$2:$B$5001,B89,$I$2:$I$5001,I89),1,0))</f>
        <v/>
      </c>
      <c r="M89" s="16" t="str">
        <f aca="false">IF(B89="","",IF(E89="Em ajustes",IF(N89=_xlfn.MINIFS($N$2:$N$5001,$B$2:$B$5001,B89,$E$2:$E$5001,"Em ajustes"),1,0),0))</f>
        <v/>
      </c>
      <c r="N89" s="17" t="str">
        <f aca="false">IF(A89="","",IF(ISNUMBER(A89),A89,IFERROR(DATE(VALUE(MID(A89,7,4)),VALUE(MID(A89,4,2)),VALUE(MID(A89,1,2)))+TIME(VALUE(MID(A89,12,2)),VALUE(MID(A89,15,2)),VALUE(MID(A89,18,2))),"")))</f>
        <v/>
      </c>
    </row>
    <row r="90" customFormat="false" ht="15" hidden="false" customHeight="false" outlineLevel="0" collapsed="false">
      <c r="I90" s="15" t="str">
        <f aca="false">IF(N90="","",INT(N90))</f>
        <v/>
      </c>
      <c r="J90" s="16" t="str">
        <f aca="false">IF(B90="","",IF(N90=_xlfn.MINIFS($N$2:$N$5001,$B$2:$B$5001,B90),1,0))</f>
        <v/>
      </c>
      <c r="K90" s="16" t="str">
        <f aca="false">IF(B90="","",IF(AND(D90="Formalização",E90="Concluído"),IF(COUNTIFS($B$2:$B$5001,B90,$E$2:$E$5001,"Em ajustes",$N$2:$N$5001,"&lt;"&amp;I90)&gt;0,1,0),0))</f>
        <v/>
      </c>
      <c r="L90" s="16" t="str">
        <f aca="false">IF(B90="","",IF(N90=_xlfn.MAXIFS($N$2:$N$5001,$B$2:$B$5001,B90,$I$2:$I$5001,I90),1,0))</f>
        <v/>
      </c>
      <c r="M90" s="16" t="str">
        <f aca="false">IF(B90="","",IF(E90="Em ajustes",IF(N90=_xlfn.MINIFS($N$2:$N$5001,$B$2:$B$5001,B90,$E$2:$E$5001,"Em ajustes"),1,0),0))</f>
        <v/>
      </c>
      <c r="N90" s="17" t="str">
        <f aca="false">IF(A90="","",IF(ISNUMBER(A90),A90,IFERROR(DATE(VALUE(MID(A90,7,4)),VALUE(MID(A90,4,2)),VALUE(MID(A90,1,2)))+TIME(VALUE(MID(A90,12,2)),VALUE(MID(A90,15,2)),VALUE(MID(A90,18,2))),"")))</f>
        <v/>
      </c>
    </row>
    <row r="91" customFormat="false" ht="15" hidden="false" customHeight="false" outlineLevel="0" collapsed="false">
      <c r="I91" s="15" t="str">
        <f aca="false">IF(N91="","",INT(N91))</f>
        <v/>
      </c>
      <c r="J91" s="16" t="str">
        <f aca="false">IF(B91="","",IF(N91=_xlfn.MINIFS($N$2:$N$5001,$B$2:$B$5001,B91),1,0))</f>
        <v/>
      </c>
      <c r="K91" s="16" t="str">
        <f aca="false">IF(B91="","",IF(AND(D91="Formalização",E91="Concluído"),IF(COUNTIFS($B$2:$B$5001,B91,$E$2:$E$5001,"Em ajustes",$N$2:$N$5001,"&lt;"&amp;I91)&gt;0,1,0),0))</f>
        <v/>
      </c>
      <c r="L91" s="16" t="str">
        <f aca="false">IF(B91="","",IF(N91=_xlfn.MAXIFS($N$2:$N$5001,$B$2:$B$5001,B91,$I$2:$I$5001,I91),1,0))</f>
        <v/>
      </c>
      <c r="M91" s="16" t="str">
        <f aca="false">IF(B91="","",IF(E91="Em ajustes",IF(N91=_xlfn.MINIFS($N$2:$N$5001,$B$2:$B$5001,B91,$E$2:$E$5001,"Em ajustes"),1,0),0))</f>
        <v/>
      </c>
      <c r="N91" s="17" t="str">
        <f aca="false">IF(A91="","",IF(ISNUMBER(A91),A91,IFERROR(DATE(VALUE(MID(A91,7,4)),VALUE(MID(A91,4,2)),VALUE(MID(A91,1,2)))+TIME(VALUE(MID(A91,12,2)),VALUE(MID(A91,15,2)),VALUE(MID(A91,18,2))),"")))</f>
        <v/>
      </c>
    </row>
    <row r="92" customFormat="false" ht="15" hidden="false" customHeight="false" outlineLevel="0" collapsed="false">
      <c r="I92" s="15" t="str">
        <f aca="false">IF(N92="","",INT(N92))</f>
        <v/>
      </c>
      <c r="J92" s="16" t="str">
        <f aca="false">IF(B92="","",IF(N92=_xlfn.MINIFS($N$2:$N$5001,$B$2:$B$5001,B92),1,0))</f>
        <v/>
      </c>
      <c r="K92" s="16" t="str">
        <f aca="false">IF(B92="","",IF(AND(D92="Formalização",E92="Concluído"),IF(COUNTIFS($B$2:$B$5001,B92,$E$2:$E$5001,"Em ajustes",$N$2:$N$5001,"&lt;"&amp;I92)&gt;0,1,0),0))</f>
        <v/>
      </c>
      <c r="L92" s="16" t="str">
        <f aca="false">IF(B92="","",IF(N92=_xlfn.MAXIFS($N$2:$N$5001,$B$2:$B$5001,B92,$I$2:$I$5001,I92),1,0))</f>
        <v/>
      </c>
      <c r="M92" s="16" t="str">
        <f aca="false">IF(B92="","",IF(E92="Em ajustes",IF(N92=_xlfn.MINIFS($N$2:$N$5001,$B$2:$B$5001,B92,$E$2:$E$5001,"Em ajustes"),1,0),0))</f>
        <v/>
      </c>
      <c r="N92" s="17" t="str">
        <f aca="false">IF(A92="","",IF(ISNUMBER(A92),A92,IFERROR(DATE(VALUE(MID(A92,7,4)),VALUE(MID(A92,4,2)),VALUE(MID(A92,1,2)))+TIME(VALUE(MID(A92,12,2)),VALUE(MID(A92,15,2)),VALUE(MID(A92,18,2))),"")))</f>
        <v/>
      </c>
    </row>
    <row r="93" customFormat="false" ht="15" hidden="false" customHeight="false" outlineLevel="0" collapsed="false">
      <c r="I93" s="15" t="str">
        <f aca="false">IF(N93="","",INT(N93))</f>
        <v/>
      </c>
      <c r="J93" s="16" t="str">
        <f aca="false">IF(B93="","",IF(N93=_xlfn.MINIFS($N$2:$N$5001,$B$2:$B$5001,B93),1,0))</f>
        <v/>
      </c>
      <c r="K93" s="16" t="str">
        <f aca="false">IF(B93="","",IF(AND(D93="Formalização",E93="Concluído"),IF(COUNTIFS($B$2:$B$5001,B93,$E$2:$E$5001,"Em ajustes",$N$2:$N$5001,"&lt;"&amp;I93)&gt;0,1,0),0))</f>
        <v/>
      </c>
      <c r="L93" s="16" t="str">
        <f aca="false">IF(B93="","",IF(N93=_xlfn.MAXIFS($N$2:$N$5001,$B$2:$B$5001,B93,$I$2:$I$5001,I93),1,0))</f>
        <v/>
      </c>
      <c r="M93" s="16" t="str">
        <f aca="false">IF(B93="","",IF(E93="Em ajustes",IF(N93=_xlfn.MINIFS($N$2:$N$5001,$B$2:$B$5001,B93,$E$2:$E$5001,"Em ajustes"),1,0),0))</f>
        <v/>
      </c>
      <c r="N93" s="17" t="str">
        <f aca="false">IF(A93="","",IF(ISNUMBER(A93),A93,IFERROR(DATE(VALUE(MID(A93,7,4)),VALUE(MID(A93,4,2)),VALUE(MID(A93,1,2)))+TIME(VALUE(MID(A93,12,2)),VALUE(MID(A93,15,2)),VALUE(MID(A93,18,2))),"")))</f>
        <v/>
      </c>
    </row>
    <row r="94" customFormat="false" ht="15" hidden="false" customHeight="false" outlineLevel="0" collapsed="false">
      <c r="I94" s="15" t="str">
        <f aca="false">IF(N94="","",INT(N94))</f>
        <v/>
      </c>
      <c r="J94" s="16" t="str">
        <f aca="false">IF(B94="","",IF(N94=_xlfn.MINIFS($N$2:$N$5001,$B$2:$B$5001,B94),1,0))</f>
        <v/>
      </c>
      <c r="K94" s="16" t="str">
        <f aca="false">IF(B94="","",IF(AND(D94="Formalização",E94="Concluído"),IF(COUNTIFS($B$2:$B$5001,B94,$E$2:$E$5001,"Em ajustes",$N$2:$N$5001,"&lt;"&amp;I94)&gt;0,1,0),0))</f>
        <v/>
      </c>
      <c r="L94" s="16" t="str">
        <f aca="false">IF(B94="","",IF(N94=_xlfn.MAXIFS($N$2:$N$5001,$B$2:$B$5001,B94,$I$2:$I$5001,I94),1,0))</f>
        <v/>
      </c>
      <c r="M94" s="16" t="str">
        <f aca="false">IF(B94="","",IF(E94="Em ajustes",IF(N94=_xlfn.MINIFS($N$2:$N$5001,$B$2:$B$5001,B94,$E$2:$E$5001,"Em ajustes"),1,0),0))</f>
        <v/>
      </c>
      <c r="N94" s="17" t="str">
        <f aca="false">IF(A94="","",IF(ISNUMBER(A94),A94,IFERROR(DATE(VALUE(MID(A94,7,4)),VALUE(MID(A94,4,2)),VALUE(MID(A94,1,2)))+TIME(VALUE(MID(A94,12,2)),VALUE(MID(A94,15,2)),VALUE(MID(A94,18,2))),"")))</f>
        <v/>
      </c>
    </row>
    <row r="95" customFormat="false" ht="15" hidden="false" customHeight="false" outlineLevel="0" collapsed="false">
      <c r="I95" s="15" t="str">
        <f aca="false">IF(N95="","",INT(N95))</f>
        <v/>
      </c>
      <c r="J95" s="16" t="str">
        <f aca="false">IF(B95="","",IF(N95=_xlfn.MINIFS($N$2:$N$5001,$B$2:$B$5001,B95),1,0))</f>
        <v/>
      </c>
      <c r="K95" s="16" t="str">
        <f aca="false">IF(B95="","",IF(AND(D95="Formalização",E95="Concluído"),IF(COUNTIFS($B$2:$B$5001,B95,$E$2:$E$5001,"Em ajustes",$N$2:$N$5001,"&lt;"&amp;I95)&gt;0,1,0),0))</f>
        <v/>
      </c>
      <c r="L95" s="16" t="str">
        <f aca="false">IF(B95="","",IF(N95=_xlfn.MAXIFS($N$2:$N$5001,$B$2:$B$5001,B95,$I$2:$I$5001,I95),1,0))</f>
        <v/>
      </c>
      <c r="M95" s="16" t="str">
        <f aca="false">IF(B95="","",IF(E95="Em ajustes",IF(N95=_xlfn.MINIFS($N$2:$N$5001,$B$2:$B$5001,B95,$E$2:$E$5001,"Em ajustes"),1,0),0))</f>
        <v/>
      </c>
      <c r="N95" s="17" t="str">
        <f aca="false">IF(A95="","",IF(ISNUMBER(A95),A95,IFERROR(DATE(VALUE(MID(A95,7,4)),VALUE(MID(A95,4,2)),VALUE(MID(A95,1,2)))+TIME(VALUE(MID(A95,12,2)),VALUE(MID(A95,15,2)),VALUE(MID(A95,18,2))),"")))</f>
        <v/>
      </c>
    </row>
    <row r="96" customFormat="false" ht="15" hidden="false" customHeight="false" outlineLevel="0" collapsed="false">
      <c r="I96" s="15" t="str">
        <f aca="false">IF(N96="","",INT(N96))</f>
        <v/>
      </c>
      <c r="J96" s="16" t="str">
        <f aca="false">IF(B96="","",IF(N96=_xlfn.MINIFS($N$2:$N$5001,$B$2:$B$5001,B96),1,0))</f>
        <v/>
      </c>
      <c r="K96" s="16" t="str">
        <f aca="false">IF(B96="","",IF(AND(D96="Formalização",E96="Concluído"),IF(COUNTIFS($B$2:$B$5001,B96,$E$2:$E$5001,"Em ajustes",$N$2:$N$5001,"&lt;"&amp;I96)&gt;0,1,0),0))</f>
        <v/>
      </c>
      <c r="L96" s="16" t="str">
        <f aca="false">IF(B96="","",IF(N96=_xlfn.MAXIFS($N$2:$N$5001,$B$2:$B$5001,B96,$I$2:$I$5001,I96),1,0))</f>
        <v/>
      </c>
      <c r="M96" s="16" t="str">
        <f aca="false">IF(B96="","",IF(E96="Em ajustes",IF(N96=_xlfn.MINIFS($N$2:$N$5001,$B$2:$B$5001,B96,$E$2:$E$5001,"Em ajustes"),1,0),0))</f>
        <v/>
      </c>
      <c r="N96" s="17" t="str">
        <f aca="false">IF(A96="","",IF(ISNUMBER(A96),A96,IFERROR(DATE(VALUE(MID(A96,7,4)),VALUE(MID(A96,4,2)),VALUE(MID(A96,1,2)))+TIME(VALUE(MID(A96,12,2)),VALUE(MID(A96,15,2)),VALUE(MID(A96,18,2))),"")))</f>
        <v/>
      </c>
    </row>
    <row r="97" customFormat="false" ht="15" hidden="false" customHeight="false" outlineLevel="0" collapsed="false">
      <c r="I97" s="15" t="str">
        <f aca="false">IF(N97="","",INT(N97))</f>
        <v/>
      </c>
      <c r="J97" s="16" t="str">
        <f aca="false">IF(B97="","",IF(N97=_xlfn.MINIFS($N$2:$N$5001,$B$2:$B$5001,B97),1,0))</f>
        <v/>
      </c>
      <c r="K97" s="16" t="str">
        <f aca="false">IF(B97="","",IF(AND(D97="Formalização",E97="Concluído"),IF(COUNTIFS($B$2:$B$5001,B97,$E$2:$E$5001,"Em ajustes",$N$2:$N$5001,"&lt;"&amp;I97)&gt;0,1,0),0))</f>
        <v/>
      </c>
      <c r="L97" s="16" t="str">
        <f aca="false">IF(B97="","",IF(N97=_xlfn.MAXIFS($N$2:$N$5001,$B$2:$B$5001,B97,$I$2:$I$5001,I97),1,0))</f>
        <v/>
      </c>
      <c r="M97" s="16" t="str">
        <f aca="false">IF(B97="","",IF(E97="Em ajustes",IF(N97=_xlfn.MINIFS($N$2:$N$5001,$B$2:$B$5001,B97,$E$2:$E$5001,"Em ajustes"),1,0),0))</f>
        <v/>
      </c>
      <c r="N97" s="17" t="str">
        <f aca="false">IF(A97="","",IF(ISNUMBER(A97),A97,IFERROR(DATE(VALUE(MID(A97,7,4)),VALUE(MID(A97,4,2)),VALUE(MID(A97,1,2)))+TIME(VALUE(MID(A97,12,2)),VALUE(MID(A97,15,2)),VALUE(MID(A97,18,2))),"")))</f>
        <v/>
      </c>
    </row>
    <row r="98" customFormat="false" ht="15" hidden="false" customHeight="false" outlineLevel="0" collapsed="false">
      <c r="I98" s="15" t="str">
        <f aca="false">IF(N98="","",INT(N98))</f>
        <v/>
      </c>
      <c r="J98" s="16" t="str">
        <f aca="false">IF(B98="","",IF(N98=_xlfn.MINIFS($N$2:$N$5001,$B$2:$B$5001,B98),1,0))</f>
        <v/>
      </c>
      <c r="K98" s="16" t="str">
        <f aca="false">IF(B98="","",IF(AND(D98="Formalização",E98="Concluído"),IF(COUNTIFS($B$2:$B$5001,B98,$E$2:$E$5001,"Em ajustes",$N$2:$N$5001,"&lt;"&amp;I98)&gt;0,1,0),0))</f>
        <v/>
      </c>
      <c r="L98" s="16" t="str">
        <f aca="false">IF(B98="","",IF(N98=_xlfn.MAXIFS($N$2:$N$5001,$B$2:$B$5001,B98,$I$2:$I$5001,I98),1,0))</f>
        <v/>
      </c>
      <c r="M98" s="16" t="str">
        <f aca="false">IF(B98="","",IF(E98="Em ajustes",IF(N98=_xlfn.MINIFS($N$2:$N$5001,$B$2:$B$5001,B98,$E$2:$E$5001,"Em ajustes"),1,0),0))</f>
        <v/>
      </c>
      <c r="N98" s="17" t="str">
        <f aca="false">IF(A98="","",IF(ISNUMBER(A98),A98,IFERROR(DATE(VALUE(MID(A98,7,4)),VALUE(MID(A98,4,2)),VALUE(MID(A98,1,2)))+TIME(VALUE(MID(A98,12,2)),VALUE(MID(A98,15,2)),VALUE(MID(A98,18,2))),"")))</f>
        <v/>
      </c>
    </row>
    <row r="99" customFormat="false" ht="15" hidden="false" customHeight="false" outlineLevel="0" collapsed="false">
      <c r="I99" s="15" t="str">
        <f aca="false">IF(N99="","",INT(N99))</f>
        <v/>
      </c>
      <c r="J99" s="16" t="str">
        <f aca="false">IF(B99="","",IF(N99=_xlfn.MINIFS($N$2:$N$5001,$B$2:$B$5001,B99),1,0))</f>
        <v/>
      </c>
      <c r="K99" s="16" t="str">
        <f aca="false">IF(B99="","",IF(AND(D99="Formalização",E99="Concluído"),IF(COUNTIFS($B$2:$B$5001,B99,$E$2:$E$5001,"Em ajustes",$N$2:$N$5001,"&lt;"&amp;I99)&gt;0,1,0),0))</f>
        <v/>
      </c>
      <c r="L99" s="16" t="str">
        <f aca="false">IF(B99="","",IF(N99=_xlfn.MAXIFS($N$2:$N$5001,$B$2:$B$5001,B99,$I$2:$I$5001,I99),1,0))</f>
        <v/>
      </c>
      <c r="M99" s="16" t="str">
        <f aca="false">IF(B99="","",IF(E99="Em ajustes",IF(N99=_xlfn.MINIFS($N$2:$N$5001,$B$2:$B$5001,B99,$E$2:$E$5001,"Em ajustes"),1,0),0))</f>
        <v/>
      </c>
      <c r="N99" s="17" t="str">
        <f aca="false">IF(A99="","",IF(ISNUMBER(A99),A99,IFERROR(DATE(VALUE(MID(A99,7,4)),VALUE(MID(A99,4,2)),VALUE(MID(A99,1,2)))+TIME(VALUE(MID(A99,12,2)),VALUE(MID(A99,15,2)),VALUE(MID(A99,18,2))),"")))</f>
        <v/>
      </c>
    </row>
    <row r="100" customFormat="false" ht="15" hidden="false" customHeight="false" outlineLevel="0" collapsed="false">
      <c r="I100" s="15" t="str">
        <f aca="false">IF(N100="","",INT(N100))</f>
        <v/>
      </c>
      <c r="J100" s="16" t="str">
        <f aca="false">IF(B100="","",IF(N100=_xlfn.MINIFS($N$2:$N$5001,$B$2:$B$5001,B100),1,0))</f>
        <v/>
      </c>
      <c r="K100" s="16" t="str">
        <f aca="false">IF(B100="","",IF(AND(D100="Formalização",E100="Concluído"),IF(COUNTIFS($B$2:$B$5001,B100,$E$2:$E$5001,"Em ajustes",$N$2:$N$5001,"&lt;"&amp;I100)&gt;0,1,0),0))</f>
        <v/>
      </c>
      <c r="L100" s="16" t="str">
        <f aca="false">IF(B100="","",IF(N100=_xlfn.MAXIFS($N$2:$N$5001,$B$2:$B$5001,B100,$I$2:$I$5001,I100),1,0))</f>
        <v/>
      </c>
      <c r="M100" s="16" t="str">
        <f aca="false">IF(B100="","",IF(E100="Em ajustes",IF(N100=_xlfn.MINIFS($N$2:$N$5001,$B$2:$B$5001,B100,$E$2:$E$5001,"Em ajustes"),1,0),0))</f>
        <v/>
      </c>
      <c r="N100" s="17" t="str">
        <f aca="false">IF(A100="","",IF(ISNUMBER(A100),A100,IFERROR(DATE(VALUE(MID(A100,7,4)),VALUE(MID(A100,4,2)),VALUE(MID(A100,1,2)))+TIME(VALUE(MID(A100,12,2)),VALUE(MID(A100,15,2)),VALUE(MID(A100,18,2))),"")))</f>
        <v/>
      </c>
    </row>
    <row r="101" customFormat="false" ht="15" hidden="false" customHeight="false" outlineLevel="0" collapsed="false">
      <c r="I101" s="15" t="str">
        <f aca="false">IF(N101="","",INT(N101))</f>
        <v/>
      </c>
      <c r="J101" s="16" t="str">
        <f aca="false">IF(B101="","",IF(N101=_xlfn.MINIFS($N$2:$N$5001,$B$2:$B$5001,B101),1,0))</f>
        <v/>
      </c>
      <c r="K101" s="16" t="str">
        <f aca="false">IF(B101="","",IF(AND(D101="Formalização",E101="Concluído"),IF(COUNTIFS($B$2:$B$5001,B101,$E$2:$E$5001,"Em ajustes",$N$2:$N$5001,"&lt;"&amp;I101)&gt;0,1,0),0))</f>
        <v/>
      </c>
      <c r="L101" s="16" t="str">
        <f aca="false">IF(B101="","",IF(N101=_xlfn.MAXIFS($N$2:$N$5001,$B$2:$B$5001,B101,$I$2:$I$5001,I101),1,0))</f>
        <v/>
      </c>
      <c r="M101" s="16" t="str">
        <f aca="false">IF(B101="","",IF(E101="Em ajustes",IF(N101=_xlfn.MINIFS($N$2:$N$5001,$B$2:$B$5001,B101,$E$2:$E$5001,"Em ajustes"),1,0),0))</f>
        <v/>
      </c>
      <c r="N101" s="17" t="str">
        <f aca="false">IF(A101="","",IF(ISNUMBER(A101),A101,IFERROR(DATE(VALUE(MID(A101,7,4)),VALUE(MID(A101,4,2)),VALUE(MID(A101,1,2)))+TIME(VALUE(MID(A101,12,2)),VALUE(MID(A101,15,2)),VALUE(MID(A101,18,2))),"")))</f>
        <v/>
      </c>
    </row>
    <row r="102" customFormat="false" ht="15" hidden="false" customHeight="false" outlineLevel="0" collapsed="false">
      <c r="I102" s="15" t="str">
        <f aca="false">IF(N102="","",INT(N102))</f>
        <v/>
      </c>
      <c r="J102" s="16" t="str">
        <f aca="false">IF(B102="","",IF(N102=_xlfn.MINIFS($N$2:$N$5001,$B$2:$B$5001,B102),1,0))</f>
        <v/>
      </c>
      <c r="K102" s="16" t="str">
        <f aca="false">IF(B102="","",IF(AND(D102="Formalização",E102="Concluído"),IF(COUNTIFS($B$2:$B$5001,B102,$E$2:$E$5001,"Em ajustes",$N$2:$N$5001,"&lt;"&amp;I102)&gt;0,1,0),0))</f>
        <v/>
      </c>
      <c r="L102" s="16" t="str">
        <f aca="false">IF(B102="","",IF(N102=_xlfn.MAXIFS($N$2:$N$5001,$B$2:$B$5001,B102,$I$2:$I$5001,I102),1,0))</f>
        <v/>
      </c>
      <c r="M102" s="16" t="str">
        <f aca="false">IF(B102="","",IF(E102="Em ajustes",IF(N102=_xlfn.MINIFS($N$2:$N$5001,$B$2:$B$5001,B102,$E$2:$E$5001,"Em ajustes"),1,0),0))</f>
        <v/>
      </c>
      <c r="N102" s="17" t="str">
        <f aca="false">IF(A102="","",IF(ISNUMBER(A102),A102,IFERROR(DATE(VALUE(MID(A102,7,4)),VALUE(MID(A102,4,2)),VALUE(MID(A102,1,2)))+TIME(VALUE(MID(A102,12,2)),VALUE(MID(A102,15,2)),VALUE(MID(A102,18,2))),"")))</f>
        <v/>
      </c>
    </row>
    <row r="103" customFormat="false" ht="15" hidden="false" customHeight="false" outlineLevel="0" collapsed="false">
      <c r="I103" s="15" t="str">
        <f aca="false">IF(N103="","",INT(N103))</f>
        <v/>
      </c>
      <c r="J103" s="16" t="str">
        <f aca="false">IF(B103="","",IF(N103=_xlfn.MINIFS($N$2:$N$5001,$B$2:$B$5001,B103),1,0))</f>
        <v/>
      </c>
      <c r="K103" s="16" t="str">
        <f aca="false">IF(B103="","",IF(AND(D103="Formalização",E103="Concluído"),IF(COUNTIFS($B$2:$B$5001,B103,$E$2:$E$5001,"Em ajustes",$N$2:$N$5001,"&lt;"&amp;I103)&gt;0,1,0),0))</f>
        <v/>
      </c>
      <c r="L103" s="16" t="str">
        <f aca="false">IF(B103="","",IF(N103=_xlfn.MAXIFS($N$2:$N$5001,$B$2:$B$5001,B103,$I$2:$I$5001,I103),1,0))</f>
        <v/>
      </c>
      <c r="M103" s="16" t="str">
        <f aca="false">IF(B103="","",IF(E103="Em ajustes",IF(N103=_xlfn.MINIFS($N$2:$N$5001,$B$2:$B$5001,B103,$E$2:$E$5001,"Em ajustes"),1,0),0))</f>
        <v/>
      </c>
      <c r="N103" s="17" t="str">
        <f aca="false">IF(A103="","",IF(ISNUMBER(A103),A103,IFERROR(DATE(VALUE(MID(A103,7,4)),VALUE(MID(A103,4,2)),VALUE(MID(A103,1,2)))+TIME(VALUE(MID(A103,12,2)),VALUE(MID(A103,15,2)),VALUE(MID(A103,18,2))),"")))</f>
        <v/>
      </c>
    </row>
    <row r="104" customFormat="false" ht="15" hidden="false" customHeight="false" outlineLevel="0" collapsed="false">
      <c r="I104" s="15" t="str">
        <f aca="false">IF(N104="","",INT(N104))</f>
        <v/>
      </c>
      <c r="J104" s="16" t="str">
        <f aca="false">IF(B104="","",IF(N104=_xlfn.MINIFS($N$2:$N$5001,$B$2:$B$5001,B104),1,0))</f>
        <v/>
      </c>
      <c r="K104" s="16" t="str">
        <f aca="false">IF(B104="","",IF(AND(D104="Formalização",E104="Concluído"),IF(COUNTIFS($B$2:$B$5001,B104,$E$2:$E$5001,"Em ajustes",$N$2:$N$5001,"&lt;"&amp;I104)&gt;0,1,0),0))</f>
        <v/>
      </c>
      <c r="L104" s="16" t="str">
        <f aca="false">IF(B104="","",IF(N104=_xlfn.MAXIFS($N$2:$N$5001,$B$2:$B$5001,B104,$I$2:$I$5001,I104),1,0))</f>
        <v/>
      </c>
      <c r="M104" s="16" t="str">
        <f aca="false">IF(B104="","",IF(E104="Em ajustes",IF(N104=_xlfn.MINIFS($N$2:$N$5001,$B$2:$B$5001,B104,$E$2:$E$5001,"Em ajustes"),1,0),0))</f>
        <v/>
      </c>
      <c r="N104" s="17" t="str">
        <f aca="false">IF(A104="","",IF(ISNUMBER(A104),A104,IFERROR(DATE(VALUE(MID(A104,7,4)),VALUE(MID(A104,4,2)),VALUE(MID(A104,1,2)))+TIME(VALUE(MID(A104,12,2)),VALUE(MID(A104,15,2)),VALUE(MID(A104,18,2))),"")))</f>
        <v/>
      </c>
    </row>
    <row r="105" customFormat="false" ht="15" hidden="false" customHeight="false" outlineLevel="0" collapsed="false">
      <c r="I105" s="15" t="str">
        <f aca="false">IF(N105="","",INT(N105))</f>
        <v/>
      </c>
      <c r="J105" s="16" t="str">
        <f aca="false">IF(B105="","",IF(N105=_xlfn.MINIFS($N$2:$N$5001,$B$2:$B$5001,B105),1,0))</f>
        <v/>
      </c>
      <c r="K105" s="16" t="str">
        <f aca="false">IF(B105="","",IF(AND(D105="Formalização",E105="Concluído"),IF(COUNTIFS($B$2:$B$5001,B105,$E$2:$E$5001,"Em ajustes",$N$2:$N$5001,"&lt;"&amp;I105)&gt;0,1,0),0))</f>
        <v/>
      </c>
      <c r="L105" s="16" t="str">
        <f aca="false">IF(B105="","",IF(N105=_xlfn.MAXIFS($N$2:$N$5001,$B$2:$B$5001,B105,$I$2:$I$5001,I105),1,0))</f>
        <v/>
      </c>
      <c r="M105" s="16" t="str">
        <f aca="false">IF(B105="","",IF(E105="Em ajustes",IF(N105=_xlfn.MINIFS($N$2:$N$5001,$B$2:$B$5001,B105,$E$2:$E$5001,"Em ajustes"),1,0),0))</f>
        <v/>
      </c>
      <c r="N105" s="17" t="str">
        <f aca="false">IF(A105="","",IF(ISNUMBER(A105),A105,IFERROR(DATE(VALUE(MID(A105,7,4)),VALUE(MID(A105,4,2)),VALUE(MID(A105,1,2)))+TIME(VALUE(MID(A105,12,2)),VALUE(MID(A105,15,2)),VALUE(MID(A105,18,2))),"")))</f>
        <v/>
      </c>
    </row>
    <row r="106" customFormat="false" ht="15" hidden="false" customHeight="false" outlineLevel="0" collapsed="false">
      <c r="I106" s="15" t="str">
        <f aca="false">IF(N106="","",INT(N106))</f>
        <v/>
      </c>
      <c r="J106" s="16" t="str">
        <f aca="false">IF(B106="","",IF(N106=_xlfn.MINIFS($N$2:$N$5001,$B$2:$B$5001,B106),1,0))</f>
        <v/>
      </c>
      <c r="K106" s="16" t="str">
        <f aca="false">IF(B106="","",IF(AND(D106="Formalização",E106="Concluído"),IF(COUNTIFS($B$2:$B$5001,B106,$E$2:$E$5001,"Em ajustes",$N$2:$N$5001,"&lt;"&amp;I106)&gt;0,1,0),0))</f>
        <v/>
      </c>
      <c r="L106" s="16" t="str">
        <f aca="false">IF(B106="","",IF(N106=_xlfn.MAXIFS($N$2:$N$5001,$B$2:$B$5001,B106,$I$2:$I$5001,I106),1,0))</f>
        <v/>
      </c>
      <c r="M106" s="16" t="str">
        <f aca="false">IF(B106="","",IF(E106="Em ajustes",IF(N106=_xlfn.MINIFS($N$2:$N$5001,$B$2:$B$5001,B106,$E$2:$E$5001,"Em ajustes"),1,0),0))</f>
        <v/>
      </c>
      <c r="N106" s="17" t="str">
        <f aca="false">IF(A106="","",IF(ISNUMBER(A106),A106,IFERROR(DATE(VALUE(MID(A106,7,4)),VALUE(MID(A106,4,2)),VALUE(MID(A106,1,2)))+TIME(VALUE(MID(A106,12,2)),VALUE(MID(A106,15,2)),VALUE(MID(A106,18,2))),"")))</f>
        <v/>
      </c>
    </row>
    <row r="107" customFormat="false" ht="15" hidden="false" customHeight="false" outlineLevel="0" collapsed="false">
      <c r="I107" s="15" t="str">
        <f aca="false">IF(N107="","",INT(N107))</f>
        <v/>
      </c>
      <c r="J107" s="16" t="str">
        <f aca="false">IF(B107="","",IF(N107=_xlfn.MINIFS($N$2:$N$5001,$B$2:$B$5001,B107),1,0))</f>
        <v/>
      </c>
      <c r="K107" s="16" t="str">
        <f aca="false">IF(B107="","",IF(AND(D107="Formalização",E107="Concluído"),IF(COUNTIFS($B$2:$B$5001,B107,$E$2:$E$5001,"Em ajustes",$N$2:$N$5001,"&lt;"&amp;I107)&gt;0,1,0),0))</f>
        <v/>
      </c>
      <c r="L107" s="16" t="str">
        <f aca="false">IF(B107="","",IF(N107=_xlfn.MAXIFS($N$2:$N$5001,$B$2:$B$5001,B107,$I$2:$I$5001,I107),1,0))</f>
        <v/>
      </c>
      <c r="M107" s="16" t="str">
        <f aca="false">IF(B107="","",IF(E107="Em ajustes",IF(N107=_xlfn.MINIFS($N$2:$N$5001,$B$2:$B$5001,B107,$E$2:$E$5001,"Em ajustes"),1,0),0))</f>
        <v/>
      </c>
      <c r="N107" s="17" t="str">
        <f aca="false">IF(A107="","",IF(ISNUMBER(A107),A107,IFERROR(DATE(VALUE(MID(A107,7,4)),VALUE(MID(A107,4,2)),VALUE(MID(A107,1,2)))+TIME(VALUE(MID(A107,12,2)),VALUE(MID(A107,15,2)),VALUE(MID(A107,18,2))),"")))</f>
        <v/>
      </c>
    </row>
    <row r="108" customFormat="false" ht="15" hidden="false" customHeight="false" outlineLevel="0" collapsed="false">
      <c r="I108" s="15" t="str">
        <f aca="false">IF(N108="","",INT(N108))</f>
        <v/>
      </c>
      <c r="J108" s="16" t="str">
        <f aca="false">IF(B108="","",IF(N108=_xlfn.MINIFS($N$2:$N$5001,$B$2:$B$5001,B108),1,0))</f>
        <v/>
      </c>
      <c r="K108" s="16" t="str">
        <f aca="false">IF(B108="","",IF(AND(D108="Formalização",E108="Concluído"),IF(COUNTIFS($B$2:$B$5001,B108,$E$2:$E$5001,"Em ajustes",$N$2:$N$5001,"&lt;"&amp;I108)&gt;0,1,0),0))</f>
        <v/>
      </c>
      <c r="L108" s="16" t="str">
        <f aca="false">IF(B108="","",IF(N108=_xlfn.MAXIFS($N$2:$N$5001,$B$2:$B$5001,B108,$I$2:$I$5001,I108),1,0))</f>
        <v/>
      </c>
      <c r="M108" s="16" t="str">
        <f aca="false">IF(B108="","",IF(E108="Em ajustes",IF(N108=_xlfn.MINIFS($N$2:$N$5001,$B$2:$B$5001,B108,$E$2:$E$5001,"Em ajustes"),1,0),0))</f>
        <v/>
      </c>
      <c r="N108" s="17" t="str">
        <f aca="false">IF(A108="","",IF(ISNUMBER(A108),A108,IFERROR(DATE(VALUE(MID(A108,7,4)),VALUE(MID(A108,4,2)),VALUE(MID(A108,1,2)))+TIME(VALUE(MID(A108,12,2)),VALUE(MID(A108,15,2)),VALUE(MID(A108,18,2))),"")))</f>
        <v/>
      </c>
    </row>
    <row r="109" customFormat="false" ht="15" hidden="false" customHeight="false" outlineLevel="0" collapsed="false">
      <c r="I109" s="15" t="str">
        <f aca="false">IF(N109="","",INT(N109))</f>
        <v/>
      </c>
      <c r="J109" s="16" t="str">
        <f aca="false">IF(B109="","",IF(N109=_xlfn.MINIFS($N$2:$N$5001,$B$2:$B$5001,B109),1,0))</f>
        <v/>
      </c>
      <c r="K109" s="16" t="str">
        <f aca="false">IF(B109="","",IF(AND(D109="Formalização",E109="Concluído"),IF(COUNTIFS($B$2:$B$5001,B109,$E$2:$E$5001,"Em ajustes",$N$2:$N$5001,"&lt;"&amp;I109)&gt;0,1,0),0))</f>
        <v/>
      </c>
      <c r="L109" s="16" t="str">
        <f aca="false">IF(B109="","",IF(N109=_xlfn.MAXIFS($N$2:$N$5001,$B$2:$B$5001,B109,$I$2:$I$5001,I109),1,0))</f>
        <v/>
      </c>
      <c r="M109" s="16" t="str">
        <f aca="false">IF(B109="","",IF(E109="Em ajustes",IF(N109=_xlfn.MINIFS($N$2:$N$5001,$B$2:$B$5001,B109,$E$2:$E$5001,"Em ajustes"),1,0),0))</f>
        <v/>
      </c>
      <c r="N109" s="17" t="str">
        <f aca="false">IF(A109="","",IF(ISNUMBER(A109),A109,IFERROR(DATE(VALUE(MID(A109,7,4)),VALUE(MID(A109,4,2)),VALUE(MID(A109,1,2)))+TIME(VALUE(MID(A109,12,2)),VALUE(MID(A109,15,2)),VALUE(MID(A109,18,2))),"")))</f>
        <v/>
      </c>
    </row>
    <row r="110" customFormat="false" ht="15" hidden="false" customHeight="false" outlineLevel="0" collapsed="false">
      <c r="I110" s="15" t="str">
        <f aca="false">IF(N110="","",INT(N110))</f>
        <v/>
      </c>
      <c r="J110" s="16" t="str">
        <f aca="false">IF(B110="","",IF(N110=_xlfn.MINIFS($N$2:$N$5001,$B$2:$B$5001,B110),1,0))</f>
        <v/>
      </c>
      <c r="K110" s="16" t="str">
        <f aca="false">IF(B110="","",IF(AND(D110="Formalização",E110="Concluído"),IF(COUNTIFS($B$2:$B$5001,B110,$E$2:$E$5001,"Em ajustes",$N$2:$N$5001,"&lt;"&amp;I110)&gt;0,1,0),0))</f>
        <v/>
      </c>
      <c r="L110" s="16" t="str">
        <f aca="false">IF(B110="","",IF(N110=_xlfn.MAXIFS($N$2:$N$5001,$B$2:$B$5001,B110,$I$2:$I$5001,I110),1,0))</f>
        <v/>
      </c>
      <c r="M110" s="16" t="str">
        <f aca="false">IF(B110="","",IF(E110="Em ajustes",IF(N110=_xlfn.MINIFS($N$2:$N$5001,$B$2:$B$5001,B110,$E$2:$E$5001,"Em ajustes"),1,0),0))</f>
        <v/>
      </c>
      <c r="N110" s="17" t="str">
        <f aca="false">IF(A110="","",IF(ISNUMBER(A110),A110,IFERROR(DATE(VALUE(MID(A110,7,4)),VALUE(MID(A110,4,2)),VALUE(MID(A110,1,2)))+TIME(VALUE(MID(A110,12,2)),VALUE(MID(A110,15,2)),VALUE(MID(A110,18,2))),"")))</f>
        <v/>
      </c>
    </row>
    <row r="111" customFormat="false" ht="15" hidden="false" customHeight="false" outlineLevel="0" collapsed="false">
      <c r="I111" s="15" t="str">
        <f aca="false">IF(N111="","",INT(N111))</f>
        <v/>
      </c>
      <c r="J111" s="16" t="str">
        <f aca="false">IF(B111="","",IF(N111=_xlfn.MINIFS($N$2:$N$5001,$B$2:$B$5001,B111),1,0))</f>
        <v/>
      </c>
      <c r="K111" s="16" t="str">
        <f aca="false">IF(B111="","",IF(AND(D111="Formalização",E111="Concluído"),IF(COUNTIFS($B$2:$B$5001,B111,$E$2:$E$5001,"Em ajustes",$N$2:$N$5001,"&lt;"&amp;I111)&gt;0,1,0),0))</f>
        <v/>
      </c>
      <c r="L111" s="16" t="str">
        <f aca="false">IF(B111="","",IF(N111=_xlfn.MAXIFS($N$2:$N$5001,$B$2:$B$5001,B111,$I$2:$I$5001,I111),1,0))</f>
        <v/>
      </c>
      <c r="M111" s="16" t="str">
        <f aca="false">IF(B111="","",IF(E111="Em ajustes",IF(N111=_xlfn.MINIFS($N$2:$N$5001,$B$2:$B$5001,B111,$E$2:$E$5001,"Em ajustes"),1,0),0))</f>
        <v/>
      </c>
      <c r="N111" s="17" t="str">
        <f aca="false">IF(A111="","",IF(ISNUMBER(A111),A111,IFERROR(DATE(VALUE(MID(A111,7,4)),VALUE(MID(A111,4,2)),VALUE(MID(A111,1,2)))+TIME(VALUE(MID(A111,12,2)),VALUE(MID(A111,15,2)),VALUE(MID(A111,18,2))),"")))</f>
        <v/>
      </c>
    </row>
    <row r="112" customFormat="false" ht="15" hidden="false" customHeight="false" outlineLevel="0" collapsed="false">
      <c r="I112" s="15" t="str">
        <f aca="false">IF(N112="","",INT(N112))</f>
        <v/>
      </c>
      <c r="J112" s="16" t="str">
        <f aca="false">IF(B112="","",IF(N112=_xlfn.MINIFS($N$2:$N$5001,$B$2:$B$5001,B112),1,0))</f>
        <v/>
      </c>
      <c r="K112" s="16" t="str">
        <f aca="false">IF(B112="","",IF(AND(D112="Formalização",E112="Concluído"),IF(COUNTIFS($B$2:$B$5001,B112,$E$2:$E$5001,"Em ajustes",$N$2:$N$5001,"&lt;"&amp;I112)&gt;0,1,0),0))</f>
        <v/>
      </c>
      <c r="L112" s="16" t="str">
        <f aca="false">IF(B112="","",IF(N112=_xlfn.MAXIFS($N$2:$N$5001,$B$2:$B$5001,B112,$I$2:$I$5001,I112),1,0))</f>
        <v/>
      </c>
      <c r="M112" s="16" t="str">
        <f aca="false">IF(B112="","",IF(E112="Em ajustes",IF(N112=_xlfn.MINIFS($N$2:$N$5001,$B$2:$B$5001,B112,$E$2:$E$5001,"Em ajustes"),1,0),0))</f>
        <v/>
      </c>
      <c r="N112" s="17" t="str">
        <f aca="false">IF(A112="","",IF(ISNUMBER(A112),A112,IFERROR(DATE(VALUE(MID(A112,7,4)),VALUE(MID(A112,4,2)),VALUE(MID(A112,1,2)))+TIME(VALUE(MID(A112,12,2)),VALUE(MID(A112,15,2)),VALUE(MID(A112,18,2))),"")))</f>
        <v/>
      </c>
    </row>
    <row r="113" customFormat="false" ht="15" hidden="false" customHeight="false" outlineLevel="0" collapsed="false">
      <c r="I113" s="15" t="str">
        <f aca="false">IF(N113="","",INT(N113))</f>
        <v/>
      </c>
      <c r="J113" s="16" t="str">
        <f aca="false">IF(B113="","",IF(N113=_xlfn.MINIFS($N$2:$N$5001,$B$2:$B$5001,B113),1,0))</f>
        <v/>
      </c>
      <c r="K113" s="16" t="str">
        <f aca="false">IF(B113="","",IF(AND(D113="Formalização",E113="Concluído"),IF(COUNTIFS($B$2:$B$5001,B113,$E$2:$E$5001,"Em ajustes",$N$2:$N$5001,"&lt;"&amp;I113)&gt;0,1,0),0))</f>
        <v/>
      </c>
      <c r="L113" s="16" t="str">
        <f aca="false">IF(B113="","",IF(N113=_xlfn.MAXIFS($N$2:$N$5001,$B$2:$B$5001,B113,$I$2:$I$5001,I113),1,0))</f>
        <v/>
      </c>
      <c r="M113" s="16" t="str">
        <f aca="false">IF(B113="","",IF(E113="Em ajustes",IF(N113=_xlfn.MINIFS($N$2:$N$5001,$B$2:$B$5001,B113,$E$2:$E$5001,"Em ajustes"),1,0),0))</f>
        <v/>
      </c>
      <c r="N113" s="17" t="str">
        <f aca="false">IF(A113="","",IF(ISNUMBER(A113),A113,IFERROR(DATE(VALUE(MID(A113,7,4)),VALUE(MID(A113,4,2)),VALUE(MID(A113,1,2)))+TIME(VALUE(MID(A113,12,2)),VALUE(MID(A113,15,2)),VALUE(MID(A113,18,2))),"")))</f>
        <v/>
      </c>
    </row>
    <row r="114" customFormat="false" ht="15" hidden="false" customHeight="false" outlineLevel="0" collapsed="false">
      <c r="I114" s="15" t="str">
        <f aca="false">IF(N114="","",INT(N114))</f>
        <v/>
      </c>
      <c r="J114" s="16" t="str">
        <f aca="false">IF(B114="","",IF(N114=_xlfn.MINIFS($N$2:$N$5001,$B$2:$B$5001,B114),1,0))</f>
        <v/>
      </c>
      <c r="K114" s="16" t="str">
        <f aca="false">IF(B114="","",IF(AND(D114="Formalização",E114="Concluído"),IF(COUNTIFS($B$2:$B$5001,B114,$E$2:$E$5001,"Em ajustes",$N$2:$N$5001,"&lt;"&amp;I114)&gt;0,1,0),0))</f>
        <v/>
      </c>
      <c r="L114" s="16" t="str">
        <f aca="false">IF(B114="","",IF(N114=_xlfn.MAXIFS($N$2:$N$5001,$B$2:$B$5001,B114,$I$2:$I$5001,I114),1,0))</f>
        <v/>
      </c>
      <c r="M114" s="16" t="str">
        <f aca="false">IF(B114="","",IF(E114="Em ajustes",IF(N114=_xlfn.MINIFS($N$2:$N$5001,$B$2:$B$5001,B114,$E$2:$E$5001,"Em ajustes"),1,0),0))</f>
        <v/>
      </c>
      <c r="N114" s="17" t="str">
        <f aca="false">IF(A114="","",IF(ISNUMBER(A114),A114,IFERROR(DATE(VALUE(MID(A114,7,4)),VALUE(MID(A114,4,2)),VALUE(MID(A114,1,2)))+TIME(VALUE(MID(A114,12,2)),VALUE(MID(A114,15,2)),VALUE(MID(A114,18,2))),"")))</f>
        <v/>
      </c>
    </row>
    <row r="115" customFormat="false" ht="15" hidden="false" customHeight="false" outlineLevel="0" collapsed="false">
      <c r="I115" s="15" t="str">
        <f aca="false">IF(N115="","",INT(N115))</f>
        <v/>
      </c>
      <c r="J115" s="16" t="str">
        <f aca="false">IF(B115="","",IF(N115=_xlfn.MINIFS($N$2:$N$5001,$B$2:$B$5001,B115),1,0))</f>
        <v/>
      </c>
      <c r="K115" s="16" t="str">
        <f aca="false">IF(B115="","",IF(AND(D115="Formalização",E115="Concluído"),IF(COUNTIFS($B$2:$B$5001,B115,$E$2:$E$5001,"Em ajustes",$N$2:$N$5001,"&lt;"&amp;I115)&gt;0,1,0),0))</f>
        <v/>
      </c>
      <c r="L115" s="16" t="str">
        <f aca="false">IF(B115="","",IF(N115=_xlfn.MAXIFS($N$2:$N$5001,$B$2:$B$5001,B115,$I$2:$I$5001,I115),1,0))</f>
        <v/>
      </c>
      <c r="M115" s="16" t="str">
        <f aca="false">IF(B115="","",IF(E115="Em ajustes",IF(N115=_xlfn.MINIFS($N$2:$N$5001,$B$2:$B$5001,B115,$E$2:$E$5001,"Em ajustes"),1,0),0))</f>
        <v/>
      </c>
      <c r="N115" s="17" t="str">
        <f aca="false">IF(A115="","",IF(ISNUMBER(A115),A115,IFERROR(DATE(VALUE(MID(A115,7,4)),VALUE(MID(A115,4,2)),VALUE(MID(A115,1,2)))+TIME(VALUE(MID(A115,12,2)),VALUE(MID(A115,15,2)),VALUE(MID(A115,18,2))),"")))</f>
        <v/>
      </c>
    </row>
    <row r="116" customFormat="false" ht="15" hidden="false" customHeight="false" outlineLevel="0" collapsed="false">
      <c r="I116" s="15" t="str">
        <f aca="false">IF(N116="","",INT(N116))</f>
        <v/>
      </c>
      <c r="J116" s="16" t="str">
        <f aca="false">IF(B116="","",IF(N116=_xlfn.MINIFS($N$2:$N$5001,$B$2:$B$5001,B116),1,0))</f>
        <v/>
      </c>
      <c r="K116" s="16" t="str">
        <f aca="false">IF(B116="","",IF(AND(D116="Formalização",E116="Concluído"),IF(COUNTIFS($B$2:$B$5001,B116,$E$2:$E$5001,"Em ajustes",$N$2:$N$5001,"&lt;"&amp;I116)&gt;0,1,0),0))</f>
        <v/>
      </c>
      <c r="L116" s="16" t="str">
        <f aca="false">IF(B116="","",IF(N116=_xlfn.MAXIFS($N$2:$N$5001,$B$2:$B$5001,B116,$I$2:$I$5001,I116),1,0))</f>
        <v/>
      </c>
      <c r="M116" s="16" t="str">
        <f aca="false">IF(B116="","",IF(E116="Em ajustes",IF(N116=_xlfn.MINIFS($N$2:$N$5001,$B$2:$B$5001,B116,$E$2:$E$5001,"Em ajustes"),1,0),0))</f>
        <v/>
      </c>
      <c r="N116" s="17" t="str">
        <f aca="false">IF(A116="","",IF(ISNUMBER(A116),A116,IFERROR(DATE(VALUE(MID(A116,7,4)),VALUE(MID(A116,4,2)),VALUE(MID(A116,1,2)))+TIME(VALUE(MID(A116,12,2)),VALUE(MID(A116,15,2)),VALUE(MID(A116,18,2))),"")))</f>
        <v/>
      </c>
    </row>
    <row r="117" customFormat="false" ht="15" hidden="false" customHeight="false" outlineLevel="0" collapsed="false">
      <c r="I117" s="15" t="str">
        <f aca="false">IF(N117="","",INT(N117))</f>
        <v/>
      </c>
      <c r="J117" s="16" t="str">
        <f aca="false">IF(B117="","",IF(N117=_xlfn.MINIFS($N$2:$N$5001,$B$2:$B$5001,B117),1,0))</f>
        <v/>
      </c>
      <c r="K117" s="16" t="str">
        <f aca="false">IF(B117="","",IF(AND(D117="Formalização",E117="Concluído"),IF(COUNTIFS($B$2:$B$5001,B117,$E$2:$E$5001,"Em ajustes",$N$2:$N$5001,"&lt;"&amp;I117)&gt;0,1,0),0))</f>
        <v/>
      </c>
      <c r="L117" s="16" t="str">
        <f aca="false">IF(B117="","",IF(N117=_xlfn.MAXIFS($N$2:$N$5001,$B$2:$B$5001,B117,$I$2:$I$5001,I117),1,0))</f>
        <v/>
      </c>
      <c r="M117" s="16" t="str">
        <f aca="false">IF(B117="","",IF(E117="Em ajustes",IF(N117=_xlfn.MINIFS($N$2:$N$5001,$B$2:$B$5001,B117,$E$2:$E$5001,"Em ajustes"),1,0),0))</f>
        <v/>
      </c>
      <c r="N117" s="17" t="str">
        <f aca="false">IF(A117="","",IF(ISNUMBER(A117),A117,IFERROR(DATE(VALUE(MID(A117,7,4)),VALUE(MID(A117,4,2)),VALUE(MID(A117,1,2)))+TIME(VALUE(MID(A117,12,2)),VALUE(MID(A117,15,2)),VALUE(MID(A117,18,2))),"")))</f>
        <v/>
      </c>
    </row>
    <row r="118" customFormat="false" ht="15" hidden="false" customHeight="false" outlineLevel="0" collapsed="false">
      <c r="I118" s="15" t="str">
        <f aca="false">IF(N118="","",INT(N118))</f>
        <v/>
      </c>
      <c r="J118" s="16" t="str">
        <f aca="false">IF(B118="","",IF(N118=_xlfn.MINIFS($N$2:$N$5001,$B$2:$B$5001,B118),1,0))</f>
        <v/>
      </c>
      <c r="K118" s="16" t="str">
        <f aca="false">IF(B118="","",IF(AND(D118="Formalização",E118="Concluído"),IF(COUNTIFS($B$2:$B$5001,B118,$E$2:$E$5001,"Em ajustes",$N$2:$N$5001,"&lt;"&amp;I118)&gt;0,1,0),0))</f>
        <v/>
      </c>
      <c r="L118" s="16" t="str">
        <f aca="false">IF(B118="","",IF(N118=_xlfn.MAXIFS($N$2:$N$5001,$B$2:$B$5001,B118,$I$2:$I$5001,I118),1,0))</f>
        <v/>
      </c>
      <c r="M118" s="16" t="str">
        <f aca="false">IF(B118="","",IF(E118="Em ajustes",IF(N118=_xlfn.MINIFS($N$2:$N$5001,$B$2:$B$5001,B118,$E$2:$E$5001,"Em ajustes"),1,0),0))</f>
        <v/>
      </c>
      <c r="N118" s="17" t="str">
        <f aca="false">IF(A118="","",IF(ISNUMBER(A118),A118,IFERROR(DATE(VALUE(MID(A118,7,4)),VALUE(MID(A118,4,2)),VALUE(MID(A118,1,2)))+TIME(VALUE(MID(A118,12,2)),VALUE(MID(A118,15,2)),VALUE(MID(A118,18,2))),"")))</f>
        <v/>
      </c>
    </row>
    <row r="119" customFormat="false" ht="15" hidden="false" customHeight="false" outlineLevel="0" collapsed="false">
      <c r="I119" s="15" t="str">
        <f aca="false">IF(N119="","",INT(N119))</f>
        <v/>
      </c>
      <c r="J119" s="16" t="str">
        <f aca="false">IF(B119="","",IF(N119=_xlfn.MINIFS($N$2:$N$5001,$B$2:$B$5001,B119),1,0))</f>
        <v/>
      </c>
      <c r="K119" s="16" t="str">
        <f aca="false">IF(B119="","",IF(AND(D119="Formalização",E119="Concluído"),IF(COUNTIFS($B$2:$B$5001,B119,$E$2:$E$5001,"Em ajustes",$N$2:$N$5001,"&lt;"&amp;I119)&gt;0,1,0),0))</f>
        <v/>
      </c>
      <c r="L119" s="16" t="str">
        <f aca="false">IF(B119="","",IF(N119=_xlfn.MAXIFS($N$2:$N$5001,$B$2:$B$5001,B119,$I$2:$I$5001,I119),1,0))</f>
        <v/>
      </c>
      <c r="M119" s="16" t="str">
        <f aca="false">IF(B119="","",IF(E119="Em ajustes",IF(N119=_xlfn.MINIFS($N$2:$N$5001,$B$2:$B$5001,B119,$E$2:$E$5001,"Em ajustes"),1,0),0))</f>
        <v/>
      </c>
      <c r="N119" s="17" t="str">
        <f aca="false">IF(A119="","",IF(ISNUMBER(A119),A119,IFERROR(DATE(VALUE(MID(A119,7,4)),VALUE(MID(A119,4,2)),VALUE(MID(A119,1,2)))+TIME(VALUE(MID(A119,12,2)),VALUE(MID(A119,15,2)),VALUE(MID(A119,18,2))),"")))</f>
        <v/>
      </c>
    </row>
    <row r="120" customFormat="false" ht="15" hidden="false" customHeight="false" outlineLevel="0" collapsed="false">
      <c r="I120" s="15" t="str">
        <f aca="false">IF(N120="","",INT(N120))</f>
        <v/>
      </c>
      <c r="J120" s="16" t="str">
        <f aca="false">IF(B120="","",IF(N120=_xlfn.MINIFS($N$2:$N$5001,$B$2:$B$5001,B120),1,0))</f>
        <v/>
      </c>
      <c r="K120" s="16" t="str">
        <f aca="false">IF(B120="","",IF(AND(D120="Formalização",E120="Concluído"),IF(COUNTIFS($B$2:$B$5001,B120,$E$2:$E$5001,"Em ajustes",$N$2:$N$5001,"&lt;"&amp;I120)&gt;0,1,0),0))</f>
        <v/>
      </c>
      <c r="L120" s="16" t="str">
        <f aca="false">IF(B120="","",IF(N120=_xlfn.MAXIFS($N$2:$N$5001,$B$2:$B$5001,B120,$I$2:$I$5001,I120),1,0))</f>
        <v/>
      </c>
      <c r="M120" s="16" t="str">
        <f aca="false">IF(B120="","",IF(E120="Em ajustes",IF(N120=_xlfn.MINIFS($N$2:$N$5001,$B$2:$B$5001,B120,$E$2:$E$5001,"Em ajustes"),1,0),0))</f>
        <v/>
      </c>
      <c r="N120" s="17" t="str">
        <f aca="false">IF(A120="","",IF(ISNUMBER(A120),A120,IFERROR(DATE(VALUE(MID(A120,7,4)),VALUE(MID(A120,4,2)),VALUE(MID(A120,1,2)))+TIME(VALUE(MID(A120,12,2)),VALUE(MID(A120,15,2)),VALUE(MID(A120,18,2))),"")))</f>
        <v/>
      </c>
    </row>
    <row r="121" customFormat="false" ht="15" hidden="false" customHeight="false" outlineLevel="0" collapsed="false">
      <c r="I121" s="15" t="str">
        <f aca="false">IF(N121="","",INT(N121))</f>
        <v/>
      </c>
      <c r="J121" s="16" t="str">
        <f aca="false">IF(B121="","",IF(N121=_xlfn.MINIFS($N$2:$N$5001,$B$2:$B$5001,B121),1,0))</f>
        <v/>
      </c>
      <c r="K121" s="16" t="str">
        <f aca="false">IF(B121="","",IF(AND(D121="Formalização",E121="Concluído"),IF(COUNTIFS($B$2:$B$5001,B121,$E$2:$E$5001,"Em ajustes",$N$2:$N$5001,"&lt;"&amp;I121)&gt;0,1,0),0))</f>
        <v/>
      </c>
      <c r="L121" s="16" t="str">
        <f aca="false">IF(B121="","",IF(N121=_xlfn.MAXIFS($N$2:$N$5001,$B$2:$B$5001,B121,$I$2:$I$5001,I121),1,0))</f>
        <v/>
      </c>
      <c r="M121" s="16" t="str">
        <f aca="false">IF(B121="","",IF(E121="Em ajustes",IF(N121=_xlfn.MINIFS($N$2:$N$5001,$B$2:$B$5001,B121,$E$2:$E$5001,"Em ajustes"),1,0),0))</f>
        <v/>
      </c>
      <c r="N121" s="17" t="str">
        <f aca="false">IF(A121="","",IF(ISNUMBER(A121),A121,IFERROR(DATE(VALUE(MID(A121,7,4)),VALUE(MID(A121,4,2)),VALUE(MID(A121,1,2)))+TIME(VALUE(MID(A121,12,2)),VALUE(MID(A121,15,2)),VALUE(MID(A121,18,2))),"")))</f>
        <v/>
      </c>
    </row>
    <row r="122" customFormat="false" ht="15" hidden="false" customHeight="false" outlineLevel="0" collapsed="false">
      <c r="I122" s="15" t="str">
        <f aca="false">IF(N122="","",INT(N122))</f>
        <v/>
      </c>
      <c r="J122" s="16" t="str">
        <f aca="false">IF(B122="","",IF(N122=_xlfn.MINIFS($N$2:$N$5001,$B$2:$B$5001,B122),1,0))</f>
        <v/>
      </c>
      <c r="K122" s="16" t="str">
        <f aca="false">IF(B122="","",IF(AND(D122="Formalização",E122="Concluído"),IF(COUNTIFS($B$2:$B$5001,B122,$E$2:$E$5001,"Em ajustes",$N$2:$N$5001,"&lt;"&amp;I122)&gt;0,1,0),0))</f>
        <v/>
      </c>
      <c r="L122" s="16" t="str">
        <f aca="false">IF(B122="","",IF(N122=_xlfn.MAXIFS($N$2:$N$5001,$B$2:$B$5001,B122,$I$2:$I$5001,I122),1,0))</f>
        <v/>
      </c>
      <c r="M122" s="16" t="str">
        <f aca="false">IF(B122="","",IF(E122="Em ajustes",IF(N122=_xlfn.MINIFS($N$2:$N$5001,$B$2:$B$5001,B122,$E$2:$E$5001,"Em ajustes"),1,0),0))</f>
        <v/>
      </c>
      <c r="N122" s="17" t="str">
        <f aca="false">IF(A122="","",IF(ISNUMBER(A122),A122,IFERROR(DATE(VALUE(MID(A122,7,4)),VALUE(MID(A122,4,2)),VALUE(MID(A122,1,2)))+TIME(VALUE(MID(A122,12,2)),VALUE(MID(A122,15,2)),VALUE(MID(A122,18,2))),"")))</f>
        <v/>
      </c>
    </row>
    <row r="123" customFormat="false" ht="15" hidden="false" customHeight="false" outlineLevel="0" collapsed="false">
      <c r="I123" s="15" t="str">
        <f aca="false">IF(N123="","",INT(N123))</f>
        <v/>
      </c>
      <c r="J123" s="16" t="str">
        <f aca="false">IF(B123="","",IF(N123=_xlfn.MINIFS($N$2:$N$5001,$B$2:$B$5001,B123),1,0))</f>
        <v/>
      </c>
      <c r="K123" s="16" t="str">
        <f aca="false">IF(B123="","",IF(AND(D123="Formalização",E123="Concluído"),IF(COUNTIFS($B$2:$B$5001,B123,$E$2:$E$5001,"Em ajustes",$N$2:$N$5001,"&lt;"&amp;I123)&gt;0,1,0),0))</f>
        <v/>
      </c>
      <c r="L123" s="16" t="str">
        <f aca="false">IF(B123="","",IF(N123=_xlfn.MAXIFS($N$2:$N$5001,$B$2:$B$5001,B123,$I$2:$I$5001,I123),1,0))</f>
        <v/>
      </c>
      <c r="M123" s="16" t="str">
        <f aca="false">IF(B123="","",IF(E123="Em ajustes",IF(N123=_xlfn.MINIFS($N$2:$N$5001,$B$2:$B$5001,B123,$E$2:$E$5001,"Em ajustes"),1,0),0))</f>
        <v/>
      </c>
      <c r="N123" s="17" t="str">
        <f aca="false">IF(A123="","",IF(ISNUMBER(A123),A123,IFERROR(DATE(VALUE(MID(A123,7,4)),VALUE(MID(A123,4,2)),VALUE(MID(A123,1,2)))+TIME(VALUE(MID(A123,12,2)),VALUE(MID(A123,15,2)),VALUE(MID(A123,18,2))),"")))</f>
        <v/>
      </c>
    </row>
    <row r="124" customFormat="false" ht="15" hidden="false" customHeight="false" outlineLevel="0" collapsed="false">
      <c r="I124" s="15" t="str">
        <f aca="false">IF(N124="","",INT(N124))</f>
        <v/>
      </c>
      <c r="J124" s="16" t="str">
        <f aca="false">IF(B124="","",IF(N124=_xlfn.MINIFS($N$2:$N$5001,$B$2:$B$5001,B124),1,0))</f>
        <v/>
      </c>
      <c r="K124" s="16" t="str">
        <f aca="false">IF(B124="","",IF(AND(D124="Formalização",E124="Concluído"),IF(COUNTIFS($B$2:$B$5001,B124,$E$2:$E$5001,"Em ajustes",$N$2:$N$5001,"&lt;"&amp;I124)&gt;0,1,0),0))</f>
        <v/>
      </c>
      <c r="L124" s="16" t="str">
        <f aca="false">IF(B124="","",IF(N124=_xlfn.MAXIFS($N$2:$N$5001,$B$2:$B$5001,B124,$I$2:$I$5001,I124),1,0))</f>
        <v/>
      </c>
      <c r="M124" s="16" t="str">
        <f aca="false">IF(B124="","",IF(E124="Em ajustes",IF(N124=_xlfn.MINIFS($N$2:$N$5001,$B$2:$B$5001,B124,$E$2:$E$5001,"Em ajustes"),1,0),0))</f>
        <v/>
      </c>
      <c r="N124" s="17" t="str">
        <f aca="false">IF(A124="","",IF(ISNUMBER(A124),A124,IFERROR(DATE(VALUE(MID(A124,7,4)),VALUE(MID(A124,4,2)),VALUE(MID(A124,1,2)))+TIME(VALUE(MID(A124,12,2)),VALUE(MID(A124,15,2)),VALUE(MID(A124,18,2))),"")))</f>
        <v/>
      </c>
    </row>
    <row r="125" customFormat="false" ht="15" hidden="false" customHeight="false" outlineLevel="0" collapsed="false">
      <c r="I125" s="15" t="str">
        <f aca="false">IF(N125="","",INT(N125))</f>
        <v/>
      </c>
      <c r="J125" s="16" t="str">
        <f aca="false">IF(B125="","",IF(N125=_xlfn.MINIFS($N$2:$N$5001,$B$2:$B$5001,B125),1,0))</f>
        <v/>
      </c>
      <c r="K125" s="16" t="str">
        <f aca="false">IF(B125="","",IF(AND(D125="Formalização",E125="Concluído"),IF(COUNTIFS($B$2:$B$5001,B125,$E$2:$E$5001,"Em ajustes",$N$2:$N$5001,"&lt;"&amp;I125)&gt;0,1,0),0))</f>
        <v/>
      </c>
      <c r="L125" s="16" t="str">
        <f aca="false">IF(B125="","",IF(N125=_xlfn.MAXIFS($N$2:$N$5001,$B$2:$B$5001,B125,$I$2:$I$5001,I125),1,0))</f>
        <v/>
      </c>
      <c r="M125" s="16" t="str">
        <f aca="false">IF(B125="","",IF(E125="Em ajustes",IF(N125=_xlfn.MINIFS($N$2:$N$5001,$B$2:$B$5001,B125,$E$2:$E$5001,"Em ajustes"),1,0),0))</f>
        <v/>
      </c>
      <c r="N125" s="17" t="str">
        <f aca="false">IF(A125="","",IF(ISNUMBER(A125),A125,IFERROR(DATE(VALUE(MID(A125,7,4)),VALUE(MID(A125,4,2)),VALUE(MID(A125,1,2)))+TIME(VALUE(MID(A125,12,2)),VALUE(MID(A125,15,2)),VALUE(MID(A125,18,2))),"")))</f>
        <v/>
      </c>
    </row>
    <row r="126" customFormat="false" ht="15" hidden="false" customHeight="false" outlineLevel="0" collapsed="false">
      <c r="I126" s="15" t="str">
        <f aca="false">IF(N126="","",INT(N126))</f>
        <v/>
      </c>
      <c r="J126" s="16" t="str">
        <f aca="false">IF(B126="","",IF(N126=_xlfn.MINIFS($N$2:$N$5001,$B$2:$B$5001,B126),1,0))</f>
        <v/>
      </c>
      <c r="K126" s="16" t="str">
        <f aca="false">IF(B126="","",IF(AND(D126="Formalização",E126="Concluído"),IF(COUNTIFS($B$2:$B$5001,B126,$E$2:$E$5001,"Em ajustes",$N$2:$N$5001,"&lt;"&amp;I126)&gt;0,1,0),0))</f>
        <v/>
      </c>
      <c r="L126" s="16" t="str">
        <f aca="false">IF(B126="","",IF(N126=_xlfn.MAXIFS($N$2:$N$5001,$B$2:$B$5001,B126,$I$2:$I$5001,I126),1,0))</f>
        <v/>
      </c>
      <c r="M126" s="16" t="str">
        <f aca="false">IF(B126="","",IF(E126="Em ajustes",IF(N126=_xlfn.MINIFS($N$2:$N$5001,$B$2:$B$5001,B126,$E$2:$E$5001,"Em ajustes"),1,0),0))</f>
        <v/>
      </c>
      <c r="N126" s="17" t="str">
        <f aca="false">IF(A126="","",IF(ISNUMBER(A126),A126,IFERROR(DATE(VALUE(MID(A126,7,4)),VALUE(MID(A126,4,2)),VALUE(MID(A126,1,2)))+TIME(VALUE(MID(A126,12,2)),VALUE(MID(A126,15,2)),VALUE(MID(A126,18,2))),"")))</f>
        <v/>
      </c>
    </row>
    <row r="127" customFormat="false" ht="15" hidden="false" customHeight="false" outlineLevel="0" collapsed="false">
      <c r="I127" s="15" t="str">
        <f aca="false">IF(N127="","",INT(N127))</f>
        <v/>
      </c>
      <c r="J127" s="16" t="str">
        <f aca="false">IF(B127="","",IF(N127=_xlfn.MINIFS($N$2:$N$5001,$B$2:$B$5001,B127),1,0))</f>
        <v/>
      </c>
      <c r="K127" s="16" t="str">
        <f aca="false">IF(B127="","",IF(AND(D127="Formalização",E127="Concluído"),IF(COUNTIFS($B$2:$B$5001,B127,$E$2:$E$5001,"Em ajustes",$N$2:$N$5001,"&lt;"&amp;I127)&gt;0,1,0),0))</f>
        <v/>
      </c>
      <c r="L127" s="16" t="str">
        <f aca="false">IF(B127="","",IF(N127=_xlfn.MAXIFS($N$2:$N$5001,$B$2:$B$5001,B127,$I$2:$I$5001,I127),1,0))</f>
        <v/>
      </c>
      <c r="M127" s="16" t="str">
        <f aca="false">IF(B127="","",IF(E127="Em ajustes",IF(N127=_xlfn.MINIFS($N$2:$N$5001,$B$2:$B$5001,B127,$E$2:$E$5001,"Em ajustes"),1,0),0))</f>
        <v/>
      </c>
      <c r="N127" s="17" t="str">
        <f aca="false">IF(A127="","",IF(ISNUMBER(A127),A127,IFERROR(DATE(VALUE(MID(A127,7,4)),VALUE(MID(A127,4,2)),VALUE(MID(A127,1,2)))+TIME(VALUE(MID(A127,12,2)),VALUE(MID(A127,15,2)),VALUE(MID(A127,18,2))),"")))</f>
        <v/>
      </c>
    </row>
    <row r="128" customFormat="false" ht="15" hidden="false" customHeight="false" outlineLevel="0" collapsed="false">
      <c r="I128" s="15" t="str">
        <f aca="false">IF(N128="","",INT(N128))</f>
        <v/>
      </c>
      <c r="J128" s="16" t="str">
        <f aca="false">IF(B128="","",IF(N128=_xlfn.MINIFS($N$2:$N$5001,$B$2:$B$5001,B128),1,0))</f>
        <v/>
      </c>
      <c r="K128" s="16" t="str">
        <f aca="false">IF(B128="","",IF(AND(D128="Formalização",E128="Concluído"),IF(COUNTIFS($B$2:$B$5001,B128,$E$2:$E$5001,"Em ajustes",$N$2:$N$5001,"&lt;"&amp;I128)&gt;0,1,0),0))</f>
        <v/>
      </c>
      <c r="L128" s="16" t="str">
        <f aca="false">IF(B128="","",IF(N128=_xlfn.MAXIFS($N$2:$N$5001,$B$2:$B$5001,B128,$I$2:$I$5001,I128),1,0))</f>
        <v/>
      </c>
      <c r="M128" s="16" t="str">
        <f aca="false">IF(B128="","",IF(E128="Em ajustes",IF(N128=_xlfn.MINIFS($N$2:$N$5001,$B$2:$B$5001,B128,$E$2:$E$5001,"Em ajustes"),1,0),0))</f>
        <v/>
      </c>
      <c r="N128" s="17" t="str">
        <f aca="false">IF(A128="","",IF(ISNUMBER(A128),A128,IFERROR(DATE(VALUE(MID(A128,7,4)),VALUE(MID(A128,4,2)),VALUE(MID(A128,1,2)))+TIME(VALUE(MID(A128,12,2)),VALUE(MID(A128,15,2)),VALUE(MID(A128,18,2))),"")))</f>
        <v/>
      </c>
    </row>
    <row r="129" customFormat="false" ht="15" hidden="false" customHeight="false" outlineLevel="0" collapsed="false">
      <c r="I129" s="15" t="str">
        <f aca="false">IF(N129="","",INT(N129))</f>
        <v/>
      </c>
      <c r="J129" s="16" t="str">
        <f aca="false">IF(B129="","",IF(N129=_xlfn.MINIFS($N$2:$N$5001,$B$2:$B$5001,B129),1,0))</f>
        <v/>
      </c>
      <c r="K129" s="16" t="str">
        <f aca="false">IF(B129="","",IF(AND(D129="Formalização",E129="Concluído"),IF(COUNTIFS($B$2:$B$5001,B129,$E$2:$E$5001,"Em ajustes",$N$2:$N$5001,"&lt;"&amp;I129)&gt;0,1,0),0))</f>
        <v/>
      </c>
      <c r="L129" s="16" t="str">
        <f aca="false">IF(B129="","",IF(N129=_xlfn.MAXIFS($N$2:$N$5001,$B$2:$B$5001,B129,$I$2:$I$5001,I129),1,0))</f>
        <v/>
      </c>
      <c r="M129" s="16" t="str">
        <f aca="false">IF(B129="","",IF(E129="Em ajustes",IF(N129=_xlfn.MINIFS($N$2:$N$5001,$B$2:$B$5001,B129,$E$2:$E$5001,"Em ajustes"),1,0),0))</f>
        <v/>
      </c>
      <c r="N129" s="17" t="str">
        <f aca="false">IF(A129="","",IF(ISNUMBER(A129),A129,IFERROR(DATE(VALUE(MID(A129,7,4)),VALUE(MID(A129,4,2)),VALUE(MID(A129,1,2)))+TIME(VALUE(MID(A129,12,2)),VALUE(MID(A129,15,2)),VALUE(MID(A129,18,2))),"")))</f>
        <v/>
      </c>
    </row>
    <row r="130" customFormat="false" ht="15" hidden="false" customHeight="false" outlineLevel="0" collapsed="false">
      <c r="I130" s="15" t="str">
        <f aca="false">IF(N130="","",INT(N130))</f>
        <v/>
      </c>
      <c r="J130" s="16" t="str">
        <f aca="false">IF(B130="","",IF(N130=_xlfn.MINIFS($N$2:$N$5001,$B$2:$B$5001,B130),1,0))</f>
        <v/>
      </c>
      <c r="K130" s="16" t="str">
        <f aca="false">IF(B130="","",IF(AND(D130="Formalização",E130="Concluído"),IF(COUNTIFS($B$2:$B$5001,B130,$E$2:$E$5001,"Em ajustes",$N$2:$N$5001,"&lt;"&amp;I130)&gt;0,1,0),0))</f>
        <v/>
      </c>
      <c r="L130" s="16" t="str">
        <f aca="false">IF(B130="","",IF(N130=_xlfn.MAXIFS($N$2:$N$5001,$B$2:$B$5001,B130,$I$2:$I$5001,I130),1,0))</f>
        <v/>
      </c>
      <c r="M130" s="16" t="str">
        <f aca="false">IF(B130="","",IF(E130="Em ajustes",IF(N130=_xlfn.MINIFS($N$2:$N$5001,$B$2:$B$5001,B130,$E$2:$E$5001,"Em ajustes"),1,0),0))</f>
        <v/>
      </c>
      <c r="N130" s="17" t="str">
        <f aca="false">IF(A130="","",IF(ISNUMBER(A130),A130,IFERROR(DATE(VALUE(MID(A130,7,4)),VALUE(MID(A130,4,2)),VALUE(MID(A130,1,2)))+TIME(VALUE(MID(A130,12,2)),VALUE(MID(A130,15,2)),VALUE(MID(A130,18,2))),"")))</f>
        <v/>
      </c>
    </row>
    <row r="131" customFormat="false" ht="15" hidden="false" customHeight="false" outlineLevel="0" collapsed="false">
      <c r="I131" s="15" t="str">
        <f aca="false">IF(N131="","",INT(N131))</f>
        <v/>
      </c>
      <c r="J131" s="16" t="str">
        <f aca="false">IF(B131="","",IF(N131=_xlfn.MINIFS($N$2:$N$5001,$B$2:$B$5001,B131),1,0))</f>
        <v/>
      </c>
      <c r="K131" s="16" t="str">
        <f aca="false">IF(B131="","",IF(AND(D131="Formalização",E131="Concluído"),IF(COUNTIFS($B$2:$B$5001,B131,$E$2:$E$5001,"Em ajustes",$N$2:$N$5001,"&lt;"&amp;I131)&gt;0,1,0),0))</f>
        <v/>
      </c>
      <c r="L131" s="16" t="str">
        <f aca="false">IF(B131="","",IF(N131=_xlfn.MAXIFS($N$2:$N$5001,$B$2:$B$5001,B131,$I$2:$I$5001,I131),1,0))</f>
        <v/>
      </c>
      <c r="M131" s="16" t="str">
        <f aca="false">IF(B131="","",IF(E131="Em ajustes",IF(N131=_xlfn.MINIFS($N$2:$N$5001,$B$2:$B$5001,B131,$E$2:$E$5001,"Em ajustes"),1,0),0))</f>
        <v/>
      </c>
      <c r="N131" s="17" t="str">
        <f aca="false">IF(A131="","",IF(ISNUMBER(A131),A131,IFERROR(DATE(VALUE(MID(A131,7,4)),VALUE(MID(A131,4,2)),VALUE(MID(A131,1,2)))+TIME(VALUE(MID(A131,12,2)),VALUE(MID(A131,15,2)),VALUE(MID(A131,18,2))),"")))</f>
        <v/>
      </c>
    </row>
    <row r="132" customFormat="false" ht="15" hidden="false" customHeight="false" outlineLevel="0" collapsed="false">
      <c r="I132" s="15" t="str">
        <f aca="false">IF(N132="","",INT(N132))</f>
        <v/>
      </c>
      <c r="J132" s="16" t="str">
        <f aca="false">IF(B132="","",IF(N132=_xlfn.MINIFS($N$2:$N$5001,$B$2:$B$5001,B132),1,0))</f>
        <v/>
      </c>
      <c r="K132" s="16" t="str">
        <f aca="false">IF(B132="","",IF(AND(D132="Formalização",E132="Concluído"),IF(COUNTIFS($B$2:$B$5001,B132,$E$2:$E$5001,"Em ajustes",$N$2:$N$5001,"&lt;"&amp;I132)&gt;0,1,0),0))</f>
        <v/>
      </c>
      <c r="L132" s="16" t="str">
        <f aca="false">IF(B132="","",IF(N132=_xlfn.MAXIFS($N$2:$N$5001,$B$2:$B$5001,B132,$I$2:$I$5001,I132),1,0))</f>
        <v/>
      </c>
      <c r="M132" s="16" t="str">
        <f aca="false">IF(B132="","",IF(E132="Em ajustes",IF(N132=_xlfn.MINIFS($N$2:$N$5001,$B$2:$B$5001,B132,$E$2:$E$5001,"Em ajustes"),1,0),0))</f>
        <v/>
      </c>
      <c r="N132" s="17" t="str">
        <f aca="false">IF(A132="","",IF(ISNUMBER(A132),A132,IFERROR(DATE(VALUE(MID(A132,7,4)),VALUE(MID(A132,4,2)),VALUE(MID(A132,1,2)))+TIME(VALUE(MID(A132,12,2)),VALUE(MID(A132,15,2)),VALUE(MID(A132,18,2))),"")))</f>
        <v/>
      </c>
    </row>
    <row r="133" customFormat="false" ht="15" hidden="false" customHeight="false" outlineLevel="0" collapsed="false">
      <c r="I133" s="15" t="str">
        <f aca="false">IF(N133="","",INT(N133))</f>
        <v/>
      </c>
      <c r="J133" s="16" t="str">
        <f aca="false">IF(B133="","",IF(N133=_xlfn.MINIFS($N$2:$N$5001,$B$2:$B$5001,B133),1,0))</f>
        <v/>
      </c>
      <c r="K133" s="16" t="str">
        <f aca="false">IF(B133="","",IF(AND(D133="Formalização",E133="Concluído"),IF(COUNTIFS($B$2:$B$5001,B133,$E$2:$E$5001,"Em ajustes",$N$2:$N$5001,"&lt;"&amp;I133)&gt;0,1,0),0))</f>
        <v/>
      </c>
      <c r="L133" s="16" t="str">
        <f aca="false">IF(B133="","",IF(N133=_xlfn.MAXIFS($N$2:$N$5001,$B$2:$B$5001,B133,$I$2:$I$5001,I133),1,0))</f>
        <v/>
      </c>
      <c r="M133" s="16" t="str">
        <f aca="false">IF(B133="","",IF(E133="Em ajustes",IF(N133=_xlfn.MINIFS($N$2:$N$5001,$B$2:$B$5001,B133,$E$2:$E$5001,"Em ajustes"),1,0),0))</f>
        <v/>
      </c>
      <c r="N133" s="17" t="str">
        <f aca="false">IF(A133="","",IF(ISNUMBER(A133),A133,IFERROR(DATE(VALUE(MID(A133,7,4)),VALUE(MID(A133,4,2)),VALUE(MID(A133,1,2)))+TIME(VALUE(MID(A133,12,2)),VALUE(MID(A133,15,2)),VALUE(MID(A133,18,2))),"")))</f>
        <v/>
      </c>
    </row>
    <row r="134" customFormat="false" ht="15" hidden="false" customHeight="false" outlineLevel="0" collapsed="false">
      <c r="I134" s="15" t="str">
        <f aca="false">IF(N134="","",INT(N134))</f>
        <v/>
      </c>
      <c r="J134" s="16" t="str">
        <f aca="false">IF(B134="","",IF(N134=_xlfn.MINIFS($N$2:$N$5001,$B$2:$B$5001,B134),1,0))</f>
        <v/>
      </c>
      <c r="K134" s="16" t="str">
        <f aca="false">IF(B134="","",IF(AND(D134="Formalização",E134="Concluído"),IF(COUNTIFS($B$2:$B$5001,B134,$E$2:$E$5001,"Em ajustes",$N$2:$N$5001,"&lt;"&amp;I134)&gt;0,1,0),0))</f>
        <v/>
      </c>
      <c r="L134" s="16" t="str">
        <f aca="false">IF(B134="","",IF(N134=_xlfn.MAXIFS($N$2:$N$5001,$B$2:$B$5001,B134,$I$2:$I$5001,I134),1,0))</f>
        <v/>
      </c>
      <c r="M134" s="16" t="str">
        <f aca="false">IF(B134="","",IF(E134="Em ajustes",IF(N134=_xlfn.MINIFS($N$2:$N$5001,$B$2:$B$5001,B134,$E$2:$E$5001,"Em ajustes"),1,0),0))</f>
        <v/>
      </c>
      <c r="N134" s="17" t="str">
        <f aca="false">IF(A134="","",IF(ISNUMBER(A134),A134,IFERROR(DATE(VALUE(MID(A134,7,4)),VALUE(MID(A134,4,2)),VALUE(MID(A134,1,2)))+TIME(VALUE(MID(A134,12,2)),VALUE(MID(A134,15,2)),VALUE(MID(A134,18,2))),"")))</f>
        <v/>
      </c>
    </row>
    <row r="135" customFormat="false" ht="15" hidden="false" customHeight="false" outlineLevel="0" collapsed="false">
      <c r="I135" s="15" t="str">
        <f aca="false">IF(N135="","",INT(N135))</f>
        <v/>
      </c>
      <c r="J135" s="16" t="str">
        <f aca="false">IF(B135="","",IF(N135=_xlfn.MINIFS($N$2:$N$5001,$B$2:$B$5001,B135),1,0))</f>
        <v/>
      </c>
      <c r="K135" s="16" t="str">
        <f aca="false">IF(B135="","",IF(AND(D135="Formalização",E135="Concluído"),IF(COUNTIFS($B$2:$B$5001,B135,$E$2:$E$5001,"Em ajustes",$N$2:$N$5001,"&lt;"&amp;I135)&gt;0,1,0),0))</f>
        <v/>
      </c>
      <c r="L135" s="16" t="str">
        <f aca="false">IF(B135="","",IF(N135=_xlfn.MAXIFS($N$2:$N$5001,$B$2:$B$5001,B135,$I$2:$I$5001,I135),1,0))</f>
        <v/>
      </c>
      <c r="M135" s="16" t="str">
        <f aca="false">IF(B135="","",IF(E135="Em ajustes",IF(N135=_xlfn.MINIFS($N$2:$N$5001,$B$2:$B$5001,B135,$E$2:$E$5001,"Em ajustes"),1,0),0))</f>
        <v/>
      </c>
      <c r="N135" s="17" t="str">
        <f aca="false">IF(A135="","",IF(ISNUMBER(A135),A135,IFERROR(DATE(VALUE(MID(A135,7,4)),VALUE(MID(A135,4,2)),VALUE(MID(A135,1,2)))+TIME(VALUE(MID(A135,12,2)),VALUE(MID(A135,15,2)),VALUE(MID(A135,18,2))),"")))</f>
        <v/>
      </c>
    </row>
    <row r="136" customFormat="false" ht="15" hidden="false" customHeight="false" outlineLevel="0" collapsed="false">
      <c r="I136" s="15" t="str">
        <f aca="false">IF(N136="","",INT(N136))</f>
        <v/>
      </c>
      <c r="J136" s="16" t="str">
        <f aca="false">IF(B136="","",IF(N136=_xlfn.MINIFS($N$2:$N$5001,$B$2:$B$5001,B136),1,0))</f>
        <v/>
      </c>
      <c r="K136" s="16" t="str">
        <f aca="false">IF(B136="","",IF(AND(D136="Formalização",E136="Concluído"),IF(COUNTIFS($B$2:$B$5001,B136,$E$2:$E$5001,"Em ajustes",$N$2:$N$5001,"&lt;"&amp;I136)&gt;0,1,0),0))</f>
        <v/>
      </c>
      <c r="L136" s="16" t="str">
        <f aca="false">IF(B136="","",IF(N136=_xlfn.MAXIFS($N$2:$N$5001,$B$2:$B$5001,B136,$I$2:$I$5001,I136),1,0))</f>
        <v/>
      </c>
      <c r="M136" s="16" t="str">
        <f aca="false">IF(B136="","",IF(E136="Em ajustes",IF(N136=_xlfn.MINIFS($N$2:$N$5001,$B$2:$B$5001,B136,$E$2:$E$5001,"Em ajustes"),1,0),0))</f>
        <v/>
      </c>
      <c r="N136" s="17" t="str">
        <f aca="false">IF(A136="","",IF(ISNUMBER(A136),A136,IFERROR(DATE(VALUE(MID(A136,7,4)),VALUE(MID(A136,4,2)),VALUE(MID(A136,1,2)))+TIME(VALUE(MID(A136,12,2)),VALUE(MID(A136,15,2)),VALUE(MID(A136,18,2))),"")))</f>
        <v/>
      </c>
    </row>
    <row r="137" customFormat="false" ht="15" hidden="false" customHeight="false" outlineLevel="0" collapsed="false">
      <c r="I137" s="15" t="str">
        <f aca="false">IF(N137="","",INT(N137))</f>
        <v/>
      </c>
      <c r="J137" s="16" t="str">
        <f aca="false">IF(B137="","",IF(N137=_xlfn.MINIFS($N$2:$N$5001,$B$2:$B$5001,B137),1,0))</f>
        <v/>
      </c>
      <c r="K137" s="16" t="str">
        <f aca="false">IF(B137="","",IF(AND(D137="Formalização",E137="Concluído"),IF(COUNTIFS($B$2:$B$5001,B137,$E$2:$E$5001,"Em ajustes",$N$2:$N$5001,"&lt;"&amp;I137)&gt;0,1,0),0))</f>
        <v/>
      </c>
      <c r="L137" s="16" t="str">
        <f aca="false">IF(B137="","",IF(N137=_xlfn.MAXIFS($N$2:$N$5001,$B$2:$B$5001,B137,$I$2:$I$5001,I137),1,0))</f>
        <v/>
      </c>
      <c r="M137" s="16" t="str">
        <f aca="false">IF(B137="","",IF(E137="Em ajustes",IF(N137=_xlfn.MINIFS($N$2:$N$5001,$B$2:$B$5001,B137,$E$2:$E$5001,"Em ajustes"),1,0),0))</f>
        <v/>
      </c>
      <c r="N137" s="17" t="str">
        <f aca="false">IF(A137="","",IF(ISNUMBER(A137),A137,IFERROR(DATE(VALUE(MID(A137,7,4)),VALUE(MID(A137,4,2)),VALUE(MID(A137,1,2)))+TIME(VALUE(MID(A137,12,2)),VALUE(MID(A137,15,2)),VALUE(MID(A137,18,2))),"")))</f>
        <v/>
      </c>
    </row>
    <row r="138" customFormat="false" ht="15" hidden="false" customHeight="false" outlineLevel="0" collapsed="false">
      <c r="I138" s="15" t="str">
        <f aca="false">IF(N138="","",INT(N138))</f>
        <v/>
      </c>
      <c r="J138" s="16" t="str">
        <f aca="false">IF(B138="","",IF(N138=_xlfn.MINIFS($N$2:$N$5001,$B$2:$B$5001,B138),1,0))</f>
        <v/>
      </c>
      <c r="K138" s="16" t="str">
        <f aca="false">IF(B138="","",IF(AND(D138="Formalização",E138="Concluído"),IF(COUNTIFS($B$2:$B$5001,B138,$E$2:$E$5001,"Em ajustes",$N$2:$N$5001,"&lt;"&amp;I138)&gt;0,1,0),0))</f>
        <v/>
      </c>
      <c r="L138" s="16" t="str">
        <f aca="false">IF(B138="","",IF(N138=_xlfn.MAXIFS($N$2:$N$5001,$B$2:$B$5001,B138,$I$2:$I$5001,I138),1,0))</f>
        <v/>
      </c>
      <c r="M138" s="16" t="str">
        <f aca="false">IF(B138="","",IF(E138="Em ajustes",IF(N138=_xlfn.MINIFS($N$2:$N$5001,$B$2:$B$5001,B138,$E$2:$E$5001,"Em ajustes"),1,0),0))</f>
        <v/>
      </c>
      <c r="N138" s="17" t="str">
        <f aca="false">IF(A138="","",IF(ISNUMBER(A138),A138,IFERROR(DATE(VALUE(MID(A138,7,4)),VALUE(MID(A138,4,2)),VALUE(MID(A138,1,2)))+TIME(VALUE(MID(A138,12,2)),VALUE(MID(A138,15,2)),VALUE(MID(A138,18,2))),"")))</f>
        <v/>
      </c>
    </row>
    <row r="139" customFormat="false" ht="15" hidden="false" customHeight="false" outlineLevel="0" collapsed="false">
      <c r="I139" s="15" t="str">
        <f aca="false">IF(N139="","",INT(N139))</f>
        <v/>
      </c>
      <c r="J139" s="16" t="str">
        <f aca="false">IF(B139="","",IF(N139=_xlfn.MINIFS($N$2:$N$5001,$B$2:$B$5001,B139),1,0))</f>
        <v/>
      </c>
      <c r="K139" s="16" t="str">
        <f aca="false">IF(B139="","",IF(AND(D139="Formalização",E139="Concluído"),IF(COUNTIFS($B$2:$B$5001,B139,$E$2:$E$5001,"Em ajustes",$N$2:$N$5001,"&lt;"&amp;I139)&gt;0,1,0),0))</f>
        <v/>
      </c>
      <c r="L139" s="16" t="str">
        <f aca="false">IF(B139="","",IF(N139=_xlfn.MAXIFS($N$2:$N$5001,$B$2:$B$5001,B139,$I$2:$I$5001,I139),1,0))</f>
        <v/>
      </c>
      <c r="M139" s="16" t="str">
        <f aca="false">IF(B139="","",IF(E139="Em ajustes",IF(N139=_xlfn.MINIFS($N$2:$N$5001,$B$2:$B$5001,B139,$E$2:$E$5001,"Em ajustes"),1,0),0))</f>
        <v/>
      </c>
      <c r="N139" s="17" t="str">
        <f aca="false">IF(A139="","",IF(ISNUMBER(A139),A139,IFERROR(DATE(VALUE(MID(A139,7,4)),VALUE(MID(A139,4,2)),VALUE(MID(A139,1,2)))+TIME(VALUE(MID(A139,12,2)),VALUE(MID(A139,15,2)),VALUE(MID(A139,18,2))),"")))</f>
        <v/>
      </c>
    </row>
    <row r="140" customFormat="false" ht="15" hidden="false" customHeight="false" outlineLevel="0" collapsed="false">
      <c r="I140" s="15" t="str">
        <f aca="false">IF(N140="","",INT(N140))</f>
        <v/>
      </c>
      <c r="J140" s="16" t="str">
        <f aca="false">IF(B140="","",IF(N140=_xlfn.MINIFS($N$2:$N$5001,$B$2:$B$5001,B140),1,0))</f>
        <v/>
      </c>
      <c r="K140" s="16" t="str">
        <f aca="false">IF(B140="","",IF(AND(D140="Formalização",E140="Concluído"),IF(COUNTIFS($B$2:$B$5001,B140,$E$2:$E$5001,"Em ajustes",$N$2:$N$5001,"&lt;"&amp;I140)&gt;0,1,0),0))</f>
        <v/>
      </c>
      <c r="L140" s="16" t="str">
        <f aca="false">IF(B140="","",IF(N140=_xlfn.MAXIFS($N$2:$N$5001,$B$2:$B$5001,B140,$I$2:$I$5001,I140),1,0))</f>
        <v/>
      </c>
      <c r="M140" s="16" t="str">
        <f aca="false">IF(B140="","",IF(E140="Em ajustes",IF(N140=_xlfn.MINIFS($N$2:$N$5001,$B$2:$B$5001,B140,$E$2:$E$5001,"Em ajustes"),1,0),0))</f>
        <v/>
      </c>
      <c r="N140" s="17" t="str">
        <f aca="false">IF(A140="","",IF(ISNUMBER(A140),A140,IFERROR(DATE(VALUE(MID(A140,7,4)),VALUE(MID(A140,4,2)),VALUE(MID(A140,1,2)))+TIME(VALUE(MID(A140,12,2)),VALUE(MID(A140,15,2)),VALUE(MID(A140,18,2))),"")))</f>
        <v/>
      </c>
    </row>
    <row r="141" customFormat="false" ht="15" hidden="false" customHeight="false" outlineLevel="0" collapsed="false">
      <c r="I141" s="15" t="str">
        <f aca="false">IF(N141="","",INT(N141))</f>
        <v/>
      </c>
      <c r="J141" s="16" t="str">
        <f aca="false">IF(B141="","",IF(N141=_xlfn.MINIFS($N$2:$N$5001,$B$2:$B$5001,B141),1,0))</f>
        <v/>
      </c>
      <c r="K141" s="16" t="str">
        <f aca="false">IF(B141="","",IF(AND(D141="Formalização",E141="Concluído"),IF(COUNTIFS($B$2:$B$5001,B141,$E$2:$E$5001,"Em ajustes",$N$2:$N$5001,"&lt;"&amp;I141)&gt;0,1,0),0))</f>
        <v/>
      </c>
      <c r="L141" s="16" t="str">
        <f aca="false">IF(B141="","",IF(N141=_xlfn.MAXIFS($N$2:$N$5001,$B$2:$B$5001,B141,$I$2:$I$5001,I141),1,0))</f>
        <v/>
      </c>
      <c r="M141" s="16" t="str">
        <f aca="false">IF(B141="","",IF(E141="Em ajustes",IF(N141=_xlfn.MINIFS($N$2:$N$5001,$B$2:$B$5001,B141,$E$2:$E$5001,"Em ajustes"),1,0),0))</f>
        <v/>
      </c>
      <c r="N141" s="17" t="str">
        <f aca="false">IF(A141="","",IF(ISNUMBER(A141),A141,IFERROR(DATE(VALUE(MID(A141,7,4)),VALUE(MID(A141,4,2)),VALUE(MID(A141,1,2)))+TIME(VALUE(MID(A141,12,2)),VALUE(MID(A141,15,2)),VALUE(MID(A141,18,2))),"")))</f>
        <v/>
      </c>
    </row>
    <row r="142" customFormat="false" ht="15" hidden="false" customHeight="false" outlineLevel="0" collapsed="false">
      <c r="I142" s="15" t="str">
        <f aca="false">IF(N142="","",INT(N142))</f>
        <v/>
      </c>
      <c r="J142" s="16" t="str">
        <f aca="false">IF(B142="","",IF(N142=_xlfn.MINIFS($N$2:$N$5001,$B$2:$B$5001,B142),1,0))</f>
        <v/>
      </c>
      <c r="K142" s="16" t="str">
        <f aca="false">IF(B142="","",IF(AND(D142="Formalização",E142="Concluído"),IF(COUNTIFS($B$2:$B$5001,B142,$E$2:$E$5001,"Em ajustes",$N$2:$N$5001,"&lt;"&amp;I142)&gt;0,1,0),0))</f>
        <v/>
      </c>
      <c r="L142" s="16" t="str">
        <f aca="false">IF(B142="","",IF(N142=_xlfn.MAXIFS($N$2:$N$5001,$B$2:$B$5001,B142,$I$2:$I$5001,I142),1,0))</f>
        <v/>
      </c>
      <c r="M142" s="16" t="str">
        <f aca="false">IF(B142="","",IF(E142="Em ajustes",IF(N142=_xlfn.MINIFS($N$2:$N$5001,$B$2:$B$5001,B142,$E$2:$E$5001,"Em ajustes"),1,0),0))</f>
        <v/>
      </c>
      <c r="N142" s="17" t="str">
        <f aca="false">IF(A142="","",IF(ISNUMBER(A142),A142,IFERROR(DATE(VALUE(MID(A142,7,4)),VALUE(MID(A142,4,2)),VALUE(MID(A142,1,2)))+TIME(VALUE(MID(A142,12,2)),VALUE(MID(A142,15,2)),VALUE(MID(A142,18,2))),"")))</f>
        <v/>
      </c>
    </row>
    <row r="143" customFormat="false" ht="15" hidden="false" customHeight="false" outlineLevel="0" collapsed="false">
      <c r="I143" s="15" t="str">
        <f aca="false">IF(N143="","",INT(N143))</f>
        <v/>
      </c>
      <c r="J143" s="16" t="str">
        <f aca="false">IF(B143="","",IF(N143=_xlfn.MINIFS($N$2:$N$5001,$B$2:$B$5001,B143),1,0))</f>
        <v/>
      </c>
      <c r="K143" s="16" t="str">
        <f aca="false">IF(B143="","",IF(AND(D143="Formalização",E143="Concluído"),IF(COUNTIFS($B$2:$B$5001,B143,$E$2:$E$5001,"Em ajustes",$N$2:$N$5001,"&lt;"&amp;I143)&gt;0,1,0),0))</f>
        <v/>
      </c>
      <c r="L143" s="16" t="str">
        <f aca="false">IF(B143="","",IF(N143=_xlfn.MAXIFS($N$2:$N$5001,$B$2:$B$5001,B143,$I$2:$I$5001,I143),1,0))</f>
        <v/>
      </c>
      <c r="M143" s="16" t="str">
        <f aca="false">IF(B143="","",IF(E143="Em ajustes",IF(N143=_xlfn.MINIFS($N$2:$N$5001,$B$2:$B$5001,B143,$E$2:$E$5001,"Em ajustes"),1,0),0))</f>
        <v/>
      </c>
      <c r="N143" s="17" t="str">
        <f aca="false">IF(A143="","",IF(ISNUMBER(A143),A143,IFERROR(DATE(VALUE(MID(A143,7,4)),VALUE(MID(A143,4,2)),VALUE(MID(A143,1,2)))+TIME(VALUE(MID(A143,12,2)),VALUE(MID(A143,15,2)),VALUE(MID(A143,18,2))),"")))</f>
        <v/>
      </c>
    </row>
    <row r="144" customFormat="false" ht="15" hidden="false" customHeight="false" outlineLevel="0" collapsed="false">
      <c r="I144" s="15" t="str">
        <f aca="false">IF(N144="","",INT(N144))</f>
        <v/>
      </c>
      <c r="J144" s="16" t="str">
        <f aca="false">IF(B144="","",IF(N144=_xlfn.MINIFS($N$2:$N$5001,$B$2:$B$5001,B144),1,0))</f>
        <v/>
      </c>
      <c r="K144" s="16" t="str">
        <f aca="false">IF(B144="","",IF(AND(D144="Formalização",E144="Concluído"),IF(COUNTIFS($B$2:$B$5001,B144,$E$2:$E$5001,"Em ajustes",$N$2:$N$5001,"&lt;"&amp;I144)&gt;0,1,0),0))</f>
        <v/>
      </c>
      <c r="L144" s="16" t="str">
        <f aca="false">IF(B144="","",IF(N144=_xlfn.MAXIFS($N$2:$N$5001,$B$2:$B$5001,B144,$I$2:$I$5001,I144),1,0))</f>
        <v/>
      </c>
      <c r="M144" s="16" t="str">
        <f aca="false">IF(B144="","",IF(E144="Em ajustes",IF(N144=_xlfn.MINIFS($N$2:$N$5001,$B$2:$B$5001,B144,$E$2:$E$5001,"Em ajustes"),1,0),0))</f>
        <v/>
      </c>
      <c r="N144" s="17" t="str">
        <f aca="false">IF(A144="","",IF(ISNUMBER(A144),A144,IFERROR(DATE(VALUE(MID(A144,7,4)),VALUE(MID(A144,4,2)),VALUE(MID(A144,1,2)))+TIME(VALUE(MID(A144,12,2)),VALUE(MID(A144,15,2)),VALUE(MID(A144,18,2))),"")))</f>
        <v/>
      </c>
    </row>
    <row r="145" customFormat="false" ht="15" hidden="false" customHeight="false" outlineLevel="0" collapsed="false">
      <c r="I145" s="15" t="str">
        <f aca="false">IF(N145="","",INT(N145))</f>
        <v/>
      </c>
      <c r="J145" s="16" t="str">
        <f aca="false">IF(B145="","",IF(N145=_xlfn.MINIFS($N$2:$N$5001,$B$2:$B$5001,B145),1,0))</f>
        <v/>
      </c>
      <c r="K145" s="16" t="str">
        <f aca="false">IF(B145="","",IF(AND(D145="Formalização",E145="Concluído"),IF(COUNTIFS($B$2:$B$5001,B145,$E$2:$E$5001,"Em ajustes",$N$2:$N$5001,"&lt;"&amp;I145)&gt;0,1,0),0))</f>
        <v/>
      </c>
      <c r="L145" s="16" t="str">
        <f aca="false">IF(B145="","",IF(N145=_xlfn.MAXIFS($N$2:$N$5001,$B$2:$B$5001,B145,$I$2:$I$5001,I145),1,0))</f>
        <v/>
      </c>
      <c r="M145" s="16" t="str">
        <f aca="false">IF(B145="","",IF(E145="Em ajustes",IF(N145=_xlfn.MINIFS($N$2:$N$5001,$B$2:$B$5001,B145,$E$2:$E$5001,"Em ajustes"),1,0),0))</f>
        <v/>
      </c>
      <c r="N145" s="17" t="str">
        <f aca="false">IF(A145="","",IF(ISNUMBER(A145),A145,IFERROR(DATE(VALUE(MID(A145,7,4)),VALUE(MID(A145,4,2)),VALUE(MID(A145,1,2)))+TIME(VALUE(MID(A145,12,2)),VALUE(MID(A145,15,2)),VALUE(MID(A145,18,2))),"")))</f>
        <v/>
      </c>
    </row>
    <row r="146" customFormat="false" ht="15" hidden="false" customHeight="false" outlineLevel="0" collapsed="false">
      <c r="I146" s="15" t="str">
        <f aca="false">IF(N146="","",INT(N146))</f>
        <v/>
      </c>
      <c r="J146" s="16" t="str">
        <f aca="false">IF(B146="","",IF(N146=_xlfn.MINIFS($N$2:$N$5001,$B$2:$B$5001,B146),1,0))</f>
        <v/>
      </c>
      <c r="K146" s="16" t="str">
        <f aca="false">IF(B146="","",IF(AND(D146="Formalização",E146="Concluído"),IF(COUNTIFS($B$2:$B$5001,B146,$E$2:$E$5001,"Em ajustes",$N$2:$N$5001,"&lt;"&amp;I146)&gt;0,1,0),0))</f>
        <v/>
      </c>
      <c r="L146" s="16" t="str">
        <f aca="false">IF(B146="","",IF(N146=_xlfn.MAXIFS($N$2:$N$5001,$B$2:$B$5001,B146,$I$2:$I$5001,I146),1,0))</f>
        <v/>
      </c>
      <c r="M146" s="16" t="str">
        <f aca="false">IF(B146="","",IF(E146="Em ajustes",IF(N146=_xlfn.MINIFS($N$2:$N$5001,$B$2:$B$5001,B146,$E$2:$E$5001,"Em ajustes"),1,0),0))</f>
        <v/>
      </c>
      <c r="N146" s="17" t="str">
        <f aca="false">IF(A146="","",IF(ISNUMBER(A146),A146,IFERROR(DATE(VALUE(MID(A146,7,4)),VALUE(MID(A146,4,2)),VALUE(MID(A146,1,2)))+TIME(VALUE(MID(A146,12,2)),VALUE(MID(A146,15,2)),VALUE(MID(A146,18,2))),"")))</f>
        <v/>
      </c>
    </row>
    <row r="147" customFormat="false" ht="15" hidden="false" customHeight="false" outlineLevel="0" collapsed="false">
      <c r="I147" s="15" t="str">
        <f aca="false">IF(N147="","",INT(N147))</f>
        <v/>
      </c>
      <c r="J147" s="16" t="str">
        <f aca="false">IF(B147="","",IF(N147=_xlfn.MINIFS($N$2:$N$5001,$B$2:$B$5001,B147),1,0))</f>
        <v/>
      </c>
      <c r="K147" s="16" t="str">
        <f aca="false">IF(B147="","",IF(AND(D147="Formalização",E147="Concluído"),IF(COUNTIFS($B$2:$B$5001,B147,$E$2:$E$5001,"Em ajustes",$N$2:$N$5001,"&lt;"&amp;I147)&gt;0,1,0),0))</f>
        <v/>
      </c>
      <c r="L147" s="16" t="str">
        <f aca="false">IF(B147="","",IF(N147=_xlfn.MAXIFS($N$2:$N$5001,$B$2:$B$5001,B147,$I$2:$I$5001,I147),1,0))</f>
        <v/>
      </c>
      <c r="M147" s="16" t="str">
        <f aca="false">IF(B147="","",IF(E147="Em ajustes",IF(N147=_xlfn.MINIFS($N$2:$N$5001,$B$2:$B$5001,B147,$E$2:$E$5001,"Em ajustes"),1,0),0))</f>
        <v/>
      </c>
      <c r="N147" s="17" t="str">
        <f aca="false">IF(A147="","",IF(ISNUMBER(A147),A147,IFERROR(DATE(VALUE(MID(A147,7,4)),VALUE(MID(A147,4,2)),VALUE(MID(A147,1,2)))+TIME(VALUE(MID(A147,12,2)),VALUE(MID(A147,15,2)),VALUE(MID(A147,18,2))),"")))</f>
        <v/>
      </c>
    </row>
    <row r="148" customFormat="false" ht="15" hidden="false" customHeight="false" outlineLevel="0" collapsed="false">
      <c r="I148" s="15" t="str">
        <f aca="false">IF(N148="","",INT(N148))</f>
        <v/>
      </c>
      <c r="J148" s="16" t="str">
        <f aca="false">IF(B148="","",IF(N148=_xlfn.MINIFS($N$2:$N$5001,$B$2:$B$5001,B148),1,0))</f>
        <v/>
      </c>
      <c r="K148" s="16" t="str">
        <f aca="false">IF(B148="","",IF(AND(D148="Formalização",E148="Concluído"),IF(COUNTIFS($B$2:$B$5001,B148,$E$2:$E$5001,"Em ajustes",$N$2:$N$5001,"&lt;"&amp;I148)&gt;0,1,0),0))</f>
        <v/>
      </c>
      <c r="L148" s="16" t="str">
        <f aca="false">IF(B148="","",IF(N148=_xlfn.MAXIFS($N$2:$N$5001,$B$2:$B$5001,B148,$I$2:$I$5001,I148),1,0))</f>
        <v/>
      </c>
      <c r="M148" s="16" t="str">
        <f aca="false">IF(B148="","",IF(E148="Em ajustes",IF(N148=_xlfn.MINIFS($N$2:$N$5001,$B$2:$B$5001,B148,$E$2:$E$5001,"Em ajustes"),1,0),0))</f>
        <v/>
      </c>
      <c r="N148" s="17" t="str">
        <f aca="false">IF(A148="","",IF(ISNUMBER(A148),A148,IFERROR(DATE(VALUE(MID(A148,7,4)),VALUE(MID(A148,4,2)),VALUE(MID(A148,1,2)))+TIME(VALUE(MID(A148,12,2)),VALUE(MID(A148,15,2)),VALUE(MID(A148,18,2))),"")))</f>
        <v/>
      </c>
    </row>
    <row r="149" customFormat="false" ht="15" hidden="false" customHeight="false" outlineLevel="0" collapsed="false">
      <c r="I149" s="15" t="str">
        <f aca="false">IF(N149="","",INT(N149))</f>
        <v/>
      </c>
      <c r="J149" s="16" t="str">
        <f aca="false">IF(B149="","",IF(N149=_xlfn.MINIFS($N$2:$N$5001,$B$2:$B$5001,B149),1,0))</f>
        <v/>
      </c>
      <c r="K149" s="16" t="str">
        <f aca="false">IF(B149="","",IF(AND(D149="Formalização",E149="Concluído"),IF(COUNTIFS($B$2:$B$5001,B149,$E$2:$E$5001,"Em ajustes",$N$2:$N$5001,"&lt;"&amp;I149)&gt;0,1,0),0))</f>
        <v/>
      </c>
      <c r="L149" s="16" t="str">
        <f aca="false">IF(B149="","",IF(N149=_xlfn.MAXIFS($N$2:$N$5001,$B$2:$B$5001,B149,$I$2:$I$5001,I149),1,0))</f>
        <v/>
      </c>
      <c r="M149" s="16" t="str">
        <f aca="false">IF(B149="","",IF(E149="Em ajustes",IF(N149=_xlfn.MINIFS($N$2:$N$5001,$B$2:$B$5001,B149,$E$2:$E$5001,"Em ajustes"),1,0),0))</f>
        <v/>
      </c>
      <c r="N149" s="17" t="str">
        <f aca="false">IF(A149="","",IF(ISNUMBER(A149),A149,IFERROR(DATE(VALUE(MID(A149,7,4)),VALUE(MID(A149,4,2)),VALUE(MID(A149,1,2)))+TIME(VALUE(MID(A149,12,2)),VALUE(MID(A149,15,2)),VALUE(MID(A149,18,2))),"")))</f>
        <v/>
      </c>
    </row>
    <row r="150" customFormat="false" ht="15" hidden="false" customHeight="false" outlineLevel="0" collapsed="false">
      <c r="I150" s="15" t="str">
        <f aca="false">IF(N150="","",INT(N150))</f>
        <v/>
      </c>
      <c r="J150" s="16" t="str">
        <f aca="false">IF(B150="","",IF(N150=_xlfn.MINIFS($N$2:$N$5001,$B$2:$B$5001,B150),1,0))</f>
        <v/>
      </c>
      <c r="K150" s="16" t="str">
        <f aca="false">IF(B150="","",IF(AND(D150="Formalização",E150="Concluído"),IF(COUNTIFS($B$2:$B$5001,B150,$E$2:$E$5001,"Em ajustes",$N$2:$N$5001,"&lt;"&amp;I150)&gt;0,1,0),0))</f>
        <v/>
      </c>
      <c r="L150" s="16" t="str">
        <f aca="false">IF(B150="","",IF(N150=_xlfn.MAXIFS($N$2:$N$5001,$B$2:$B$5001,B150,$I$2:$I$5001,I150),1,0))</f>
        <v/>
      </c>
      <c r="M150" s="16" t="str">
        <f aca="false">IF(B150="","",IF(E150="Em ajustes",IF(N150=_xlfn.MINIFS($N$2:$N$5001,$B$2:$B$5001,B150,$E$2:$E$5001,"Em ajustes"),1,0),0))</f>
        <v/>
      </c>
      <c r="N150" s="17" t="str">
        <f aca="false">IF(A150="","",IF(ISNUMBER(A150),A150,IFERROR(DATE(VALUE(MID(A150,7,4)),VALUE(MID(A150,4,2)),VALUE(MID(A150,1,2)))+TIME(VALUE(MID(A150,12,2)),VALUE(MID(A150,15,2)),VALUE(MID(A150,18,2))),"")))</f>
        <v/>
      </c>
    </row>
    <row r="151" customFormat="false" ht="15" hidden="false" customHeight="false" outlineLevel="0" collapsed="false">
      <c r="I151" s="15" t="str">
        <f aca="false">IF(N151="","",INT(N151))</f>
        <v/>
      </c>
      <c r="J151" s="16" t="str">
        <f aca="false">IF(B151="","",IF(N151=_xlfn.MINIFS($N$2:$N$5001,$B$2:$B$5001,B151),1,0))</f>
        <v/>
      </c>
      <c r="K151" s="16" t="str">
        <f aca="false">IF(B151="","",IF(AND(D151="Formalização",E151="Concluído"),IF(COUNTIFS($B$2:$B$5001,B151,$E$2:$E$5001,"Em ajustes",$N$2:$N$5001,"&lt;"&amp;I151)&gt;0,1,0),0))</f>
        <v/>
      </c>
      <c r="L151" s="16" t="str">
        <f aca="false">IF(B151="","",IF(N151=_xlfn.MAXIFS($N$2:$N$5001,$B$2:$B$5001,B151,$I$2:$I$5001,I151),1,0))</f>
        <v/>
      </c>
      <c r="M151" s="16" t="str">
        <f aca="false">IF(B151="","",IF(E151="Em ajustes",IF(N151=_xlfn.MINIFS($N$2:$N$5001,$B$2:$B$5001,B151,$E$2:$E$5001,"Em ajustes"),1,0),0))</f>
        <v/>
      </c>
      <c r="N151" s="17" t="str">
        <f aca="false">IF(A151="","",IF(ISNUMBER(A151),A151,IFERROR(DATE(VALUE(MID(A151,7,4)),VALUE(MID(A151,4,2)),VALUE(MID(A151,1,2)))+TIME(VALUE(MID(A151,12,2)),VALUE(MID(A151,15,2)),VALUE(MID(A151,18,2))),"")))</f>
        <v/>
      </c>
    </row>
    <row r="152" customFormat="false" ht="15" hidden="false" customHeight="false" outlineLevel="0" collapsed="false">
      <c r="I152" s="15" t="str">
        <f aca="false">IF(N152="","",INT(N152))</f>
        <v/>
      </c>
      <c r="J152" s="16" t="str">
        <f aca="false">IF(B152="","",IF(N152=_xlfn.MINIFS($N$2:$N$5001,$B$2:$B$5001,B152),1,0))</f>
        <v/>
      </c>
      <c r="K152" s="16" t="str">
        <f aca="false">IF(B152="","",IF(AND(D152="Formalização",E152="Concluído"),IF(COUNTIFS($B$2:$B$5001,B152,$E$2:$E$5001,"Em ajustes",$N$2:$N$5001,"&lt;"&amp;I152)&gt;0,1,0),0))</f>
        <v/>
      </c>
      <c r="L152" s="16" t="str">
        <f aca="false">IF(B152="","",IF(N152=_xlfn.MAXIFS($N$2:$N$5001,$B$2:$B$5001,B152,$I$2:$I$5001,I152),1,0))</f>
        <v/>
      </c>
      <c r="M152" s="16" t="str">
        <f aca="false">IF(B152="","",IF(E152="Em ajustes",IF(N152=_xlfn.MINIFS($N$2:$N$5001,$B$2:$B$5001,B152,$E$2:$E$5001,"Em ajustes"),1,0),0))</f>
        <v/>
      </c>
      <c r="N152" s="17" t="str">
        <f aca="false">IF(A152="","",IF(ISNUMBER(A152),A152,IFERROR(DATE(VALUE(MID(A152,7,4)),VALUE(MID(A152,4,2)),VALUE(MID(A152,1,2)))+TIME(VALUE(MID(A152,12,2)),VALUE(MID(A152,15,2)),VALUE(MID(A152,18,2))),"")))</f>
        <v/>
      </c>
    </row>
    <row r="153" customFormat="false" ht="15" hidden="false" customHeight="false" outlineLevel="0" collapsed="false">
      <c r="I153" s="15" t="str">
        <f aca="false">IF(N153="","",INT(N153))</f>
        <v/>
      </c>
      <c r="J153" s="16" t="str">
        <f aca="false">IF(B153="","",IF(N153=_xlfn.MINIFS($N$2:$N$5001,$B$2:$B$5001,B153),1,0))</f>
        <v/>
      </c>
      <c r="K153" s="16" t="str">
        <f aca="false">IF(B153="","",IF(AND(D153="Formalização",E153="Concluído"),IF(COUNTIFS($B$2:$B$5001,B153,$E$2:$E$5001,"Em ajustes",$N$2:$N$5001,"&lt;"&amp;I153)&gt;0,1,0),0))</f>
        <v/>
      </c>
      <c r="L153" s="16" t="str">
        <f aca="false">IF(B153="","",IF(N153=_xlfn.MAXIFS($N$2:$N$5001,$B$2:$B$5001,B153,$I$2:$I$5001,I153),1,0))</f>
        <v/>
      </c>
      <c r="M153" s="16" t="str">
        <f aca="false">IF(B153="","",IF(E153="Em ajustes",IF(N153=_xlfn.MINIFS($N$2:$N$5001,$B$2:$B$5001,B153,$E$2:$E$5001,"Em ajustes"),1,0),0))</f>
        <v/>
      </c>
      <c r="N153" s="17" t="str">
        <f aca="false">IF(A153="","",IF(ISNUMBER(A153),A153,IFERROR(DATE(VALUE(MID(A153,7,4)),VALUE(MID(A153,4,2)),VALUE(MID(A153,1,2)))+TIME(VALUE(MID(A153,12,2)),VALUE(MID(A153,15,2)),VALUE(MID(A153,18,2))),"")))</f>
        <v/>
      </c>
    </row>
    <row r="154" customFormat="false" ht="15" hidden="false" customHeight="false" outlineLevel="0" collapsed="false">
      <c r="I154" s="15" t="str">
        <f aca="false">IF(N154="","",INT(N154))</f>
        <v/>
      </c>
      <c r="J154" s="16" t="str">
        <f aca="false">IF(B154="","",IF(N154=_xlfn.MINIFS($N$2:$N$5001,$B$2:$B$5001,B154),1,0))</f>
        <v/>
      </c>
      <c r="K154" s="16" t="str">
        <f aca="false">IF(B154="","",IF(AND(D154="Formalização",E154="Concluído"),IF(COUNTIFS($B$2:$B$5001,B154,$E$2:$E$5001,"Em ajustes",$N$2:$N$5001,"&lt;"&amp;I154)&gt;0,1,0),0))</f>
        <v/>
      </c>
      <c r="L154" s="16" t="str">
        <f aca="false">IF(B154="","",IF(N154=_xlfn.MAXIFS($N$2:$N$5001,$B$2:$B$5001,B154,$I$2:$I$5001,I154),1,0))</f>
        <v/>
      </c>
      <c r="M154" s="16" t="str">
        <f aca="false">IF(B154="","",IF(E154="Em ajustes",IF(N154=_xlfn.MINIFS($N$2:$N$5001,$B$2:$B$5001,B154,$E$2:$E$5001,"Em ajustes"),1,0),0))</f>
        <v/>
      </c>
      <c r="N154" s="17" t="str">
        <f aca="false">IF(A154="","",IF(ISNUMBER(A154),A154,IFERROR(DATE(VALUE(MID(A154,7,4)),VALUE(MID(A154,4,2)),VALUE(MID(A154,1,2)))+TIME(VALUE(MID(A154,12,2)),VALUE(MID(A154,15,2)),VALUE(MID(A154,18,2))),"")))</f>
        <v/>
      </c>
    </row>
    <row r="155" customFormat="false" ht="15" hidden="false" customHeight="false" outlineLevel="0" collapsed="false">
      <c r="I155" s="15" t="str">
        <f aca="false">IF(N155="","",INT(N155))</f>
        <v/>
      </c>
      <c r="J155" s="16" t="str">
        <f aca="false">IF(B155="","",IF(N155=_xlfn.MINIFS($N$2:$N$5001,$B$2:$B$5001,B155),1,0))</f>
        <v/>
      </c>
      <c r="K155" s="16" t="str">
        <f aca="false">IF(B155="","",IF(AND(D155="Formalização",E155="Concluído"),IF(COUNTIFS($B$2:$B$5001,B155,$E$2:$E$5001,"Em ajustes",$N$2:$N$5001,"&lt;"&amp;I155)&gt;0,1,0),0))</f>
        <v/>
      </c>
      <c r="L155" s="16" t="str">
        <f aca="false">IF(B155="","",IF(N155=_xlfn.MAXIFS($N$2:$N$5001,$B$2:$B$5001,B155,$I$2:$I$5001,I155),1,0))</f>
        <v/>
      </c>
      <c r="M155" s="16" t="str">
        <f aca="false">IF(B155="","",IF(E155="Em ajustes",IF(N155=_xlfn.MINIFS($N$2:$N$5001,$B$2:$B$5001,B155,$E$2:$E$5001,"Em ajustes"),1,0),0))</f>
        <v/>
      </c>
      <c r="N155" s="17" t="str">
        <f aca="false">IF(A155="","",IF(ISNUMBER(A155),A155,IFERROR(DATE(VALUE(MID(A155,7,4)),VALUE(MID(A155,4,2)),VALUE(MID(A155,1,2)))+TIME(VALUE(MID(A155,12,2)),VALUE(MID(A155,15,2)),VALUE(MID(A155,18,2))),"")))</f>
        <v/>
      </c>
    </row>
    <row r="156" customFormat="false" ht="15" hidden="false" customHeight="false" outlineLevel="0" collapsed="false">
      <c r="I156" s="15" t="str">
        <f aca="false">IF(N156="","",INT(N156))</f>
        <v/>
      </c>
      <c r="J156" s="16" t="str">
        <f aca="false">IF(B156="","",IF(N156=_xlfn.MINIFS($N$2:$N$5001,$B$2:$B$5001,B156),1,0))</f>
        <v/>
      </c>
      <c r="K156" s="16" t="str">
        <f aca="false">IF(B156="","",IF(AND(D156="Formalização",E156="Concluído"),IF(COUNTIFS($B$2:$B$5001,B156,$E$2:$E$5001,"Em ajustes",$N$2:$N$5001,"&lt;"&amp;I156)&gt;0,1,0),0))</f>
        <v/>
      </c>
      <c r="L156" s="16" t="str">
        <f aca="false">IF(B156="","",IF(N156=_xlfn.MAXIFS($N$2:$N$5001,$B$2:$B$5001,B156,$I$2:$I$5001,I156),1,0))</f>
        <v/>
      </c>
      <c r="M156" s="16" t="str">
        <f aca="false">IF(B156="","",IF(E156="Em ajustes",IF(N156=_xlfn.MINIFS($N$2:$N$5001,$B$2:$B$5001,B156,$E$2:$E$5001,"Em ajustes"),1,0),0))</f>
        <v/>
      </c>
      <c r="N156" s="17" t="str">
        <f aca="false">IF(A156="","",IF(ISNUMBER(A156),A156,IFERROR(DATE(VALUE(MID(A156,7,4)),VALUE(MID(A156,4,2)),VALUE(MID(A156,1,2)))+TIME(VALUE(MID(A156,12,2)),VALUE(MID(A156,15,2)),VALUE(MID(A156,18,2))),"")))</f>
        <v/>
      </c>
    </row>
    <row r="157" customFormat="false" ht="15" hidden="false" customHeight="false" outlineLevel="0" collapsed="false">
      <c r="I157" s="15" t="str">
        <f aca="false">IF(N157="","",INT(N157))</f>
        <v/>
      </c>
      <c r="J157" s="16" t="str">
        <f aca="false">IF(B157="","",IF(N157=_xlfn.MINIFS($N$2:$N$5001,$B$2:$B$5001,B157),1,0))</f>
        <v/>
      </c>
      <c r="K157" s="16" t="str">
        <f aca="false">IF(B157="","",IF(AND(D157="Formalização",E157="Concluído"),IF(COUNTIFS($B$2:$B$5001,B157,$E$2:$E$5001,"Em ajustes",$N$2:$N$5001,"&lt;"&amp;I157)&gt;0,1,0),0))</f>
        <v/>
      </c>
      <c r="L157" s="16" t="str">
        <f aca="false">IF(B157="","",IF(N157=_xlfn.MAXIFS($N$2:$N$5001,$B$2:$B$5001,B157,$I$2:$I$5001,I157),1,0))</f>
        <v/>
      </c>
      <c r="M157" s="16" t="str">
        <f aca="false">IF(B157="","",IF(E157="Em ajustes",IF(N157=_xlfn.MINIFS($N$2:$N$5001,$B$2:$B$5001,B157,$E$2:$E$5001,"Em ajustes"),1,0),0))</f>
        <v/>
      </c>
      <c r="N157" s="17" t="str">
        <f aca="false">IF(A157="","",IF(ISNUMBER(A157),A157,IFERROR(DATE(VALUE(MID(A157,7,4)),VALUE(MID(A157,4,2)),VALUE(MID(A157,1,2)))+TIME(VALUE(MID(A157,12,2)),VALUE(MID(A157,15,2)),VALUE(MID(A157,18,2))),"")))</f>
        <v/>
      </c>
    </row>
    <row r="158" customFormat="false" ht="15" hidden="false" customHeight="false" outlineLevel="0" collapsed="false">
      <c r="I158" s="15" t="str">
        <f aca="false">IF(N158="","",INT(N158))</f>
        <v/>
      </c>
      <c r="J158" s="16" t="str">
        <f aca="false">IF(B158="","",IF(N158=_xlfn.MINIFS($N$2:$N$5001,$B$2:$B$5001,B158),1,0))</f>
        <v/>
      </c>
      <c r="K158" s="16" t="str">
        <f aca="false">IF(B158="","",IF(AND(D158="Formalização",E158="Concluído"),IF(COUNTIFS($B$2:$B$5001,B158,$E$2:$E$5001,"Em ajustes",$N$2:$N$5001,"&lt;"&amp;I158)&gt;0,1,0),0))</f>
        <v/>
      </c>
      <c r="L158" s="16" t="str">
        <f aca="false">IF(B158="","",IF(N158=_xlfn.MAXIFS($N$2:$N$5001,$B$2:$B$5001,B158,$I$2:$I$5001,I158),1,0))</f>
        <v/>
      </c>
      <c r="M158" s="16" t="str">
        <f aca="false">IF(B158="","",IF(E158="Em ajustes",IF(N158=_xlfn.MINIFS($N$2:$N$5001,$B$2:$B$5001,B158,$E$2:$E$5001,"Em ajustes"),1,0),0))</f>
        <v/>
      </c>
      <c r="N158" s="17" t="str">
        <f aca="false">IF(A158="","",IF(ISNUMBER(A158),A158,IFERROR(DATE(VALUE(MID(A158,7,4)),VALUE(MID(A158,4,2)),VALUE(MID(A158,1,2)))+TIME(VALUE(MID(A158,12,2)),VALUE(MID(A158,15,2)),VALUE(MID(A158,18,2))),"")))</f>
        <v/>
      </c>
    </row>
    <row r="159" customFormat="false" ht="15" hidden="false" customHeight="false" outlineLevel="0" collapsed="false">
      <c r="I159" s="15" t="str">
        <f aca="false">IF(N159="","",INT(N159))</f>
        <v/>
      </c>
      <c r="J159" s="16" t="str">
        <f aca="false">IF(B159="","",IF(N159=_xlfn.MINIFS($N$2:$N$5001,$B$2:$B$5001,B159),1,0))</f>
        <v/>
      </c>
      <c r="K159" s="16" t="str">
        <f aca="false">IF(B159="","",IF(AND(D159="Formalização",E159="Concluído"),IF(COUNTIFS($B$2:$B$5001,B159,$E$2:$E$5001,"Em ajustes",$N$2:$N$5001,"&lt;"&amp;I159)&gt;0,1,0),0))</f>
        <v/>
      </c>
      <c r="L159" s="16" t="str">
        <f aca="false">IF(B159="","",IF(N159=_xlfn.MAXIFS($N$2:$N$5001,$B$2:$B$5001,B159,$I$2:$I$5001,I159),1,0))</f>
        <v/>
      </c>
      <c r="M159" s="16" t="str">
        <f aca="false">IF(B159="","",IF(E159="Em ajustes",IF(N159=_xlfn.MINIFS($N$2:$N$5001,$B$2:$B$5001,B159,$E$2:$E$5001,"Em ajustes"),1,0),0))</f>
        <v/>
      </c>
      <c r="N159" s="17" t="str">
        <f aca="false">IF(A159="","",IF(ISNUMBER(A159),A159,IFERROR(DATE(VALUE(MID(A159,7,4)),VALUE(MID(A159,4,2)),VALUE(MID(A159,1,2)))+TIME(VALUE(MID(A159,12,2)),VALUE(MID(A159,15,2)),VALUE(MID(A159,18,2))),"")))</f>
        <v/>
      </c>
    </row>
    <row r="160" customFormat="false" ht="15" hidden="false" customHeight="false" outlineLevel="0" collapsed="false">
      <c r="I160" s="15" t="str">
        <f aca="false">IF(N160="","",INT(N160))</f>
        <v/>
      </c>
      <c r="J160" s="16" t="str">
        <f aca="false">IF(B160="","",IF(N160=_xlfn.MINIFS($N$2:$N$5001,$B$2:$B$5001,B160),1,0))</f>
        <v/>
      </c>
      <c r="K160" s="16" t="str">
        <f aca="false">IF(B160="","",IF(AND(D160="Formalização",E160="Concluído"),IF(COUNTIFS($B$2:$B$5001,B160,$E$2:$E$5001,"Em ajustes",$N$2:$N$5001,"&lt;"&amp;I160)&gt;0,1,0),0))</f>
        <v/>
      </c>
      <c r="L160" s="16" t="str">
        <f aca="false">IF(B160="","",IF(N160=_xlfn.MAXIFS($N$2:$N$5001,$B$2:$B$5001,B160,$I$2:$I$5001,I160),1,0))</f>
        <v/>
      </c>
      <c r="M160" s="16" t="str">
        <f aca="false">IF(B160="","",IF(E160="Em ajustes",IF(N160=_xlfn.MINIFS($N$2:$N$5001,$B$2:$B$5001,B160,$E$2:$E$5001,"Em ajustes"),1,0),0))</f>
        <v/>
      </c>
      <c r="N160" s="17" t="str">
        <f aca="false">IF(A160="","",IF(ISNUMBER(A160),A160,IFERROR(DATE(VALUE(MID(A160,7,4)),VALUE(MID(A160,4,2)),VALUE(MID(A160,1,2)))+TIME(VALUE(MID(A160,12,2)),VALUE(MID(A160,15,2)),VALUE(MID(A160,18,2))),"")))</f>
        <v/>
      </c>
    </row>
    <row r="161" customFormat="false" ht="15" hidden="false" customHeight="false" outlineLevel="0" collapsed="false">
      <c r="I161" s="15" t="str">
        <f aca="false">IF(N161="","",INT(N161))</f>
        <v/>
      </c>
      <c r="J161" s="16" t="str">
        <f aca="false">IF(B161="","",IF(N161=_xlfn.MINIFS($N$2:$N$5001,$B$2:$B$5001,B161),1,0))</f>
        <v/>
      </c>
      <c r="K161" s="16" t="str">
        <f aca="false">IF(B161="","",IF(AND(D161="Formalização",E161="Concluído"),IF(COUNTIFS($B$2:$B$5001,B161,$E$2:$E$5001,"Em ajustes",$N$2:$N$5001,"&lt;"&amp;I161)&gt;0,1,0),0))</f>
        <v/>
      </c>
      <c r="L161" s="16" t="str">
        <f aca="false">IF(B161="","",IF(N161=_xlfn.MAXIFS($N$2:$N$5001,$B$2:$B$5001,B161,$I$2:$I$5001,I161),1,0))</f>
        <v/>
      </c>
      <c r="M161" s="16" t="str">
        <f aca="false">IF(B161="","",IF(E161="Em ajustes",IF(N161=_xlfn.MINIFS($N$2:$N$5001,$B$2:$B$5001,B161,$E$2:$E$5001,"Em ajustes"),1,0),0))</f>
        <v/>
      </c>
      <c r="N161" s="17" t="str">
        <f aca="false">IF(A161="","",IF(ISNUMBER(A161),A161,IFERROR(DATE(VALUE(MID(A161,7,4)),VALUE(MID(A161,4,2)),VALUE(MID(A161,1,2)))+TIME(VALUE(MID(A161,12,2)),VALUE(MID(A161,15,2)),VALUE(MID(A161,18,2))),"")))</f>
        <v/>
      </c>
    </row>
    <row r="162" customFormat="false" ht="15" hidden="false" customHeight="false" outlineLevel="0" collapsed="false">
      <c r="I162" s="15" t="str">
        <f aca="false">IF(N162="","",INT(N162))</f>
        <v/>
      </c>
      <c r="J162" s="16" t="str">
        <f aca="false">IF(B162="","",IF(N162=_xlfn.MINIFS($N$2:$N$5001,$B$2:$B$5001,B162),1,0))</f>
        <v/>
      </c>
      <c r="K162" s="16" t="str">
        <f aca="false">IF(B162="","",IF(AND(D162="Formalização",E162="Concluído"),IF(COUNTIFS($B$2:$B$5001,B162,$E$2:$E$5001,"Em ajustes",$N$2:$N$5001,"&lt;"&amp;I162)&gt;0,1,0),0))</f>
        <v/>
      </c>
      <c r="L162" s="16" t="str">
        <f aca="false">IF(B162="","",IF(N162=_xlfn.MAXIFS($N$2:$N$5001,$B$2:$B$5001,B162,$I$2:$I$5001,I162),1,0))</f>
        <v/>
      </c>
      <c r="M162" s="16" t="str">
        <f aca="false">IF(B162="","",IF(E162="Em ajustes",IF(N162=_xlfn.MINIFS($N$2:$N$5001,$B$2:$B$5001,B162,$E$2:$E$5001,"Em ajustes"),1,0),0))</f>
        <v/>
      </c>
      <c r="N162" s="17" t="str">
        <f aca="false">IF(A162="","",IF(ISNUMBER(A162),A162,IFERROR(DATE(VALUE(MID(A162,7,4)),VALUE(MID(A162,4,2)),VALUE(MID(A162,1,2)))+TIME(VALUE(MID(A162,12,2)),VALUE(MID(A162,15,2)),VALUE(MID(A162,18,2))),"")))</f>
        <v/>
      </c>
    </row>
    <row r="163" customFormat="false" ht="15" hidden="false" customHeight="false" outlineLevel="0" collapsed="false">
      <c r="I163" s="15" t="str">
        <f aca="false">IF(N163="","",INT(N163))</f>
        <v/>
      </c>
      <c r="J163" s="16" t="str">
        <f aca="false">IF(B163="","",IF(N163=_xlfn.MINIFS($N$2:$N$5001,$B$2:$B$5001,B163),1,0))</f>
        <v/>
      </c>
      <c r="K163" s="16" t="str">
        <f aca="false">IF(B163="","",IF(AND(D163="Formalização",E163="Concluído"),IF(COUNTIFS($B$2:$B$5001,B163,$E$2:$E$5001,"Em ajustes",$N$2:$N$5001,"&lt;"&amp;I163)&gt;0,1,0),0))</f>
        <v/>
      </c>
      <c r="L163" s="16" t="str">
        <f aca="false">IF(B163="","",IF(N163=_xlfn.MAXIFS($N$2:$N$5001,$B$2:$B$5001,B163,$I$2:$I$5001,I163),1,0))</f>
        <v/>
      </c>
      <c r="M163" s="16" t="str">
        <f aca="false">IF(B163="","",IF(E163="Em ajustes",IF(N163=_xlfn.MINIFS($N$2:$N$5001,$B$2:$B$5001,B163,$E$2:$E$5001,"Em ajustes"),1,0),0))</f>
        <v/>
      </c>
      <c r="N163" s="17" t="str">
        <f aca="false">IF(A163="","",IF(ISNUMBER(A163),A163,IFERROR(DATE(VALUE(MID(A163,7,4)),VALUE(MID(A163,4,2)),VALUE(MID(A163,1,2)))+TIME(VALUE(MID(A163,12,2)),VALUE(MID(A163,15,2)),VALUE(MID(A163,18,2))),"")))</f>
        <v/>
      </c>
    </row>
    <row r="164" customFormat="false" ht="15" hidden="false" customHeight="false" outlineLevel="0" collapsed="false">
      <c r="I164" s="15" t="str">
        <f aca="false">IF(N164="","",INT(N164))</f>
        <v/>
      </c>
      <c r="J164" s="16" t="str">
        <f aca="false">IF(B164="","",IF(N164=_xlfn.MINIFS($N$2:$N$5001,$B$2:$B$5001,B164),1,0))</f>
        <v/>
      </c>
      <c r="K164" s="16" t="str">
        <f aca="false">IF(B164="","",IF(AND(D164="Formalização",E164="Concluído"),IF(COUNTIFS($B$2:$B$5001,B164,$E$2:$E$5001,"Em ajustes",$N$2:$N$5001,"&lt;"&amp;I164)&gt;0,1,0),0))</f>
        <v/>
      </c>
      <c r="L164" s="16" t="str">
        <f aca="false">IF(B164="","",IF(N164=_xlfn.MAXIFS($N$2:$N$5001,$B$2:$B$5001,B164,$I$2:$I$5001,I164),1,0))</f>
        <v/>
      </c>
      <c r="M164" s="16" t="str">
        <f aca="false">IF(B164="","",IF(E164="Em ajustes",IF(N164=_xlfn.MINIFS($N$2:$N$5001,$B$2:$B$5001,B164,$E$2:$E$5001,"Em ajustes"),1,0),0))</f>
        <v/>
      </c>
      <c r="N164" s="17" t="str">
        <f aca="false">IF(A164="","",IF(ISNUMBER(A164),A164,IFERROR(DATE(VALUE(MID(A164,7,4)),VALUE(MID(A164,4,2)),VALUE(MID(A164,1,2)))+TIME(VALUE(MID(A164,12,2)),VALUE(MID(A164,15,2)),VALUE(MID(A164,18,2))),"")))</f>
        <v/>
      </c>
    </row>
    <row r="165" customFormat="false" ht="15" hidden="false" customHeight="false" outlineLevel="0" collapsed="false">
      <c r="I165" s="15" t="str">
        <f aca="false">IF(N165="","",INT(N165))</f>
        <v/>
      </c>
      <c r="J165" s="16" t="str">
        <f aca="false">IF(B165="","",IF(N165=_xlfn.MINIFS($N$2:$N$5001,$B$2:$B$5001,B165),1,0))</f>
        <v/>
      </c>
      <c r="K165" s="16" t="str">
        <f aca="false">IF(B165="","",IF(AND(D165="Formalização",E165="Concluído"),IF(COUNTIFS($B$2:$B$5001,B165,$E$2:$E$5001,"Em ajustes",$N$2:$N$5001,"&lt;"&amp;I165)&gt;0,1,0),0))</f>
        <v/>
      </c>
      <c r="L165" s="16" t="str">
        <f aca="false">IF(B165="","",IF(N165=_xlfn.MAXIFS($N$2:$N$5001,$B$2:$B$5001,B165,$I$2:$I$5001,I165),1,0))</f>
        <v/>
      </c>
      <c r="M165" s="16" t="str">
        <f aca="false">IF(B165="","",IF(E165="Em ajustes",IF(N165=_xlfn.MINIFS($N$2:$N$5001,$B$2:$B$5001,B165,$E$2:$E$5001,"Em ajustes"),1,0),0))</f>
        <v/>
      </c>
      <c r="N165" s="17" t="str">
        <f aca="false">IF(A165="","",IF(ISNUMBER(A165),A165,IFERROR(DATE(VALUE(MID(A165,7,4)),VALUE(MID(A165,4,2)),VALUE(MID(A165,1,2)))+TIME(VALUE(MID(A165,12,2)),VALUE(MID(A165,15,2)),VALUE(MID(A165,18,2))),"")))</f>
        <v/>
      </c>
    </row>
    <row r="166" customFormat="false" ht="15" hidden="false" customHeight="false" outlineLevel="0" collapsed="false">
      <c r="I166" s="15" t="str">
        <f aca="false">IF(N166="","",INT(N166))</f>
        <v/>
      </c>
      <c r="J166" s="16" t="str">
        <f aca="false">IF(B166="","",IF(N166=_xlfn.MINIFS($N$2:$N$5001,$B$2:$B$5001,B166),1,0))</f>
        <v/>
      </c>
      <c r="K166" s="16" t="str">
        <f aca="false">IF(B166="","",IF(AND(D166="Formalização",E166="Concluído"),IF(COUNTIFS($B$2:$B$5001,B166,$E$2:$E$5001,"Em ajustes",$N$2:$N$5001,"&lt;"&amp;I166)&gt;0,1,0),0))</f>
        <v/>
      </c>
      <c r="L166" s="16" t="str">
        <f aca="false">IF(B166="","",IF(N166=_xlfn.MAXIFS($N$2:$N$5001,$B$2:$B$5001,B166,$I$2:$I$5001,I166),1,0))</f>
        <v/>
      </c>
      <c r="M166" s="16" t="str">
        <f aca="false">IF(B166="","",IF(E166="Em ajustes",IF(N166=_xlfn.MINIFS($N$2:$N$5001,$B$2:$B$5001,B166,$E$2:$E$5001,"Em ajustes"),1,0),0))</f>
        <v/>
      </c>
      <c r="N166" s="17" t="str">
        <f aca="false">IF(A166="","",IF(ISNUMBER(A166),A166,IFERROR(DATE(VALUE(MID(A166,7,4)),VALUE(MID(A166,4,2)),VALUE(MID(A166,1,2)))+TIME(VALUE(MID(A166,12,2)),VALUE(MID(A166,15,2)),VALUE(MID(A166,18,2))),"")))</f>
        <v/>
      </c>
    </row>
    <row r="167" customFormat="false" ht="15" hidden="false" customHeight="false" outlineLevel="0" collapsed="false">
      <c r="I167" s="15" t="str">
        <f aca="false">IF(N167="","",INT(N167))</f>
        <v/>
      </c>
      <c r="J167" s="16" t="str">
        <f aca="false">IF(B167="","",IF(N167=_xlfn.MINIFS($N$2:$N$5001,$B$2:$B$5001,B167),1,0))</f>
        <v/>
      </c>
      <c r="K167" s="16" t="str">
        <f aca="false">IF(B167="","",IF(AND(D167="Formalização",E167="Concluído"),IF(COUNTIFS($B$2:$B$5001,B167,$E$2:$E$5001,"Em ajustes",$N$2:$N$5001,"&lt;"&amp;I167)&gt;0,1,0),0))</f>
        <v/>
      </c>
      <c r="L167" s="16" t="str">
        <f aca="false">IF(B167="","",IF(N167=_xlfn.MAXIFS($N$2:$N$5001,$B$2:$B$5001,B167,$I$2:$I$5001,I167),1,0))</f>
        <v/>
      </c>
      <c r="M167" s="16" t="str">
        <f aca="false">IF(B167="","",IF(E167="Em ajustes",IF(N167=_xlfn.MINIFS($N$2:$N$5001,$B$2:$B$5001,B167,$E$2:$E$5001,"Em ajustes"),1,0),0))</f>
        <v/>
      </c>
      <c r="N167" s="17" t="str">
        <f aca="false">IF(A167="","",IF(ISNUMBER(A167),A167,IFERROR(DATE(VALUE(MID(A167,7,4)),VALUE(MID(A167,4,2)),VALUE(MID(A167,1,2)))+TIME(VALUE(MID(A167,12,2)),VALUE(MID(A167,15,2)),VALUE(MID(A167,18,2))),"")))</f>
        <v/>
      </c>
    </row>
    <row r="168" customFormat="false" ht="15" hidden="false" customHeight="false" outlineLevel="0" collapsed="false">
      <c r="I168" s="15" t="str">
        <f aca="false">IF(N168="","",INT(N168))</f>
        <v/>
      </c>
      <c r="J168" s="16" t="str">
        <f aca="false">IF(B168="","",IF(N168=_xlfn.MINIFS($N$2:$N$5001,$B$2:$B$5001,B168),1,0))</f>
        <v/>
      </c>
      <c r="K168" s="16" t="str">
        <f aca="false">IF(B168="","",IF(AND(D168="Formalização",E168="Concluído"),IF(COUNTIFS($B$2:$B$5001,B168,$E$2:$E$5001,"Em ajustes",$N$2:$N$5001,"&lt;"&amp;I168)&gt;0,1,0),0))</f>
        <v/>
      </c>
      <c r="L168" s="16" t="str">
        <f aca="false">IF(B168="","",IF(N168=_xlfn.MAXIFS($N$2:$N$5001,$B$2:$B$5001,B168,$I$2:$I$5001,I168),1,0))</f>
        <v/>
      </c>
      <c r="M168" s="16" t="str">
        <f aca="false">IF(B168="","",IF(E168="Em ajustes",IF(N168=_xlfn.MINIFS($N$2:$N$5001,$B$2:$B$5001,B168,$E$2:$E$5001,"Em ajustes"),1,0),0))</f>
        <v/>
      </c>
      <c r="N168" s="17" t="str">
        <f aca="false">IF(A168="","",IF(ISNUMBER(A168),A168,IFERROR(DATE(VALUE(MID(A168,7,4)),VALUE(MID(A168,4,2)),VALUE(MID(A168,1,2)))+TIME(VALUE(MID(A168,12,2)),VALUE(MID(A168,15,2)),VALUE(MID(A168,18,2))),"")))</f>
        <v/>
      </c>
    </row>
    <row r="169" customFormat="false" ht="15" hidden="false" customHeight="false" outlineLevel="0" collapsed="false">
      <c r="I169" s="15" t="str">
        <f aca="false">IF(N169="","",INT(N169))</f>
        <v/>
      </c>
      <c r="J169" s="16" t="str">
        <f aca="false">IF(B169="","",IF(N169=_xlfn.MINIFS($N$2:$N$5001,$B$2:$B$5001,B169),1,0))</f>
        <v/>
      </c>
      <c r="K169" s="16" t="str">
        <f aca="false">IF(B169="","",IF(AND(D169="Formalização",E169="Concluído"),IF(COUNTIFS($B$2:$B$5001,B169,$E$2:$E$5001,"Em ajustes",$N$2:$N$5001,"&lt;"&amp;I169)&gt;0,1,0),0))</f>
        <v/>
      </c>
      <c r="L169" s="16" t="str">
        <f aca="false">IF(B169="","",IF(N169=_xlfn.MAXIFS($N$2:$N$5001,$B$2:$B$5001,B169,$I$2:$I$5001,I169),1,0))</f>
        <v/>
      </c>
      <c r="M169" s="16" t="str">
        <f aca="false">IF(B169="","",IF(E169="Em ajustes",IF(N169=_xlfn.MINIFS($N$2:$N$5001,$B$2:$B$5001,B169,$E$2:$E$5001,"Em ajustes"),1,0),0))</f>
        <v/>
      </c>
      <c r="N169" s="17" t="str">
        <f aca="false">IF(A169="","",IF(ISNUMBER(A169),A169,IFERROR(DATE(VALUE(MID(A169,7,4)),VALUE(MID(A169,4,2)),VALUE(MID(A169,1,2)))+TIME(VALUE(MID(A169,12,2)),VALUE(MID(A169,15,2)),VALUE(MID(A169,18,2))),"")))</f>
        <v/>
      </c>
    </row>
    <row r="170" customFormat="false" ht="15" hidden="false" customHeight="false" outlineLevel="0" collapsed="false">
      <c r="I170" s="15" t="str">
        <f aca="false">IF(N170="","",INT(N170))</f>
        <v/>
      </c>
      <c r="J170" s="16" t="str">
        <f aca="false">IF(B170="","",IF(N170=_xlfn.MINIFS($N$2:$N$5001,$B$2:$B$5001,B170),1,0))</f>
        <v/>
      </c>
      <c r="K170" s="16" t="str">
        <f aca="false">IF(B170="","",IF(AND(D170="Formalização",E170="Concluído"),IF(COUNTIFS($B$2:$B$5001,B170,$E$2:$E$5001,"Em ajustes",$N$2:$N$5001,"&lt;"&amp;I170)&gt;0,1,0),0))</f>
        <v/>
      </c>
      <c r="L170" s="16" t="str">
        <f aca="false">IF(B170="","",IF(N170=_xlfn.MAXIFS($N$2:$N$5001,$B$2:$B$5001,B170,$I$2:$I$5001,I170),1,0))</f>
        <v/>
      </c>
      <c r="M170" s="16" t="str">
        <f aca="false">IF(B170="","",IF(E170="Em ajustes",IF(N170=_xlfn.MINIFS($N$2:$N$5001,$B$2:$B$5001,B170,$E$2:$E$5001,"Em ajustes"),1,0),0))</f>
        <v/>
      </c>
      <c r="N170" s="17" t="str">
        <f aca="false">IF(A170="","",IF(ISNUMBER(A170),A170,IFERROR(DATE(VALUE(MID(A170,7,4)),VALUE(MID(A170,4,2)),VALUE(MID(A170,1,2)))+TIME(VALUE(MID(A170,12,2)),VALUE(MID(A170,15,2)),VALUE(MID(A170,18,2))),"")))</f>
        <v/>
      </c>
    </row>
    <row r="171" customFormat="false" ht="15" hidden="false" customHeight="false" outlineLevel="0" collapsed="false">
      <c r="I171" s="15" t="str">
        <f aca="false">IF(N171="","",INT(N171))</f>
        <v/>
      </c>
      <c r="J171" s="16" t="str">
        <f aca="false">IF(B171="","",IF(N171=_xlfn.MINIFS($N$2:$N$5001,$B$2:$B$5001,B171),1,0))</f>
        <v/>
      </c>
      <c r="K171" s="16" t="str">
        <f aca="false">IF(B171="","",IF(AND(D171="Formalização",E171="Concluído"),IF(COUNTIFS($B$2:$B$5001,B171,$E$2:$E$5001,"Em ajustes",$N$2:$N$5001,"&lt;"&amp;I171)&gt;0,1,0),0))</f>
        <v/>
      </c>
      <c r="L171" s="16" t="str">
        <f aca="false">IF(B171="","",IF(N171=_xlfn.MAXIFS($N$2:$N$5001,$B$2:$B$5001,B171,$I$2:$I$5001,I171),1,0))</f>
        <v/>
      </c>
      <c r="M171" s="16" t="str">
        <f aca="false">IF(B171="","",IF(E171="Em ajustes",IF(N171=_xlfn.MINIFS($N$2:$N$5001,$B$2:$B$5001,B171,$E$2:$E$5001,"Em ajustes"),1,0),0))</f>
        <v/>
      </c>
      <c r="N171" s="17" t="str">
        <f aca="false">IF(A171="","",IF(ISNUMBER(A171),A171,IFERROR(DATE(VALUE(MID(A171,7,4)),VALUE(MID(A171,4,2)),VALUE(MID(A171,1,2)))+TIME(VALUE(MID(A171,12,2)),VALUE(MID(A171,15,2)),VALUE(MID(A171,18,2))),"")))</f>
        <v/>
      </c>
    </row>
    <row r="172" customFormat="false" ht="15" hidden="false" customHeight="false" outlineLevel="0" collapsed="false">
      <c r="I172" s="15" t="str">
        <f aca="false">IF(N172="","",INT(N172))</f>
        <v/>
      </c>
      <c r="J172" s="16" t="str">
        <f aca="false">IF(B172="","",IF(N172=_xlfn.MINIFS($N$2:$N$5001,$B$2:$B$5001,B172),1,0))</f>
        <v/>
      </c>
      <c r="K172" s="16" t="str">
        <f aca="false">IF(B172="","",IF(AND(D172="Formalização",E172="Concluído"),IF(COUNTIFS($B$2:$B$5001,B172,$E$2:$E$5001,"Em ajustes",$N$2:$N$5001,"&lt;"&amp;I172)&gt;0,1,0),0))</f>
        <v/>
      </c>
      <c r="L172" s="16" t="str">
        <f aca="false">IF(B172="","",IF(N172=_xlfn.MAXIFS($N$2:$N$5001,$B$2:$B$5001,B172,$I$2:$I$5001,I172),1,0))</f>
        <v/>
      </c>
      <c r="M172" s="16" t="str">
        <f aca="false">IF(B172="","",IF(E172="Em ajustes",IF(N172=_xlfn.MINIFS($N$2:$N$5001,$B$2:$B$5001,B172,$E$2:$E$5001,"Em ajustes"),1,0),0))</f>
        <v/>
      </c>
      <c r="N172" s="17" t="str">
        <f aca="false">IF(A172="","",IF(ISNUMBER(A172),A172,IFERROR(DATE(VALUE(MID(A172,7,4)),VALUE(MID(A172,4,2)),VALUE(MID(A172,1,2)))+TIME(VALUE(MID(A172,12,2)),VALUE(MID(A172,15,2)),VALUE(MID(A172,18,2))),"")))</f>
        <v/>
      </c>
    </row>
    <row r="173" customFormat="false" ht="15" hidden="false" customHeight="false" outlineLevel="0" collapsed="false">
      <c r="I173" s="15" t="str">
        <f aca="false">IF(N173="","",INT(N173))</f>
        <v/>
      </c>
      <c r="J173" s="16" t="str">
        <f aca="false">IF(B173="","",IF(N173=_xlfn.MINIFS($N$2:$N$5001,$B$2:$B$5001,B173),1,0))</f>
        <v/>
      </c>
      <c r="K173" s="16" t="str">
        <f aca="false">IF(B173="","",IF(AND(D173="Formalização",E173="Concluído"),IF(COUNTIFS($B$2:$B$5001,B173,$E$2:$E$5001,"Em ajustes",$N$2:$N$5001,"&lt;"&amp;I173)&gt;0,1,0),0))</f>
        <v/>
      </c>
      <c r="L173" s="16" t="str">
        <f aca="false">IF(B173="","",IF(N173=_xlfn.MAXIFS($N$2:$N$5001,$B$2:$B$5001,B173,$I$2:$I$5001,I173),1,0))</f>
        <v/>
      </c>
      <c r="M173" s="16" t="str">
        <f aca="false">IF(B173="","",IF(E173="Em ajustes",IF(N173=_xlfn.MINIFS($N$2:$N$5001,$B$2:$B$5001,B173,$E$2:$E$5001,"Em ajustes"),1,0),0))</f>
        <v/>
      </c>
      <c r="N173" s="17" t="str">
        <f aca="false">IF(A173="","",IF(ISNUMBER(A173),A173,IFERROR(DATE(VALUE(MID(A173,7,4)),VALUE(MID(A173,4,2)),VALUE(MID(A173,1,2)))+TIME(VALUE(MID(A173,12,2)),VALUE(MID(A173,15,2)),VALUE(MID(A173,18,2))),"")))</f>
        <v/>
      </c>
    </row>
    <row r="174" customFormat="false" ht="15" hidden="false" customHeight="false" outlineLevel="0" collapsed="false">
      <c r="I174" s="15" t="str">
        <f aca="false">IF(N174="","",INT(N174))</f>
        <v/>
      </c>
      <c r="J174" s="16" t="str">
        <f aca="false">IF(B174="","",IF(N174=_xlfn.MINIFS($N$2:$N$5001,$B$2:$B$5001,B174),1,0))</f>
        <v/>
      </c>
      <c r="K174" s="16" t="str">
        <f aca="false">IF(B174="","",IF(AND(D174="Formalização",E174="Concluído"),IF(COUNTIFS($B$2:$B$5001,B174,$E$2:$E$5001,"Em ajustes",$N$2:$N$5001,"&lt;"&amp;I174)&gt;0,1,0),0))</f>
        <v/>
      </c>
      <c r="L174" s="16" t="str">
        <f aca="false">IF(B174="","",IF(N174=_xlfn.MAXIFS($N$2:$N$5001,$B$2:$B$5001,B174,$I$2:$I$5001,I174),1,0))</f>
        <v/>
      </c>
      <c r="M174" s="16" t="str">
        <f aca="false">IF(B174="","",IF(E174="Em ajustes",IF(N174=_xlfn.MINIFS($N$2:$N$5001,$B$2:$B$5001,B174,$E$2:$E$5001,"Em ajustes"),1,0),0))</f>
        <v/>
      </c>
      <c r="N174" s="17" t="str">
        <f aca="false">IF(A174="","",IF(ISNUMBER(A174),A174,IFERROR(DATE(VALUE(MID(A174,7,4)),VALUE(MID(A174,4,2)),VALUE(MID(A174,1,2)))+TIME(VALUE(MID(A174,12,2)),VALUE(MID(A174,15,2)),VALUE(MID(A174,18,2))),"")))</f>
        <v/>
      </c>
    </row>
    <row r="175" customFormat="false" ht="15" hidden="false" customHeight="false" outlineLevel="0" collapsed="false">
      <c r="I175" s="15" t="str">
        <f aca="false">IF(N175="","",INT(N175))</f>
        <v/>
      </c>
      <c r="J175" s="16" t="str">
        <f aca="false">IF(B175="","",IF(N175=_xlfn.MINIFS($N$2:$N$5001,$B$2:$B$5001,B175),1,0))</f>
        <v/>
      </c>
      <c r="K175" s="16" t="str">
        <f aca="false">IF(B175="","",IF(AND(D175="Formalização",E175="Concluído"),IF(COUNTIFS($B$2:$B$5001,B175,$E$2:$E$5001,"Em ajustes",$N$2:$N$5001,"&lt;"&amp;I175)&gt;0,1,0),0))</f>
        <v/>
      </c>
      <c r="L175" s="16" t="str">
        <f aca="false">IF(B175="","",IF(N175=_xlfn.MAXIFS($N$2:$N$5001,$B$2:$B$5001,B175,$I$2:$I$5001,I175),1,0))</f>
        <v/>
      </c>
      <c r="M175" s="16" t="str">
        <f aca="false">IF(B175="","",IF(E175="Em ajustes",IF(N175=_xlfn.MINIFS($N$2:$N$5001,$B$2:$B$5001,B175,$E$2:$E$5001,"Em ajustes"),1,0),0))</f>
        <v/>
      </c>
      <c r="N175" s="17" t="str">
        <f aca="false">IF(A175="","",IF(ISNUMBER(A175),A175,IFERROR(DATE(VALUE(MID(A175,7,4)),VALUE(MID(A175,4,2)),VALUE(MID(A175,1,2)))+TIME(VALUE(MID(A175,12,2)),VALUE(MID(A175,15,2)),VALUE(MID(A175,18,2))),"")))</f>
        <v/>
      </c>
    </row>
    <row r="176" customFormat="false" ht="15" hidden="false" customHeight="false" outlineLevel="0" collapsed="false">
      <c r="I176" s="15" t="str">
        <f aca="false">IF(N176="","",INT(N176))</f>
        <v/>
      </c>
      <c r="J176" s="16" t="str">
        <f aca="false">IF(B176="","",IF(N176=_xlfn.MINIFS($N$2:$N$5001,$B$2:$B$5001,B176),1,0))</f>
        <v/>
      </c>
      <c r="K176" s="16" t="str">
        <f aca="false">IF(B176="","",IF(AND(D176="Formalização",E176="Concluído"),IF(COUNTIFS($B$2:$B$5001,B176,$E$2:$E$5001,"Em ajustes",$N$2:$N$5001,"&lt;"&amp;I176)&gt;0,1,0),0))</f>
        <v/>
      </c>
      <c r="L176" s="16" t="str">
        <f aca="false">IF(B176="","",IF(N176=_xlfn.MAXIFS($N$2:$N$5001,$B$2:$B$5001,B176,$I$2:$I$5001,I176),1,0))</f>
        <v/>
      </c>
      <c r="M176" s="16" t="str">
        <f aca="false">IF(B176="","",IF(E176="Em ajustes",IF(N176=_xlfn.MINIFS($N$2:$N$5001,$B$2:$B$5001,B176,$E$2:$E$5001,"Em ajustes"),1,0),0))</f>
        <v/>
      </c>
      <c r="N176" s="17" t="str">
        <f aca="false">IF(A176="","",IF(ISNUMBER(A176),A176,IFERROR(DATE(VALUE(MID(A176,7,4)),VALUE(MID(A176,4,2)),VALUE(MID(A176,1,2)))+TIME(VALUE(MID(A176,12,2)),VALUE(MID(A176,15,2)),VALUE(MID(A176,18,2))),"")))</f>
        <v/>
      </c>
    </row>
    <row r="177" customFormat="false" ht="15" hidden="false" customHeight="false" outlineLevel="0" collapsed="false">
      <c r="I177" s="15" t="str">
        <f aca="false">IF(N177="","",INT(N177))</f>
        <v/>
      </c>
      <c r="J177" s="16" t="str">
        <f aca="false">IF(B177="","",IF(N177=_xlfn.MINIFS($N$2:$N$5001,$B$2:$B$5001,B177),1,0))</f>
        <v/>
      </c>
      <c r="K177" s="16" t="str">
        <f aca="false">IF(B177="","",IF(AND(D177="Formalização",E177="Concluído"),IF(COUNTIFS($B$2:$B$5001,B177,$E$2:$E$5001,"Em ajustes",$N$2:$N$5001,"&lt;"&amp;I177)&gt;0,1,0),0))</f>
        <v/>
      </c>
      <c r="L177" s="16" t="str">
        <f aca="false">IF(B177="","",IF(N177=_xlfn.MAXIFS($N$2:$N$5001,$B$2:$B$5001,B177,$I$2:$I$5001,I177),1,0))</f>
        <v/>
      </c>
      <c r="M177" s="16" t="str">
        <f aca="false">IF(B177="","",IF(E177="Em ajustes",IF(N177=_xlfn.MINIFS($N$2:$N$5001,$B$2:$B$5001,B177,$E$2:$E$5001,"Em ajustes"),1,0),0))</f>
        <v/>
      </c>
      <c r="N177" s="17" t="str">
        <f aca="false">IF(A177="","",IF(ISNUMBER(A177),A177,IFERROR(DATE(VALUE(MID(A177,7,4)),VALUE(MID(A177,4,2)),VALUE(MID(A177,1,2)))+TIME(VALUE(MID(A177,12,2)),VALUE(MID(A177,15,2)),VALUE(MID(A177,18,2))),"")))</f>
        <v/>
      </c>
    </row>
    <row r="178" customFormat="false" ht="15" hidden="false" customHeight="false" outlineLevel="0" collapsed="false">
      <c r="I178" s="15" t="str">
        <f aca="false">IF(N178="","",INT(N178))</f>
        <v/>
      </c>
      <c r="J178" s="16" t="str">
        <f aca="false">IF(B178="","",IF(N178=_xlfn.MINIFS($N$2:$N$5001,$B$2:$B$5001,B178),1,0))</f>
        <v/>
      </c>
      <c r="K178" s="16" t="str">
        <f aca="false">IF(B178="","",IF(AND(D178="Formalização",E178="Concluído"),IF(COUNTIFS($B$2:$B$5001,B178,$E$2:$E$5001,"Em ajustes",$N$2:$N$5001,"&lt;"&amp;I178)&gt;0,1,0),0))</f>
        <v/>
      </c>
      <c r="L178" s="16" t="str">
        <f aca="false">IF(B178="","",IF(N178=_xlfn.MAXIFS($N$2:$N$5001,$B$2:$B$5001,B178,$I$2:$I$5001,I178),1,0))</f>
        <v/>
      </c>
      <c r="M178" s="16" t="str">
        <f aca="false">IF(B178="","",IF(E178="Em ajustes",IF(N178=_xlfn.MINIFS($N$2:$N$5001,$B$2:$B$5001,B178,$E$2:$E$5001,"Em ajustes"),1,0),0))</f>
        <v/>
      </c>
      <c r="N178" s="17" t="str">
        <f aca="false">IF(A178="","",IF(ISNUMBER(A178),A178,IFERROR(DATE(VALUE(MID(A178,7,4)),VALUE(MID(A178,4,2)),VALUE(MID(A178,1,2)))+TIME(VALUE(MID(A178,12,2)),VALUE(MID(A178,15,2)),VALUE(MID(A178,18,2))),"")))</f>
        <v/>
      </c>
    </row>
    <row r="179" customFormat="false" ht="15" hidden="false" customHeight="false" outlineLevel="0" collapsed="false">
      <c r="I179" s="15" t="str">
        <f aca="false">IF(N179="","",INT(N179))</f>
        <v/>
      </c>
      <c r="J179" s="16" t="str">
        <f aca="false">IF(B179="","",IF(N179=_xlfn.MINIFS($N$2:$N$5001,$B$2:$B$5001,B179),1,0))</f>
        <v/>
      </c>
      <c r="K179" s="16" t="str">
        <f aca="false">IF(B179="","",IF(AND(D179="Formalização",E179="Concluído"),IF(COUNTIFS($B$2:$B$5001,B179,$E$2:$E$5001,"Em ajustes",$N$2:$N$5001,"&lt;"&amp;I179)&gt;0,1,0),0))</f>
        <v/>
      </c>
      <c r="L179" s="16" t="str">
        <f aca="false">IF(B179="","",IF(N179=_xlfn.MAXIFS($N$2:$N$5001,$B$2:$B$5001,B179,$I$2:$I$5001,I179),1,0))</f>
        <v/>
      </c>
      <c r="M179" s="16" t="str">
        <f aca="false">IF(B179="","",IF(E179="Em ajustes",IF(N179=_xlfn.MINIFS($N$2:$N$5001,$B$2:$B$5001,B179,$E$2:$E$5001,"Em ajustes"),1,0),0))</f>
        <v/>
      </c>
      <c r="N179" s="17" t="str">
        <f aca="false">IF(A179="","",IF(ISNUMBER(A179),A179,IFERROR(DATE(VALUE(MID(A179,7,4)),VALUE(MID(A179,4,2)),VALUE(MID(A179,1,2)))+TIME(VALUE(MID(A179,12,2)),VALUE(MID(A179,15,2)),VALUE(MID(A179,18,2))),"")))</f>
        <v/>
      </c>
    </row>
    <row r="180" customFormat="false" ht="15" hidden="false" customHeight="false" outlineLevel="0" collapsed="false">
      <c r="I180" s="15" t="str">
        <f aca="false">IF(N180="","",INT(N180))</f>
        <v/>
      </c>
      <c r="J180" s="16" t="str">
        <f aca="false">IF(B180="","",IF(N180=_xlfn.MINIFS($N$2:$N$5001,$B$2:$B$5001,B180),1,0))</f>
        <v/>
      </c>
      <c r="K180" s="16" t="str">
        <f aca="false">IF(B180="","",IF(AND(D180="Formalização",E180="Concluído"),IF(COUNTIFS($B$2:$B$5001,B180,$E$2:$E$5001,"Em ajustes",$N$2:$N$5001,"&lt;"&amp;I180)&gt;0,1,0),0))</f>
        <v/>
      </c>
      <c r="L180" s="16" t="str">
        <f aca="false">IF(B180="","",IF(N180=_xlfn.MAXIFS($N$2:$N$5001,$B$2:$B$5001,B180,$I$2:$I$5001,I180),1,0))</f>
        <v/>
      </c>
      <c r="M180" s="16" t="str">
        <f aca="false">IF(B180="","",IF(E180="Em ajustes",IF(N180=_xlfn.MINIFS($N$2:$N$5001,$B$2:$B$5001,B180,$E$2:$E$5001,"Em ajustes"),1,0),0))</f>
        <v/>
      </c>
      <c r="N180" s="17" t="str">
        <f aca="false">IF(A180="","",IF(ISNUMBER(A180),A180,IFERROR(DATE(VALUE(MID(A180,7,4)),VALUE(MID(A180,4,2)),VALUE(MID(A180,1,2)))+TIME(VALUE(MID(A180,12,2)),VALUE(MID(A180,15,2)),VALUE(MID(A180,18,2))),"")))</f>
        <v/>
      </c>
    </row>
    <row r="181" customFormat="false" ht="15" hidden="false" customHeight="false" outlineLevel="0" collapsed="false">
      <c r="I181" s="15" t="str">
        <f aca="false">IF(N181="","",INT(N181))</f>
        <v/>
      </c>
      <c r="J181" s="16" t="str">
        <f aca="false">IF(B181="","",IF(N181=_xlfn.MINIFS($N$2:$N$5001,$B$2:$B$5001,B181),1,0))</f>
        <v/>
      </c>
      <c r="K181" s="16" t="str">
        <f aca="false">IF(B181="","",IF(AND(D181="Formalização",E181="Concluído"),IF(COUNTIFS($B$2:$B$5001,B181,$E$2:$E$5001,"Em ajustes",$N$2:$N$5001,"&lt;"&amp;I181)&gt;0,1,0),0))</f>
        <v/>
      </c>
      <c r="L181" s="16" t="str">
        <f aca="false">IF(B181="","",IF(N181=_xlfn.MAXIFS($N$2:$N$5001,$B$2:$B$5001,B181,$I$2:$I$5001,I181),1,0))</f>
        <v/>
      </c>
      <c r="M181" s="16" t="str">
        <f aca="false">IF(B181="","",IF(E181="Em ajustes",IF(N181=_xlfn.MINIFS($N$2:$N$5001,$B$2:$B$5001,B181,$E$2:$E$5001,"Em ajustes"),1,0),0))</f>
        <v/>
      </c>
      <c r="N181" s="17" t="str">
        <f aca="false">IF(A181="","",IF(ISNUMBER(A181),A181,IFERROR(DATE(VALUE(MID(A181,7,4)),VALUE(MID(A181,4,2)),VALUE(MID(A181,1,2)))+TIME(VALUE(MID(A181,12,2)),VALUE(MID(A181,15,2)),VALUE(MID(A181,18,2))),"")))</f>
        <v/>
      </c>
    </row>
    <row r="182" customFormat="false" ht="15" hidden="false" customHeight="false" outlineLevel="0" collapsed="false">
      <c r="I182" s="15" t="str">
        <f aca="false">IF(N182="","",INT(N182))</f>
        <v/>
      </c>
      <c r="J182" s="16" t="str">
        <f aca="false">IF(B182="","",IF(N182=_xlfn.MINIFS($N$2:$N$5001,$B$2:$B$5001,B182),1,0))</f>
        <v/>
      </c>
      <c r="K182" s="16" t="str">
        <f aca="false">IF(B182="","",IF(AND(D182="Formalização",E182="Concluído"),IF(COUNTIFS($B$2:$B$5001,B182,$E$2:$E$5001,"Em ajustes",$N$2:$N$5001,"&lt;"&amp;I182)&gt;0,1,0),0))</f>
        <v/>
      </c>
      <c r="L182" s="16" t="str">
        <f aca="false">IF(B182="","",IF(N182=_xlfn.MAXIFS($N$2:$N$5001,$B$2:$B$5001,B182,$I$2:$I$5001,I182),1,0))</f>
        <v/>
      </c>
      <c r="M182" s="16" t="str">
        <f aca="false">IF(B182="","",IF(E182="Em ajustes",IF(N182=_xlfn.MINIFS($N$2:$N$5001,$B$2:$B$5001,B182,$E$2:$E$5001,"Em ajustes"),1,0),0))</f>
        <v/>
      </c>
      <c r="N182" s="17" t="str">
        <f aca="false">IF(A182="","",IF(ISNUMBER(A182),A182,IFERROR(DATE(VALUE(MID(A182,7,4)),VALUE(MID(A182,4,2)),VALUE(MID(A182,1,2)))+TIME(VALUE(MID(A182,12,2)),VALUE(MID(A182,15,2)),VALUE(MID(A182,18,2))),"")))</f>
        <v/>
      </c>
    </row>
    <row r="183" customFormat="false" ht="15" hidden="false" customHeight="false" outlineLevel="0" collapsed="false">
      <c r="I183" s="15" t="str">
        <f aca="false">IF(N183="","",INT(N183))</f>
        <v/>
      </c>
      <c r="J183" s="16" t="str">
        <f aca="false">IF(B183="","",IF(N183=_xlfn.MINIFS($N$2:$N$5001,$B$2:$B$5001,B183),1,0))</f>
        <v/>
      </c>
      <c r="K183" s="16" t="str">
        <f aca="false">IF(B183="","",IF(AND(D183="Formalização",E183="Concluído"),IF(COUNTIFS($B$2:$B$5001,B183,$E$2:$E$5001,"Em ajustes",$N$2:$N$5001,"&lt;"&amp;I183)&gt;0,1,0),0))</f>
        <v/>
      </c>
      <c r="L183" s="16" t="str">
        <f aca="false">IF(B183="","",IF(N183=_xlfn.MAXIFS($N$2:$N$5001,$B$2:$B$5001,B183,$I$2:$I$5001,I183),1,0))</f>
        <v/>
      </c>
      <c r="M183" s="16" t="str">
        <f aca="false">IF(B183="","",IF(E183="Em ajustes",IF(N183=_xlfn.MINIFS($N$2:$N$5001,$B$2:$B$5001,B183,$E$2:$E$5001,"Em ajustes"),1,0),0))</f>
        <v/>
      </c>
      <c r="N183" s="17" t="str">
        <f aca="false">IF(A183="","",IF(ISNUMBER(A183),A183,IFERROR(DATE(VALUE(MID(A183,7,4)),VALUE(MID(A183,4,2)),VALUE(MID(A183,1,2)))+TIME(VALUE(MID(A183,12,2)),VALUE(MID(A183,15,2)),VALUE(MID(A183,18,2))),"")))</f>
        <v/>
      </c>
    </row>
    <row r="184" customFormat="false" ht="15" hidden="false" customHeight="false" outlineLevel="0" collapsed="false">
      <c r="I184" s="15" t="str">
        <f aca="false">IF(N184="","",INT(N184))</f>
        <v/>
      </c>
      <c r="J184" s="16" t="str">
        <f aca="false">IF(B184="","",IF(N184=_xlfn.MINIFS($N$2:$N$5001,$B$2:$B$5001,B184),1,0))</f>
        <v/>
      </c>
      <c r="K184" s="16" t="str">
        <f aca="false">IF(B184="","",IF(AND(D184="Formalização",E184="Concluído"),IF(COUNTIFS($B$2:$B$5001,B184,$E$2:$E$5001,"Em ajustes",$N$2:$N$5001,"&lt;"&amp;I184)&gt;0,1,0),0))</f>
        <v/>
      </c>
      <c r="L184" s="16" t="str">
        <f aca="false">IF(B184="","",IF(N184=_xlfn.MAXIFS($N$2:$N$5001,$B$2:$B$5001,B184,$I$2:$I$5001,I184),1,0))</f>
        <v/>
      </c>
      <c r="M184" s="16" t="str">
        <f aca="false">IF(B184="","",IF(E184="Em ajustes",IF(N184=_xlfn.MINIFS($N$2:$N$5001,$B$2:$B$5001,B184,$E$2:$E$5001,"Em ajustes"),1,0),0))</f>
        <v/>
      </c>
      <c r="N184" s="17" t="str">
        <f aca="false">IF(A184="","",IF(ISNUMBER(A184),A184,IFERROR(DATE(VALUE(MID(A184,7,4)),VALUE(MID(A184,4,2)),VALUE(MID(A184,1,2)))+TIME(VALUE(MID(A184,12,2)),VALUE(MID(A184,15,2)),VALUE(MID(A184,18,2))),"")))</f>
        <v/>
      </c>
    </row>
    <row r="185" customFormat="false" ht="15" hidden="false" customHeight="false" outlineLevel="0" collapsed="false">
      <c r="I185" s="15" t="str">
        <f aca="false">IF(N185="","",INT(N185))</f>
        <v/>
      </c>
      <c r="J185" s="16" t="str">
        <f aca="false">IF(B185="","",IF(N185=_xlfn.MINIFS($N$2:$N$5001,$B$2:$B$5001,B185),1,0))</f>
        <v/>
      </c>
      <c r="K185" s="16" t="str">
        <f aca="false">IF(B185="","",IF(AND(D185="Formalização",E185="Concluído"),IF(COUNTIFS($B$2:$B$5001,B185,$E$2:$E$5001,"Em ajustes",$N$2:$N$5001,"&lt;"&amp;I185)&gt;0,1,0),0))</f>
        <v/>
      </c>
      <c r="L185" s="16" t="str">
        <f aca="false">IF(B185="","",IF(N185=_xlfn.MAXIFS($N$2:$N$5001,$B$2:$B$5001,B185,$I$2:$I$5001,I185),1,0))</f>
        <v/>
      </c>
      <c r="M185" s="16" t="str">
        <f aca="false">IF(B185="","",IF(E185="Em ajustes",IF(N185=_xlfn.MINIFS($N$2:$N$5001,$B$2:$B$5001,B185,$E$2:$E$5001,"Em ajustes"),1,0),0))</f>
        <v/>
      </c>
      <c r="N185" s="17" t="str">
        <f aca="false">IF(A185="","",IF(ISNUMBER(A185),A185,IFERROR(DATE(VALUE(MID(A185,7,4)),VALUE(MID(A185,4,2)),VALUE(MID(A185,1,2)))+TIME(VALUE(MID(A185,12,2)),VALUE(MID(A185,15,2)),VALUE(MID(A185,18,2))),"")))</f>
        <v/>
      </c>
    </row>
    <row r="186" customFormat="false" ht="15" hidden="false" customHeight="false" outlineLevel="0" collapsed="false">
      <c r="I186" s="15" t="str">
        <f aca="false">IF(N186="","",INT(N186))</f>
        <v/>
      </c>
      <c r="J186" s="16" t="str">
        <f aca="false">IF(B186="","",IF(N186=_xlfn.MINIFS($N$2:$N$5001,$B$2:$B$5001,B186),1,0))</f>
        <v/>
      </c>
      <c r="K186" s="16" t="str">
        <f aca="false">IF(B186="","",IF(AND(D186="Formalização",E186="Concluído"),IF(COUNTIFS($B$2:$B$5001,B186,$E$2:$E$5001,"Em ajustes",$N$2:$N$5001,"&lt;"&amp;I186)&gt;0,1,0),0))</f>
        <v/>
      </c>
      <c r="L186" s="16" t="str">
        <f aca="false">IF(B186="","",IF(N186=_xlfn.MAXIFS($N$2:$N$5001,$B$2:$B$5001,B186,$I$2:$I$5001,I186),1,0))</f>
        <v/>
      </c>
      <c r="M186" s="16" t="str">
        <f aca="false">IF(B186="","",IF(E186="Em ajustes",IF(N186=_xlfn.MINIFS($N$2:$N$5001,$B$2:$B$5001,B186,$E$2:$E$5001,"Em ajustes"),1,0),0))</f>
        <v/>
      </c>
      <c r="N186" s="17" t="str">
        <f aca="false">IF(A186="","",IF(ISNUMBER(A186),A186,IFERROR(DATE(VALUE(MID(A186,7,4)),VALUE(MID(A186,4,2)),VALUE(MID(A186,1,2)))+TIME(VALUE(MID(A186,12,2)),VALUE(MID(A186,15,2)),VALUE(MID(A186,18,2))),"")))</f>
        <v/>
      </c>
    </row>
    <row r="187" customFormat="false" ht="15" hidden="false" customHeight="false" outlineLevel="0" collapsed="false">
      <c r="I187" s="15" t="str">
        <f aca="false">IF(N187="","",INT(N187))</f>
        <v/>
      </c>
      <c r="J187" s="16" t="str">
        <f aca="false">IF(B187="","",IF(N187=_xlfn.MINIFS($N$2:$N$5001,$B$2:$B$5001,B187),1,0))</f>
        <v/>
      </c>
      <c r="K187" s="16" t="str">
        <f aca="false">IF(B187="","",IF(AND(D187="Formalização",E187="Concluído"),IF(COUNTIFS($B$2:$B$5001,B187,$E$2:$E$5001,"Em ajustes",$N$2:$N$5001,"&lt;"&amp;I187)&gt;0,1,0),0))</f>
        <v/>
      </c>
      <c r="L187" s="16" t="str">
        <f aca="false">IF(B187="","",IF(N187=_xlfn.MAXIFS($N$2:$N$5001,$B$2:$B$5001,B187,$I$2:$I$5001,I187),1,0))</f>
        <v/>
      </c>
      <c r="M187" s="16" t="str">
        <f aca="false">IF(B187="","",IF(E187="Em ajustes",IF(N187=_xlfn.MINIFS($N$2:$N$5001,$B$2:$B$5001,B187,$E$2:$E$5001,"Em ajustes"),1,0),0))</f>
        <v/>
      </c>
      <c r="N187" s="17" t="str">
        <f aca="false">IF(A187="","",IF(ISNUMBER(A187),A187,IFERROR(DATE(VALUE(MID(A187,7,4)),VALUE(MID(A187,4,2)),VALUE(MID(A187,1,2)))+TIME(VALUE(MID(A187,12,2)),VALUE(MID(A187,15,2)),VALUE(MID(A187,18,2))),"")))</f>
        <v/>
      </c>
    </row>
    <row r="188" customFormat="false" ht="15" hidden="false" customHeight="false" outlineLevel="0" collapsed="false">
      <c r="I188" s="15" t="str">
        <f aca="false">IF(N188="","",INT(N188))</f>
        <v/>
      </c>
      <c r="J188" s="16" t="str">
        <f aca="false">IF(B188="","",IF(N188=_xlfn.MINIFS($N$2:$N$5001,$B$2:$B$5001,B188),1,0))</f>
        <v/>
      </c>
      <c r="K188" s="16" t="str">
        <f aca="false">IF(B188="","",IF(AND(D188="Formalização",E188="Concluído"),IF(COUNTIFS($B$2:$B$5001,B188,$E$2:$E$5001,"Em ajustes",$N$2:$N$5001,"&lt;"&amp;I188)&gt;0,1,0),0))</f>
        <v/>
      </c>
      <c r="L188" s="16" t="str">
        <f aca="false">IF(B188="","",IF(N188=_xlfn.MAXIFS($N$2:$N$5001,$B$2:$B$5001,B188,$I$2:$I$5001,I188),1,0))</f>
        <v/>
      </c>
      <c r="M188" s="16" t="str">
        <f aca="false">IF(B188="","",IF(E188="Em ajustes",IF(N188=_xlfn.MINIFS($N$2:$N$5001,$B$2:$B$5001,B188,$E$2:$E$5001,"Em ajustes"),1,0),0))</f>
        <v/>
      </c>
      <c r="N188" s="17" t="str">
        <f aca="false">IF(A188="","",IF(ISNUMBER(A188),A188,IFERROR(DATE(VALUE(MID(A188,7,4)),VALUE(MID(A188,4,2)),VALUE(MID(A188,1,2)))+TIME(VALUE(MID(A188,12,2)),VALUE(MID(A188,15,2)),VALUE(MID(A188,18,2))),"")))</f>
        <v/>
      </c>
    </row>
    <row r="189" customFormat="false" ht="15" hidden="false" customHeight="false" outlineLevel="0" collapsed="false">
      <c r="I189" s="15" t="str">
        <f aca="false">IF(N189="","",INT(N189))</f>
        <v/>
      </c>
      <c r="J189" s="16" t="str">
        <f aca="false">IF(B189="","",IF(N189=_xlfn.MINIFS($N$2:$N$5001,$B$2:$B$5001,B189),1,0))</f>
        <v/>
      </c>
      <c r="K189" s="16" t="str">
        <f aca="false">IF(B189="","",IF(AND(D189="Formalização",E189="Concluído"),IF(COUNTIFS($B$2:$B$5001,B189,$E$2:$E$5001,"Em ajustes",$N$2:$N$5001,"&lt;"&amp;I189)&gt;0,1,0),0))</f>
        <v/>
      </c>
      <c r="L189" s="16" t="str">
        <f aca="false">IF(B189="","",IF(N189=_xlfn.MAXIFS($N$2:$N$5001,$B$2:$B$5001,B189,$I$2:$I$5001,I189),1,0))</f>
        <v/>
      </c>
      <c r="M189" s="16" t="str">
        <f aca="false">IF(B189="","",IF(E189="Em ajustes",IF(N189=_xlfn.MINIFS($N$2:$N$5001,$B$2:$B$5001,B189,$E$2:$E$5001,"Em ajustes"),1,0),0))</f>
        <v/>
      </c>
      <c r="N189" s="17" t="str">
        <f aca="false">IF(A189="","",IF(ISNUMBER(A189),A189,IFERROR(DATE(VALUE(MID(A189,7,4)),VALUE(MID(A189,4,2)),VALUE(MID(A189,1,2)))+TIME(VALUE(MID(A189,12,2)),VALUE(MID(A189,15,2)),VALUE(MID(A189,18,2))),"")))</f>
        <v/>
      </c>
    </row>
    <row r="190" customFormat="false" ht="15" hidden="false" customHeight="false" outlineLevel="0" collapsed="false">
      <c r="I190" s="15" t="str">
        <f aca="false">IF(N190="","",INT(N190))</f>
        <v/>
      </c>
      <c r="J190" s="16" t="str">
        <f aca="false">IF(B190="","",IF(N190=_xlfn.MINIFS($N$2:$N$5001,$B$2:$B$5001,B190),1,0))</f>
        <v/>
      </c>
      <c r="K190" s="16" t="str">
        <f aca="false">IF(B190="","",IF(AND(D190="Formalização",E190="Concluído"),IF(COUNTIFS($B$2:$B$5001,B190,$E$2:$E$5001,"Em ajustes",$N$2:$N$5001,"&lt;"&amp;I190)&gt;0,1,0),0))</f>
        <v/>
      </c>
      <c r="L190" s="16" t="str">
        <f aca="false">IF(B190="","",IF(N190=_xlfn.MAXIFS($N$2:$N$5001,$B$2:$B$5001,B190,$I$2:$I$5001,I190),1,0))</f>
        <v/>
      </c>
      <c r="M190" s="16" t="str">
        <f aca="false">IF(B190="","",IF(E190="Em ajustes",IF(N190=_xlfn.MINIFS($N$2:$N$5001,$B$2:$B$5001,B190,$E$2:$E$5001,"Em ajustes"),1,0),0))</f>
        <v/>
      </c>
      <c r="N190" s="17" t="str">
        <f aca="false">IF(A190="","",IF(ISNUMBER(A190),A190,IFERROR(DATE(VALUE(MID(A190,7,4)),VALUE(MID(A190,4,2)),VALUE(MID(A190,1,2)))+TIME(VALUE(MID(A190,12,2)),VALUE(MID(A190,15,2)),VALUE(MID(A190,18,2))),"")))</f>
        <v/>
      </c>
    </row>
    <row r="191" customFormat="false" ht="15" hidden="false" customHeight="false" outlineLevel="0" collapsed="false">
      <c r="I191" s="15" t="str">
        <f aca="false">IF(N191="","",INT(N191))</f>
        <v/>
      </c>
      <c r="J191" s="16" t="str">
        <f aca="false">IF(B191="","",IF(N191=_xlfn.MINIFS($N$2:$N$5001,$B$2:$B$5001,B191),1,0))</f>
        <v/>
      </c>
      <c r="K191" s="16" t="str">
        <f aca="false">IF(B191="","",IF(AND(D191="Formalização",E191="Concluído"),IF(COUNTIFS($B$2:$B$5001,B191,$E$2:$E$5001,"Em ajustes",$N$2:$N$5001,"&lt;"&amp;I191)&gt;0,1,0),0))</f>
        <v/>
      </c>
      <c r="L191" s="16" t="str">
        <f aca="false">IF(B191="","",IF(N191=_xlfn.MAXIFS($N$2:$N$5001,$B$2:$B$5001,B191,$I$2:$I$5001,I191),1,0))</f>
        <v/>
      </c>
      <c r="M191" s="16" t="str">
        <f aca="false">IF(B191="","",IF(E191="Em ajustes",IF(N191=_xlfn.MINIFS($N$2:$N$5001,$B$2:$B$5001,B191,$E$2:$E$5001,"Em ajustes"),1,0),0))</f>
        <v/>
      </c>
      <c r="N191" s="17" t="str">
        <f aca="false">IF(A191="","",IF(ISNUMBER(A191),A191,IFERROR(DATE(VALUE(MID(A191,7,4)),VALUE(MID(A191,4,2)),VALUE(MID(A191,1,2)))+TIME(VALUE(MID(A191,12,2)),VALUE(MID(A191,15,2)),VALUE(MID(A191,18,2))),"")))</f>
        <v/>
      </c>
    </row>
    <row r="192" customFormat="false" ht="15" hidden="false" customHeight="false" outlineLevel="0" collapsed="false">
      <c r="I192" s="15" t="str">
        <f aca="false">IF(N192="","",INT(N192))</f>
        <v/>
      </c>
      <c r="J192" s="16" t="str">
        <f aca="false">IF(B192="","",IF(N192=_xlfn.MINIFS($N$2:$N$5001,$B$2:$B$5001,B192),1,0))</f>
        <v/>
      </c>
      <c r="K192" s="16" t="str">
        <f aca="false">IF(B192="","",IF(AND(D192="Formalização",E192="Concluído"),IF(COUNTIFS($B$2:$B$5001,B192,$E$2:$E$5001,"Em ajustes",$N$2:$N$5001,"&lt;"&amp;I192)&gt;0,1,0),0))</f>
        <v/>
      </c>
      <c r="L192" s="16" t="str">
        <f aca="false">IF(B192="","",IF(N192=_xlfn.MAXIFS($N$2:$N$5001,$B$2:$B$5001,B192,$I$2:$I$5001,I192),1,0))</f>
        <v/>
      </c>
      <c r="M192" s="16" t="str">
        <f aca="false">IF(B192="","",IF(E192="Em ajustes",IF(N192=_xlfn.MINIFS($N$2:$N$5001,$B$2:$B$5001,B192,$E$2:$E$5001,"Em ajustes"),1,0),0))</f>
        <v/>
      </c>
      <c r="N192" s="17" t="str">
        <f aca="false">IF(A192="","",IF(ISNUMBER(A192),A192,IFERROR(DATE(VALUE(MID(A192,7,4)),VALUE(MID(A192,4,2)),VALUE(MID(A192,1,2)))+TIME(VALUE(MID(A192,12,2)),VALUE(MID(A192,15,2)),VALUE(MID(A192,18,2))),"")))</f>
        <v/>
      </c>
    </row>
    <row r="193" customFormat="false" ht="15" hidden="false" customHeight="false" outlineLevel="0" collapsed="false">
      <c r="I193" s="15" t="str">
        <f aca="false">IF(N193="","",INT(N193))</f>
        <v/>
      </c>
      <c r="J193" s="16" t="str">
        <f aca="false">IF(B193="","",IF(N193=_xlfn.MINIFS($N$2:$N$5001,$B$2:$B$5001,B193),1,0))</f>
        <v/>
      </c>
      <c r="K193" s="16" t="str">
        <f aca="false">IF(B193="","",IF(AND(D193="Formalização",E193="Concluído"),IF(COUNTIFS($B$2:$B$5001,B193,$E$2:$E$5001,"Em ajustes",$N$2:$N$5001,"&lt;"&amp;I193)&gt;0,1,0),0))</f>
        <v/>
      </c>
      <c r="L193" s="16" t="str">
        <f aca="false">IF(B193="","",IF(N193=_xlfn.MAXIFS($N$2:$N$5001,$B$2:$B$5001,B193,$I$2:$I$5001,I193),1,0))</f>
        <v/>
      </c>
      <c r="M193" s="16" t="str">
        <f aca="false">IF(B193="","",IF(E193="Em ajustes",IF(N193=_xlfn.MINIFS($N$2:$N$5001,$B$2:$B$5001,B193,$E$2:$E$5001,"Em ajustes"),1,0),0))</f>
        <v/>
      </c>
      <c r="N193" s="17" t="str">
        <f aca="false">IF(A193="","",IF(ISNUMBER(A193),A193,IFERROR(DATE(VALUE(MID(A193,7,4)),VALUE(MID(A193,4,2)),VALUE(MID(A193,1,2)))+TIME(VALUE(MID(A193,12,2)),VALUE(MID(A193,15,2)),VALUE(MID(A193,18,2))),"")))</f>
        <v/>
      </c>
    </row>
    <row r="194" customFormat="false" ht="15" hidden="false" customHeight="false" outlineLevel="0" collapsed="false">
      <c r="I194" s="15" t="str">
        <f aca="false">IF(N194="","",INT(N194))</f>
        <v/>
      </c>
      <c r="J194" s="16" t="str">
        <f aca="false">IF(B194="","",IF(N194=_xlfn.MINIFS($N$2:$N$5001,$B$2:$B$5001,B194),1,0))</f>
        <v/>
      </c>
      <c r="K194" s="16" t="str">
        <f aca="false">IF(B194="","",IF(AND(D194="Formalização",E194="Concluído"),IF(COUNTIFS($B$2:$B$5001,B194,$E$2:$E$5001,"Em ajustes",$N$2:$N$5001,"&lt;"&amp;I194)&gt;0,1,0),0))</f>
        <v/>
      </c>
      <c r="L194" s="16" t="str">
        <f aca="false">IF(B194="","",IF(N194=_xlfn.MAXIFS($N$2:$N$5001,$B$2:$B$5001,B194,$I$2:$I$5001,I194),1,0))</f>
        <v/>
      </c>
      <c r="M194" s="16" t="str">
        <f aca="false">IF(B194="","",IF(E194="Em ajustes",IF(N194=_xlfn.MINIFS($N$2:$N$5001,$B$2:$B$5001,B194,$E$2:$E$5001,"Em ajustes"),1,0),0))</f>
        <v/>
      </c>
      <c r="N194" s="17" t="str">
        <f aca="false">IF(A194="","",IF(ISNUMBER(A194),A194,IFERROR(DATE(VALUE(MID(A194,7,4)),VALUE(MID(A194,4,2)),VALUE(MID(A194,1,2)))+TIME(VALUE(MID(A194,12,2)),VALUE(MID(A194,15,2)),VALUE(MID(A194,18,2))),"")))</f>
        <v/>
      </c>
    </row>
    <row r="195" customFormat="false" ht="15" hidden="false" customHeight="false" outlineLevel="0" collapsed="false">
      <c r="I195" s="15" t="str">
        <f aca="false">IF(N195="","",INT(N195))</f>
        <v/>
      </c>
      <c r="J195" s="16" t="str">
        <f aca="false">IF(B195="","",IF(N195=_xlfn.MINIFS($N$2:$N$5001,$B$2:$B$5001,B195),1,0))</f>
        <v/>
      </c>
      <c r="K195" s="16" t="str">
        <f aca="false">IF(B195="","",IF(AND(D195="Formalização",E195="Concluído"),IF(COUNTIFS($B$2:$B$5001,B195,$E$2:$E$5001,"Em ajustes",$N$2:$N$5001,"&lt;"&amp;I195)&gt;0,1,0),0))</f>
        <v/>
      </c>
      <c r="L195" s="16" t="str">
        <f aca="false">IF(B195="","",IF(N195=_xlfn.MAXIFS($N$2:$N$5001,$B$2:$B$5001,B195,$I$2:$I$5001,I195),1,0))</f>
        <v/>
      </c>
      <c r="M195" s="16" t="str">
        <f aca="false">IF(B195="","",IF(E195="Em ajustes",IF(N195=_xlfn.MINIFS($N$2:$N$5001,$B$2:$B$5001,B195,$E$2:$E$5001,"Em ajustes"),1,0),0))</f>
        <v/>
      </c>
      <c r="N195" s="17" t="str">
        <f aca="false">IF(A195="","",IF(ISNUMBER(A195),A195,IFERROR(DATE(VALUE(MID(A195,7,4)),VALUE(MID(A195,4,2)),VALUE(MID(A195,1,2)))+TIME(VALUE(MID(A195,12,2)),VALUE(MID(A195,15,2)),VALUE(MID(A195,18,2))),"")))</f>
        <v/>
      </c>
    </row>
    <row r="196" customFormat="false" ht="15" hidden="false" customHeight="false" outlineLevel="0" collapsed="false">
      <c r="I196" s="15" t="str">
        <f aca="false">IF(N196="","",INT(N196))</f>
        <v/>
      </c>
      <c r="J196" s="16" t="str">
        <f aca="false">IF(B196="","",IF(N196=_xlfn.MINIFS($N$2:$N$5001,$B$2:$B$5001,B196),1,0))</f>
        <v/>
      </c>
      <c r="K196" s="16" t="str">
        <f aca="false">IF(B196="","",IF(AND(D196="Formalização",E196="Concluído"),IF(COUNTIFS($B$2:$B$5001,B196,$E$2:$E$5001,"Em ajustes",$N$2:$N$5001,"&lt;"&amp;I196)&gt;0,1,0),0))</f>
        <v/>
      </c>
      <c r="L196" s="16" t="str">
        <f aca="false">IF(B196="","",IF(N196=_xlfn.MAXIFS($N$2:$N$5001,$B$2:$B$5001,B196,$I$2:$I$5001,I196),1,0))</f>
        <v/>
      </c>
      <c r="M196" s="16" t="str">
        <f aca="false">IF(B196="","",IF(E196="Em ajustes",IF(N196=_xlfn.MINIFS($N$2:$N$5001,$B$2:$B$5001,B196,$E$2:$E$5001,"Em ajustes"),1,0),0))</f>
        <v/>
      </c>
      <c r="N196" s="17" t="str">
        <f aca="false">IF(A196="","",IF(ISNUMBER(A196),A196,IFERROR(DATE(VALUE(MID(A196,7,4)),VALUE(MID(A196,4,2)),VALUE(MID(A196,1,2)))+TIME(VALUE(MID(A196,12,2)),VALUE(MID(A196,15,2)),VALUE(MID(A196,18,2))),"")))</f>
        <v/>
      </c>
    </row>
    <row r="197" customFormat="false" ht="15" hidden="false" customHeight="false" outlineLevel="0" collapsed="false">
      <c r="I197" s="15" t="str">
        <f aca="false">IF(N197="","",INT(N197))</f>
        <v/>
      </c>
      <c r="J197" s="16" t="str">
        <f aca="false">IF(B197="","",IF(N197=_xlfn.MINIFS($N$2:$N$5001,$B$2:$B$5001,B197),1,0))</f>
        <v/>
      </c>
      <c r="K197" s="16" t="str">
        <f aca="false">IF(B197="","",IF(AND(D197="Formalização",E197="Concluído"),IF(COUNTIFS($B$2:$B$5001,B197,$E$2:$E$5001,"Em ajustes",$N$2:$N$5001,"&lt;"&amp;I197)&gt;0,1,0),0))</f>
        <v/>
      </c>
      <c r="L197" s="16" t="str">
        <f aca="false">IF(B197="","",IF(N197=_xlfn.MAXIFS($N$2:$N$5001,$B$2:$B$5001,B197,$I$2:$I$5001,I197),1,0))</f>
        <v/>
      </c>
      <c r="M197" s="16" t="str">
        <f aca="false">IF(B197="","",IF(E197="Em ajustes",IF(N197=_xlfn.MINIFS($N$2:$N$5001,$B$2:$B$5001,B197,$E$2:$E$5001,"Em ajustes"),1,0),0))</f>
        <v/>
      </c>
      <c r="N197" s="17" t="str">
        <f aca="false">IF(A197="","",IF(ISNUMBER(A197),A197,IFERROR(DATE(VALUE(MID(A197,7,4)),VALUE(MID(A197,4,2)),VALUE(MID(A197,1,2)))+TIME(VALUE(MID(A197,12,2)),VALUE(MID(A197,15,2)),VALUE(MID(A197,18,2))),"")))</f>
        <v/>
      </c>
    </row>
    <row r="198" customFormat="false" ht="15" hidden="false" customHeight="false" outlineLevel="0" collapsed="false">
      <c r="I198" s="15" t="str">
        <f aca="false">IF(N198="","",INT(N198))</f>
        <v/>
      </c>
      <c r="J198" s="16" t="str">
        <f aca="false">IF(B198="","",IF(N198=_xlfn.MINIFS($N$2:$N$5001,$B$2:$B$5001,B198),1,0))</f>
        <v/>
      </c>
      <c r="K198" s="16" t="str">
        <f aca="false">IF(B198="","",IF(AND(D198="Formalização",E198="Concluído"),IF(COUNTIFS($B$2:$B$5001,B198,$E$2:$E$5001,"Em ajustes",$N$2:$N$5001,"&lt;"&amp;I198)&gt;0,1,0),0))</f>
        <v/>
      </c>
      <c r="L198" s="16" t="str">
        <f aca="false">IF(B198="","",IF(N198=_xlfn.MAXIFS($N$2:$N$5001,$B$2:$B$5001,B198,$I$2:$I$5001,I198),1,0))</f>
        <v/>
      </c>
      <c r="M198" s="16" t="str">
        <f aca="false">IF(B198="","",IF(E198="Em ajustes",IF(N198=_xlfn.MINIFS($N$2:$N$5001,$B$2:$B$5001,B198,$E$2:$E$5001,"Em ajustes"),1,0),0))</f>
        <v/>
      </c>
      <c r="N198" s="17" t="str">
        <f aca="false">IF(A198="","",IF(ISNUMBER(A198),A198,IFERROR(DATE(VALUE(MID(A198,7,4)),VALUE(MID(A198,4,2)),VALUE(MID(A198,1,2)))+TIME(VALUE(MID(A198,12,2)),VALUE(MID(A198,15,2)),VALUE(MID(A198,18,2))),"")))</f>
        <v/>
      </c>
    </row>
    <row r="199" customFormat="false" ht="15" hidden="false" customHeight="false" outlineLevel="0" collapsed="false">
      <c r="I199" s="15" t="str">
        <f aca="false">IF(N199="","",INT(N199))</f>
        <v/>
      </c>
      <c r="J199" s="16" t="str">
        <f aca="false">IF(B199="","",IF(N199=_xlfn.MINIFS($N$2:$N$5001,$B$2:$B$5001,B199),1,0))</f>
        <v/>
      </c>
      <c r="K199" s="16" t="str">
        <f aca="false">IF(B199="","",IF(AND(D199="Formalização",E199="Concluído"),IF(COUNTIFS($B$2:$B$5001,B199,$E$2:$E$5001,"Em ajustes",$N$2:$N$5001,"&lt;"&amp;I199)&gt;0,1,0),0))</f>
        <v/>
      </c>
      <c r="L199" s="16" t="str">
        <f aca="false">IF(B199="","",IF(N199=_xlfn.MAXIFS($N$2:$N$5001,$B$2:$B$5001,B199,$I$2:$I$5001,I199),1,0))</f>
        <v/>
      </c>
      <c r="M199" s="16" t="str">
        <f aca="false">IF(B199="","",IF(E199="Em ajustes",IF(N199=_xlfn.MINIFS($N$2:$N$5001,$B$2:$B$5001,B199,$E$2:$E$5001,"Em ajustes"),1,0),0))</f>
        <v/>
      </c>
      <c r="N199" s="17" t="str">
        <f aca="false">IF(A199="","",IF(ISNUMBER(A199),A199,IFERROR(DATE(VALUE(MID(A199,7,4)),VALUE(MID(A199,4,2)),VALUE(MID(A199,1,2)))+TIME(VALUE(MID(A199,12,2)),VALUE(MID(A199,15,2)),VALUE(MID(A199,18,2))),"")))</f>
        <v/>
      </c>
    </row>
    <row r="200" customFormat="false" ht="15" hidden="false" customHeight="false" outlineLevel="0" collapsed="false">
      <c r="I200" s="15" t="str">
        <f aca="false">IF(N200="","",INT(N200))</f>
        <v/>
      </c>
      <c r="J200" s="16" t="str">
        <f aca="false">IF(B200="","",IF(N200=_xlfn.MINIFS($N$2:$N$5001,$B$2:$B$5001,B200),1,0))</f>
        <v/>
      </c>
      <c r="K200" s="16" t="str">
        <f aca="false">IF(B200="","",IF(AND(D200="Formalização",E200="Concluído"),IF(COUNTIFS($B$2:$B$5001,B200,$E$2:$E$5001,"Em ajustes",$N$2:$N$5001,"&lt;"&amp;I200)&gt;0,1,0),0))</f>
        <v/>
      </c>
      <c r="L200" s="16" t="str">
        <f aca="false">IF(B200="","",IF(N200=_xlfn.MAXIFS($N$2:$N$5001,$B$2:$B$5001,B200,$I$2:$I$5001,I200),1,0))</f>
        <v/>
      </c>
      <c r="M200" s="16" t="str">
        <f aca="false">IF(B200="","",IF(E200="Em ajustes",IF(N200=_xlfn.MINIFS($N$2:$N$5001,$B$2:$B$5001,B200,$E$2:$E$5001,"Em ajustes"),1,0),0))</f>
        <v/>
      </c>
      <c r="N200" s="17" t="str">
        <f aca="false">IF(A200="","",IF(ISNUMBER(A200),A200,IFERROR(DATE(VALUE(MID(A200,7,4)),VALUE(MID(A200,4,2)),VALUE(MID(A200,1,2)))+TIME(VALUE(MID(A200,12,2)),VALUE(MID(A200,15,2)),VALUE(MID(A200,18,2))),"")))</f>
        <v/>
      </c>
    </row>
    <row r="201" customFormat="false" ht="15" hidden="false" customHeight="false" outlineLevel="0" collapsed="false">
      <c r="I201" s="15" t="str">
        <f aca="false">IF(N201="","",INT(N201))</f>
        <v/>
      </c>
      <c r="J201" s="16" t="str">
        <f aca="false">IF(B201="","",IF(N201=_xlfn.MINIFS($N$2:$N$5001,$B$2:$B$5001,B201),1,0))</f>
        <v/>
      </c>
      <c r="K201" s="16" t="str">
        <f aca="false">IF(B201="","",IF(AND(D201="Formalização",E201="Concluído"),IF(COUNTIFS($B$2:$B$5001,B201,$E$2:$E$5001,"Em ajustes",$N$2:$N$5001,"&lt;"&amp;I201)&gt;0,1,0),0))</f>
        <v/>
      </c>
      <c r="L201" s="16" t="str">
        <f aca="false">IF(B201="","",IF(N201=_xlfn.MAXIFS($N$2:$N$5001,$B$2:$B$5001,B201,$I$2:$I$5001,I201),1,0))</f>
        <v/>
      </c>
      <c r="M201" s="16" t="str">
        <f aca="false">IF(B201="","",IF(E201="Em ajustes",IF(N201=_xlfn.MINIFS($N$2:$N$5001,$B$2:$B$5001,B201,$E$2:$E$5001,"Em ajustes"),1,0),0))</f>
        <v/>
      </c>
      <c r="N201" s="17" t="str">
        <f aca="false">IF(A201="","",IF(ISNUMBER(A201),A201,IFERROR(DATE(VALUE(MID(A201,7,4)),VALUE(MID(A201,4,2)),VALUE(MID(A201,1,2)))+TIME(VALUE(MID(A201,12,2)),VALUE(MID(A201,15,2)),VALUE(MID(A201,18,2))),"")))</f>
        <v/>
      </c>
    </row>
    <row r="202" customFormat="false" ht="15" hidden="false" customHeight="false" outlineLevel="0" collapsed="false">
      <c r="I202" s="15" t="str">
        <f aca="false">IF(N202="","",INT(N202))</f>
        <v/>
      </c>
      <c r="J202" s="16" t="str">
        <f aca="false">IF(B202="","",IF(N202=_xlfn.MINIFS($N$2:$N$5001,$B$2:$B$5001,B202),1,0))</f>
        <v/>
      </c>
      <c r="K202" s="16" t="str">
        <f aca="false">IF(B202="","",IF(AND(D202="Formalização",E202="Concluído"),IF(COUNTIFS($B$2:$B$5001,B202,$E$2:$E$5001,"Em ajustes",$N$2:$N$5001,"&lt;"&amp;I202)&gt;0,1,0),0))</f>
        <v/>
      </c>
      <c r="L202" s="16" t="str">
        <f aca="false">IF(B202="","",IF(N202=_xlfn.MAXIFS($N$2:$N$5001,$B$2:$B$5001,B202,$I$2:$I$5001,I202),1,0))</f>
        <v/>
      </c>
      <c r="M202" s="16" t="str">
        <f aca="false">IF(B202="","",IF(E202="Em ajustes",IF(N202=_xlfn.MINIFS($N$2:$N$5001,$B$2:$B$5001,B202,$E$2:$E$5001,"Em ajustes"),1,0),0))</f>
        <v/>
      </c>
      <c r="N202" s="17" t="str">
        <f aca="false">IF(A202="","",IF(ISNUMBER(A202),A202,IFERROR(DATE(VALUE(MID(A202,7,4)),VALUE(MID(A202,4,2)),VALUE(MID(A202,1,2)))+TIME(VALUE(MID(A202,12,2)),VALUE(MID(A202,15,2)),VALUE(MID(A202,18,2))),"")))</f>
        <v/>
      </c>
    </row>
    <row r="203" customFormat="false" ht="15" hidden="false" customHeight="false" outlineLevel="0" collapsed="false">
      <c r="I203" s="15" t="str">
        <f aca="false">IF(N203="","",INT(N203))</f>
        <v/>
      </c>
      <c r="J203" s="16" t="str">
        <f aca="false">IF(B203="","",IF(N203=_xlfn.MINIFS($N$2:$N$5001,$B$2:$B$5001,B203),1,0))</f>
        <v/>
      </c>
      <c r="K203" s="16" t="str">
        <f aca="false">IF(B203="","",IF(AND(D203="Formalização",E203="Concluído"),IF(COUNTIFS($B$2:$B$5001,B203,$E$2:$E$5001,"Em ajustes",$N$2:$N$5001,"&lt;"&amp;I203)&gt;0,1,0),0))</f>
        <v/>
      </c>
      <c r="L203" s="16" t="str">
        <f aca="false">IF(B203="","",IF(N203=_xlfn.MAXIFS($N$2:$N$5001,$B$2:$B$5001,B203,$I$2:$I$5001,I203),1,0))</f>
        <v/>
      </c>
      <c r="M203" s="16" t="str">
        <f aca="false">IF(B203="","",IF(E203="Em ajustes",IF(N203=_xlfn.MINIFS($N$2:$N$5001,$B$2:$B$5001,B203,$E$2:$E$5001,"Em ajustes"),1,0),0))</f>
        <v/>
      </c>
      <c r="N203" s="17" t="str">
        <f aca="false">IF(A203="","",IF(ISNUMBER(A203),A203,IFERROR(DATE(VALUE(MID(A203,7,4)),VALUE(MID(A203,4,2)),VALUE(MID(A203,1,2)))+TIME(VALUE(MID(A203,12,2)),VALUE(MID(A203,15,2)),VALUE(MID(A203,18,2))),"")))</f>
        <v/>
      </c>
    </row>
    <row r="204" customFormat="false" ht="15" hidden="false" customHeight="false" outlineLevel="0" collapsed="false">
      <c r="I204" s="15" t="str">
        <f aca="false">IF(N204="","",INT(N204))</f>
        <v/>
      </c>
      <c r="J204" s="16" t="str">
        <f aca="false">IF(B204="","",IF(N204=_xlfn.MINIFS($N$2:$N$5001,$B$2:$B$5001,B204),1,0))</f>
        <v/>
      </c>
      <c r="K204" s="16" t="str">
        <f aca="false">IF(B204="","",IF(AND(D204="Formalização",E204="Concluído"),IF(COUNTIFS($B$2:$B$5001,B204,$E$2:$E$5001,"Em ajustes",$N$2:$N$5001,"&lt;"&amp;I204)&gt;0,1,0),0))</f>
        <v/>
      </c>
      <c r="L204" s="16" t="str">
        <f aca="false">IF(B204="","",IF(N204=_xlfn.MAXIFS($N$2:$N$5001,$B$2:$B$5001,B204,$I$2:$I$5001,I204),1,0))</f>
        <v/>
      </c>
      <c r="M204" s="16" t="str">
        <f aca="false">IF(B204="","",IF(E204="Em ajustes",IF(N204=_xlfn.MINIFS($N$2:$N$5001,$B$2:$B$5001,B204,$E$2:$E$5001,"Em ajustes"),1,0),0))</f>
        <v/>
      </c>
      <c r="N204" s="17" t="str">
        <f aca="false">IF(A204="","",IF(ISNUMBER(A204),A204,IFERROR(DATE(VALUE(MID(A204,7,4)),VALUE(MID(A204,4,2)),VALUE(MID(A204,1,2)))+TIME(VALUE(MID(A204,12,2)),VALUE(MID(A204,15,2)),VALUE(MID(A204,18,2))),"")))</f>
        <v/>
      </c>
    </row>
    <row r="205" customFormat="false" ht="15" hidden="false" customHeight="false" outlineLevel="0" collapsed="false">
      <c r="I205" s="15" t="str">
        <f aca="false">IF(N205="","",INT(N205))</f>
        <v/>
      </c>
      <c r="J205" s="16" t="str">
        <f aca="false">IF(B205="","",IF(N205=_xlfn.MINIFS($N$2:$N$5001,$B$2:$B$5001,B205),1,0))</f>
        <v/>
      </c>
      <c r="K205" s="16" t="str">
        <f aca="false">IF(B205="","",IF(AND(D205="Formalização",E205="Concluído"),IF(COUNTIFS($B$2:$B$5001,B205,$E$2:$E$5001,"Em ajustes",$N$2:$N$5001,"&lt;"&amp;I205)&gt;0,1,0),0))</f>
        <v/>
      </c>
      <c r="L205" s="16" t="str">
        <f aca="false">IF(B205="","",IF(N205=_xlfn.MAXIFS($N$2:$N$5001,$B$2:$B$5001,B205,$I$2:$I$5001,I205),1,0))</f>
        <v/>
      </c>
      <c r="M205" s="16" t="str">
        <f aca="false">IF(B205="","",IF(E205="Em ajustes",IF(N205=_xlfn.MINIFS($N$2:$N$5001,$B$2:$B$5001,B205,$E$2:$E$5001,"Em ajustes"),1,0),0))</f>
        <v/>
      </c>
      <c r="N205" s="17" t="str">
        <f aca="false">IF(A205="","",IF(ISNUMBER(A205),A205,IFERROR(DATE(VALUE(MID(A205,7,4)),VALUE(MID(A205,4,2)),VALUE(MID(A205,1,2)))+TIME(VALUE(MID(A205,12,2)),VALUE(MID(A205,15,2)),VALUE(MID(A205,18,2))),"")))</f>
        <v/>
      </c>
    </row>
    <row r="206" customFormat="false" ht="15" hidden="false" customHeight="false" outlineLevel="0" collapsed="false">
      <c r="I206" s="15" t="str">
        <f aca="false">IF(N206="","",INT(N206))</f>
        <v/>
      </c>
      <c r="J206" s="16" t="str">
        <f aca="false">IF(B206="","",IF(N206=_xlfn.MINIFS($N$2:$N$5001,$B$2:$B$5001,B206),1,0))</f>
        <v/>
      </c>
      <c r="K206" s="16" t="str">
        <f aca="false">IF(B206="","",IF(AND(D206="Formalização",E206="Concluído"),IF(COUNTIFS($B$2:$B$5001,B206,$E$2:$E$5001,"Em ajustes",$N$2:$N$5001,"&lt;"&amp;I206)&gt;0,1,0),0))</f>
        <v/>
      </c>
      <c r="L206" s="16" t="str">
        <f aca="false">IF(B206="","",IF(N206=_xlfn.MAXIFS($N$2:$N$5001,$B$2:$B$5001,B206,$I$2:$I$5001,I206),1,0))</f>
        <v/>
      </c>
      <c r="M206" s="16" t="str">
        <f aca="false">IF(B206="","",IF(E206="Em ajustes",IF(N206=_xlfn.MINIFS($N$2:$N$5001,$B$2:$B$5001,B206,$E$2:$E$5001,"Em ajustes"),1,0),0))</f>
        <v/>
      </c>
      <c r="N206" s="17" t="str">
        <f aca="false">IF(A206="","",IF(ISNUMBER(A206),A206,IFERROR(DATE(VALUE(MID(A206,7,4)),VALUE(MID(A206,4,2)),VALUE(MID(A206,1,2)))+TIME(VALUE(MID(A206,12,2)),VALUE(MID(A206,15,2)),VALUE(MID(A206,18,2))),"")))</f>
        <v/>
      </c>
    </row>
    <row r="207" customFormat="false" ht="15" hidden="false" customHeight="false" outlineLevel="0" collapsed="false">
      <c r="I207" s="15" t="str">
        <f aca="false">IF(N207="","",INT(N207))</f>
        <v/>
      </c>
      <c r="J207" s="16" t="str">
        <f aca="false">IF(B207="","",IF(N207=_xlfn.MINIFS($N$2:$N$5001,$B$2:$B$5001,B207),1,0))</f>
        <v/>
      </c>
      <c r="K207" s="16" t="str">
        <f aca="false">IF(B207="","",IF(AND(D207="Formalização",E207="Concluído"),IF(COUNTIFS($B$2:$B$5001,B207,$E$2:$E$5001,"Em ajustes",$N$2:$N$5001,"&lt;"&amp;I207)&gt;0,1,0),0))</f>
        <v/>
      </c>
      <c r="L207" s="16" t="str">
        <f aca="false">IF(B207="","",IF(N207=_xlfn.MAXIFS($N$2:$N$5001,$B$2:$B$5001,B207,$I$2:$I$5001,I207),1,0))</f>
        <v/>
      </c>
      <c r="M207" s="16" t="str">
        <f aca="false">IF(B207="","",IF(E207="Em ajustes",IF(N207=_xlfn.MINIFS($N$2:$N$5001,$B$2:$B$5001,B207,$E$2:$E$5001,"Em ajustes"),1,0),0))</f>
        <v/>
      </c>
      <c r="N207" s="17" t="str">
        <f aca="false">IF(A207="","",IF(ISNUMBER(A207),A207,IFERROR(DATE(VALUE(MID(A207,7,4)),VALUE(MID(A207,4,2)),VALUE(MID(A207,1,2)))+TIME(VALUE(MID(A207,12,2)),VALUE(MID(A207,15,2)),VALUE(MID(A207,18,2))),"")))</f>
        <v/>
      </c>
    </row>
    <row r="208" customFormat="false" ht="15" hidden="false" customHeight="false" outlineLevel="0" collapsed="false">
      <c r="I208" s="15" t="str">
        <f aca="false">IF(N208="","",INT(N208))</f>
        <v/>
      </c>
      <c r="J208" s="16" t="str">
        <f aca="false">IF(B208="","",IF(N208=_xlfn.MINIFS($N$2:$N$5001,$B$2:$B$5001,B208),1,0))</f>
        <v/>
      </c>
      <c r="K208" s="16" t="str">
        <f aca="false">IF(B208="","",IF(AND(D208="Formalização",E208="Concluído"),IF(COUNTIFS($B$2:$B$5001,B208,$E$2:$E$5001,"Em ajustes",$N$2:$N$5001,"&lt;"&amp;I208)&gt;0,1,0),0))</f>
        <v/>
      </c>
      <c r="L208" s="16" t="str">
        <f aca="false">IF(B208="","",IF(N208=_xlfn.MAXIFS($N$2:$N$5001,$B$2:$B$5001,B208,$I$2:$I$5001,I208),1,0))</f>
        <v/>
      </c>
      <c r="M208" s="16" t="str">
        <f aca="false">IF(B208="","",IF(E208="Em ajustes",IF(N208=_xlfn.MINIFS($N$2:$N$5001,$B$2:$B$5001,B208,$E$2:$E$5001,"Em ajustes"),1,0),0))</f>
        <v/>
      </c>
      <c r="N208" s="17" t="str">
        <f aca="false">IF(A208="","",IF(ISNUMBER(A208),A208,IFERROR(DATE(VALUE(MID(A208,7,4)),VALUE(MID(A208,4,2)),VALUE(MID(A208,1,2)))+TIME(VALUE(MID(A208,12,2)),VALUE(MID(A208,15,2)),VALUE(MID(A208,18,2))),"")))</f>
        <v/>
      </c>
    </row>
    <row r="209" customFormat="false" ht="15" hidden="false" customHeight="false" outlineLevel="0" collapsed="false">
      <c r="I209" s="15" t="str">
        <f aca="false">IF(N209="","",INT(N209))</f>
        <v/>
      </c>
      <c r="J209" s="16" t="str">
        <f aca="false">IF(B209="","",IF(N209=_xlfn.MINIFS($N$2:$N$5001,$B$2:$B$5001,B209),1,0))</f>
        <v/>
      </c>
      <c r="K209" s="16" t="str">
        <f aca="false">IF(B209="","",IF(AND(D209="Formalização",E209="Concluído"),IF(COUNTIFS($B$2:$B$5001,B209,$E$2:$E$5001,"Em ajustes",$N$2:$N$5001,"&lt;"&amp;I209)&gt;0,1,0),0))</f>
        <v/>
      </c>
      <c r="L209" s="16" t="str">
        <f aca="false">IF(B209="","",IF(N209=_xlfn.MAXIFS($N$2:$N$5001,$B$2:$B$5001,B209,$I$2:$I$5001,I209),1,0))</f>
        <v/>
      </c>
      <c r="M209" s="16" t="str">
        <f aca="false">IF(B209="","",IF(E209="Em ajustes",IF(N209=_xlfn.MINIFS($N$2:$N$5001,$B$2:$B$5001,B209,$E$2:$E$5001,"Em ajustes"),1,0),0))</f>
        <v/>
      </c>
      <c r="N209" s="17" t="str">
        <f aca="false">IF(A209="","",IF(ISNUMBER(A209),A209,IFERROR(DATE(VALUE(MID(A209,7,4)),VALUE(MID(A209,4,2)),VALUE(MID(A209,1,2)))+TIME(VALUE(MID(A209,12,2)),VALUE(MID(A209,15,2)),VALUE(MID(A209,18,2))),"")))</f>
        <v/>
      </c>
    </row>
    <row r="210" customFormat="false" ht="15" hidden="false" customHeight="false" outlineLevel="0" collapsed="false">
      <c r="I210" s="15" t="str">
        <f aca="false">IF(N210="","",INT(N210))</f>
        <v/>
      </c>
      <c r="J210" s="16" t="str">
        <f aca="false">IF(B210="","",IF(N210=_xlfn.MINIFS($N$2:$N$5001,$B$2:$B$5001,B210),1,0))</f>
        <v/>
      </c>
      <c r="K210" s="16" t="str">
        <f aca="false">IF(B210="","",IF(AND(D210="Formalização",E210="Concluído"),IF(COUNTIFS($B$2:$B$5001,B210,$E$2:$E$5001,"Em ajustes",$N$2:$N$5001,"&lt;"&amp;I210)&gt;0,1,0),0))</f>
        <v/>
      </c>
      <c r="L210" s="16" t="str">
        <f aca="false">IF(B210="","",IF(N210=_xlfn.MAXIFS($N$2:$N$5001,$B$2:$B$5001,B210,$I$2:$I$5001,I210),1,0))</f>
        <v/>
      </c>
      <c r="M210" s="16" t="str">
        <f aca="false">IF(B210="","",IF(E210="Em ajustes",IF(N210=_xlfn.MINIFS($N$2:$N$5001,$B$2:$B$5001,B210,$E$2:$E$5001,"Em ajustes"),1,0),0))</f>
        <v/>
      </c>
      <c r="N210" s="17" t="str">
        <f aca="false">IF(A210="","",IF(ISNUMBER(A210),A210,IFERROR(DATE(VALUE(MID(A210,7,4)),VALUE(MID(A210,4,2)),VALUE(MID(A210,1,2)))+TIME(VALUE(MID(A210,12,2)),VALUE(MID(A210,15,2)),VALUE(MID(A210,18,2))),"")))</f>
        <v/>
      </c>
    </row>
    <row r="211" customFormat="false" ht="15" hidden="false" customHeight="false" outlineLevel="0" collapsed="false">
      <c r="I211" s="15" t="str">
        <f aca="false">IF(N211="","",INT(N211))</f>
        <v/>
      </c>
      <c r="J211" s="16" t="str">
        <f aca="false">IF(B211="","",IF(N211=_xlfn.MINIFS($N$2:$N$5001,$B$2:$B$5001,B211),1,0))</f>
        <v/>
      </c>
      <c r="K211" s="16" t="str">
        <f aca="false">IF(B211="","",IF(AND(D211="Formalização",E211="Concluído"),IF(COUNTIFS($B$2:$B$5001,B211,$E$2:$E$5001,"Em ajustes",$N$2:$N$5001,"&lt;"&amp;I211)&gt;0,1,0),0))</f>
        <v/>
      </c>
      <c r="L211" s="16" t="str">
        <f aca="false">IF(B211="","",IF(N211=_xlfn.MAXIFS($N$2:$N$5001,$B$2:$B$5001,B211,$I$2:$I$5001,I211),1,0))</f>
        <v/>
      </c>
      <c r="M211" s="16" t="str">
        <f aca="false">IF(B211="","",IF(E211="Em ajustes",IF(N211=_xlfn.MINIFS($N$2:$N$5001,$B$2:$B$5001,B211,$E$2:$E$5001,"Em ajustes"),1,0),0))</f>
        <v/>
      </c>
      <c r="N211" s="17" t="str">
        <f aca="false">IF(A211="","",IF(ISNUMBER(A211),A211,IFERROR(DATE(VALUE(MID(A211,7,4)),VALUE(MID(A211,4,2)),VALUE(MID(A211,1,2)))+TIME(VALUE(MID(A211,12,2)),VALUE(MID(A211,15,2)),VALUE(MID(A211,18,2))),"")))</f>
        <v/>
      </c>
    </row>
    <row r="212" customFormat="false" ht="15" hidden="false" customHeight="false" outlineLevel="0" collapsed="false">
      <c r="I212" s="15" t="str">
        <f aca="false">IF(N212="","",INT(N212))</f>
        <v/>
      </c>
      <c r="J212" s="16" t="str">
        <f aca="false">IF(B212="","",IF(N212=_xlfn.MINIFS($N$2:$N$5001,$B$2:$B$5001,B212),1,0))</f>
        <v/>
      </c>
      <c r="K212" s="16" t="str">
        <f aca="false">IF(B212="","",IF(AND(D212="Formalização",E212="Concluído"),IF(COUNTIFS($B$2:$B$5001,B212,$E$2:$E$5001,"Em ajustes",$N$2:$N$5001,"&lt;"&amp;I212)&gt;0,1,0),0))</f>
        <v/>
      </c>
      <c r="L212" s="16" t="str">
        <f aca="false">IF(B212="","",IF(N212=_xlfn.MAXIFS($N$2:$N$5001,$B$2:$B$5001,B212,$I$2:$I$5001,I212),1,0))</f>
        <v/>
      </c>
      <c r="M212" s="16" t="str">
        <f aca="false">IF(B212="","",IF(E212="Em ajustes",IF(N212=_xlfn.MINIFS($N$2:$N$5001,$B$2:$B$5001,B212,$E$2:$E$5001,"Em ajustes"),1,0),0))</f>
        <v/>
      </c>
      <c r="N212" s="17" t="str">
        <f aca="false">IF(A212="","",IF(ISNUMBER(A212),A212,IFERROR(DATE(VALUE(MID(A212,7,4)),VALUE(MID(A212,4,2)),VALUE(MID(A212,1,2)))+TIME(VALUE(MID(A212,12,2)),VALUE(MID(A212,15,2)),VALUE(MID(A212,18,2))),"")))</f>
        <v/>
      </c>
    </row>
    <row r="213" customFormat="false" ht="15" hidden="false" customHeight="false" outlineLevel="0" collapsed="false">
      <c r="I213" s="15" t="str">
        <f aca="false">IF(N213="","",INT(N213))</f>
        <v/>
      </c>
      <c r="J213" s="16" t="str">
        <f aca="false">IF(B213="","",IF(N213=_xlfn.MINIFS($N$2:$N$5001,$B$2:$B$5001,B213),1,0))</f>
        <v/>
      </c>
      <c r="K213" s="16" t="str">
        <f aca="false">IF(B213="","",IF(AND(D213="Formalização",E213="Concluído"),IF(COUNTIFS($B$2:$B$5001,B213,$E$2:$E$5001,"Em ajustes",$N$2:$N$5001,"&lt;"&amp;I213)&gt;0,1,0),0))</f>
        <v/>
      </c>
      <c r="L213" s="16" t="str">
        <f aca="false">IF(B213="","",IF(N213=_xlfn.MAXIFS($N$2:$N$5001,$B$2:$B$5001,B213,$I$2:$I$5001,I213),1,0))</f>
        <v/>
      </c>
      <c r="M213" s="16" t="str">
        <f aca="false">IF(B213="","",IF(E213="Em ajustes",IF(N213=_xlfn.MINIFS($N$2:$N$5001,$B$2:$B$5001,B213,$E$2:$E$5001,"Em ajustes"),1,0),0))</f>
        <v/>
      </c>
      <c r="N213" s="17" t="str">
        <f aca="false">IF(A213="","",IF(ISNUMBER(A213),A213,IFERROR(DATE(VALUE(MID(A213,7,4)),VALUE(MID(A213,4,2)),VALUE(MID(A213,1,2)))+TIME(VALUE(MID(A213,12,2)),VALUE(MID(A213,15,2)),VALUE(MID(A213,18,2))),"")))</f>
        <v/>
      </c>
    </row>
    <row r="214" customFormat="false" ht="15" hidden="false" customHeight="false" outlineLevel="0" collapsed="false">
      <c r="I214" s="15" t="str">
        <f aca="false">IF(N214="","",INT(N214))</f>
        <v/>
      </c>
      <c r="J214" s="16" t="str">
        <f aca="false">IF(B214="","",IF(N214=_xlfn.MINIFS($N$2:$N$5001,$B$2:$B$5001,B214),1,0))</f>
        <v/>
      </c>
      <c r="K214" s="16" t="str">
        <f aca="false">IF(B214="","",IF(AND(D214="Formalização",E214="Concluído"),IF(COUNTIFS($B$2:$B$5001,B214,$E$2:$E$5001,"Em ajustes",$N$2:$N$5001,"&lt;"&amp;I214)&gt;0,1,0),0))</f>
        <v/>
      </c>
      <c r="L214" s="16" t="str">
        <f aca="false">IF(B214="","",IF(N214=_xlfn.MAXIFS($N$2:$N$5001,$B$2:$B$5001,B214,$I$2:$I$5001,I214),1,0))</f>
        <v/>
      </c>
      <c r="M214" s="16" t="str">
        <f aca="false">IF(B214="","",IF(E214="Em ajustes",IF(N214=_xlfn.MINIFS($N$2:$N$5001,$B$2:$B$5001,B214,$E$2:$E$5001,"Em ajustes"),1,0),0))</f>
        <v/>
      </c>
      <c r="N214" s="17" t="str">
        <f aca="false">IF(A214="","",IF(ISNUMBER(A214),A214,IFERROR(DATE(VALUE(MID(A214,7,4)),VALUE(MID(A214,4,2)),VALUE(MID(A214,1,2)))+TIME(VALUE(MID(A214,12,2)),VALUE(MID(A214,15,2)),VALUE(MID(A214,18,2))),"")))</f>
        <v/>
      </c>
    </row>
    <row r="215" customFormat="false" ht="15" hidden="false" customHeight="false" outlineLevel="0" collapsed="false">
      <c r="I215" s="15" t="str">
        <f aca="false">IF(N215="","",INT(N215))</f>
        <v/>
      </c>
      <c r="J215" s="16" t="str">
        <f aca="false">IF(B215="","",IF(N215=_xlfn.MINIFS($N$2:$N$5001,$B$2:$B$5001,B215),1,0))</f>
        <v/>
      </c>
      <c r="K215" s="16" t="str">
        <f aca="false">IF(B215="","",IF(AND(D215="Formalização",E215="Concluído"),IF(COUNTIFS($B$2:$B$5001,B215,$E$2:$E$5001,"Em ajustes",$N$2:$N$5001,"&lt;"&amp;I215)&gt;0,1,0),0))</f>
        <v/>
      </c>
      <c r="L215" s="16" t="str">
        <f aca="false">IF(B215="","",IF(N215=_xlfn.MAXIFS($N$2:$N$5001,$B$2:$B$5001,B215,$I$2:$I$5001,I215),1,0))</f>
        <v/>
      </c>
      <c r="M215" s="16" t="str">
        <f aca="false">IF(B215="","",IF(E215="Em ajustes",IF(N215=_xlfn.MINIFS($N$2:$N$5001,$B$2:$B$5001,B215,$E$2:$E$5001,"Em ajustes"),1,0),0))</f>
        <v/>
      </c>
      <c r="N215" s="17" t="str">
        <f aca="false">IF(A215="","",IF(ISNUMBER(A215),A215,IFERROR(DATE(VALUE(MID(A215,7,4)),VALUE(MID(A215,4,2)),VALUE(MID(A215,1,2)))+TIME(VALUE(MID(A215,12,2)),VALUE(MID(A215,15,2)),VALUE(MID(A215,18,2))),"")))</f>
        <v/>
      </c>
    </row>
    <row r="216" customFormat="false" ht="15" hidden="false" customHeight="false" outlineLevel="0" collapsed="false">
      <c r="I216" s="15" t="str">
        <f aca="false">IF(N216="","",INT(N216))</f>
        <v/>
      </c>
      <c r="J216" s="16" t="str">
        <f aca="false">IF(B216="","",IF(N216=_xlfn.MINIFS($N$2:$N$5001,$B$2:$B$5001,B216),1,0))</f>
        <v/>
      </c>
      <c r="K216" s="16" t="str">
        <f aca="false">IF(B216="","",IF(AND(D216="Formalização",E216="Concluído"),IF(COUNTIFS($B$2:$B$5001,B216,$E$2:$E$5001,"Em ajustes",$N$2:$N$5001,"&lt;"&amp;I216)&gt;0,1,0),0))</f>
        <v/>
      </c>
      <c r="L216" s="16" t="str">
        <f aca="false">IF(B216="","",IF(N216=_xlfn.MAXIFS($N$2:$N$5001,$B$2:$B$5001,B216,$I$2:$I$5001,I216),1,0))</f>
        <v/>
      </c>
      <c r="M216" s="16" t="str">
        <f aca="false">IF(B216="","",IF(E216="Em ajustes",IF(N216=_xlfn.MINIFS($N$2:$N$5001,$B$2:$B$5001,B216,$E$2:$E$5001,"Em ajustes"),1,0),0))</f>
        <v/>
      </c>
      <c r="N216" s="17" t="str">
        <f aca="false">IF(A216="","",IF(ISNUMBER(A216),A216,IFERROR(DATE(VALUE(MID(A216,7,4)),VALUE(MID(A216,4,2)),VALUE(MID(A216,1,2)))+TIME(VALUE(MID(A216,12,2)),VALUE(MID(A216,15,2)),VALUE(MID(A216,18,2))),"")))</f>
        <v/>
      </c>
    </row>
    <row r="217" customFormat="false" ht="15" hidden="false" customHeight="false" outlineLevel="0" collapsed="false">
      <c r="I217" s="15" t="str">
        <f aca="false">IF(N217="","",INT(N217))</f>
        <v/>
      </c>
      <c r="J217" s="16" t="str">
        <f aca="false">IF(B217="","",IF(N217=_xlfn.MINIFS($N$2:$N$5001,$B$2:$B$5001,B217),1,0))</f>
        <v/>
      </c>
      <c r="K217" s="16" t="str">
        <f aca="false">IF(B217="","",IF(AND(D217="Formalização",E217="Concluído"),IF(COUNTIFS($B$2:$B$5001,B217,$E$2:$E$5001,"Em ajustes",$N$2:$N$5001,"&lt;"&amp;I217)&gt;0,1,0),0))</f>
        <v/>
      </c>
      <c r="L217" s="16" t="str">
        <f aca="false">IF(B217="","",IF(N217=_xlfn.MAXIFS($N$2:$N$5001,$B$2:$B$5001,B217,$I$2:$I$5001,I217),1,0))</f>
        <v/>
      </c>
      <c r="M217" s="16" t="str">
        <f aca="false">IF(B217="","",IF(E217="Em ajustes",IF(N217=_xlfn.MINIFS($N$2:$N$5001,$B$2:$B$5001,B217,$E$2:$E$5001,"Em ajustes"),1,0),0))</f>
        <v/>
      </c>
      <c r="N217" s="17" t="str">
        <f aca="false">IF(A217="","",IF(ISNUMBER(A217),A217,IFERROR(DATE(VALUE(MID(A217,7,4)),VALUE(MID(A217,4,2)),VALUE(MID(A217,1,2)))+TIME(VALUE(MID(A217,12,2)),VALUE(MID(A217,15,2)),VALUE(MID(A217,18,2))),"")))</f>
        <v/>
      </c>
    </row>
    <row r="218" customFormat="false" ht="15" hidden="false" customHeight="false" outlineLevel="0" collapsed="false">
      <c r="I218" s="15" t="str">
        <f aca="false">IF(N218="","",INT(N218))</f>
        <v/>
      </c>
      <c r="J218" s="16" t="str">
        <f aca="false">IF(B218="","",IF(N218=_xlfn.MINIFS($N$2:$N$5001,$B$2:$B$5001,B218),1,0))</f>
        <v/>
      </c>
      <c r="K218" s="16" t="str">
        <f aca="false">IF(B218="","",IF(AND(D218="Formalização",E218="Concluído"),IF(COUNTIFS($B$2:$B$5001,B218,$E$2:$E$5001,"Em ajustes",$N$2:$N$5001,"&lt;"&amp;I218)&gt;0,1,0),0))</f>
        <v/>
      </c>
      <c r="L218" s="16" t="str">
        <f aca="false">IF(B218="","",IF(N218=_xlfn.MAXIFS($N$2:$N$5001,$B$2:$B$5001,B218,$I$2:$I$5001,I218),1,0))</f>
        <v/>
      </c>
      <c r="M218" s="16" t="str">
        <f aca="false">IF(B218="","",IF(E218="Em ajustes",IF(N218=_xlfn.MINIFS($N$2:$N$5001,$B$2:$B$5001,B218,$E$2:$E$5001,"Em ajustes"),1,0),0))</f>
        <v/>
      </c>
      <c r="N218" s="17" t="str">
        <f aca="false">IF(A218="","",IF(ISNUMBER(A218),A218,IFERROR(DATE(VALUE(MID(A218,7,4)),VALUE(MID(A218,4,2)),VALUE(MID(A218,1,2)))+TIME(VALUE(MID(A218,12,2)),VALUE(MID(A218,15,2)),VALUE(MID(A218,18,2))),"")))</f>
        <v/>
      </c>
    </row>
    <row r="219" customFormat="false" ht="15" hidden="false" customHeight="false" outlineLevel="0" collapsed="false">
      <c r="I219" s="15" t="str">
        <f aca="false">IF(N219="","",INT(N219))</f>
        <v/>
      </c>
      <c r="J219" s="16" t="str">
        <f aca="false">IF(B219="","",IF(N219=_xlfn.MINIFS($N$2:$N$5001,$B$2:$B$5001,B219),1,0))</f>
        <v/>
      </c>
      <c r="K219" s="16" t="str">
        <f aca="false">IF(B219="","",IF(AND(D219="Formalização",E219="Concluído"),IF(COUNTIFS($B$2:$B$5001,B219,$E$2:$E$5001,"Em ajustes",$N$2:$N$5001,"&lt;"&amp;I219)&gt;0,1,0),0))</f>
        <v/>
      </c>
      <c r="L219" s="16" t="str">
        <f aca="false">IF(B219="","",IF(N219=_xlfn.MAXIFS($N$2:$N$5001,$B$2:$B$5001,B219,$I$2:$I$5001,I219),1,0))</f>
        <v/>
      </c>
      <c r="M219" s="16" t="str">
        <f aca="false">IF(B219="","",IF(E219="Em ajustes",IF(N219=_xlfn.MINIFS($N$2:$N$5001,$B$2:$B$5001,B219,$E$2:$E$5001,"Em ajustes"),1,0),0))</f>
        <v/>
      </c>
      <c r="N219" s="17" t="str">
        <f aca="false">IF(A219="","",IF(ISNUMBER(A219),A219,IFERROR(DATE(VALUE(MID(A219,7,4)),VALUE(MID(A219,4,2)),VALUE(MID(A219,1,2)))+TIME(VALUE(MID(A219,12,2)),VALUE(MID(A219,15,2)),VALUE(MID(A219,18,2))),"")))</f>
        <v/>
      </c>
    </row>
    <row r="220" customFormat="false" ht="15" hidden="false" customHeight="false" outlineLevel="0" collapsed="false">
      <c r="I220" s="15" t="str">
        <f aca="false">IF(N220="","",INT(N220))</f>
        <v/>
      </c>
      <c r="J220" s="16" t="str">
        <f aca="false">IF(B220="","",IF(N220=_xlfn.MINIFS($N$2:$N$5001,$B$2:$B$5001,B220),1,0))</f>
        <v/>
      </c>
      <c r="K220" s="16" t="str">
        <f aca="false">IF(B220="","",IF(AND(D220="Formalização",E220="Concluído"),IF(COUNTIFS($B$2:$B$5001,B220,$E$2:$E$5001,"Em ajustes",$N$2:$N$5001,"&lt;"&amp;I220)&gt;0,1,0),0))</f>
        <v/>
      </c>
      <c r="L220" s="16" t="str">
        <f aca="false">IF(B220="","",IF(N220=_xlfn.MAXIFS($N$2:$N$5001,$B$2:$B$5001,B220,$I$2:$I$5001,I220),1,0))</f>
        <v/>
      </c>
      <c r="M220" s="16" t="str">
        <f aca="false">IF(B220="","",IF(E220="Em ajustes",IF(N220=_xlfn.MINIFS($N$2:$N$5001,$B$2:$B$5001,B220,$E$2:$E$5001,"Em ajustes"),1,0),0))</f>
        <v/>
      </c>
      <c r="N220" s="17" t="str">
        <f aca="false">IF(A220="","",IF(ISNUMBER(A220),A220,IFERROR(DATE(VALUE(MID(A220,7,4)),VALUE(MID(A220,4,2)),VALUE(MID(A220,1,2)))+TIME(VALUE(MID(A220,12,2)),VALUE(MID(A220,15,2)),VALUE(MID(A220,18,2))),"")))</f>
        <v/>
      </c>
    </row>
    <row r="221" customFormat="false" ht="15" hidden="false" customHeight="false" outlineLevel="0" collapsed="false">
      <c r="I221" s="15" t="str">
        <f aca="false">IF(N221="","",INT(N221))</f>
        <v/>
      </c>
      <c r="J221" s="16" t="str">
        <f aca="false">IF(B221="","",IF(N221=_xlfn.MINIFS($N$2:$N$5001,$B$2:$B$5001,B221),1,0))</f>
        <v/>
      </c>
      <c r="K221" s="16" t="str">
        <f aca="false">IF(B221="","",IF(AND(D221="Formalização",E221="Concluído"),IF(COUNTIFS($B$2:$B$5001,B221,$E$2:$E$5001,"Em ajustes",$N$2:$N$5001,"&lt;"&amp;I221)&gt;0,1,0),0))</f>
        <v/>
      </c>
      <c r="L221" s="16" t="str">
        <f aca="false">IF(B221="","",IF(N221=_xlfn.MAXIFS($N$2:$N$5001,$B$2:$B$5001,B221,$I$2:$I$5001,I221),1,0))</f>
        <v/>
      </c>
      <c r="M221" s="16" t="str">
        <f aca="false">IF(B221="","",IF(E221="Em ajustes",IF(N221=_xlfn.MINIFS($N$2:$N$5001,$B$2:$B$5001,B221,$E$2:$E$5001,"Em ajustes"),1,0),0))</f>
        <v/>
      </c>
      <c r="N221" s="17" t="str">
        <f aca="false">IF(A221="","",IF(ISNUMBER(A221),A221,IFERROR(DATE(VALUE(MID(A221,7,4)),VALUE(MID(A221,4,2)),VALUE(MID(A221,1,2)))+TIME(VALUE(MID(A221,12,2)),VALUE(MID(A221,15,2)),VALUE(MID(A221,18,2))),"")))</f>
        <v/>
      </c>
    </row>
    <row r="222" customFormat="false" ht="15" hidden="false" customHeight="false" outlineLevel="0" collapsed="false">
      <c r="I222" s="15" t="str">
        <f aca="false">IF(N222="","",INT(N222))</f>
        <v/>
      </c>
      <c r="J222" s="16" t="str">
        <f aca="false">IF(B222="","",IF(N222=_xlfn.MINIFS($N$2:$N$5001,$B$2:$B$5001,B222),1,0))</f>
        <v/>
      </c>
      <c r="K222" s="16" t="str">
        <f aca="false">IF(B222="","",IF(AND(D222="Formalização",E222="Concluído"),IF(COUNTIFS($B$2:$B$5001,B222,$E$2:$E$5001,"Em ajustes",$N$2:$N$5001,"&lt;"&amp;I222)&gt;0,1,0),0))</f>
        <v/>
      </c>
      <c r="L222" s="16" t="str">
        <f aca="false">IF(B222="","",IF(N222=_xlfn.MAXIFS($N$2:$N$5001,$B$2:$B$5001,B222,$I$2:$I$5001,I222),1,0))</f>
        <v/>
      </c>
      <c r="M222" s="16" t="str">
        <f aca="false">IF(B222="","",IF(E222="Em ajustes",IF(N222=_xlfn.MINIFS($N$2:$N$5001,$B$2:$B$5001,B222,$E$2:$E$5001,"Em ajustes"),1,0),0))</f>
        <v/>
      </c>
      <c r="N222" s="17" t="str">
        <f aca="false">IF(A222="","",IF(ISNUMBER(A222),A222,IFERROR(DATE(VALUE(MID(A222,7,4)),VALUE(MID(A222,4,2)),VALUE(MID(A222,1,2)))+TIME(VALUE(MID(A222,12,2)),VALUE(MID(A222,15,2)),VALUE(MID(A222,18,2))),"")))</f>
        <v/>
      </c>
    </row>
    <row r="223" customFormat="false" ht="15" hidden="false" customHeight="false" outlineLevel="0" collapsed="false">
      <c r="I223" s="15" t="str">
        <f aca="false">IF(N223="","",INT(N223))</f>
        <v/>
      </c>
      <c r="J223" s="16" t="str">
        <f aca="false">IF(B223="","",IF(N223=_xlfn.MINIFS($N$2:$N$5001,$B$2:$B$5001,B223),1,0))</f>
        <v/>
      </c>
      <c r="K223" s="16" t="str">
        <f aca="false">IF(B223="","",IF(AND(D223="Formalização",E223="Concluído"),IF(COUNTIFS($B$2:$B$5001,B223,$E$2:$E$5001,"Em ajustes",$N$2:$N$5001,"&lt;"&amp;I223)&gt;0,1,0),0))</f>
        <v/>
      </c>
      <c r="L223" s="16" t="str">
        <f aca="false">IF(B223="","",IF(N223=_xlfn.MAXIFS($N$2:$N$5001,$B$2:$B$5001,B223,$I$2:$I$5001,I223),1,0))</f>
        <v/>
      </c>
      <c r="M223" s="16" t="str">
        <f aca="false">IF(B223="","",IF(E223="Em ajustes",IF(N223=_xlfn.MINIFS($N$2:$N$5001,$B$2:$B$5001,B223,$E$2:$E$5001,"Em ajustes"),1,0),0))</f>
        <v/>
      </c>
      <c r="N223" s="17" t="str">
        <f aca="false">IF(A223="","",IF(ISNUMBER(A223),A223,IFERROR(DATE(VALUE(MID(A223,7,4)),VALUE(MID(A223,4,2)),VALUE(MID(A223,1,2)))+TIME(VALUE(MID(A223,12,2)),VALUE(MID(A223,15,2)),VALUE(MID(A223,18,2))),"")))</f>
        <v/>
      </c>
    </row>
    <row r="224" customFormat="false" ht="15" hidden="false" customHeight="false" outlineLevel="0" collapsed="false">
      <c r="I224" s="15" t="str">
        <f aca="false">IF(N224="","",INT(N224))</f>
        <v/>
      </c>
      <c r="J224" s="16" t="str">
        <f aca="false">IF(B224="","",IF(N224=_xlfn.MINIFS($N$2:$N$5001,$B$2:$B$5001,B224),1,0))</f>
        <v/>
      </c>
      <c r="K224" s="16" t="str">
        <f aca="false">IF(B224="","",IF(AND(D224="Formalização",E224="Concluído"),IF(COUNTIFS($B$2:$B$5001,B224,$E$2:$E$5001,"Em ajustes",$N$2:$N$5001,"&lt;"&amp;I224)&gt;0,1,0),0))</f>
        <v/>
      </c>
      <c r="L224" s="16" t="str">
        <f aca="false">IF(B224="","",IF(N224=_xlfn.MAXIFS($N$2:$N$5001,$B$2:$B$5001,B224,$I$2:$I$5001,I224),1,0))</f>
        <v/>
      </c>
      <c r="M224" s="16" t="str">
        <f aca="false">IF(B224="","",IF(E224="Em ajustes",IF(N224=_xlfn.MINIFS($N$2:$N$5001,$B$2:$B$5001,B224,$E$2:$E$5001,"Em ajustes"),1,0),0))</f>
        <v/>
      </c>
      <c r="N224" s="17" t="str">
        <f aca="false">IF(A224="","",IF(ISNUMBER(A224),A224,IFERROR(DATE(VALUE(MID(A224,7,4)),VALUE(MID(A224,4,2)),VALUE(MID(A224,1,2)))+TIME(VALUE(MID(A224,12,2)),VALUE(MID(A224,15,2)),VALUE(MID(A224,18,2))),"")))</f>
        <v/>
      </c>
    </row>
    <row r="225" customFormat="false" ht="15" hidden="false" customHeight="false" outlineLevel="0" collapsed="false">
      <c r="I225" s="15" t="str">
        <f aca="false">IF(N225="","",INT(N225))</f>
        <v/>
      </c>
      <c r="J225" s="16" t="str">
        <f aca="false">IF(B225="","",IF(N225=_xlfn.MINIFS($N$2:$N$5001,$B$2:$B$5001,B225),1,0))</f>
        <v/>
      </c>
      <c r="K225" s="16" t="str">
        <f aca="false">IF(B225="","",IF(AND(D225="Formalização",E225="Concluído"),IF(COUNTIFS($B$2:$B$5001,B225,$E$2:$E$5001,"Em ajustes",$N$2:$N$5001,"&lt;"&amp;I225)&gt;0,1,0),0))</f>
        <v/>
      </c>
      <c r="L225" s="16" t="str">
        <f aca="false">IF(B225="","",IF(N225=_xlfn.MAXIFS($N$2:$N$5001,$B$2:$B$5001,B225,$I$2:$I$5001,I225),1,0))</f>
        <v/>
      </c>
      <c r="M225" s="16" t="str">
        <f aca="false">IF(B225="","",IF(E225="Em ajustes",IF(N225=_xlfn.MINIFS($N$2:$N$5001,$B$2:$B$5001,B225,$E$2:$E$5001,"Em ajustes"),1,0),0))</f>
        <v/>
      </c>
      <c r="N225" s="17" t="str">
        <f aca="false">IF(A225="","",IF(ISNUMBER(A225),A225,IFERROR(DATE(VALUE(MID(A225,7,4)),VALUE(MID(A225,4,2)),VALUE(MID(A225,1,2)))+TIME(VALUE(MID(A225,12,2)),VALUE(MID(A225,15,2)),VALUE(MID(A225,18,2))),"")))</f>
        <v/>
      </c>
    </row>
    <row r="226" customFormat="false" ht="15" hidden="false" customHeight="false" outlineLevel="0" collapsed="false">
      <c r="I226" s="15" t="str">
        <f aca="false">IF(N226="","",INT(N226))</f>
        <v/>
      </c>
      <c r="J226" s="16" t="str">
        <f aca="false">IF(B226="","",IF(N226=_xlfn.MINIFS($N$2:$N$5001,$B$2:$B$5001,B226),1,0))</f>
        <v/>
      </c>
      <c r="K226" s="16" t="str">
        <f aca="false">IF(B226="","",IF(AND(D226="Formalização",E226="Concluído"),IF(COUNTIFS($B$2:$B$5001,B226,$E$2:$E$5001,"Em ajustes",$N$2:$N$5001,"&lt;"&amp;I226)&gt;0,1,0),0))</f>
        <v/>
      </c>
      <c r="L226" s="16" t="str">
        <f aca="false">IF(B226="","",IF(N226=_xlfn.MAXIFS($N$2:$N$5001,$B$2:$B$5001,B226,$I$2:$I$5001,I226),1,0))</f>
        <v/>
      </c>
      <c r="M226" s="16" t="str">
        <f aca="false">IF(B226="","",IF(E226="Em ajustes",IF(N226=_xlfn.MINIFS($N$2:$N$5001,$B$2:$B$5001,B226,$E$2:$E$5001,"Em ajustes"),1,0),0))</f>
        <v/>
      </c>
      <c r="N226" s="17" t="str">
        <f aca="false">IF(A226="","",IF(ISNUMBER(A226),A226,IFERROR(DATE(VALUE(MID(A226,7,4)),VALUE(MID(A226,4,2)),VALUE(MID(A226,1,2)))+TIME(VALUE(MID(A226,12,2)),VALUE(MID(A226,15,2)),VALUE(MID(A226,18,2))),"")))</f>
        <v/>
      </c>
    </row>
    <row r="227" customFormat="false" ht="15" hidden="false" customHeight="false" outlineLevel="0" collapsed="false">
      <c r="I227" s="15" t="str">
        <f aca="false">IF(N227="","",INT(N227))</f>
        <v/>
      </c>
      <c r="J227" s="16" t="str">
        <f aca="false">IF(B227="","",IF(N227=_xlfn.MINIFS($N$2:$N$5001,$B$2:$B$5001,B227),1,0))</f>
        <v/>
      </c>
      <c r="K227" s="16" t="str">
        <f aca="false">IF(B227="","",IF(AND(D227="Formalização",E227="Concluído"),IF(COUNTIFS($B$2:$B$5001,B227,$E$2:$E$5001,"Em ajustes",$N$2:$N$5001,"&lt;"&amp;I227)&gt;0,1,0),0))</f>
        <v/>
      </c>
      <c r="L227" s="16" t="str">
        <f aca="false">IF(B227="","",IF(N227=_xlfn.MAXIFS($N$2:$N$5001,$B$2:$B$5001,B227,$I$2:$I$5001,I227),1,0))</f>
        <v/>
      </c>
      <c r="M227" s="16" t="str">
        <f aca="false">IF(B227="","",IF(E227="Em ajustes",IF(N227=_xlfn.MINIFS($N$2:$N$5001,$B$2:$B$5001,B227,$E$2:$E$5001,"Em ajustes"),1,0),0))</f>
        <v/>
      </c>
      <c r="N227" s="17" t="str">
        <f aca="false">IF(A227="","",IF(ISNUMBER(A227),A227,IFERROR(DATE(VALUE(MID(A227,7,4)),VALUE(MID(A227,4,2)),VALUE(MID(A227,1,2)))+TIME(VALUE(MID(A227,12,2)),VALUE(MID(A227,15,2)),VALUE(MID(A227,18,2))),"")))</f>
        <v/>
      </c>
    </row>
    <row r="228" customFormat="false" ht="15" hidden="false" customHeight="false" outlineLevel="0" collapsed="false">
      <c r="I228" s="15" t="str">
        <f aca="false">IF(N228="","",INT(N228))</f>
        <v/>
      </c>
      <c r="J228" s="16" t="str">
        <f aca="false">IF(B228="","",IF(N228=_xlfn.MINIFS($N$2:$N$5001,$B$2:$B$5001,B228),1,0))</f>
        <v/>
      </c>
      <c r="K228" s="16" t="str">
        <f aca="false">IF(B228="","",IF(AND(D228="Formalização",E228="Concluído"),IF(COUNTIFS($B$2:$B$5001,B228,$E$2:$E$5001,"Em ajustes",$N$2:$N$5001,"&lt;"&amp;I228)&gt;0,1,0),0))</f>
        <v/>
      </c>
      <c r="L228" s="16" t="str">
        <f aca="false">IF(B228="","",IF(N228=_xlfn.MAXIFS($N$2:$N$5001,$B$2:$B$5001,B228,$I$2:$I$5001,I228),1,0))</f>
        <v/>
      </c>
      <c r="M228" s="16" t="str">
        <f aca="false">IF(B228="","",IF(E228="Em ajustes",IF(N228=_xlfn.MINIFS($N$2:$N$5001,$B$2:$B$5001,B228,$E$2:$E$5001,"Em ajustes"),1,0),0))</f>
        <v/>
      </c>
      <c r="N228" s="17" t="str">
        <f aca="false">IF(A228="","",IF(ISNUMBER(A228),A228,IFERROR(DATE(VALUE(MID(A228,7,4)),VALUE(MID(A228,4,2)),VALUE(MID(A228,1,2)))+TIME(VALUE(MID(A228,12,2)),VALUE(MID(A228,15,2)),VALUE(MID(A228,18,2))),"")))</f>
        <v/>
      </c>
    </row>
    <row r="229" customFormat="false" ht="15" hidden="false" customHeight="false" outlineLevel="0" collapsed="false">
      <c r="I229" s="15" t="str">
        <f aca="false">IF(N229="","",INT(N229))</f>
        <v/>
      </c>
      <c r="J229" s="16" t="str">
        <f aca="false">IF(B229="","",IF(N229=_xlfn.MINIFS($N$2:$N$5001,$B$2:$B$5001,B229),1,0))</f>
        <v/>
      </c>
      <c r="K229" s="16" t="str">
        <f aca="false">IF(B229="","",IF(AND(D229="Formalização",E229="Concluído"),IF(COUNTIFS($B$2:$B$5001,B229,$E$2:$E$5001,"Em ajustes",$N$2:$N$5001,"&lt;"&amp;I229)&gt;0,1,0),0))</f>
        <v/>
      </c>
      <c r="L229" s="16" t="str">
        <f aca="false">IF(B229="","",IF(N229=_xlfn.MAXIFS($N$2:$N$5001,$B$2:$B$5001,B229,$I$2:$I$5001,I229),1,0))</f>
        <v/>
      </c>
      <c r="M229" s="16" t="str">
        <f aca="false">IF(B229="","",IF(E229="Em ajustes",IF(N229=_xlfn.MINIFS($N$2:$N$5001,$B$2:$B$5001,B229,$E$2:$E$5001,"Em ajustes"),1,0),0))</f>
        <v/>
      </c>
      <c r="N229" s="17" t="str">
        <f aca="false">IF(A229="","",IF(ISNUMBER(A229),A229,IFERROR(DATE(VALUE(MID(A229,7,4)),VALUE(MID(A229,4,2)),VALUE(MID(A229,1,2)))+TIME(VALUE(MID(A229,12,2)),VALUE(MID(A229,15,2)),VALUE(MID(A229,18,2))),"")))</f>
        <v/>
      </c>
    </row>
    <row r="230" customFormat="false" ht="15" hidden="false" customHeight="false" outlineLevel="0" collapsed="false">
      <c r="I230" s="15" t="str">
        <f aca="false">IF(N230="","",INT(N230))</f>
        <v/>
      </c>
      <c r="J230" s="16" t="str">
        <f aca="false">IF(B230="","",IF(N230=_xlfn.MINIFS($N$2:$N$5001,$B$2:$B$5001,B230),1,0))</f>
        <v/>
      </c>
      <c r="K230" s="16" t="str">
        <f aca="false">IF(B230="","",IF(AND(D230="Formalização",E230="Concluído"),IF(COUNTIFS($B$2:$B$5001,B230,$E$2:$E$5001,"Em ajustes",$N$2:$N$5001,"&lt;"&amp;I230)&gt;0,1,0),0))</f>
        <v/>
      </c>
      <c r="L230" s="16" t="str">
        <f aca="false">IF(B230="","",IF(N230=_xlfn.MAXIFS($N$2:$N$5001,$B$2:$B$5001,B230,$I$2:$I$5001,I230),1,0))</f>
        <v/>
      </c>
      <c r="M230" s="16" t="str">
        <f aca="false">IF(B230="","",IF(E230="Em ajustes",IF(N230=_xlfn.MINIFS($N$2:$N$5001,$B$2:$B$5001,B230,$E$2:$E$5001,"Em ajustes"),1,0),0))</f>
        <v/>
      </c>
      <c r="N230" s="17" t="str">
        <f aca="false">IF(A230="","",IF(ISNUMBER(A230),A230,IFERROR(DATE(VALUE(MID(A230,7,4)),VALUE(MID(A230,4,2)),VALUE(MID(A230,1,2)))+TIME(VALUE(MID(A230,12,2)),VALUE(MID(A230,15,2)),VALUE(MID(A230,18,2))),"")))</f>
        <v/>
      </c>
    </row>
    <row r="231" customFormat="false" ht="15" hidden="false" customHeight="false" outlineLevel="0" collapsed="false">
      <c r="I231" s="15" t="str">
        <f aca="false">IF(N231="","",INT(N231))</f>
        <v/>
      </c>
      <c r="J231" s="16" t="str">
        <f aca="false">IF(B231="","",IF(N231=_xlfn.MINIFS($N$2:$N$5001,$B$2:$B$5001,B231),1,0))</f>
        <v/>
      </c>
      <c r="K231" s="16" t="str">
        <f aca="false">IF(B231="","",IF(AND(D231="Formalização",E231="Concluído"),IF(COUNTIFS($B$2:$B$5001,B231,$E$2:$E$5001,"Em ajustes",$N$2:$N$5001,"&lt;"&amp;I231)&gt;0,1,0),0))</f>
        <v/>
      </c>
      <c r="L231" s="16" t="str">
        <f aca="false">IF(B231="","",IF(N231=_xlfn.MAXIFS($N$2:$N$5001,$B$2:$B$5001,B231,$I$2:$I$5001,I231),1,0))</f>
        <v/>
      </c>
      <c r="M231" s="16" t="str">
        <f aca="false">IF(B231="","",IF(E231="Em ajustes",IF(N231=_xlfn.MINIFS($N$2:$N$5001,$B$2:$B$5001,B231,$E$2:$E$5001,"Em ajustes"),1,0),0))</f>
        <v/>
      </c>
      <c r="N231" s="17" t="str">
        <f aca="false">IF(A231="","",IF(ISNUMBER(A231),A231,IFERROR(DATE(VALUE(MID(A231,7,4)),VALUE(MID(A231,4,2)),VALUE(MID(A231,1,2)))+TIME(VALUE(MID(A231,12,2)),VALUE(MID(A231,15,2)),VALUE(MID(A231,18,2))),"")))</f>
        <v/>
      </c>
    </row>
    <row r="232" customFormat="false" ht="15" hidden="false" customHeight="false" outlineLevel="0" collapsed="false">
      <c r="I232" s="15" t="str">
        <f aca="false">IF(N232="","",INT(N232))</f>
        <v/>
      </c>
      <c r="J232" s="16" t="str">
        <f aca="false">IF(B232="","",IF(N232=_xlfn.MINIFS($N$2:$N$5001,$B$2:$B$5001,B232),1,0))</f>
        <v/>
      </c>
      <c r="K232" s="16" t="str">
        <f aca="false">IF(B232="","",IF(AND(D232="Formalização",E232="Concluído"),IF(COUNTIFS($B$2:$B$5001,B232,$E$2:$E$5001,"Em ajustes",$N$2:$N$5001,"&lt;"&amp;I232)&gt;0,1,0),0))</f>
        <v/>
      </c>
      <c r="L232" s="16" t="str">
        <f aca="false">IF(B232="","",IF(N232=_xlfn.MAXIFS($N$2:$N$5001,$B$2:$B$5001,B232,$I$2:$I$5001,I232),1,0))</f>
        <v/>
      </c>
      <c r="M232" s="16" t="str">
        <f aca="false">IF(B232="","",IF(E232="Em ajustes",IF(N232=_xlfn.MINIFS($N$2:$N$5001,$B$2:$B$5001,B232,$E$2:$E$5001,"Em ajustes"),1,0),0))</f>
        <v/>
      </c>
      <c r="N232" s="17" t="str">
        <f aca="false">IF(A232="","",IF(ISNUMBER(A232),A232,IFERROR(DATE(VALUE(MID(A232,7,4)),VALUE(MID(A232,4,2)),VALUE(MID(A232,1,2)))+TIME(VALUE(MID(A232,12,2)),VALUE(MID(A232,15,2)),VALUE(MID(A232,18,2))),"")))</f>
        <v/>
      </c>
    </row>
    <row r="233" customFormat="false" ht="15" hidden="false" customHeight="false" outlineLevel="0" collapsed="false">
      <c r="I233" s="15" t="str">
        <f aca="false">IF(N233="","",INT(N233))</f>
        <v/>
      </c>
      <c r="J233" s="16" t="str">
        <f aca="false">IF(B233="","",IF(N233=_xlfn.MINIFS($N$2:$N$5001,$B$2:$B$5001,B233),1,0))</f>
        <v/>
      </c>
      <c r="K233" s="16" t="str">
        <f aca="false">IF(B233="","",IF(AND(D233="Formalização",E233="Concluído"),IF(COUNTIFS($B$2:$B$5001,B233,$E$2:$E$5001,"Em ajustes",$N$2:$N$5001,"&lt;"&amp;I233)&gt;0,1,0),0))</f>
        <v/>
      </c>
      <c r="L233" s="16" t="str">
        <f aca="false">IF(B233="","",IF(N233=_xlfn.MAXIFS($N$2:$N$5001,$B$2:$B$5001,B233,$I$2:$I$5001,I233),1,0))</f>
        <v/>
      </c>
      <c r="M233" s="16" t="str">
        <f aca="false">IF(B233="","",IF(E233="Em ajustes",IF(N233=_xlfn.MINIFS($N$2:$N$5001,$B$2:$B$5001,B233,$E$2:$E$5001,"Em ajustes"),1,0),0))</f>
        <v/>
      </c>
      <c r="N233" s="17" t="str">
        <f aca="false">IF(A233="","",IF(ISNUMBER(A233),A233,IFERROR(DATE(VALUE(MID(A233,7,4)),VALUE(MID(A233,4,2)),VALUE(MID(A233,1,2)))+TIME(VALUE(MID(A233,12,2)),VALUE(MID(A233,15,2)),VALUE(MID(A233,18,2))),"")))</f>
        <v/>
      </c>
    </row>
    <row r="234" customFormat="false" ht="15" hidden="false" customHeight="false" outlineLevel="0" collapsed="false">
      <c r="I234" s="15" t="str">
        <f aca="false">IF(N234="","",INT(N234))</f>
        <v/>
      </c>
      <c r="J234" s="16" t="str">
        <f aca="false">IF(B234="","",IF(N234=_xlfn.MINIFS($N$2:$N$5001,$B$2:$B$5001,B234),1,0))</f>
        <v/>
      </c>
      <c r="K234" s="16" t="str">
        <f aca="false">IF(B234="","",IF(AND(D234="Formalização",E234="Concluído"),IF(COUNTIFS($B$2:$B$5001,B234,$E$2:$E$5001,"Em ajustes",$N$2:$N$5001,"&lt;"&amp;I234)&gt;0,1,0),0))</f>
        <v/>
      </c>
      <c r="L234" s="16" t="str">
        <f aca="false">IF(B234="","",IF(N234=_xlfn.MAXIFS($N$2:$N$5001,$B$2:$B$5001,B234,$I$2:$I$5001,I234),1,0))</f>
        <v/>
      </c>
      <c r="M234" s="16" t="str">
        <f aca="false">IF(B234="","",IF(E234="Em ajustes",IF(N234=_xlfn.MINIFS($N$2:$N$5001,$B$2:$B$5001,B234,$E$2:$E$5001,"Em ajustes"),1,0),0))</f>
        <v/>
      </c>
      <c r="N234" s="17" t="str">
        <f aca="false">IF(A234="","",IF(ISNUMBER(A234),A234,IFERROR(DATE(VALUE(MID(A234,7,4)),VALUE(MID(A234,4,2)),VALUE(MID(A234,1,2)))+TIME(VALUE(MID(A234,12,2)),VALUE(MID(A234,15,2)),VALUE(MID(A234,18,2))),"")))</f>
        <v/>
      </c>
    </row>
    <row r="235" customFormat="false" ht="15" hidden="false" customHeight="false" outlineLevel="0" collapsed="false">
      <c r="I235" s="15" t="str">
        <f aca="false">IF(N235="","",INT(N235))</f>
        <v/>
      </c>
      <c r="J235" s="16" t="str">
        <f aca="false">IF(B235="","",IF(N235=_xlfn.MINIFS($N$2:$N$5001,$B$2:$B$5001,B235),1,0))</f>
        <v/>
      </c>
      <c r="K235" s="16" t="str">
        <f aca="false">IF(B235="","",IF(AND(D235="Formalização",E235="Concluído"),IF(COUNTIFS($B$2:$B$5001,B235,$E$2:$E$5001,"Em ajustes",$N$2:$N$5001,"&lt;"&amp;I235)&gt;0,1,0),0))</f>
        <v/>
      </c>
      <c r="L235" s="16" t="str">
        <f aca="false">IF(B235="","",IF(N235=_xlfn.MAXIFS($N$2:$N$5001,$B$2:$B$5001,B235,$I$2:$I$5001,I235),1,0))</f>
        <v/>
      </c>
      <c r="M235" s="16" t="str">
        <f aca="false">IF(B235="","",IF(E235="Em ajustes",IF(N235=_xlfn.MINIFS($N$2:$N$5001,$B$2:$B$5001,B235,$E$2:$E$5001,"Em ajustes"),1,0),0))</f>
        <v/>
      </c>
      <c r="N235" s="17" t="str">
        <f aca="false">IF(A235="","",IF(ISNUMBER(A235),A235,IFERROR(DATE(VALUE(MID(A235,7,4)),VALUE(MID(A235,4,2)),VALUE(MID(A235,1,2)))+TIME(VALUE(MID(A235,12,2)),VALUE(MID(A235,15,2)),VALUE(MID(A235,18,2))),"")))</f>
        <v/>
      </c>
    </row>
    <row r="236" customFormat="false" ht="15" hidden="false" customHeight="false" outlineLevel="0" collapsed="false">
      <c r="I236" s="15" t="str">
        <f aca="false">IF(N236="","",INT(N236))</f>
        <v/>
      </c>
      <c r="J236" s="16" t="str">
        <f aca="false">IF(B236="","",IF(N236=_xlfn.MINIFS($N$2:$N$5001,$B$2:$B$5001,B236),1,0))</f>
        <v/>
      </c>
      <c r="K236" s="16" t="str">
        <f aca="false">IF(B236="","",IF(AND(D236="Formalização",E236="Concluído"),IF(COUNTIFS($B$2:$B$5001,B236,$E$2:$E$5001,"Em ajustes",$N$2:$N$5001,"&lt;"&amp;I236)&gt;0,1,0),0))</f>
        <v/>
      </c>
      <c r="L236" s="16" t="str">
        <f aca="false">IF(B236="","",IF(N236=_xlfn.MAXIFS($N$2:$N$5001,$B$2:$B$5001,B236,$I$2:$I$5001,I236),1,0))</f>
        <v/>
      </c>
      <c r="M236" s="16" t="str">
        <f aca="false">IF(B236="","",IF(E236="Em ajustes",IF(N236=_xlfn.MINIFS($N$2:$N$5001,$B$2:$B$5001,B236,$E$2:$E$5001,"Em ajustes"),1,0),0))</f>
        <v/>
      </c>
      <c r="N236" s="17" t="str">
        <f aca="false">IF(A236="","",IF(ISNUMBER(A236),A236,IFERROR(DATE(VALUE(MID(A236,7,4)),VALUE(MID(A236,4,2)),VALUE(MID(A236,1,2)))+TIME(VALUE(MID(A236,12,2)),VALUE(MID(A236,15,2)),VALUE(MID(A236,18,2))),"")))</f>
        <v/>
      </c>
    </row>
    <row r="237" customFormat="false" ht="15" hidden="false" customHeight="false" outlineLevel="0" collapsed="false">
      <c r="I237" s="15" t="str">
        <f aca="false">IF(N237="","",INT(N237))</f>
        <v/>
      </c>
      <c r="J237" s="16" t="str">
        <f aca="false">IF(B237="","",IF(N237=_xlfn.MINIFS($N$2:$N$5001,$B$2:$B$5001,B237),1,0))</f>
        <v/>
      </c>
      <c r="K237" s="16" t="str">
        <f aca="false">IF(B237="","",IF(AND(D237="Formalização",E237="Concluído"),IF(COUNTIFS($B$2:$B$5001,B237,$E$2:$E$5001,"Em ajustes",$N$2:$N$5001,"&lt;"&amp;I237)&gt;0,1,0),0))</f>
        <v/>
      </c>
      <c r="L237" s="16" t="str">
        <f aca="false">IF(B237="","",IF(N237=_xlfn.MAXIFS($N$2:$N$5001,$B$2:$B$5001,B237,$I$2:$I$5001,I237),1,0))</f>
        <v/>
      </c>
      <c r="M237" s="16" t="str">
        <f aca="false">IF(B237="","",IF(E237="Em ajustes",IF(N237=_xlfn.MINIFS($N$2:$N$5001,$B$2:$B$5001,B237,$E$2:$E$5001,"Em ajustes"),1,0),0))</f>
        <v/>
      </c>
      <c r="N237" s="17" t="str">
        <f aca="false">IF(A237="","",IF(ISNUMBER(A237),A237,IFERROR(DATE(VALUE(MID(A237,7,4)),VALUE(MID(A237,4,2)),VALUE(MID(A237,1,2)))+TIME(VALUE(MID(A237,12,2)),VALUE(MID(A237,15,2)),VALUE(MID(A237,18,2))),"")))</f>
        <v/>
      </c>
    </row>
    <row r="238" customFormat="false" ht="15" hidden="false" customHeight="false" outlineLevel="0" collapsed="false">
      <c r="I238" s="15" t="str">
        <f aca="false">IF(N238="","",INT(N238))</f>
        <v/>
      </c>
      <c r="J238" s="16" t="str">
        <f aca="false">IF(B238="","",IF(N238=_xlfn.MINIFS($N$2:$N$5001,$B$2:$B$5001,B238),1,0))</f>
        <v/>
      </c>
      <c r="K238" s="16" t="str">
        <f aca="false">IF(B238="","",IF(AND(D238="Formalização",E238="Concluído"),IF(COUNTIFS($B$2:$B$5001,B238,$E$2:$E$5001,"Em ajustes",$N$2:$N$5001,"&lt;"&amp;I238)&gt;0,1,0),0))</f>
        <v/>
      </c>
      <c r="L238" s="16" t="str">
        <f aca="false">IF(B238="","",IF(N238=_xlfn.MAXIFS($N$2:$N$5001,$B$2:$B$5001,B238,$I$2:$I$5001,I238),1,0))</f>
        <v/>
      </c>
      <c r="M238" s="16" t="str">
        <f aca="false">IF(B238="","",IF(E238="Em ajustes",IF(N238=_xlfn.MINIFS($N$2:$N$5001,$B$2:$B$5001,B238,$E$2:$E$5001,"Em ajustes"),1,0),0))</f>
        <v/>
      </c>
      <c r="N238" s="17" t="str">
        <f aca="false">IF(A238="","",IF(ISNUMBER(A238),A238,IFERROR(DATE(VALUE(MID(A238,7,4)),VALUE(MID(A238,4,2)),VALUE(MID(A238,1,2)))+TIME(VALUE(MID(A238,12,2)),VALUE(MID(A238,15,2)),VALUE(MID(A238,18,2))),"")))</f>
        <v/>
      </c>
    </row>
    <row r="239" customFormat="false" ht="15" hidden="false" customHeight="false" outlineLevel="0" collapsed="false">
      <c r="I239" s="15" t="str">
        <f aca="false">IF(N239="","",INT(N239))</f>
        <v/>
      </c>
      <c r="J239" s="16" t="str">
        <f aca="false">IF(B239="","",IF(N239=_xlfn.MINIFS($N$2:$N$5001,$B$2:$B$5001,B239),1,0))</f>
        <v/>
      </c>
      <c r="K239" s="16" t="str">
        <f aca="false">IF(B239="","",IF(AND(D239="Formalização",E239="Concluído"),IF(COUNTIFS($B$2:$B$5001,B239,$E$2:$E$5001,"Em ajustes",$N$2:$N$5001,"&lt;"&amp;I239)&gt;0,1,0),0))</f>
        <v/>
      </c>
      <c r="L239" s="16" t="str">
        <f aca="false">IF(B239="","",IF(N239=_xlfn.MAXIFS($N$2:$N$5001,$B$2:$B$5001,B239,$I$2:$I$5001,I239),1,0))</f>
        <v/>
      </c>
      <c r="M239" s="16" t="str">
        <f aca="false">IF(B239="","",IF(E239="Em ajustes",IF(N239=_xlfn.MINIFS($N$2:$N$5001,$B$2:$B$5001,B239,$E$2:$E$5001,"Em ajustes"),1,0),0))</f>
        <v/>
      </c>
      <c r="N239" s="17" t="str">
        <f aca="false">IF(A239="","",IF(ISNUMBER(A239),A239,IFERROR(DATE(VALUE(MID(A239,7,4)),VALUE(MID(A239,4,2)),VALUE(MID(A239,1,2)))+TIME(VALUE(MID(A239,12,2)),VALUE(MID(A239,15,2)),VALUE(MID(A239,18,2))),"")))</f>
        <v/>
      </c>
    </row>
    <row r="240" customFormat="false" ht="15" hidden="false" customHeight="false" outlineLevel="0" collapsed="false">
      <c r="I240" s="15" t="str">
        <f aca="false">IF(N240="","",INT(N240))</f>
        <v/>
      </c>
      <c r="J240" s="16" t="str">
        <f aca="false">IF(B240="","",IF(N240=_xlfn.MINIFS($N$2:$N$5001,$B$2:$B$5001,B240),1,0))</f>
        <v/>
      </c>
      <c r="K240" s="16" t="str">
        <f aca="false">IF(B240="","",IF(AND(D240="Formalização",E240="Concluído"),IF(COUNTIFS($B$2:$B$5001,B240,$E$2:$E$5001,"Em ajustes",$N$2:$N$5001,"&lt;"&amp;I240)&gt;0,1,0),0))</f>
        <v/>
      </c>
      <c r="L240" s="16" t="str">
        <f aca="false">IF(B240="","",IF(N240=_xlfn.MAXIFS($N$2:$N$5001,$B$2:$B$5001,B240,$I$2:$I$5001,I240),1,0))</f>
        <v/>
      </c>
      <c r="M240" s="16" t="str">
        <f aca="false">IF(B240="","",IF(E240="Em ajustes",IF(N240=_xlfn.MINIFS($N$2:$N$5001,$B$2:$B$5001,B240,$E$2:$E$5001,"Em ajustes"),1,0),0))</f>
        <v/>
      </c>
      <c r="N240" s="17" t="str">
        <f aca="false">IF(A240="","",IF(ISNUMBER(A240),A240,IFERROR(DATE(VALUE(MID(A240,7,4)),VALUE(MID(A240,4,2)),VALUE(MID(A240,1,2)))+TIME(VALUE(MID(A240,12,2)),VALUE(MID(A240,15,2)),VALUE(MID(A240,18,2))),"")))</f>
        <v/>
      </c>
    </row>
    <row r="241" customFormat="false" ht="15" hidden="false" customHeight="false" outlineLevel="0" collapsed="false">
      <c r="I241" s="15" t="str">
        <f aca="false">IF(N241="","",INT(N241))</f>
        <v/>
      </c>
      <c r="J241" s="16" t="str">
        <f aca="false">IF(B241="","",IF(N241=_xlfn.MINIFS($N$2:$N$5001,$B$2:$B$5001,B241),1,0))</f>
        <v/>
      </c>
      <c r="K241" s="16" t="str">
        <f aca="false">IF(B241="","",IF(AND(D241="Formalização",E241="Concluído"),IF(COUNTIFS($B$2:$B$5001,B241,$E$2:$E$5001,"Em ajustes",$N$2:$N$5001,"&lt;"&amp;I241)&gt;0,1,0),0))</f>
        <v/>
      </c>
      <c r="L241" s="16" t="str">
        <f aca="false">IF(B241="","",IF(N241=_xlfn.MAXIFS($N$2:$N$5001,$B$2:$B$5001,B241,$I$2:$I$5001,I241),1,0))</f>
        <v/>
      </c>
      <c r="M241" s="16" t="str">
        <f aca="false">IF(B241="","",IF(E241="Em ajustes",IF(N241=_xlfn.MINIFS($N$2:$N$5001,$B$2:$B$5001,B241,$E$2:$E$5001,"Em ajustes"),1,0),0))</f>
        <v/>
      </c>
      <c r="N241" s="17" t="str">
        <f aca="false">IF(A241="","",IF(ISNUMBER(A241),A241,IFERROR(DATE(VALUE(MID(A241,7,4)),VALUE(MID(A241,4,2)),VALUE(MID(A241,1,2)))+TIME(VALUE(MID(A241,12,2)),VALUE(MID(A241,15,2)),VALUE(MID(A241,18,2))),"")))</f>
        <v/>
      </c>
    </row>
    <row r="242" customFormat="false" ht="15" hidden="false" customHeight="false" outlineLevel="0" collapsed="false">
      <c r="I242" s="15" t="str">
        <f aca="false">IF(N242="","",INT(N242))</f>
        <v/>
      </c>
      <c r="J242" s="16" t="str">
        <f aca="false">IF(B242="","",IF(N242=_xlfn.MINIFS($N$2:$N$5001,$B$2:$B$5001,B242),1,0))</f>
        <v/>
      </c>
      <c r="K242" s="16" t="str">
        <f aca="false">IF(B242="","",IF(AND(D242="Formalização",E242="Concluído"),IF(COUNTIFS($B$2:$B$5001,B242,$E$2:$E$5001,"Em ajustes",$N$2:$N$5001,"&lt;"&amp;I242)&gt;0,1,0),0))</f>
        <v/>
      </c>
      <c r="L242" s="16" t="str">
        <f aca="false">IF(B242="","",IF(N242=_xlfn.MAXIFS($N$2:$N$5001,$B$2:$B$5001,B242,$I$2:$I$5001,I242),1,0))</f>
        <v/>
      </c>
      <c r="M242" s="16" t="str">
        <f aca="false">IF(B242="","",IF(E242="Em ajustes",IF(N242=_xlfn.MINIFS($N$2:$N$5001,$B$2:$B$5001,B242,$E$2:$E$5001,"Em ajustes"),1,0),0))</f>
        <v/>
      </c>
      <c r="N242" s="17" t="str">
        <f aca="false">IF(A242="","",IF(ISNUMBER(A242),A242,IFERROR(DATE(VALUE(MID(A242,7,4)),VALUE(MID(A242,4,2)),VALUE(MID(A242,1,2)))+TIME(VALUE(MID(A242,12,2)),VALUE(MID(A242,15,2)),VALUE(MID(A242,18,2))),"")))</f>
        <v/>
      </c>
    </row>
    <row r="243" customFormat="false" ht="15" hidden="false" customHeight="false" outlineLevel="0" collapsed="false">
      <c r="I243" s="15" t="str">
        <f aca="false">IF(N243="","",INT(N243))</f>
        <v/>
      </c>
      <c r="J243" s="16" t="str">
        <f aca="false">IF(B243="","",IF(N243=_xlfn.MINIFS($N$2:$N$5001,$B$2:$B$5001,B243),1,0))</f>
        <v/>
      </c>
      <c r="K243" s="16" t="str">
        <f aca="false">IF(B243="","",IF(AND(D243="Formalização",E243="Concluído"),IF(COUNTIFS($B$2:$B$5001,B243,$E$2:$E$5001,"Em ajustes",$N$2:$N$5001,"&lt;"&amp;I243)&gt;0,1,0),0))</f>
        <v/>
      </c>
      <c r="L243" s="16" t="str">
        <f aca="false">IF(B243="","",IF(N243=_xlfn.MAXIFS($N$2:$N$5001,$B$2:$B$5001,B243,$I$2:$I$5001,I243),1,0))</f>
        <v/>
      </c>
      <c r="M243" s="16" t="str">
        <f aca="false">IF(B243="","",IF(E243="Em ajustes",IF(N243=_xlfn.MINIFS($N$2:$N$5001,$B$2:$B$5001,B243,$E$2:$E$5001,"Em ajustes"),1,0),0))</f>
        <v/>
      </c>
      <c r="N243" s="17" t="str">
        <f aca="false">IF(A243="","",IF(ISNUMBER(A243),A243,IFERROR(DATE(VALUE(MID(A243,7,4)),VALUE(MID(A243,4,2)),VALUE(MID(A243,1,2)))+TIME(VALUE(MID(A243,12,2)),VALUE(MID(A243,15,2)),VALUE(MID(A243,18,2))),"")))</f>
        <v/>
      </c>
    </row>
    <row r="244" customFormat="false" ht="15" hidden="false" customHeight="false" outlineLevel="0" collapsed="false">
      <c r="I244" s="15" t="str">
        <f aca="false">IF(N244="","",INT(N244))</f>
        <v/>
      </c>
      <c r="J244" s="16" t="str">
        <f aca="false">IF(B244="","",IF(N244=_xlfn.MINIFS($N$2:$N$5001,$B$2:$B$5001,B244),1,0))</f>
        <v/>
      </c>
      <c r="K244" s="16" t="str">
        <f aca="false">IF(B244="","",IF(AND(D244="Formalização",E244="Concluído"),IF(COUNTIFS($B$2:$B$5001,B244,$E$2:$E$5001,"Em ajustes",$N$2:$N$5001,"&lt;"&amp;I244)&gt;0,1,0),0))</f>
        <v/>
      </c>
      <c r="L244" s="16" t="str">
        <f aca="false">IF(B244="","",IF(N244=_xlfn.MAXIFS($N$2:$N$5001,$B$2:$B$5001,B244,$I$2:$I$5001,I244),1,0))</f>
        <v/>
      </c>
      <c r="M244" s="16" t="str">
        <f aca="false">IF(B244="","",IF(E244="Em ajustes",IF(N244=_xlfn.MINIFS($N$2:$N$5001,$B$2:$B$5001,B244,$E$2:$E$5001,"Em ajustes"),1,0),0))</f>
        <v/>
      </c>
      <c r="N244" s="17" t="str">
        <f aca="false">IF(A244="","",IF(ISNUMBER(A244),A244,IFERROR(DATE(VALUE(MID(A244,7,4)),VALUE(MID(A244,4,2)),VALUE(MID(A244,1,2)))+TIME(VALUE(MID(A244,12,2)),VALUE(MID(A244,15,2)),VALUE(MID(A244,18,2))),"")))</f>
        <v/>
      </c>
    </row>
    <row r="245" customFormat="false" ht="15" hidden="false" customHeight="false" outlineLevel="0" collapsed="false">
      <c r="I245" s="15" t="str">
        <f aca="false">IF(N245="","",INT(N245))</f>
        <v/>
      </c>
      <c r="J245" s="16" t="str">
        <f aca="false">IF(B245="","",IF(N245=_xlfn.MINIFS($N$2:$N$5001,$B$2:$B$5001,B245),1,0))</f>
        <v/>
      </c>
      <c r="K245" s="16" t="str">
        <f aca="false">IF(B245="","",IF(AND(D245="Formalização",E245="Concluído"),IF(COUNTIFS($B$2:$B$5001,B245,$E$2:$E$5001,"Em ajustes",$N$2:$N$5001,"&lt;"&amp;I245)&gt;0,1,0),0))</f>
        <v/>
      </c>
      <c r="L245" s="16" t="str">
        <f aca="false">IF(B245="","",IF(N245=_xlfn.MAXIFS($N$2:$N$5001,$B$2:$B$5001,B245,$I$2:$I$5001,I245),1,0))</f>
        <v/>
      </c>
      <c r="M245" s="16" t="str">
        <f aca="false">IF(B245="","",IF(E245="Em ajustes",IF(N245=_xlfn.MINIFS($N$2:$N$5001,$B$2:$B$5001,B245,$E$2:$E$5001,"Em ajustes"),1,0),0))</f>
        <v/>
      </c>
      <c r="N245" s="17" t="str">
        <f aca="false">IF(A245="","",IF(ISNUMBER(A245),A245,IFERROR(DATE(VALUE(MID(A245,7,4)),VALUE(MID(A245,4,2)),VALUE(MID(A245,1,2)))+TIME(VALUE(MID(A245,12,2)),VALUE(MID(A245,15,2)),VALUE(MID(A245,18,2))),"")))</f>
        <v/>
      </c>
    </row>
    <row r="246" customFormat="false" ht="15" hidden="false" customHeight="false" outlineLevel="0" collapsed="false">
      <c r="I246" s="15" t="str">
        <f aca="false">IF(N246="","",INT(N246))</f>
        <v/>
      </c>
      <c r="J246" s="16" t="str">
        <f aca="false">IF(B246="","",IF(N246=_xlfn.MINIFS($N$2:$N$5001,$B$2:$B$5001,B246),1,0))</f>
        <v/>
      </c>
      <c r="K246" s="16" t="str">
        <f aca="false">IF(B246="","",IF(AND(D246="Formalização",E246="Concluído"),IF(COUNTIFS($B$2:$B$5001,B246,$E$2:$E$5001,"Em ajustes",$N$2:$N$5001,"&lt;"&amp;I246)&gt;0,1,0),0))</f>
        <v/>
      </c>
      <c r="L246" s="16" t="str">
        <f aca="false">IF(B246="","",IF(N246=_xlfn.MAXIFS($N$2:$N$5001,$B$2:$B$5001,B246,$I$2:$I$5001,I246),1,0))</f>
        <v/>
      </c>
      <c r="M246" s="16" t="str">
        <f aca="false">IF(B246="","",IF(E246="Em ajustes",IF(N246=_xlfn.MINIFS($N$2:$N$5001,$B$2:$B$5001,B246,$E$2:$E$5001,"Em ajustes"),1,0),0))</f>
        <v/>
      </c>
      <c r="N246" s="17" t="str">
        <f aca="false">IF(A246="","",IF(ISNUMBER(A246),A246,IFERROR(DATE(VALUE(MID(A246,7,4)),VALUE(MID(A246,4,2)),VALUE(MID(A246,1,2)))+TIME(VALUE(MID(A246,12,2)),VALUE(MID(A246,15,2)),VALUE(MID(A246,18,2))),"")))</f>
        <v/>
      </c>
    </row>
    <row r="247" customFormat="false" ht="15" hidden="false" customHeight="false" outlineLevel="0" collapsed="false">
      <c r="I247" s="15" t="str">
        <f aca="false">IF(N247="","",INT(N247))</f>
        <v/>
      </c>
      <c r="J247" s="16" t="str">
        <f aca="false">IF(B247="","",IF(N247=_xlfn.MINIFS($N$2:$N$5001,$B$2:$B$5001,B247),1,0))</f>
        <v/>
      </c>
      <c r="K247" s="16" t="str">
        <f aca="false">IF(B247="","",IF(AND(D247="Formalização",E247="Concluído"),IF(COUNTIFS($B$2:$B$5001,B247,$E$2:$E$5001,"Em ajustes",$N$2:$N$5001,"&lt;"&amp;I247)&gt;0,1,0),0))</f>
        <v/>
      </c>
      <c r="L247" s="16" t="str">
        <f aca="false">IF(B247="","",IF(N247=_xlfn.MAXIFS($N$2:$N$5001,$B$2:$B$5001,B247,$I$2:$I$5001,I247),1,0))</f>
        <v/>
      </c>
      <c r="M247" s="16" t="str">
        <f aca="false">IF(B247="","",IF(E247="Em ajustes",IF(N247=_xlfn.MINIFS($N$2:$N$5001,$B$2:$B$5001,B247,$E$2:$E$5001,"Em ajustes"),1,0),0))</f>
        <v/>
      </c>
      <c r="N247" s="17" t="str">
        <f aca="false">IF(A247="","",IF(ISNUMBER(A247),A247,IFERROR(DATE(VALUE(MID(A247,7,4)),VALUE(MID(A247,4,2)),VALUE(MID(A247,1,2)))+TIME(VALUE(MID(A247,12,2)),VALUE(MID(A247,15,2)),VALUE(MID(A247,18,2))),"")))</f>
        <v/>
      </c>
    </row>
    <row r="248" customFormat="false" ht="15" hidden="false" customHeight="false" outlineLevel="0" collapsed="false">
      <c r="I248" s="15" t="str">
        <f aca="false">IF(N248="","",INT(N248))</f>
        <v/>
      </c>
      <c r="J248" s="16" t="str">
        <f aca="false">IF(B248="","",IF(N248=_xlfn.MINIFS($N$2:$N$5001,$B$2:$B$5001,B248),1,0))</f>
        <v/>
      </c>
      <c r="K248" s="16" t="str">
        <f aca="false">IF(B248="","",IF(AND(D248="Formalização",E248="Concluído"),IF(COUNTIFS($B$2:$B$5001,B248,$E$2:$E$5001,"Em ajustes",$N$2:$N$5001,"&lt;"&amp;I248)&gt;0,1,0),0))</f>
        <v/>
      </c>
      <c r="L248" s="16" t="str">
        <f aca="false">IF(B248="","",IF(N248=_xlfn.MAXIFS($N$2:$N$5001,$B$2:$B$5001,B248,$I$2:$I$5001,I248),1,0))</f>
        <v/>
      </c>
      <c r="M248" s="16" t="str">
        <f aca="false">IF(B248="","",IF(E248="Em ajustes",IF(N248=_xlfn.MINIFS($N$2:$N$5001,$B$2:$B$5001,B248,$E$2:$E$5001,"Em ajustes"),1,0),0))</f>
        <v/>
      </c>
      <c r="N248" s="17" t="str">
        <f aca="false">IF(A248="","",IF(ISNUMBER(A248),A248,IFERROR(DATE(VALUE(MID(A248,7,4)),VALUE(MID(A248,4,2)),VALUE(MID(A248,1,2)))+TIME(VALUE(MID(A248,12,2)),VALUE(MID(A248,15,2)),VALUE(MID(A248,18,2))),"")))</f>
        <v/>
      </c>
    </row>
    <row r="249" customFormat="false" ht="15" hidden="false" customHeight="false" outlineLevel="0" collapsed="false">
      <c r="I249" s="15" t="str">
        <f aca="false">IF(N249="","",INT(N249))</f>
        <v/>
      </c>
      <c r="J249" s="16" t="str">
        <f aca="false">IF(B249="","",IF(N249=_xlfn.MINIFS($N$2:$N$5001,$B$2:$B$5001,B249),1,0))</f>
        <v/>
      </c>
      <c r="K249" s="16" t="str">
        <f aca="false">IF(B249="","",IF(AND(D249="Formalização",E249="Concluído"),IF(COUNTIFS($B$2:$B$5001,B249,$E$2:$E$5001,"Em ajustes",$N$2:$N$5001,"&lt;"&amp;I249)&gt;0,1,0),0))</f>
        <v/>
      </c>
      <c r="L249" s="16" t="str">
        <f aca="false">IF(B249="","",IF(N249=_xlfn.MAXIFS($N$2:$N$5001,$B$2:$B$5001,B249,$I$2:$I$5001,I249),1,0))</f>
        <v/>
      </c>
      <c r="M249" s="16" t="str">
        <f aca="false">IF(B249="","",IF(E249="Em ajustes",IF(N249=_xlfn.MINIFS($N$2:$N$5001,$B$2:$B$5001,B249,$E$2:$E$5001,"Em ajustes"),1,0),0))</f>
        <v/>
      </c>
      <c r="N249" s="17" t="str">
        <f aca="false">IF(A249="","",IF(ISNUMBER(A249),A249,IFERROR(DATE(VALUE(MID(A249,7,4)),VALUE(MID(A249,4,2)),VALUE(MID(A249,1,2)))+TIME(VALUE(MID(A249,12,2)),VALUE(MID(A249,15,2)),VALUE(MID(A249,18,2))),"")))</f>
        <v/>
      </c>
    </row>
    <row r="250" customFormat="false" ht="15" hidden="false" customHeight="false" outlineLevel="0" collapsed="false">
      <c r="I250" s="15" t="str">
        <f aca="false">IF(N250="","",INT(N250))</f>
        <v/>
      </c>
      <c r="J250" s="16" t="str">
        <f aca="false">IF(B250="","",IF(N250=_xlfn.MINIFS($N$2:$N$5001,$B$2:$B$5001,B250),1,0))</f>
        <v/>
      </c>
      <c r="K250" s="16" t="str">
        <f aca="false">IF(B250="","",IF(AND(D250="Formalização",E250="Concluído"),IF(COUNTIFS($B$2:$B$5001,B250,$E$2:$E$5001,"Em ajustes",$N$2:$N$5001,"&lt;"&amp;I250)&gt;0,1,0),0))</f>
        <v/>
      </c>
      <c r="L250" s="16" t="str">
        <f aca="false">IF(B250="","",IF(N250=_xlfn.MAXIFS($N$2:$N$5001,$B$2:$B$5001,B250,$I$2:$I$5001,I250),1,0))</f>
        <v/>
      </c>
      <c r="M250" s="16" t="str">
        <f aca="false">IF(B250="","",IF(E250="Em ajustes",IF(N250=_xlfn.MINIFS($N$2:$N$5001,$B$2:$B$5001,B250,$E$2:$E$5001,"Em ajustes"),1,0),0))</f>
        <v/>
      </c>
      <c r="N250" s="17" t="str">
        <f aca="false">IF(A250="","",IF(ISNUMBER(A250),A250,IFERROR(DATE(VALUE(MID(A250,7,4)),VALUE(MID(A250,4,2)),VALUE(MID(A250,1,2)))+TIME(VALUE(MID(A250,12,2)),VALUE(MID(A250,15,2)),VALUE(MID(A250,18,2))),"")))</f>
        <v/>
      </c>
    </row>
    <row r="251" customFormat="false" ht="15" hidden="false" customHeight="false" outlineLevel="0" collapsed="false">
      <c r="I251" s="15" t="str">
        <f aca="false">IF(N251="","",INT(N251))</f>
        <v/>
      </c>
      <c r="J251" s="16" t="str">
        <f aca="false">IF(B251="","",IF(N251=_xlfn.MINIFS($N$2:$N$5001,$B$2:$B$5001,B251),1,0))</f>
        <v/>
      </c>
      <c r="K251" s="16" t="str">
        <f aca="false">IF(B251="","",IF(AND(D251="Formalização",E251="Concluído"),IF(COUNTIFS($B$2:$B$5001,B251,$E$2:$E$5001,"Em ajustes",$N$2:$N$5001,"&lt;"&amp;I251)&gt;0,1,0),0))</f>
        <v/>
      </c>
      <c r="L251" s="16" t="str">
        <f aca="false">IF(B251="","",IF(N251=_xlfn.MAXIFS($N$2:$N$5001,$B$2:$B$5001,B251,$I$2:$I$5001,I251),1,0))</f>
        <v/>
      </c>
      <c r="M251" s="16" t="str">
        <f aca="false">IF(B251="","",IF(E251="Em ajustes",IF(N251=_xlfn.MINIFS($N$2:$N$5001,$B$2:$B$5001,B251,$E$2:$E$5001,"Em ajustes"),1,0),0))</f>
        <v/>
      </c>
      <c r="N251" s="17" t="str">
        <f aca="false">IF(A251="","",IF(ISNUMBER(A251),A251,IFERROR(DATE(VALUE(MID(A251,7,4)),VALUE(MID(A251,4,2)),VALUE(MID(A251,1,2)))+TIME(VALUE(MID(A251,12,2)),VALUE(MID(A251,15,2)),VALUE(MID(A251,18,2))),"")))</f>
        <v/>
      </c>
    </row>
    <row r="252" customFormat="false" ht="15" hidden="false" customHeight="false" outlineLevel="0" collapsed="false">
      <c r="I252" s="15" t="str">
        <f aca="false">IF(N252="","",INT(N252))</f>
        <v/>
      </c>
      <c r="J252" s="16" t="str">
        <f aca="false">IF(B252="","",IF(N252=_xlfn.MINIFS($N$2:$N$5001,$B$2:$B$5001,B252),1,0))</f>
        <v/>
      </c>
      <c r="K252" s="16" t="str">
        <f aca="false">IF(B252="","",IF(AND(D252="Formalização",E252="Concluído"),IF(COUNTIFS($B$2:$B$5001,B252,$E$2:$E$5001,"Em ajustes",$N$2:$N$5001,"&lt;"&amp;I252)&gt;0,1,0),0))</f>
        <v/>
      </c>
      <c r="L252" s="16" t="str">
        <f aca="false">IF(B252="","",IF(N252=_xlfn.MAXIFS($N$2:$N$5001,$B$2:$B$5001,B252,$I$2:$I$5001,I252),1,0))</f>
        <v/>
      </c>
      <c r="M252" s="16" t="str">
        <f aca="false">IF(B252="","",IF(E252="Em ajustes",IF(N252=_xlfn.MINIFS($N$2:$N$5001,$B$2:$B$5001,B252,$E$2:$E$5001,"Em ajustes"),1,0),0))</f>
        <v/>
      </c>
      <c r="N252" s="17" t="str">
        <f aca="false">IF(A252="","",IF(ISNUMBER(A252),A252,IFERROR(DATE(VALUE(MID(A252,7,4)),VALUE(MID(A252,4,2)),VALUE(MID(A252,1,2)))+TIME(VALUE(MID(A252,12,2)),VALUE(MID(A252,15,2)),VALUE(MID(A252,18,2))),"")))</f>
        <v/>
      </c>
    </row>
    <row r="253" customFormat="false" ht="15" hidden="false" customHeight="false" outlineLevel="0" collapsed="false">
      <c r="I253" s="15" t="str">
        <f aca="false">IF(N253="","",INT(N253))</f>
        <v/>
      </c>
      <c r="J253" s="16" t="str">
        <f aca="false">IF(B253="","",IF(N253=_xlfn.MINIFS($N$2:$N$5001,$B$2:$B$5001,B253),1,0))</f>
        <v/>
      </c>
      <c r="K253" s="16" t="str">
        <f aca="false">IF(B253="","",IF(AND(D253="Formalização",E253="Concluído"),IF(COUNTIFS($B$2:$B$5001,B253,$E$2:$E$5001,"Em ajustes",$N$2:$N$5001,"&lt;"&amp;I253)&gt;0,1,0),0))</f>
        <v/>
      </c>
      <c r="L253" s="16" t="str">
        <f aca="false">IF(B253="","",IF(N253=_xlfn.MAXIFS($N$2:$N$5001,$B$2:$B$5001,B253,$I$2:$I$5001,I253),1,0))</f>
        <v/>
      </c>
      <c r="M253" s="16" t="str">
        <f aca="false">IF(B253="","",IF(E253="Em ajustes",IF(N253=_xlfn.MINIFS($N$2:$N$5001,$B$2:$B$5001,B253,$E$2:$E$5001,"Em ajustes"),1,0),0))</f>
        <v/>
      </c>
      <c r="N253" s="17" t="str">
        <f aca="false">IF(A253="","",IF(ISNUMBER(A253),A253,IFERROR(DATE(VALUE(MID(A253,7,4)),VALUE(MID(A253,4,2)),VALUE(MID(A253,1,2)))+TIME(VALUE(MID(A253,12,2)),VALUE(MID(A253,15,2)),VALUE(MID(A253,18,2))),"")))</f>
        <v/>
      </c>
    </row>
    <row r="254" customFormat="false" ht="15" hidden="false" customHeight="false" outlineLevel="0" collapsed="false">
      <c r="I254" s="15" t="str">
        <f aca="false">IF(N254="","",INT(N254))</f>
        <v/>
      </c>
      <c r="J254" s="16" t="str">
        <f aca="false">IF(B254="","",IF(N254=_xlfn.MINIFS($N$2:$N$5001,$B$2:$B$5001,B254),1,0))</f>
        <v/>
      </c>
      <c r="K254" s="16" t="str">
        <f aca="false">IF(B254="","",IF(AND(D254="Formalização",E254="Concluído"),IF(COUNTIFS($B$2:$B$5001,B254,$E$2:$E$5001,"Em ajustes",$N$2:$N$5001,"&lt;"&amp;I254)&gt;0,1,0),0))</f>
        <v/>
      </c>
      <c r="L254" s="16" t="str">
        <f aca="false">IF(B254="","",IF(N254=_xlfn.MAXIFS($N$2:$N$5001,$B$2:$B$5001,B254,$I$2:$I$5001,I254),1,0))</f>
        <v/>
      </c>
      <c r="M254" s="16" t="str">
        <f aca="false">IF(B254="","",IF(E254="Em ajustes",IF(N254=_xlfn.MINIFS($N$2:$N$5001,$B$2:$B$5001,B254,$E$2:$E$5001,"Em ajustes"),1,0),0))</f>
        <v/>
      </c>
      <c r="N254" s="17" t="str">
        <f aca="false">IF(A254="","",IF(ISNUMBER(A254),A254,IFERROR(DATE(VALUE(MID(A254,7,4)),VALUE(MID(A254,4,2)),VALUE(MID(A254,1,2)))+TIME(VALUE(MID(A254,12,2)),VALUE(MID(A254,15,2)),VALUE(MID(A254,18,2))),"")))</f>
        <v/>
      </c>
    </row>
    <row r="255" customFormat="false" ht="15" hidden="false" customHeight="false" outlineLevel="0" collapsed="false">
      <c r="I255" s="15" t="str">
        <f aca="false">IF(N255="","",INT(N255))</f>
        <v/>
      </c>
      <c r="J255" s="16" t="str">
        <f aca="false">IF(B255="","",IF(N255=_xlfn.MINIFS($N$2:$N$5001,$B$2:$B$5001,B255),1,0))</f>
        <v/>
      </c>
      <c r="K255" s="16" t="str">
        <f aca="false">IF(B255="","",IF(AND(D255="Formalização",E255="Concluído"),IF(COUNTIFS($B$2:$B$5001,B255,$E$2:$E$5001,"Em ajustes",$N$2:$N$5001,"&lt;"&amp;I255)&gt;0,1,0),0))</f>
        <v/>
      </c>
      <c r="L255" s="16" t="str">
        <f aca="false">IF(B255="","",IF(N255=_xlfn.MAXIFS($N$2:$N$5001,$B$2:$B$5001,B255,$I$2:$I$5001,I255),1,0))</f>
        <v/>
      </c>
      <c r="M255" s="16" t="str">
        <f aca="false">IF(B255="","",IF(E255="Em ajustes",IF(N255=_xlfn.MINIFS($N$2:$N$5001,$B$2:$B$5001,B255,$E$2:$E$5001,"Em ajustes"),1,0),0))</f>
        <v/>
      </c>
      <c r="N255" s="17" t="str">
        <f aca="false">IF(A255="","",IF(ISNUMBER(A255),A255,IFERROR(DATE(VALUE(MID(A255,7,4)),VALUE(MID(A255,4,2)),VALUE(MID(A255,1,2)))+TIME(VALUE(MID(A255,12,2)),VALUE(MID(A255,15,2)),VALUE(MID(A255,18,2))),"")))</f>
        <v/>
      </c>
    </row>
    <row r="256" customFormat="false" ht="15" hidden="false" customHeight="false" outlineLevel="0" collapsed="false">
      <c r="I256" s="15" t="str">
        <f aca="false">IF(N256="","",INT(N256))</f>
        <v/>
      </c>
      <c r="J256" s="16" t="str">
        <f aca="false">IF(B256="","",IF(N256=_xlfn.MINIFS($N$2:$N$5001,$B$2:$B$5001,B256),1,0))</f>
        <v/>
      </c>
      <c r="K256" s="16" t="str">
        <f aca="false">IF(B256="","",IF(AND(D256="Formalização",E256="Concluído"),IF(COUNTIFS($B$2:$B$5001,B256,$E$2:$E$5001,"Em ajustes",$N$2:$N$5001,"&lt;"&amp;I256)&gt;0,1,0),0))</f>
        <v/>
      </c>
      <c r="L256" s="16" t="str">
        <f aca="false">IF(B256="","",IF(N256=_xlfn.MAXIFS($N$2:$N$5001,$B$2:$B$5001,B256,$I$2:$I$5001,I256),1,0))</f>
        <v/>
      </c>
      <c r="M256" s="16" t="str">
        <f aca="false">IF(B256="","",IF(E256="Em ajustes",IF(N256=_xlfn.MINIFS($N$2:$N$5001,$B$2:$B$5001,B256,$E$2:$E$5001,"Em ajustes"),1,0),0))</f>
        <v/>
      </c>
      <c r="N256" s="17" t="str">
        <f aca="false">IF(A256="","",IF(ISNUMBER(A256),A256,IFERROR(DATE(VALUE(MID(A256,7,4)),VALUE(MID(A256,4,2)),VALUE(MID(A256,1,2)))+TIME(VALUE(MID(A256,12,2)),VALUE(MID(A256,15,2)),VALUE(MID(A256,18,2))),"")))</f>
        <v/>
      </c>
    </row>
    <row r="257" customFormat="false" ht="15" hidden="false" customHeight="false" outlineLevel="0" collapsed="false">
      <c r="I257" s="15" t="str">
        <f aca="false">IF(N257="","",INT(N257))</f>
        <v/>
      </c>
      <c r="J257" s="16" t="str">
        <f aca="false">IF(B257="","",IF(N257=_xlfn.MINIFS($N$2:$N$5001,$B$2:$B$5001,B257),1,0))</f>
        <v/>
      </c>
      <c r="K257" s="16" t="str">
        <f aca="false">IF(B257="","",IF(AND(D257="Formalização",E257="Concluído"),IF(COUNTIFS($B$2:$B$5001,B257,$E$2:$E$5001,"Em ajustes",$N$2:$N$5001,"&lt;"&amp;I257)&gt;0,1,0),0))</f>
        <v/>
      </c>
      <c r="L257" s="16" t="str">
        <f aca="false">IF(B257="","",IF(N257=_xlfn.MAXIFS($N$2:$N$5001,$B$2:$B$5001,B257,$I$2:$I$5001,I257),1,0))</f>
        <v/>
      </c>
      <c r="M257" s="16" t="str">
        <f aca="false">IF(B257="","",IF(E257="Em ajustes",IF(N257=_xlfn.MINIFS($N$2:$N$5001,$B$2:$B$5001,B257,$E$2:$E$5001,"Em ajustes"),1,0),0))</f>
        <v/>
      </c>
      <c r="N257" s="17" t="str">
        <f aca="false">IF(A257="","",IF(ISNUMBER(A257),A257,IFERROR(DATE(VALUE(MID(A257,7,4)),VALUE(MID(A257,4,2)),VALUE(MID(A257,1,2)))+TIME(VALUE(MID(A257,12,2)),VALUE(MID(A257,15,2)),VALUE(MID(A257,18,2))),"")))</f>
        <v/>
      </c>
    </row>
    <row r="258" customFormat="false" ht="15" hidden="false" customHeight="false" outlineLevel="0" collapsed="false">
      <c r="I258" s="15" t="str">
        <f aca="false">IF(N258="","",INT(N258))</f>
        <v/>
      </c>
      <c r="J258" s="16" t="str">
        <f aca="false">IF(B258="","",IF(N258=_xlfn.MINIFS($N$2:$N$5001,$B$2:$B$5001,B258),1,0))</f>
        <v/>
      </c>
      <c r="K258" s="16" t="str">
        <f aca="false">IF(B258="","",IF(AND(D258="Formalização",E258="Concluído"),IF(COUNTIFS($B$2:$B$5001,B258,$E$2:$E$5001,"Em ajustes",$N$2:$N$5001,"&lt;"&amp;I258)&gt;0,1,0),0))</f>
        <v/>
      </c>
      <c r="L258" s="16" t="str">
        <f aca="false">IF(B258="","",IF(N258=_xlfn.MAXIFS($N$2:$N$5001,$B$2:$B$5001,B258,$I$2:$I$5001,I258),1,0))</f>
        <v/>
      </c>
      <c r="M258" s="16" t="str">
        <f aca="false">IF(B258="","",IF(E258="Em ajustes",IF(N258=_xlfn.MINIFS($N$2:$N$5001,$B$2:$B$5001,B258,$E$2:$E$5001,"Em ajustes"),1,0),0))</f>
        <v/>
      </c>
      <c r="N258" s="17" t="str">
        <f aca="false">IF(A258="","",IF(ISNUMBER(A258),A258,IFERROR(DATE(VALUE(MID(A258,7,4)),VALUE(MID(A258,4,2)),VALUE(MID(A258,1,2)))+TIME(VALUE(MID(A258,12,2)),VALUE(MID(A258,15,2)),VALUE(MID(A258,18,2))),"")))</f>
        <v/>
      </c>
    </row>
    <row r="259" customFormat="false" ht="15" hidden="false" customHeight="false" outlineLevel="0" collapsed="false">
      <c r="I259" s="15" t="str">
        <f aca="false">IF(N259="","",INT(N259))</f>
        <v/>
      </c>
      <c r="J259" s="16" t="str">
        <f aca="false">IF(B259="","",IF(N259=_xlfn.MINIFS($N$2:$N$5001,$B$2:$B$5001,B259),1,0))</f>
        <v/>
      </c>
      <c r="K259" s="16" t="str">
        <f aca="false">IF(B259="","",IF(AND(D259="Formalização",E259="Concluído"),IF(COUNTIFS($B$2:$B$5001,B259,$E$2:$E$5001,"Em ajustes",$N$2:$N$5001,"&lt;"&amp;I259)&gt;0,1,0),0))</f>
        <v/>
      </c>
      <c r="L259" s="16" t="str">
        <f aca="false">IF(B259="","",IF(N259=_xlfn.MAXIFS($N$2:$N$5001,$B$2:$B$5001,B259,$I$2:$I$5001,I259),1,0))</f>
        <v/>
      </c>
      <c r="M259" s="16" t="str">
        <f aca="false">IF(B259="","",IF(E259="Em ajustes",IF(N259=_xlfn.MINIFS($N$2:$N$5001,$B$2:$B$5001,B259,$E$2:$E$5001,"Em ajustes"),1,0),0))</f>
        <v/>
      </c>
      <c r="N259" s="17" t="str">
        <f aca="false">IF(A259="","",IF(ISNUMBER(A259),A259,IFERROR(DATE(VALUE(MID(A259,7,4)),VALUE(MID(A259,4,2)),VALUE(MID(A259,1,2)))+TIME(VALUE(MID(A259,12,2)),VALUE(MID(A259,15,2)),VALUE(MID(A259,18,2))),"")))</f>
        <v/>
      </c>
    </row>
    <row r="260" customFormat="false" ht="15" hidden="false" customHeight="false" outlineLevel="0" collapsed="false">
      <c r="I260" s="15" t="str">
        <f aca="false">IF(N260="","",INT(N260))</f>
        <v/>
      </c>
      <c r="J260" s="16" t="str">
        <f aca="false">IF(B260="","",IF(N260=_xlfn.MINIFS($N$2:$N$5001,$B$2:$B$5001,B260),1,0))</f>
        <v/>
      </c>
      <c r="K260" s="16" t="str">
        <f aca="false">IF(B260="","",IF(AND(D260="Formalização",E260="Concluído"),IF(COUNTIFS($B$2:$B$5001,B260,$E$2:$E$5001,"Em ajustes",$N$2:$N$5001,"&lt;"&amp;I260)&gt;0,1,0),0))</f>
        <v/>
      </c>
      <c r="L260" s="16" t="str">
        <f aca="false">IF(B260="","",IF(N260=_xlfn.MAXIFS($N$2:$N$5001,$B$2:$B$5001,B260,$I$2:$I$5001,I260),1,0))</f>
        <v/>
      </c>
      <c r="M260" s="16" t="str">
        <f aca="false">IF(B260="","",IF(E260="Em ajustes",IF(N260=_xlfn.MINIFS($N$2:$N$5001,$B$2:$B$5001,B260,$E$2:$E$5001,"Em ajustes"),1,0),0))</f>
        <v/>
      </c>
      <c r="N260" s="17" t="str">
        <f aca="false">IF(A260="","",IF(ISNUMBER(A260),A260,IFERROR(DATE(VALUE(MID(A260,7,4)),VALUE(MID(A260,4,2)),VALUE(MID(A260,1,2)))+TIME(VALUE(MID(A260,12,2)),VALUE(MID(A260,15,2)),VALUE(MID(A260,18,2))),"")))</f>
        <v/>
      </c>
    </row>
    <row r="261" customFormat="false" ht="15" hidden="false" customHeight="false" outlineLevel="0" collapsed="false">
      <c r="I261" s="15" t="str">
        <f aca="false">IF(N261="","",INT(N261))</f>
        <v/>
      </c>
      <c r="J261" s="16" t="str">
        <f aca="false">IF(B261="","",IF(N261=_xlfn.MINIFS($N$2:$N$5001,$B$2:$B$5001,B261),1,0))</f>
        <v/>
      </c>
      <c r="K261" s="16" t="str">
        <f aca="false">IF(B261="","",IF(AND(D261="Formalização",E261="Concluído"),IF(COUNTIFS($B$2:$B$5001,B261,$E$2:$E$5001,"Em ajustes",$N$2:$N$5001,"&lt;"&amp;I261)&gt;0,1,0),0))</f>
        <v/>
      </c>
      <c r="L261" s="16" t="str">
        <f aca="false">IF(B261="","",IF(N261=_xlfn.MAXIFS($N$2:$N$5001,$B$2:$B$5001,B261,$I$2:$I$5001,I261),1,0))</f>
        <v/>
      </c>
      <c r="M261" s="16" t="str">
        <f aca="false">IF(B261="","",IF(E261="Em ajustes",IF(N261=_xlfn.MINIFS($N$2:$N$5001,$B$2:$B$5001,B261,$E$2:$E$5001,"Em ajustes"),1,0),0))</f>
        <v/>
      </c>
      <c r="N261" s="17" t="str">
        <f aca="false">IF(A261="","",IF(ISNUMBER(A261),A261,IFERROR(DATE(VALUE(MID(A261,7,4)),VALUE(MID(A261,4,2)),VALUE(MID(A261,1,2)))+TIME(VALUE(MID(A261,12,2)),VALUE(MID(A261,15,2)),VALUE(MID(A261,18,2))),"")))</f>
        <v/>
      </c>
    </row>
    <row r="262" customFormat="false" ht="15" hidden="false" customHeight="false" outlineLevel="0" collapsed="false">
      <c r="I262" s="15" t="str">
        <f aca="false">IF(N262="","",INT(N262))</f>
        <v/>
      </c>
      <c r="J262" s="16" t="str">
        <f aca="false">IF(B262="","",IF(N262=_xlfn.MINIFS($N$2:$N$5001,$B$2:$B$5001,B262),1,0))</f>
        <v/>
      </c>
      <c r="K262" s="16" t="str">
        <f aca="false">IF(B262="","",IF(AND(D262="Formalização",E262="Concluído"),IF(COUNTIFS($B$2:$B$5001,B262,$E$2:$E$5001,"Em ajustes",$N$2:$N$5001,"&lt;"&amp;I262)&gt;0,1,0),0))</f>
        <v/>
      </c>
      <c r="L262" s="16" t="str">
        <f aca="false">IF(B262="","",IF(N262=_xlfn.MAXIFS($N$2:$N$5001,$B$2:$B$5001,B262,$I$2:$I$5001,I262),1,0))</f>
        <v/>
      </c>
      <c r="M262" s="16" t="str">
        <f aca="false">IF(B262="","",IF(E262="Em ajustes",IF(N262=_xlfn.MINIFS($N$2:$N$5001,$B$2:$B$5001,B262,$E$2:$E$5001,"Em ajustes"),1,0),0))</f>
        <v/>
      </c>
      <c r="N262" s="17" t="str">
        <f aca="false">IF(A262="","",IF(ISNUMBER(A262),A262,IFERROR(DATE(VALUE(MID(A262,7,4)),VALUE(MID(A262,4,2)),VALUE(MID(A262,1,2)))+TIME(VALUE(MID(A262,12,2)),VALUE(MID(A262,15,2)),VALUE(MID(A262,18,2))),"")))</f>
        <v/>
      </c>
    </row>
    <row r="263" customFormat="false" ht="15" hidden="false" customHeight="false" outlineLevel="0" collapsed="false">
      <c r="I263" s="15" t="str">
        <f aca="false">IF(N263="","",INT(N263))</f>
        <v/>
      </c>
      <c r="J263" s="16" t="str">
        <f aca="false">IF(B263="","",IF(N263=_xlfn.MINIFS($N$2:$N$5001,$B$2:$B$5001,B263),1,0))</f>
        <v/>
      </c>
      <c r="K263" s="16" t="str">
        <f aca="false">IF(B263="","",IF(AND(D263="Formalização",E263="Concluído"),IF(COUNTIFS($B$2:$B$5001,B263,$E$2:$E$5001,"Em ajustes",$N$2:$N$5001,"&lt;"&amp;I263)&gt;0,1,0),0))</f>
        <v/>
      </c>
      <c r="L263" s="16" t="str">
        <f aca="false">IF(B263="","",IF(N263=_xlfn.MAXIFS($N$2:$N$5001,$B$2:$B$5001,B263,$I$2:$I$5001,I263),1,0))</f>
        <v/>
      </c>
      <c r="M263" s="16" t="str">
        <f aca="false">IF(B263="","",IF(E263="Em ajustes",IF(N263=_xlfn.MINIFS($N$2:$N$5001,$B$2:$B$5001,B263,$E$2:$E$5001,"Em ajustes"),1,0),0))</f>
        <v/>
      </c>
      <c r="N263" s="17" t="str">
        <f aca="false">IF(A263="","",IF(ISNUMBER(A263),A263,IFERROR(DATE(VALUE(MID(A263,7,4)),VALUE(MID(A263,4,2)),VALUE(MID(A263,1,2)))+TIME(VALUE(MID(A263,12,2)),VALUE(MID(A263,15,2)),VALUE(MID(A263,18,2))),"")))</f>
        <v/>
      </c>
    </row>
    <row r="264" customFormat="false" ht="15" hidden="false" customHeight="false" outlineLevel="0" collapsed="false">
      <c r="I264" s="15" t="str">
        <f aca="false">IF(N264="","",INT(N264))</f>
        <v/>
      </c>
      <c r="J264" s="16" t="str">
        <f aca="false">IF(B264="","",IF(N264=_xlfn.MINIFS($N$2:$N$5001,$B$2:$B$5001,B264),1,0))</f>
        <v/>
      </c>
      <c r="K264" s="16" t="str">
        <f aca="false">IF(B264="","",IF(AND(D264="Formalização",E264="Concluído"),IF(COUNTIFS($B$2:$B$5001,B264,$E$2:$E$5001,"Em ajustes",$N$2:$N$5001,"&lt;"&amp;I264)&gt;0,1,0),0))</f>
        <v/>
      </c>
      <c r="L264" s="16" t="str">
        <f aca="false">IF(B264="","",IF(N264=_xlfn.MAXIFS($N$2:$N$5001,$B$2:$B$5001,B264,$I$2:$I$5001,I264),1,0))</f>
        <v/>
      </c>
      <c r="M264" s="16" t="str">
        <f aca="false">IF(B264="","",IF(E264="Em ajustes",IF(N264=_xlfn.MINIFS($N$2:$N$5001,$B$2:$B$5001,B264,$E$2:$E$5001,"Em ajustes"),1,0),0))</f>
        <v/>
      </c>
      <c r="N264" s="17" t="str">
        <f aca="false">IF(A264="","",IF(ISNUMBER(A264),A264,IFERROR(DATE(VALUE(MID(A264,7,4)),VALUE(MID(A264,4,2)),VALUE(MID(A264,1,2)))+TIME(VALUE(MID(A264,12,2)),VALUE(MID(A264,15,2)),VALUE(MID(A264,18,2))),"")))</f>
        <v/>
      </c>
    </row>
    <row r="265" customFormat="false" ht="15" hidden="false" customHeight="false" outlineLevel="0" collapsed="false">
      <c r="I265" s="15" t="str">
        <f aca="false">IF(N265="","",INT(N265))</f>
        <v/>
      </c>
      <c r="J265" s="16" t="str">
        <f aca="false">IF(B265="","",IF(N265=_xlfn.MINIFS($N$2:$N$5001,$B$2:$B$5001,B265),1,0))</f>
        <v/>
      </c>
      <c r="K265" s="16" t="str">
        <f aca="false">IF(B265="","",IF(AND(D265="Formalização",E265="Concluído"),IF(COUNTIFS($B$2:$B$5001,B265,$E$2:$E$5001,"Em ajustes",$N$2:$N$5001,"&lt;"&amp;I265)&gt;0,1,0),0))</f>
        <v/>
      </c>
      <c r="L265" s="16" t="str">
        <f aca="false">IF(B265="","",IF(N265=_xlfn.MAXIFS($N$2:$N$5001,$B$2:$B$5001,B265,$I$2:$I$5001,I265),1,0))</f>
        <v/>
      </c>
      <c r="M265" s="16" t="str">
        <f aca="false">IF(B265="","",IF(E265="Em ajustes",IF(N265=_xlfn.MINIFS($N$2:$N$5001,$B$2:$B$5001,B265,$E$2:$E$5001,"Em ajustes"),1,0),0))</f>
        <v/>
      </c>
      <c r="N265" s="17" t="str">
        <f aca="false">IF(A265="","",IF(ISNUMBER(A265),A265,IFERROR(DATE(VALUE(MID(A265,7,4)),VALUE(MID(A265,4,2)),VALUE(MID(A265,1,2)))+TIME(VALUE(MID(A265,12,2)),VALUE(MID(A265,15,2)),VALUE(MID(A265,18,2))),"")))</f>
        <v/>
      </c>
    </row>
    <row r="266" customFormat="false" ht="15" hidden="false" customHeight="false" outlineLevel="0" collapsed="false">
      <c r="I266" s="15" t="str">
        <f aca="false">IF(N266="","",INT(N266))</f>
        <v/>
      </c>
      <c r="J266" s="16" t="str">
        <f aca="false">IF(B266="","",IF(N266=_xlfn.MINIFS($N$2:$N$5001,$B$2:$B$5001,B266),1,0))</f>
        <v/>
      </c>
      <c r="K266" s="16" t="str">
        <f aca="false">IF(B266="","",IF(AND(D266="Formalização",E266="Concluído"),IF(COUNTIFS($B$2:$B$5001,B266,$E$2:$E$5001,"Em ajustes",$N$2:$N$5001,"&lt;"&amp;I266)&gt;0,1,0),0))</f>
        <v/>
      </c>
      <c r="L266" s="16" t="str">
        <f aca="false">IF(B266="","",IF(N266=_xlfn.MAXIFS($N$2:$N$5001,$B$2:$B$5001,B266,$I$2:$I$5001,I266),1,0))</f>
        <v/>
      </c>
      <c r="M266" s="16" t="str">
        <f aca="false">IF(B266="","",IF(E266="Em ajustes",IF(N266=_xlfn.MINIFS($N$2:$N$5001,$B$2:$B$5001,B266,$E$2:$E$5001,"Em ajustes"),1,0),0))</f>
        <v/>
      </c>
      <c r="N266" s="17" t="str">
        <f aca="false">IF(A266="","",IF(ISNUMBER(A266),A266,IFERROR(DATE(VALUE(MID(A266,7,4)),VALUE(MID(A266,4,2)),VALUE(MID(A266,1,2)))+TIME(VALUE(MID(A266,12,2)),VALUE(MID(A266,15,2)),VALUE(MID(A266,18,2))),"")))</f>
        <v/>
      </c>
    </row>
    <row r="267" customFormat="false" ht="15" hidden="false" customHeight="false" outlineLevel="0" collapsed="false">
      <c r="I267" s="15" t="str">
        <f aca="false">IF(N267="","",INT(N267))</f>
        <v/>
      </c>
      <c r="J267" s="16" t="str">
        <f aca="false">IF(B267="","",IF(N267=_xlfn.MINIFS($N$2:$N$5001,$B$2:$B$5001,B267),1,0))</f>
        <v/>
      </c>
      <c r="K267" s="16" t="str">
        <f aca="false">IF(B267="","",IF(AND(D267="Formalização",E267="Concluído"),IF(COUNTIFS($B$2:$B$5001,B267,$E$2:$E$5001,"Em ajustes",$N$2:$N$5001,"&lt;"&amp;I267)&gt;0,1,0),0))</f>
        <v/>
      </c>
      <c r="L267" s="16" t="str">
        <f aca="false">IF(B267="","",IF(N267=_xlfn.MAXIFS($N$2:$N$5001,$B$2:$B$5001,B267,$I$2:$I$5001,I267),1,0))</f>
        <v/>
      </c>
      <c r="M267" s="16" t="str">
        <f aca="false">IF(B267="","",IF(E267="Em ajustes",IF(N267=_xlfn.MINIFS($N$2:$N$5001,$B$2:$B$5001,B267,$E$2:$E$5001,"Em ajustes"),1,0),0))</f>
        <v/>
      </c>
      <c r="N267" s="17" t="str">
        <f aca="false">IF(A267="","",IF(ISNUMBER(A267),A267,IFERROR(DATE(VALUE(MID(A267,7,4)),VALUE(MID(A267,4,2)),VALUE(MID(A267,1,2)))+TIME(VALUE(MID(A267,12,2)),VALUE(MID(A267,15,2)),VALUE(MID(A267,18,2))),"")))</f>
        <v/>
      </c>
    </row>
    <row r="268" customFormat="false" ht="15" hidden="false" customHeight="false" outlineLevel="0" collapsed="false">
      <c r="I268" s="15" t="str">
        <f aca="false">IF(N268="","",INT(N268))</f>
        <v/>
      </c>
      <c r="J268" s="16" t="str">
        <f aca="false">IF(B268="","",IF(N268=_xlfn.MINIFS($N$2:$N$5001,$B$2:$B$5001,B268),1,0))</f>
        <v/>
      </c>
      <c r="K268" s="16" t="str">
        <f aca="false">IF(B268="","",IF(AND(D268="Formalização",E268="Concluído"),IF(COUNTIFS($B$2:$B$5001,B268,$E$2:$E$5001,"Em ajustes",$N$2:$N$5001,"&lt;"&amp;I268)&gt;0,1,0),0))</f>
        <v/>
      </c>
      <c r="L268" s="16" t="str">
        <f aca="false">IF(B268="","",IF(N268=_xlfn.MAXIFS($N$2:$N$5001,$B$2:$B$5001,B268,$I$2:$I$5001,I268),1,0))</f>
        <v/>
      </c>
      <c r="M268" s="16" t="str">
        <f aca="false">IF(B268="","",IF(E268="Em ajustes",IF(N268=_xlfn.MINIFS($N$2:$N$5001,$B$2:$B$5001,B268,$E$2:$E$5001,"Em ajustes"),1,0),0))</f>
        <v/>
      </c>
      <c r="N268" s="17" t="str">
        <f aca="false">IF(A268="","",IF(ISNUMBER(A268),A268,IFERROR(DATE(VALUE(MID(A268,7,4)),VALUE(MID(A268,4,2)),VALUE(MID(A268,1,2)))+TIME(VALUE(MID(A268,12,2)),VALUE(MID(A268,15,2)),VALUE(MID(A268,18,2))),"")))</f>
        <v/>
      </c>
    </row>
    <row r="269" customFormat="false" ht="15" hidden="false" customHeight="false" outlineLevel="0" collapsed="false">
      <c r="I269" s="15" t="str">
        <f aca="false">IF(N269="","",INT(N269))</f>
        <v/>
      </c>
      <c r="J269" s="16" t="str">
        <f aca="false">IF(B269="","",IF(N269=_xlfn.MINIFS($N$2:$N$5001,$B$2:$B$5001,B269),1,0))</f>
        <v/>
      </c>
      <c r="K269" s="16" t="str">
        <f aca="false">IF(B269="","",IF(AND(D269="Formalização",E269="Concluído"),IF(COUNTIFS($B$2:$B$5001,B269,$E$2:$E$5001,"Em ajustes",$N$2:$N$5001,"&lt;"&amp;I269)&gt;0,1,0),0))</f>
        <v/>
      </c>
      <c r="L269" s="16" t="str">
        <f aca="false">IF(B269="","",IF(N269=_xlfn.MAXIFS($N$2:$N$5001,$B$2:$B$5001,B269,$I$2:$I$5001,I269),1,0))</f>
        <v/>
      </c>
      <c r="M269" s="16" t="str">
        <f aca="false">IF(B269="","",IF(E269="Em ajustes",IF(N269=_xlfn.MINIFS($N$2:$N$5001,$B$2:$B$5001,B269,$E$2:$E$5001,"Em ajustes"),1,0),0))</f>
        <v/>
      </c>
      <c r="N269" s="17" t="str">
        <f aca="false">IF(A269="","",IF(ISNUMBER(A269),A269,IFERROR(DATE(VALUE(MID(A269,7,4)),VALUE(MID(A269,4,2)),VALUE(MID(A269,1,2)))+TIME(VALUE(MID(A269,12,2)),VALUE(MID(A269,15,2)),VALUE(MID(A269,18,2))),"")))</f>
        <v/>
      </c>
    </row>
    <row r="270" customFormat="false" ht="15" hidden="false" customHeight="false" outlineLevel="0" collapsed="false">
      <c r="I270" s="15" t="str">
        <f aca="false">IF(N270="","",INT(N270))</f>
        <v/>
      </c>
      <c r="J270" s="16" t="str">
        <f aca="false">IF(B270="","",IF(N270=_xlfn.MINIFS($N$2:$N$5001,$B$2:$B$5001,B270),1,0))</f>
        <v/>
      </c>
      <c r="K270" s="16" t="str">
        <f aca="false">IF(B270="","",IF(AND(D270="Formalização",E270="Concluído"),IF(COUNTIFS($B$2:$B$5001,B270,$E$2:$E$5001,"Em ajustes",$N$2:$N$5001,"&lt;"&amp;I270)&gt;0,1,0),0))</f>
        <v/>
      </c>
      <c r="L270" s="16" t="str">
        <f aca="false">IF(B270="","",IF(N270=_xlfn.MAXIFS($N$2:$N$5001,$B$2:$B$5001,B270,$I$2:$I$5001,I270),1,0))</f>
        <v/>
      </c>
      <c r="M270" s="16" t="str">
        <f aca="false">IF(B270="","",IF(E270="Em ajustes",IF(N270=_xlfn.MINIFS($N$2:$N$5001,$B$2:$B$5001,B270,$E$2:$E$5001,"Em ajustes"),1,0),0))</f>
        <v/>
      </c>
      <c r="N270" s="17" t="str">
        <f aca="false">IF(A270="","",IF(ISNUMBER(A270),A270,IFERROR(DATE(VALUE(MID(A270,7,4)),VALUE(MID(A270,4,2)),VALUE(MID(A270,1,2)))+TIME(VALUE(MID(A270,12,2)),VALUE(MID(A270,15,2)),VALUE(MID(A270,18,2))),"")))</f>
        <v/>
      </c>
    </row>
    <row r="271" customFormat="false" ht="15" hidden="false" customHeight="false" outlineLevel="0" collapsed="false">
      <c r="I271" s="15" t="str">
        <f aca="false">IF(N271="","",INT(N271))</f>
        <v/>
      </c>
      <c r="J271" s="16" t="str">
        <f aca="false">IF(B271="","",IF(N271=_xlfn.MINIFS($N$2:$N$5001,$B$2:$B$5001,B271),1,0))</f>
        <v/>
      </c>
      <c r="K271" s="16" t="str">
        <f aca="false">IF(B271="","",IF(AND(D271="Formalização",E271="Concluído"),IF(COUNTIFS($B$2:$B$5001,B271,$E$2:$E$5001,"Em ajustes",$N$2:$N$5001,"&lt;"&amp;I271)&gt;0,1,0),0))</f>
        <v/>
      </c>
      <c r="L271" s="16" t="str">
        <f aca="false">IF(B271="","",IF(N271=_xlfn.MAXIFS($N$2:$N$5001,$B$2:$B$5001,B271,$I$2:$I$5001,I271),1,0))</f>
        <v/>
      </c>
      <c r="M271" s="16" t="str">
        <f aca="false">IF(B271="","",IF(E271="Em ajustes",IF(N271=_xlfn.MINIFS($N$2:$N$5001,$B$2:$B$5001,B271,$E$2:$E$5001,"Em ajustes"),1,0),0))</f>
        <v/>
      </c>
      <c r="N271" s="17" t="str">
        <f aca="false">IF(A271="","",IF(ISNUMBER(A271),A271,IFERROR(DATE(VALUE(MID(A271,7,4)),VALUE(MID(A271,4,2)),VALUE(MID(A271,1,2)))+TIME(VALUE(MID(A271,12,2)),VALUE(MID(A271,15,2)),VALUE(MID(A271,18,2))),"")))</f>
        <v/>
      </c>
    </row>
    <row r="272" customFormat="false" ht="15" hidden="false" customHeight="false" outlineLevel="0" collapsed="false">
      <c r="I272" s="15" t="str">
        <f aca="false">IF(N272="","",INT(N272))</f>
        <v/>
      </c>
      <c r="J272" s="16" t="str">
        <f aca="false">IF(B272="","",IF(N272=_xlfn.MINIFS($N$2:$N$5001,$B$2:$B$5001,B272),1,0))</f>
        <v/>
      </c>
      <c r="K272" s="16" t="str">
        <f aca="false">IF(B272="","",IF(AND(D272="Formalização",E272="Concluído"),IF(COUNTIFS($B$2:$B$5001,B272,$E$2:$E$5001,"Em ajustes",$N$2:$N$5001,"&lt;"&amp;I272)&gt;0,1,0),0))</f>
        <v/>
      </c>
      <c r="L272" s="16" t="str">
        <f aca="false">IF(B272="","",IF(N272=_xlfn.MAXIFS($N$2:$N$5001,$B$2:$B$5001,B272,$I$2:$I$5001,I272),1,0))</f>
        <v/>
      </c>
      <c r="M272" s="16" t="str">
        <f aca="false">IF(B272="","",IF(E272="Em ajustes",IF(N272=_xlfn.MINIFS($N$2:$N$5001,$B$2:$B$5001,B272,$E$2:$E$5001,"Em ajustes"),1,0),0))</f>
        <v/>
      </c>
      <c r="N272" s="17" t="str">
        <f aca="false">IF(A272="","",IF(ISNUMBER(A272),A272,IFERROR(DATE(VALUE(MID(A272,7,4)),VALUE(MID(A272,4,2)),VALUE(MID(A272,1,2)))+TIME(VALUE(MID(A272,12,2)),VALUE(MID(A272,15,2)),VALUE(MID(A272,18,2))),"")))</f>
        <v/>
      </c>
    </row>
    <row r="273" customFormat="false" ht="15" hidden="false" customHeight="false" outlineLevel="0" collapsed="false">
      <c r="I273" s="15" t="str">
        <f aca="false">IF(N273="","",INT(N273))</f>
        <v/>
      </c>
      <c r="J273" s="16" t="str">
        <f aca="false">IF(B273="","",IF(N273=_xlfn.MINIFS($N$2:$N$5001,$B$2:$B$5001,B273),1,0))</f>
        <v/>
      </c>
      <c r="K273" s="16" t="str">
        <f aca="false">IF(B273="","",IF(AND(D273="Formalização",E273="Concluído"),IF(COUNTIFS($B$2:$B$5001,B273,$E$2:$E$5001,"Em ajustes",$N$2:$N$5001,"&lt;"&amp;I273)&gt;0,1,0),0))</f>
        <v/>
      </c>
      <c r="L273" s="16" t="str">
        <f aca="false">IF(B273="","",IF(N273=_xlfn.MAXIFS($N$2:$N$5001,$B$2:$B$5001,B273,$I$2:$I$5001,I273),1,0))</f>
        <v/>
      </c>
      <c r="M273" s="16" t="str">
        <f aca="false">IF(B273="","",IF(E273="Em ajustes",IF(N273=_xlfn.MINIFS($N$2:$N$5001,$B$2:$B$5001,B273,$E$2:$E$5001,"Em ajustes"),1,0),0))</f>
        <v/>
      </c>
      <c r="N273" s="17" t="str">
        <f aca="false">IF(A273="","",IF(ISNUMBER(A273),A273,IFERROR(DATE(VALUE(MID(A273,7,4)),VALUE(MID(A273,4,2)),VALUE(MID(A273,1,2)))+TIME(VALUE(MID(A273,12,2)),VALUE(MID(A273,15,2)),VALUE(MID(A273,18,2))),"")))</f>
        <v/>
      </c>
    </row>
    <row r="274" customFormat="false" ht="15" hidden="false" customHeight="false" outlineLevel="0" collapsed="false">
      <c r="I274" s="15" t="str">
        <f aca="false">IF(N274="","",INT(N274))</f>
        <v/>
      </c>
      <c r="J274" s="16" t="str">
        <f aca="false">IF(B274="","",IF(N274=_xlfn.MINIFS($N$2:$N$5001,$B$2:$B$5001,B274),1,0))</f>
        <v/>
      </c>
      <c r="K274" s="16" t="str">
        <f aca="false">IF(B274="","",IF(AND(D274="Formalização",E274="Concluído"),IF(COUNTIFS($B$2:$B$5001,B274,$E$2:$E$5001,"Em ajustes",$N$2:$N$5001,"&lt;"&amp;I274)&gt;0,1,0),0))</f>
        <v/>
      </c>
      <c r="L274" s="16" t="str">
        <f aca="false">IF(B274="","",IF(N274=_xlfn.MAXIFS($N$2:$N$5001,$B$2:$B$5001,B274,$I$2:$I$5001,I274),1,0))</f>
        <v/>
      </c>
      <c r="M274" s="16" t="str">
        <f aca="false">IF(B274="","",IF(E274="Em ajustes",IF(N274=_xlfn.MINIFS($N$2:$N$5001,$B$2:$B$5001,B274,$E$2:$E$5001,"Em ajustes"),1,0),0))</f>
        <v/>
      </c>
      <c r="N274" s="17" t="str">
        <f aca="false">IF(A274="","",IF(ISNUMBER(A274),A274,IFERROR(DATE(VALUE(MID(A274,7,4)),VALUE(MID(A274,4,2)),VALUE(MID(A274,1,2)))+TIME(VALUE(MID(A274,12,2)),VALUE(MID(A274,15,2)),VALUE(MID(A274,18,2))),"")))</f>
        <v/>
      </c>
    </row>
    <row r="275" customFormat="false" ht="15" hidden="false" customHeight="false" outlineLevel="0" collapsed="false">
      <c r="I275" s="15" t="str">
        <f aca="false">IF(N275="","",INT(N275))</f>
        <v/>
      </c>
      <c r="J275" s="16" t="str">
        <f aca="false">IF(B275="","",IF(N275=_xlfn.MINIFS($N$2:$N$5001,$B$2:$B$5001,B275),1,0))</f>
        <v/>
      </c>
      <c r="K275" s="16" t="str">
        <f aca="false">IF(B275="","",IF(AND(D275="Formalização",E275="Concluído"),IF(COUNTIFS($B$2:$B$5001,B275,$E$2:$E$5001,"Em ajustes",$N$2:$N$5001,"&lt;"&amp;I275)&gt;0,1,0),0))</f>
        <v/>
      </c>
      <c r="L275" s="16" t="str">
        <f aca="false">IF(B275="","",IF(N275=_xlfn.MAXIFS($N$2:$N$5001,$B$2:$B$5001,B275,$I$2:$I$5001,I275),1,0))</f>
        <v/>
      </c>
      <c r="M275" s="16" t="str">
        <f aca="false">IF(B275="","",IF(E275="Em ajustes",IF(N275=_xlfn.MINIFS($N$2:$N$5001,$B$2:$B$5001,B275,$E$2:$E$5001,"Em ajustes"),1,0),0))</f>
        <v/>
      </c>
      <c r="N275" s="17" t="str">
        <f aca="false">IF(A275="","",IF(ISNUMBER(A275),A275,IFERROR(DATE(VALUE(MID(A275,7,4)),VALUE(MID(A275,4,2)),VALUE(MID(A275,1,2)))+TIME(VALUE(MID(A275,12,2)),VALUE(MID(A275,15,2)),VALUE(MID(A275,18,2))),"")))</f>
        <v/>
      </c>
    </row>
    <row r="276" customFormat="false" ht="15" hidden="false" customHeight="false" outlineLevel="0" collapsed="false">
      <c r="I276" s="15" t="str">
        <f aca="false">IF(N276="","",INT(N276))</f>
        <v/>
      </c>
      <c r="J276" s="16" t="str">
        <f aca="false">IF(B276="","",IF(N276=_xlfn.MINIFS($N$2:$N$5001,$B$2:$B$5001,B276),1,0))</f>
        <v/>
      </c>
      <c r="K276" s="16" t="str">
        <f aca="false">IF(B276="","",IF(AND(D276="Formalização",E276="Concluído"),IF(COUNTIFS($B$2:$B$5001,B276,$E$2:$E$5001,"Em ajustes",$N$2:$N$5001,"&lt;"&amp;I276)&gt;0,1,0),0))</f>
        <v/>
      </c>
      <c r="L276" s="16" t="str">
        <f aca="false">IF(B276="","",IF(N276=_xlfn.MAXIFS($N$2:$N$5001,$B$2:$B$5001,B276,$I$2:$I$5001,I276),1,0))</f>
        <v/>
      </c>
      <c r="M276" s="16" t="str">
        <f aca="false">IF(B276="","",IF(E276="Em ajustes",IF(N276=_xlfn.MINIFS($N$2:$N$5001,$B$2:$B$5001,B276,$E$2:$E$5001,"Em ajustes"),1,0),0))</f>
        <v/>
      </c>
      <c r="N276" s="17" t="str">
        <f aca="false">IF(A276="","",IF(ISNUMBER(A276),A276,IFERROR(DATE(VALUE(MID(A276,7,4)),VALUE(MID(A276,4,2)),VALUE(MID(A276,1,2)))+TIME(VALUE(MID(A276,12,2)),VALUE(MID(A276,15,2)),VALUE(MID(A276,18,2))),"")))</f>
        <v/>
      </c>
    </row>
    <row r="277" customFormat="false" ht="15" hidden="false" customHeight="false" outlineLevel="0" collapsed="false">
      <c r="I277" s="15" t="str">
        <f aca="false">IF(N277="","",INT(N277))</f>
        <v/>
      </c>
      <c r="J277" s="16" t="str">
        <f aca="false">IF(B277="","",IF(N277=_xlfn.MINIFS($N$2:$N$5001,$B$2:$B$5001,B277),1,0))</f>
        <v/>
      </c>
      <c r="K277" s="16" t="str">
        <f aca="false">IF(B277="","",IF(AND(D277="Formalização",E277="Concluído"),IF(COUNTIFS($B$2:$B$5001,B277,$E$2:$E$5001,"Em ajustes",$N$2:$N$5001,"&lt;"&amp;I277)&gt;0,1,0),0))</f>
        <v/>
      </c>
      <c r="L277" s="16" t="str">
        <f aca="false">IF(B277="","",IF(N277=_xlfn.MAXIFS($N$2:$N$5001,$B$2:$B$5001,B277,$I$2:$I$5001,I277),1,0))</f>
        <v/>
      </c>
      <c r="M277" s="16" t="str">
        <f aca="false">IF(B277="","",IF(E277="Em ajustes",IF(N277=_xlfn.MINIFS($N$2:$N$5001,$B$2:$B$5001,B277,$E$2:$E$5001,"Em ajustes"),1,0),0))</f>
        <v/>
      </c>
      <c r="N277" s="17" t="str">
        <f aca="false">IF(A277="","",IF(ISNUMBER(A277),A277,IFERROR(DATE(VALUE(MID(A277,7,4)),VALUE(MID(A277,4,2)),VALUE(MID(A277,1,2)))+TIME(VALUE(MID(A277,12,2)),VALUE(MID(A277,15,2)),VALUE(MID(A277,18,2))),"")))</f>
        <v/>
      </c>
    </row>
    <row r="278" customFormat="false" ht="15" hidden="false" customHeight="false" outlineLevel="0" collapsed="false">
      <c r="I278" s="15" t="str">
        <f aca="false">IF(N278="","",INT(N278))</f>
        <v/>
      </c>
      <c r="J278" s="16" t="str">
        <f aca="false">IF(B278="","",IF(N278=_xlfn.MINIFS($N$2:$N$5001,$B$2:$B$5001,B278),1,0))</f>
        <v/>
      </c>
      <c r="K278" s="16" t="str">
        <f aca="false">IF(B278="","",IF(AND(D278="Formalização",E278="Concluído"),IF(COUNTIFS($B$2:$B$5001,B278,$E$2:$E$5001,"Em ajustes",$N$2:$N$5001,"&lt;"&amp;I278)&gt;0,1,0),0))</f>
        <v/>
      </c>
      <c r="L278" s="16" t="str">
        <f aca="false">IF(B278="","",IF(N278=_xlfn.MAXIFS($N$2:$N$5001,$B$2:$B$5001,B278,$I$2:$I$5001,I278),1,0))</f>
        <v/>
      </c>
      <c r="M278" s="16" t="str">
        <f aca="false">IF(B278="","",IF(E278="Em ajustes",IF(N278=_xlfn.MINIFS($N$2:$N$5001,$B$2:$B$5001,B278,$E$2:$E$5001,"Em ajustes"),1,0),0))</f>
        <v/>
      </c>
      <c r="N278" s="17" t="str">
        <f aca="false">IF(A278="","",IF(ISNUMBER(A278),A278,IFERROR(DATE(VALUE(MID(A278,7,4)),VALUE(MID(A278,4,2)),VALUE(MID(A278,1,2)))+TIME(VALUE(MID(A278,12,2)),VALUE(MID(A278,15,2)),VALUE(MID(A278,18,2))),"")))</f>
        <v/>
      </c>
    </row>
    <row r="279" customFormat="false" ht="15" hidden="false" customHeight="false" outlineLevel="0" collapsed="false">
      <c r="I279" s="15" t="str">
        <f aca="false">IF(N279="","",INT(N279))</f>
        <v/>
      </c>
      <c r="J279" s="16" t="str">
        <f aca="false">IF(B279="","",IF(N279=_xlfn.MINIFS($N$2:$N$5001,$B$2:$B$5001,B279),1,0))</f>
        <v/>
      </c>
      <c r="K279" s="16" t="str">
        <f aca="false">IF(B279="","",IF(AND(D279="Formalização",E279="Concluído"),IF(COUNTIFS($B$2:$B$5001,B279,$E$2:$E$5001,"Em ajustes",$N$2:$N$5001,"&lt;"&amp;I279)&gt;0,1,0),0))</f>
        <v/>
      </c>
      <c r="L279" s="16" t="str">
        <f aca="false">IF(B279="","",IF(N279=_xlfn.MAXIFS($N$2:$N$5001,$B$2:$B$5001,B279,$I$2:$I$5001,I279),1,0))</f>
        <v/>
      </c>
      <c r="M279" s="16" t="str">
        <f aca="false">IF(B279="","",IF(E279="Em ajustes",IF(N279=_xlfn.MINIFS($N$2:$N$5001,$B$2:$B$5001,B279,$E$2:$E$5001,"Em ajustes"),1,0),0))</f>
        <v/>
      </c>
      <c r="N279" s="17" t="str">
        <f aca="false">IF(A279="","",IF(ISNUMBER(A279),A279,IFERROR(DATE(VALUE(MID(A279,7,4)),VALUE(MID(A279,4,2)),VALUE(MID(A279,1,2)))+TIME(VALUE(MID(A279,12,2)),VALUE(MID(A279,15,2)),VALUE(MID(A279,18,2))),"")))</f>
        <v/>
      </c>
    </row>
    <row r="280" customFormat="false" ht="15" hidden="false" customHeight="false" outlineLevel="0" collapsed="false">
      <c r="I280" s="15" t="str">
        <f aca="false">IF(N280="","",INT(N280))</f>
        <v/>
      </c>
      <c r="J280" s="16" t="str">
        <f aca="false">IF(B280="","",IF(N280=_xlfn.MINIFS($N$2:$N$5001,$B$2:$B$5001,B280),1,0))</f>
        <v/>
      </c>
      <c r="K280" s="16" t="str">
        <f aca="false">IF(B280="","",IF(AND(D280="Formalização",E280="Concluído"),IF(COUNTIFS($B$2:$B$5001,B280,$E$2:$E$5001,"Em ajustes",$N$2:$N$5001,"&lt;"&amp;I280)&gt;0,1,0),0))</f>
        <v/>
      </c>
      <c r="L280" s="16" t="str">
        <f aca="false">IF(B280="","",IF(N280=_xlfn.MAXIFS($N$2:$N$5001,$B$2:$B$5001,B280,$I$2:$I$5001,I280),1,0))</f>
        <v/>
      </c>
      <c r="M280" s="16" t="str">
        <f aca="false">IF(B280="","",IF(E280="Em ajustes",IF(N280=_xlfn.MINIFS($N$2:$N$5001,$B$2:$B$5001,B280,$E$2:$E$5001,"Em ajustes"),1,0),0))</f>
        <v/>
      </c>
      <c r="N280" s="17" t="str">
        <f aca="false">IF(A280="","",IF(ISNUMBER(A280),A280,IFERROR(DATE(VALUE(MID(A280,7,4)),VALUE(MID(A280,4,2)),VALUE(MID(A280,1,2)))+TIME(VALUE(MID(A280,12,2)),VALUE(MID(A280,15,2)),VALUE(MID(A280,18,2))),"")))</f>
        <v/>
      </c>
    </row>
    <row r="281" customFormat="false" ht="15" hidden="false" customHeight="false" outlineLevel="0" collapsed="false">
      <c r="I281" s="15" t="str">
        <f aca="false">IF(N281="","",INT(N281))</f>
        <v/>
      </c>
      <c r="J281" s="16" t="str">
        <f aca="false">IF(B281="","",IF(N281=_xlfn.MINIFS($N$2:$N$5001,$B$2:$B$5001,B281),1,0))</f>
        <v/>
      </c>
      <c r="K281" s="16" t="str">
        <f aca="false">IF(B281="","",IF(AND(D281="Formalização",E281="Concluído"),IF(COUNTIFS($B$2:$B$5001,B281,$E$2:$E$5001,"Em ajustes",$N$2:$N$5001,"&lt;"&amp;I281)&gt;0,1,0),0))</f>
        <v/>
      </c>
      <c r="L281" s="16" t="str">
        <f aca="false">IF(B281="","",IF(N281=_xlfn.MAXIFS($N$2:$N$5001,$B$2:$B$5001,B281,$I$2:$I$5001,I281),1,0))</f>
        <v/>
      </c>
      <c r="M281" s="16" t="str">
        <f aca="false">IF(B281="","",IF(E281="Em ajustes",IF(N281=_xlfn.MINIFS($N$2:$N$5001,$B$2:$B$5001,B281,$E$2:$E$5001,"Em ajustes"),1,0),0))</f>
        <v/>
      </c>
      <c r="N281" s="17" t="str">
        <f aca="false">IF(A281="","",IF(ISNUMBER(A281),A281,IFERROR(DATE(VALUE(MID(A281,7,4)),VALUE(MID(A281,4,2)),VALUE(MID(A281,1,2)))+TIME(VALUE(MID(A281,12,2)),VALUE(MID(A281,15,2)),VALUE(MID(A281,18,2))),"")))</f>
        <v/>
      </c>
    </row>
    <row r="282" customFormat="false" ht="15" hidden="false" customHeight="false" outlineLevel="0" collapsed="false">
      <c r="I282" s="15" t="str">
        <f aca="false">IF(N282="","",INT(N282))</f>
        <v/>
      </c>
      <c r="J282" s="16" t="str">
        <f aca="false">IF(B282="","",IF(N282=_xlfn.MINIFS($N$2:$N$5001,$B$2:$B$5001,B282),1,0))</f>
        <v/>
      </c>
      <c r="K282" s="16" t="str">
        <f aca="false">IF(B282="","",IF(AND(D282="Formalização",E282="Concluído"),IF(COUNTIFS($B$2:$B$5001,B282,$E$2:$E$5001,"Em ajustes",$N$2:$N$5001,"&lt;"&amp;I282)&gt;0,1,0),0))</f>
        <v/>
      </c>
      <c r="L282" s="16" t="str">
        <f aca="false">IF(B282="","",IF(N282=_xlfn.MAXIFS($N$2:$N$5001,$B$2:$B$5001,B282,$I$2:$I$5001,I282),1,0))</f>
        <v/>
      </c>
      <c r="M282" s="16" t="str">
        <f aca="false">IF(B282="","",IF(E282="Em ajustes",IF(N282=_xlfn.MINIFS($N$2:$N$5001,$B$2:$B$5001,B282,$E$2:$E$5001,"Em ajustes"),1,0),0))</f>
        <v/>
      </c>
      <c r="N282" s="17" t="str">
        <f aca="false">IF(A282="","",IF(ISNUMBER(A282),A282,IFERROR(DATE(VALUE(MID(A282,7,4)),VALUE(MID(A282,4,2)),VALUE(MID(A282,1,2)))+TIME(VALUE(MID(A282,12,2)),VALUE(MID(A282,15,2)),VALUE(MID(A282,18,2))),"")))</f>
        <v/>
      </c>
    </row>
    <row r="283" customFormat="false" ht="15" hidden="false" customHeight="false" outlineLevel="0" collapsed="false">
      <c r="I283" s="15" t="str">
        <f aca="false">IF(N283="","",INT(N283))</f>
        <v/>
      </c>
      <c r="J283" s="16" t="str">
        <f aca="false">IF(B283="","",IF(N283=_xlfn.MINIFS($N$2:$N$5001,$B$2:$B$5001,B283),1,0))</f>
        <v/>
      </c>
      <c r="K283" s="16" t="str">
        <f aca="false">IF(B283="","",IF(AND(D283="Formalização",E283="Concluído"),IF(COUNTIFS($B$2:$B$5001,B283,$E$2:$E$5001,"Em ajustes",$N$2:$N$5001,"&lt;"&amp;I283)&gt;0,1,0),0))</f>
        <v/>
      </c>
      <c r="L283" s="16" t="str">
        <f aca="false">IF(B283="","",IF(N283=_xlfn.MAXIFS($N$2:$N$5001,$B$2:$B$5001,B283,$I$2:$I$5001,I283),1,0))</f>
        <v/>
      </c>
      <c r="M283" s="16" t="str">
        <f aca="false">IF(B283="","",IF(E283="Em ajustes",IF(N283=_xlfn.MINIFS($N$2:$N$5001,$B$2:$B$5001,B283,$E$2:$E$5001,"Em ajustes"),1,0),0))</f>
        <v/>
      </c>
      <c r="N283" s="17" t="str">
        <f aca="false">IF(A283="","",IF(ISNUMBER(A283),A283,IFERROR(DATE(VALUE(MID(A283,7,4)),VALUE(MID(A283,4,2)),VALUE(MID(A283,1,2)))+TIME(VALUE(MID(A283,12,2)),VALUE(MID(A283,15,2)),VALUE(MID(A283,18,2))),"")))</f>
        <v/>
      </c>
    </row>
    <row r="284" customFormat="false" ht="15" hidden="false" customHeight="false" outlineLevel="0" collapsed="false">
      <c r="I284" s="15" t="str">
        <f aca="false">IF(N284="","",INT(N284))</f>
        <v/>
      </c>
      <c r="J284" s="16" t="str">
        <f aca="false">IF(B284="","",IF(N284=_xlfn.MINIFS($N$2:$N$5001,$B$2:$B$5001,B284),1,0))</f>
        <v/>
      </c>
      <c r="K284" s="16" t="str">
        <f aca="false">IF(B284="","",IF(AND(D284="Formalização",E284="Concluído"),IF(COUNTIFS($B$2:$B$5001,B284,$E$2:$E$5001,"Em ajustes",$N$2:$N$5001,"&lt;"&amp;I284)&gt;0,1,0),0))</f>
        <v/>
      </c>
      <c r="L284" s="16" t="str">
        <f aca="false">IF(B284="","",IF(N284=_xlfn.MAXIFS($N$2:$N$5001,$B$2:$B$5001,B284,$I$2:$I$5001,I284),1,0))</f>
        <v/>
      </c>
      <c r="M284" s="16" t="str">
        <f aca="false">IF(B284="","",IF(E284="Em ajustes",IF(N284=_xlfn.MINIFS($N$2:$N$5001,$B$2:$B$5001,B284,$E$2:$E$5001,"Em ajustes"),1,0),0))</f>
        <v/>
      </c>
      <c r="N284" s="17" t="str">
        <f aca="false">IF(A284="","",IF(ISNUMBER(A284),A284,IFERROR(DATE(VALUE(MID(A284,7,4)),VALUE(MID(A284,4,2)),VALUE(MID(A284,1,2)))+TIME(VALUE(MID(A284,12,2)),VALUE(MID(A284,15,2)),VALUE(MID(A284,18,2))),"")))</f>
        <v/>
      </c>
    </row>
    <row r="285" customFormat="false" ht="15" hidden="false" customHeight="false" outlineLevel="0" collapsed="false">
      <c r="I285" s="15" t="str">
        <f aca="false">IF(N285="","",INT(N285))</f>
        <v/>
      </c>
      <c r="J285" s="16" t="str">
        <f aca="false">IF(B285="","",IF(N285=_xlfn.MINIFS($N$2:$N$5001,$B$2:$B$5001,B285),1,0))</f>
        <v/>
      </c>
      <c r="K285" s="16" t="str">
        <f aca="false">IF(B285="","",IF(AND(D285="Formalização",E285="Concluído"),IF(COUNTIFS($B$2:$B$5001,B285,$E$2:$E$5001,"Em ajustes",$N$2:$N$5001,"&lt;"&amp;I285)&gt;0,1,0),0))</f>
        <v/>
      </c>
      <c r="L285" s="16" t="str">
        <f aca="false">IF(B285="","",IF(N285=_xlfn.MAXIFS($N$2:$N$5001,$B$2:$B$5001,B285,$I$2:$I$5001,I285),1,0))</f>
        <v/>
      </c>
      <c r="M285" s="16" t="str">
        <f aca="false">IF(B285="","",IF(E285="Em ajustes",IF(N285=_xlfn.MINIFS($N$2:$N$5001,$B$2:$B$5001,B285,$E$2:$E$5001,"Em ajustes"),1,0),0))</f>
        <v/>
      </c>
      <c r="N285" s="17" t="str">
        <f aca="false">IF(A285="","",IF(ISNUMBER(A285),A285,IFERROR(DATE(VALUE(MID(A285,7,4)),VALUE(MID(A285,4,2)),VALUE(MID(A285,1,2)))+TIME(VALUE(MID(A285,12,2)),VALUE(MID(A285,15,2)),VALUE(MID(A285,18,2))),"")))</f>
        <v/>
      </c>
    </row>
    <row r="286" customFormat="false" ht="15" hidden="false" customHeight="false" outlineLevel="0" collapsed="false">
      <c r="I286" s="15" t="str">
        <f aca="false">IF(N286="","",INT(N286))</f>
        <v/>
      </c>
      <c r="J286" s="16" t="str">
        <f aca="false">IF(B286="","",IF(N286=_xlfn.MINIFS($N$2:$N$5001,$B$2:$B$5001,B286),1,0))</f>
        <v/>
      </c>
      <c r="K286" s="16" t="str">
        <f aca="false">IF(B286="","",IF(AND(D286="Formalização",E286="Concluído"),IF(COUNTIFS($B$2:$B$5001,B286,$E$2:$E$5001,"Em ajustes",$N$2:$N$5001,"&lt;"&amp;I286)&gt;0,1,0),0))</f>
        <v/>
      </c>
      <c r="L286" s="16" t="str">
        <f aca="false">IF(B286="","",IF(N286=_xlfn.MAXIFS($N$2:$N$5001,$B$2:$B$5001,B286,$I$2:$I$5001,I286),1,0))</f>
        <v/>
      </c>
      <c r="M286" s="16" t="str">
        <f aca="false">IF(B286="","",IF(E286="Em ajustes",IF(N286=_xlfn.MINIFS($N$2:$N$5001,$B$2:$B$5001,B286,$E$2:$E$5001,"Em ajustes"),1,0),0))</f>
        <v/>
      </c>
      <c r="N286" s="17" t="str">
        <f aca="false">IF(A286="","",IF(ISNUMBER(A286),A286,IFERROR(DATE(VALUE(MID(A286,7,4)),VALUE(MID(A286,4,2)),VALUE(MID(A286,1,2)))+TIME(VALUE(MID(A286,12,2)),VALUE(MID(A286,15,2)),VALUE(MID(A286,18,2))),"")))</f>
        <v/>
      </c>
    </row>
    <row r="287" customFormat="false" ht="15" hidden="false" customHeight="false" outlineLevel="0" collapsed="false">
      <c r="I287" s="15" t="str">
        <f aca="false">IF(N287="","",INT(N287))</f>
        <v/>
      </c>
      <c r="J287" s="16" t="str">
        <f aca="false">IF(B287="","",IF(N287=_xlfn.MINIFS($N$2:$N$5001,$B$2:$B$5001,B287),1,0))</f>
        <v/>
      </c>
      <c r="K287" s="16" t="str">
        <f aca="false">IF(B287="","",IF(AND(D287="Formalização",E287="Concluído"),IF(COUNTIFS($B$2:$B$5001,B287,$E$2:$E$5001,"Em ajustes",$N$2:$N$5001,"&lt;"&amp;I287)&gt;0,1,0),0))</f>
        <v/>
      </c>
      <c r="L287" s="16" t="str">
        <f aca="false">IF(B287="","",IF(N287=_xlfn.MAXIFS($N$2:$N$5001,$B$2:$B$5001,B287,$I$2:$I$5001,I287),1,0))</f>
        <v/>
      </c>
      <c r="M287" s="16" t="str">
        <f aca="false">IF(B287="","",IF(E287="Em ajustes",IF(N287=_xlfn.MINIFS($N$2:$N$5001,$B$2:$B$5001,B287,$E$2:$E$5001,"Em ajustes"),1,0),0))</f>
        <v/>
      </c>
      <c r="N287" s="17" t="str">
        <f aca="false">IF(A287="","",IF(ISNUMBER(A287),A287,IFERROR(DATE(VALUE(MID(A287,7,4)),VALUE(MID(A287,4,2)),VALUE(MID(A287,1,2)))+TIME(VALUE(MID(A287,12,2)),VALUE(MID(A287,15,2)),VALUE(MID(A287,18,2))),"")))</f>
        <v/>
      </c>
    </row>
    <row r="288" customFormat="false" ht="15" hidden="false" customHeight="false" outlineLevel="0" collapsed="false">
      <c r="I288" s="15" t="str">
        <f aca="false">IF(N288="","",INT(N288))</f>
        <v/>
      </c>
      <c r="J288" s="16" t="str">
        <f aca="false">IF(B288="","",IF(N288=_xlfn.MINIFS($N$2:$N$5001,$B$2:$B$5001,B288),1,0))</f>
        <v/>
      </c>
      <c r="K288" s="16" t="str">
        <f aca="false">IF(B288="","",IF(AND(D288="Formalização",E288="Concluído"),IF(COUNTIFS($B$2:$B$5001,B288,$E$2:$E$5001,"Em ajustes",$N$2:$N$5001,"&lt;"&amp;I288)&gt;0,1,0),0))</f>
        <v/>
      </c>
      <c r="L288" s="16" t="str">
        <f aca="false">IF(B288="","",IF(N288=_xlfn.MAXIFS($N$2:$N$5001,$B$2:$B$5001,B288,$I$2:$I$5001,I288),1,0))</f>
        <v/>
      </c>
      <c r="M288" s="16" t="str">
        <f aca="false">IF(B288="","",IF(E288="Em ajustes",IF(N288=_xlfn.MINIFS($N$2:$N$5001,$B$2:$B$5001,B288,$E$2:$E$5001,"Em ajustes"),1,0),0))</f>
        <v/>
      </c>
      <c r="N288" s="17" t="str">
        <f aca="false">IF(A288="","",IF(ISNUMBER(A288),A288,IFERROR(DATE(VALUE(MID(A288,7,4)),VALUE(MID(A288,4,2)),VALUE(MID(A288,1,2)))+TIME(VALUE(MID(A288,12,2)),VALUE(MID(A288,15,2)),VALUE(MID(A288,18,2))),"")))</f>
        <v/>
      </c>
    </row>
    <row r="289" customFormat="false" ht="15" hidden="false" customHeight="false" outlineLevel="0" collapsed="false">
      <c r="I289" s="15" t="str">
        <f aca="false">IF(N289="","",INT(N289))</f>
        <v/>
      </c>
      <c r="J289" s="16" t="str">
        <f aca="false">IF(B289="","",IF(N289=_xlfn.MINIFS($N$2:$N$5001,$B$2:$B$5001,B289),1,0))</f>
        <v/>
      </c>
      <c r="K289" s="16" t="str">
        <f aca="false">IF(B289="","",IF(AND(D289="Formalização",E289="Concluído"),IF(COUNTIFS($B$2:$B$5001,B289,$E$2:$E$5001,"Em ajustes",$N$2:$N$5001,"&lt;"&amp;I289)&gt;0,1,0),0))</f>
        <v/>
      </c>
      <c r="L289" s="16" t="str">
        <f aca="false">IF(B289="","",IF(N289=_xlfn.MAXIFS($N$2:$N$5001,$B$2:$B$5001,B289,$I$2:$I$5001,I289),1,0))</f>
        <v/>
      </c>
      <c r="M289" s="16" t="str">
        <f aca="false">IF(B289="","",IF(E289="Em ajustes",IF(N289=_xlfn.MINIFS($N$2:$N$5001,$B$2:$B$5001,B289,$E$2:$E$5001,"Em ajustes"),1,0),0))</f>
        <v/>
      </c>
      <c r="N289" s="17" t="str">
        <f aca="false">IF(A289="","",IF(ISNUMBER(A289),A289,IFERROR(DATE(VALUE(MID(A289,7,4)),VALUE(MID(A289,4,2)),VALUE(MID(A289,1,2)))+TIME(VALUE(MID(A289,12,2)),VALUE(MID(A289,15,2)),VALUE(MID(A289,18,2))),"")))</f>
        <v/>
      </c>
    </row>
    <row r="290" customFormat="false" ht="15" hidden="false" customHeight="false" outlineLevel="0" collapsed="false">
      <c r="I290" s="15" t="str">
        <f aca="false">IF(N290="","",INT(N290))</f>
        <v/>
      </c>
      <c r="J290" s="16" t="str">
        <f aca="false">IF(B290="","",IF(N290=_xlfn.MINIFS($N$2:$N$5001,$B$2:$B$5001,B290),1,0))</f>
        <v/>
      </c>
      <c r="K290" s="16" t="str">
        <f aca="false">IF(B290="","",IF(AND(D290="Formalização",E290="Concluído"),IF(COUNTIFS($B$2:$B$5001,B290,$E$2:$E$5001,"Em ajustes",$N$2:$N$5001,"&lt;"&amp;I290)&gt;0,1,0),0))</f>
        <v/>
      </c>
      <c r="L290" s="16" t="str">
        <f aca="false">IF(B290="","",IF(N290=_xlfn.MAXIFS($N$2:$N$5001,$B$2:$B$5001,B290,$I$2:$I$5001,I290),1,0))</f>
        <v/>
      </c>
      <c r="M290" s="16" t="str">
        <f aca="false">IF(B290="","",IF(E290="Em ajustes",IF(N290=_xlfn.MINIFS($N$2:$N$5001,$B$2:$B$5001,B290,$E$2:$E$5001,"Em ajustes"),1,0),0))</f>
        <v/>
      </c>
      <c r="N290" s="17" t="str">
        <f aca="false">IF(A290="","",IF(ISNUMBER(A290),A290,IFERROR(DATE(VALUE(MID(A290,7,4)),VALUE(MID(A290,4,2)),VALUE(MID(A290,1,2)))+TIME(VALUE(MID(A290,12,2)),VALUE(MID(A290,15,2)),VALUE(MID(A290,18,2))),"")))</f>
        <v/>
      </c>
    </row>
    <row r="291" customFormat="false" ht="15" hidden="false" customHeight="false" outlineLevel="0" collapsed="false">
      <c r="I291" s="15" t="str">
        <f aca="false">IF(N291="","",INT(N291))</f>
        <v/>
      </c>
      <c r="J291" s="16" t="str">
        <f aca="false">IF(B291="","",IF(N291=_xlfn.MINIFS($N$2:$N$5001,$B$2:$B$5001,B291),1,0))</f>
        <v/>
      </c>
      <c r="K291" s="16" t="str">
        <f aca="false">IF(B291="","",IF(AND(D291="Formalização",E291="Concluído"),IF(COUNTIFS($B$2:$B$5001,B291,$E$2:$E$5001,"Em ajustes",$N$2:$N$5001,"&lt;"&amp;I291)&gt;0,1,0),0))</f>
        <v/>
      </c>
      <c r="L291" s="16" t="str">
        <f aca="false">IF(B291="","",IF(N291=_xlfn.MAXIFS($N$2:$N$5001,$B$2:$B$5001,B291,$I$2:$I$5001,I291),1,0))</f>
        <v/>
      </c>
      <c r="M291" s="16" t="str">
        <f aca="false">IF(B291="","",IF(E291="Em ajustes",IF(N291=_xlfn.MINIFS($N$2:$N$5001,$B$2:$B$5001,B291,$E$2:$E$5001,"Em ajustes"),1,0),0))</f>
        <v/>
      </c>
      <c r="N291" s="17" t="str">
        <f aca="false">IF(A291="","",IF(ISNUMBER(A291),A291,IFERROR(DATE(VALUE(MID(A291,7,4)),VALUE(MID(A291,4,2)),VALUE(MID(A291,1,2)))+TIME(VALUE(MID(A291,12,2)),VALUE(MID(A291,15,2)),VALUE(MID(A291,18,2))),"")))</f>
        <v/>
      </c>
    </row>
    <row r="292" customFormat="false" ht="15" hidden="false" customHeight="false" outlineLevel="0" collapsed="false">
      <c r="I292" s="15" t="str">
        <f aca="false">IF(N292="","",INT(N292))</f>
        <v/>
      </c>
      <c r="J292" s="16" t="str">
        <f aca="false">IF(B292="","",IF(N292=_xlfn.MINIFS($N$2:$N$5001,$B$2:$B$5001,B292),1,0))</f>
        <v/>
      </c>
      <c r="K292" s="16" t="str">
        <f aca="false">IF(B292="","",IF(AND(D292="Formalização",E292="Concluído"),IF(COUNTIFS($B$2:$B$5001,B292,$E$2:$E$5001,"Em ajustes",$N$2:$N$5001,"&lt;"&amp;I292)&gt;0,1,0),0))</f>
        <v/>
      </c>
      <c r="L292" s="16" t="str">
        <f aca="false">IF(B292="","",IF(N292=_xlfn.MAXIFS($N$2:$N$5001,$B$2:$B$5001,B292,$I$2:$I$5001,I292),1,0))</f>
        <v/>
      </c>
      <c r="M292" s="16" t="str">
        <f aca="false">IF(B292="","",IF(E292="Em ajustes",IF(N292=_xlfn.MINIFS($N$2:$N$5001,$B$2:$B$5001,B292,$E$2:$E$5001,"Em ajustes"),1,0),0))</f>
        <v/>
      </c>
      <c r="N292" s="17" t="str">
        <f aca="false">IF(A292="","",IF(ISNUMBER(A292),A292,IFERROR(DATE(VALUE(MID(A292,7,4)),VALUE(MID(A292,4,2)),VALUE(MID(A292,1,2)))+TIME(VALUE(MID(A292,12,2)),VALUE(MID(A292,15,2)),VALUE(MID(A292,18,2))),"")))</f>
        <v/>
      </c>
    </row>
    <row r="293" customFormat="false" ht="15" hidden="false" customHeight="false" outlineLevel="0" collapsed="false">
      <c r="I293" s="15" t="str">
        <f aca="false">IF(N293="","",INT(N293))</f>
        <v/>
      </c>
      <c r="J293" s="16" t="str">
        <f aca="false">IF(B293="","",IF(N293=_xlfn.MINIFS($N$2:$N$5001,$B$2:$B$5001,B293),1,0))</f>
        <v/>
      </c>
      <c r="K293" s="16" t="str">
        <f aca="false">IF(B293="","",IF(AND(D293="Formalização",E293="Concluído"),IF(COUNTIFS($B$2:$B$5001,B293,$E$2:$E$5001,"Em ajustes",$N$2:$N$5001,"&lt;"&amp;I293)&gt;0,1,0),0))</f>
        <v/>
      </c>
      <c r="L293" s="16" t="str">
        <f aca="false">IF(B293="","",IF(N293=_xlfn.MAXIFS($N$2:$N$5001,$B$2:$B$5001,B293,$I$2:$I$5001,I293),1,0))</f>
        <v/>
      </c>
      <c r="M293" s="16" t="str">
        <f aca="false">IF(B293="","",IF(E293="Em ajustes",IF(N293=_xlfn.MINIFS($N$2:$N$5001,$B$2:$B$5001,B293,$E$2:$E$5001,"Em ajustes"),1,0),0))</f>
        <v/>
      </c>
      <c r="N293" s="17" t="str">
        <f aca="false">IF(A293="","",IF(ISNUMBER(A293),A293,IFERROR(DATE(VALUE(MID(A293,7,4)),VALUE(MID(A293,4,2)),VALUE(MID(A293,1,2)))+TIME(VALUE(MID(A293,12,2)),VALUE(MID(A293,15,2)),VALUE(MID(A293,18,2))),"")))</f>
        <v/>
      </c>
    </row>
    <row r="294" customFormat="false" ht="15" hidden="false" customHeight="false" outlineLevel="0" collapsed="false">
      <c r="I294" s="15" t="str">
        <f aca="false">IF(N294="","",INT(N294))</f>
        <v/>
      </c>
      <c r="J294" s="16" t="str">
        <f aca="false">IF(B294="","",IF(N294=_xlfn.MINIFS($N$2:$N$5001,$B$2:$B$5001,B294),1,0))</f>
        <v/>
      </c>
      <c r="K294" s="16" t="str">
        <f aca="false">IF(B294="","",IF(AND(D294="Formalização",E294="Concluído"),IF(COUNTIFS($B$2:$B$5001,B294,$E$2:$E$5001,"Em ajustes",$N$2:$N$5001,"&lt;"&amp;I294)&gt;0,1,0),0))</f>
        <v/>
      </c>
      <c r="L294" s="16" t="str">
        <f aca="false">IF(B294="","",IF(N294=_xlfn.MAXIFS($N$2:$N$5001,$B$2:$B$5001,B294,$I$2:$I$5001,I294),1,0))</f>
        <v/>
      </c>
      <c r="M294" s="16" t="str">
        <f aca="false">IF(B294="","",IF(E294="Em ajustes",IF(N294=_xlfn.MINIFS($N$2:$N$5001,$B$2:$B$5001,B294,$E$2:$E$5001,"Em ajustes"),1,0),0))</f>
        <v/>
      </c>
      <c r="N294" s="17" t="str">
        <f aca="false">IF(A294="","",IF(ISNUMBER(A294),A294,IFERROR(DATE(VALUE(MID(A294,7,4)),VALUE(MID(A294,4,2)),VALUE(MID(A294,1,2)))+TIME(VALUE(MID(A294,12,2)),VALUE(MID(A294,15,2)),VALUE(MID(A294,18,2))),"")))</f>
        <v/>
      </c>
    </row>
    <row r="295" customFormat="false" ht="15" hidden="false" customHeight="false" outlineLevel="0" collapsed="false">
      <c r="I295" s="15" t="str">
        <f aca="false">IF(N295="","",INT(N295))</f>
        <v/>
      </c>
      <c r="J295" s="16" t="str">
        <f aca="false">IF(B295="","",IF(N295=_xlfn.MINIFS($N$2:$N$5001,$B$2:$B$5001,B295),1,0))</f>
        <v/>
      </c>
      <c r="K295" s="16" t="str">
        <f aca="false">IF(B295="","",IF(AND(D295="Formalização",E295="Concluído"),IF(COUNTIFS($B$2:$B$5001,B295,$E$2:$E$5001,"Em ajustes",$N$2:$N$5001,"&lt;"&amp;I295)&gt;0,1,0),0))</f>
        <v/>
      </c>
      <c r="L295" s="16" t="str">
        <f aca="false">IF(B295="","",IF(N295=_xlfn.MAXIFS($N$2:$N$5001,$B$2:$B$5001,B295,$I$2:$I$5001,I295),1,0))</f>
        <v/>
      </c>
      <c r="M295" s="16" t="str">
        <f aca="false">IF(B295="","",IF(E295="Em ajustes",IF(N295=_xlfn.MINIFS($N$2:$N$5001,$B$2:$B$5001,B295,$E$2:$E$5001,"Em ajustes"),1,0),0))</f>
        <v/>
      </c>
      <c r="N295" s="17" t="str">
        <f aca="false">IF(A295="","",IF(ISNUMBER(A295),A295,IFERROR(DATE(VALUE(MID(A295,7,4)),VALUE(MID(A295,4,2)),VALUE(MID(A295,1,2)))+TIME(VALUE(MID(A295,12,2)),VALUE(MID(A295,15,2)),VALUE(MID(A295,18,2))),"")))</f>
        <v/>
      </c>
    </row>
    <row r="296" customFormat="false" ht="15" hidden="false" customHeight="false" outlineLevel="0" collapsed="false">
      <c r="I296" s="15" t="str">
        <f aca="false">IF(N296="","",INT(N296))</f>
        <v/>
      </c>
      <c r="J296" s="16" t="str">
        <f aca="false">IF(B296="","",IF(N296=_xlfn.MINIFS($N$2:$N$5001,$B$2:$B$5001,B296),1,0))</f>
        <v/>
      </c>
      <c r="K296" s="16" t="str">
        <f aca="false">IF(B296="","",IF(AND(D296="Formalização",E296="Concluído"),IF(COUNTIFS($B$2:$B$5001,B296,$E$2:$E$5001,"Em ajustes",$N$2:$N$5001,"&lt;"&amp;I296)&gt;0,1,0),0))</f>
        <v/>
      </c>
      <c r="L296" s="16" t="str">
        <f aca="false">IF(B296="","",IF(N296=_xlfn.MAXIFS($N$2:$N$5001,$B$2:$B$5001,B296,$I$2:$I$5001,I296),1,0))</f>
        <v/>
      </c>
      <c r="M296" s="16" t="str">
        <f aca="false">IF(B296="","",IF(E296="Em ajustes",IF(N296=_xlfn.MINIFS($N$2:$N$5001,$B$2:$B$5001,B296,$E$2:$E$5001,"Em ajustes"),1,0),0))</f>
        <v/>
      </c>
      <c r="N296" s="17" t="str">
        <f aca="false">IF(A296="","",IF(ISNUMBER(A296),A296,IFERROR(DATE(VALUE(MID(A296,7,4)),VALUE(MID(A296,4,2)),VALUE(MID(A296,1,2)))+TIME(VALUE(MID(A296,12,2)),VALUE(MID(A296,15,2)),VALUE(MID(A296,18,2))),"")))</f>
        <v/>
      </c>
    </row>
    <row r="297" customFormat="false" ht="15" hidden="false" customHeight="false" outlineLevel="0" collapsed="false">
      <c r="I297" s="15" t="str">
        <f aca="false">IF(N297="","",INT(N297))</f>
        <v/>
      </c>
      <c r="J297" s="16" t="str">
        <f aca="false">IF(B297="","",IF(N297=_xlfn.MINIFS($N$2:$N$5001,$B$2:$B$5001,B297),1,0))</f>
        <v/>
      </c>
      <c r="K297" s="16" t="str">
        <f aca="false">IF(B297="","",IF(AND(D297="Formalização",E297="Concluído"),IF(COUNTIFS($B$2:$B$5001,B297,$E$2:$E$5001,"Em ajustes",$N$2:$N$5001,"&lt;"&amp;I297)&gt;0,1,0),0))</f>
        <v/>
      </c>
      <c r="L297" s="16" t="str">
        <f aca="false">IF(B297="","",IF(N297=_xlfn.MAXIFS($N$2:$N$5001,$B$2:$B$5001,B297,$I$2:$I$5001,I297),1,0))</f>
        <v/>
      </c>
      <c r="M297" s="16" t="str">
        <f aca="false">IF(B297="","",IF(E297="Em ajustes",IF(N297=_xlfn.MINIFS($N$2:$N$5001,$B$2:$B$5001,B297,$E$2:$E$5001,"Em ajustes"),1,0),0))</f>
        <v/>
      </c>
      <c r="N297" s="17" t="str">
        <f aca="false">IF(A297="","",IF(ISNUMBER(A297),A297,IFERROR(DATE(VALUE(MID(A297,7,4)),VALUE(MID(A297,4,2)),VALUE(MID(A297,1,2)))+TIME(VALUE(MID(A297,12,2)),VALUE(MID(A297,15,2)),VALUE(MID(A297,18,2))),"")))</f>
        <v/>
      </c>
    </row>
    <row r="298" customFormat="false" ht="15" hidden="false" customHeight="false" outlineLevel="0" collapsed="false">
      <c r="I298" s="15" t="str">
        <f aca="false">IF(N298="","",INT(N298))</f>
        <v/>
      </c>
      <c r="J298" s="16" t="str">
        <f aca="false">IF(B298="","",IF(N298=_xlfn.MINIFS($N$2:$N$5001,$B$2:$B$5001,B298),1,0))</f>
        <v/>
      </c>
      <c r="K298" s="16" t="str">
        <f aca="false">IF(B298="","",IF(AND(D298="Formalização",E298="Concluído"),IF(COUNTIFS($B$2:$B$5001,B298,$E$2:$E$5001,"Em ajustes",$N$2:$N$5001,"&lt;"&amp;I298)&gt;0,1,0),0))</f>
        <v/>
      </c>
      <c r="L298" s="16" t="str">
        <f aca="false">IF(B298="","",IF(N298=_xlfn.MAXIFS($N$2:$N$5001,$B$2:$B$5001,B298,$I$2:$I$5001,I298),1,0))</f>
        <v/>
      </c>
      <c r="M298" s="16" t="str">
        <f aca="false">IF(B298="","",IF(E298="Em ajustes",IF(N298=_xlfn.MINIFS($N$2:$N$5001,$B$2:$B$5001,B298,$E$2:$E$5001,"Em ajustes"),1,0),0))</f>
        <v/>
      </c>
      <c r="N298" s="17" t="str">
        <f aca="false">IF(A298="","",IF(ISNUMBER(A298),A298,IFERROR(DATE(VALUE(MID(A298,7,4)),VALUE(MID(A298,4,2)),VALUE(MID(A298,1,2)))+TIME(VALUE(MID(A298,12,2)),VALUE(MID(A298,15,2)),VALUE(MID(A298,18,2))),"")))</f>
        <v/>
      </c>
    </row>
    <row r="299" customFormat="false" ht="15" hidden="false" customHeight="false" outlineLevel="0" collapsed="false">
      <c r="I299" s="15" t="str">
        <f aca="false">IF(N299="","",INT(N299))</f>
        <v/>
      </c>
      <c r="J299" s="16" t="str">
        <f aca="false">IF(B299="","",IF(N299=_xlfn.MINIFS($N$2:$N$5001,$B$2:$B$5001,B299),1,0))</f>
        <v/>
      </c>
      <c r="K299" s="16" t="str">
        <f aca="false">IF(B299="","",IF(AND(D299="Formalização",E299="Concluído"),IF(COUNTIFS($B$2:$B$5001,B299,$E$2:$E$5001,"Em ajustes",$N$2:$N$5001,"&lt;"&amp;I299)&gt;0,1,0),0))</f>
        <v/>
      </c>
      <c r="L299" s="16" t="str">
        <f aca="false">IF(B299="","",IF(N299=_xlfn.MAXIFS($N$2:$N$5001,$B$2:$B$5001,B299,$I$2:$I$5001,I299),1,0))</f>
        <v/>
      </c>
      <c r="M299" s="16" t="str">
        <f aca="false">IF(B299="","",IF(E299="Em ajustes",IF(N299=_xlfn.MINIFS($N$2:$N$5001,$B$2:$B$5001,B299,$E$2:$E$5001,"Em ajustes"),1,0),0))</f>
        <v/>
      </c>
      <c r="N299" s="17" t="str">
        <f aca="false">IF(A299="","",IF(ISNUMBER(A299),A299,IFERROR(DATE(VALUE(MID(A299,7,4)),VALUE(MID(A299,4,2)),VALUE(MID(A299,1,2)))+TIME(VALUE(MID(A299,12,2)),VALUE(MID(A299,15,2)),VALUE(MID(A299,18,2))),"")))</f>
        <v/>
      </c>
    </row>
    <row r="300" customFormat="false" ht="15" hidden="false" customHeight="false" outlineLevel="0" collapsed="false">
      <c r="I300" s="15" t="str">
        <f aca="false">IF(N300="","",INT(N300))</f>
        <v/>
      </c>
      <c r="J300" s="16" t="str">
        <f aca="false">IF(B300="","",IF(N300=_xlfn.MINIFS($N$2:$N$5001,$B$2:$B$5001,B300),1,0))</f>
        <v/>
      </c>
      <c r="K300" s="16" t="str">
        <f aca="false">IF(B300="","",IF(AND(D300="Formalização",E300="Concluído"),IF(COUNTIFS($B$2:$B$5001,B300,$E$2:$E$5001,"Em ajustes",$N$2:$N$5001,"&lt;"&amp;I300)&gt;0,1,0),0))</f>
        <v/>
      </c>
      <c r="L300" s="16" t="str">
        <f aca="false">IF(B300="","",IF(N300=_xlfn.MAXIFS($N$2:$N$5001,$B$2:$B$5001,B300,$I$2:$I$5001,I300),1,0))</f>
        <v/>
      </c>
      <c r="M300" s="16" t="str">
        <f aca="false">IF(B300="","",IF(E300="Em ajustes",IF(N300=_xlfn.MINIFS($N$2:$N$5001,$B$2:$B$5001,B300,$E$2:$E$5001,"Em ajustes"),1,0),0))</f>
        <v/>
      </c>
      <c r="N300" s="17" t="str">
        <f aca="false">IF(A300="","",IF(ISNUMBER(A300),A300,IFERROR(DATE(VALUE(MID(A300,7,4)),VALUE(MID(A300,4,2)),VALUE(MID(A300,1,2)))+TIME(VALUE(MID(A300,12,2)),VALUE(MID(A300,15,2)),VALUE(MID(A300,18,2))),"")))</f>
        <v/>
      </c>
    </row>
    <row r="301" customFormat="false" ht="15" hidden="false" customHeight="false" outlineLevel="0" collapsed="false">
      <c r="I301" s="15" t="str">
        <f aca="false">IF(N301="","",INT(N301))</f>
        <v/>
      </c>
      <c r="J301" s="16" t="str">
        <f aca="false">IF(B301="","",IF(N301=_xlfn.MINIFS($N$2:$N$5001,$B$2:$B$5001,B301),1,0))</f>
        <v/>
      </c>
      <c r="K301" s="16" t="str">
        <f aca="false">IF(B301="","",IF(AND(D301="Formalização",E301="Concluído"),IF(COUNTIFS($B$2:$B$5001,B301,$E$2:$E$5001,"Em ajustes",$N$2:$N$5001,"&lt;"&amp;I301)&gt;0,1,0),0))</f>
        <v/>
      </c>
      <c r="L301" s="16" t="str">
        <f aca="false">IF(B301="","",IF(N301=_xlfn.MAXIFS($N$2:$N$5001,$B$2:$B$5001,B301,$I$2:$I$5001,I301),1,0))</f>
        <v/>
      </c>
      <c r="M301" s="16" t="str">
        <f aca="false">IF(B301="","",IF(E301="Em ajustes",IF(N301=_xlfn.MINIFS($N$2:$N$5001,$B$2:$B$5001,B301,$E$2:$E$5001,"Em ajustes"),1,0),0))</f>
        <v/>
      </c>
      <c r="N301" s="17" t="str">
        <f aca="false">IF(A301="","",IF(ISNUMBER(A301),A301,IFERROR(DATE(VALUE(MID(A301,7,4)),VALUE(MID(A301,4,2)),VALUE(MID(A301,1,2)))+TIME(VALUE(MID(A301,12,2)),VALUE(MID(A301,15,2)),VALUE(MID(A301,18,2))),"")))</f>
        <v/>
      </c>
    </row>
    <row r="302" customFormat="false" ht="15" hidden="false" customHeight="false" outlineLevel="0" collapsed="false">
      <c r="I302" s="15" t="str">
        <f aca="false">IF(N302="","",INT(N302))</f>
        <v/>
      </c>
      <c r="J302" s="16" t="str">
        <f aca="false">IF(B302="","",IF(N302=_xlfn.MINIFS($N$2:$N$5001,$B$2:$B$5001,B302),1,0))</f>
        <v/>
      </c>
      <c r="K302" s="16" t="str">
        <f aca="false">IF(B302="","",IF(AND(D302="Formalização",E302="Concluído"),IF(COUNTIFS($B$2:$B$5001,B302,$E$2:$E$5001,"Em ajustes",$N$2:$N$5001,"&lt;"&amp;I302)&gt;0,1,0),0))</f>
        <v/>
      </c>
      <c r="L302" s="16" t="str">
        <f aca="false">IF(B302="","",IF(N302=_xlfn.MAXIFS($N$2:$N$5001,$B$2:$B$5001,B302,$I$2:$I$5001,I302),1,0))</f>
        <v/>
      </c>
      <c r="M302" s="16" t="str">
        <f aca="false">IF(B302="","",IF(E302="Em ajustes",IF(N302=_xlfn.MINIFS($N$2:$N$5001,$B$2:$B$5001,B302,$E$2:$E$5001,"Em ajustes"),1,0),0))</f>
        <v/>
      </c>
      <c r="N302" s="17" t="str">
        <f aca="false">IF(A302="","",IF(ISNUMBER(A302),A302,IFERROR(DATE(VALUE(MID(A302,7,4)),VALUE(MID(A302,4,2)),VALUE(MID(A302,1,2)))+TIME(VALUE(MID(A302,12,2)),VALUE(MID(A302,15,2)),VALUE(MID(A302,18,2))),"")))</f>
        <v/>
      </c>
    </row>
    <row r="303" customFormat="false" ht="15" hidden="false" customHeight="false" outlineLevel="0" collapsed="false">
      <c r="I303" s="15" t="str">
        <f aca="false">IF(N303="","",INT(N303))</f>
        <v/>
      </c>
      <c r="J303" s="16" t="str">
        <f aca="false">IF(B303="","",IF(N303=_xlfn.MINIFS($N$2:$N$5001,$B$2:$B$5001,B303),1,0))</f>
        <v/>
      </c>
      <c r="K303" s="16" t="str">
        <f aca="false">IF(B303="","",IF(AND(D303="Formalização",E303="Concluído"),IF(COUNTIFS($B$2:$B$5001,B303,$E$2:$E$5001,"Em ajustes",$N$2:$N$5001,"&lt;"&amp;I303)&gt;0,1,0),0))</f>
        <v/>
      </c>
      <c r="L303" s="16" t="str">
        <f aca="false">IF(B303="","",IF(N303=_xlfn.MAXIFS($N$2:$N$5001,$B$2:$B$5001,B303,$I$2:$I$5001,I303),1,0))</f>
        <v/>
      </c>
      <c r="M303" s="16" t="str">
        <f aca="false">IF(B303="","",IF(E303="Em ajustes",IF(N303=_xlfn.MINIFS($N$2:$N$5001,$B$2:$B$5001,B303,$E$2:$E$5001,"Em ajustes"),1,0),0))</f>
        <v/>
      </c>
      <c r="N303" s="17" t="str">
        <f aca="false">IF(A303="","",IF(ISNUMBER(A303),A303,IFERROR(DATE(VALUE(MID(A303,7,4)),VALUE(MID(A303,4,2)),VALUE(MID(A303,1,2)))+TIME(VALUE(MID(A303,12,2)),VALUE(MID(A303,15,2)),VALUE(MID(A303,18,2))),"")))</f>
        <v/>
      </c>
    </row>
    <row r="304" customFormat="false" ht="15" hidden="false" customHeight="false" outlineLevel="0" collapsed="false">
      <c r="I304" s="15" t="str">
        <f aca="false">IF(N304="","",INT(N304))</f>
        <v/>
      </c>
      <c r="J304" s="16" t="str">
        <f aca="false">IF(B304="","",IF(N304=_xlfn.MINIFS($N$2:$N$5001,$B$2:$B$5001,B304),1,0))</f>
        <v/>
      </c>
      <c r="K304" s="16" t="str">
        <f aca="false">IF(B304="","",IF(AND(D304="Formalização",E304="Concluído"),IF(COUNTIFS($B$2:$B$5001,B304,$E$2:$E$5001,"Em ajustes",$N$2:$N$5001,"&lt;"&amp;I304)&gt;0,1,0),0))</f>
        <v/>
      </c>
      <c r="L304" s="16" t="str">
        <f aca="false">IF(B304="","",IF(N304=_xlfn.MAXIFS($N$2:$N$5001,$B$2:$B$5001,B304,$I$2:$I$5001,I304),1,0))</f>
        <v/>
      </c>
      <c r="M304" s="16" t="str">
        <f aca="false">IF(B304="","",IF(E304="Em ajustes",IF(N304=_xlfn.MINIFS($N$2:$N$5001,$B$2:$B$5001,B304,$E$2:$E$5001,"Em ajustes"),1,0),0))</f>
        <v/>
      </c>
      <c r="N304" s="17" t="str">
        <f aca="false">IF(A304="","",IF(ISNUMBER(A304),A304,IFERROR(DATE(VALUE(MID(A304,7,4)),VALUE(MID(A304,4,2)),VALUE(MID(A304,1,2)))+TIME(VALUE(MID(A304,12,2)),VALUE(MID(A304,15,2)),VALUE(MID(A304,18,2))),"")))</f>
        <v/>
      </c>
    </row>
    <row r="305" customFormat="false" ht="15" hidden="false" customHeight="false" outlineLevel="0" collapsed="false">
      <c r="I305" s="15" t="str">
        <f aca="false">IF(N305="","",INT(N305))</f>
        <v/>
      </c>
      <c r="J305" s="16" t="str">
        <f aca="false">IF(B305="","",IF(N305=_xlfn.MINIFS($N$2:$N$5001,$B$2:$B$5001,B305),1,0))</f>
        <v/>
      </c>
      <c r="K305" s="16" t="str">
        <f aca="false">IF(B305="","",IF(AND(D305="Formalização",E305="Concluído"),IF(COUNTIFS($B$2:$B$5001,B305,$E$2:$E$5001,"Em ajustes",$N$2:$N$5001,"&lt;"&amp;I305)&gt;0,1,0),0))</f>
        <v/>
      </c>
      <c r="L305" s="16" t="str">
        <f aca="false">IF(B305="","",IF(N305=_xlfn.MAXIFS($N$2:$N$5001,$B$2:$B$5001,B305,$I$2:$I$5001,I305),1,0))</f>
        <v/>
      </c>
      <c r="M305" s="16" t="str">
        <f aca="false">IF(B305="","",IF(E305="Em ajustes",IF(N305=_xlfn.MINIFS($N$2:$N$5001,$B$2:$B$5001,B305,$E$2:$E$5001,"Em ajustes"),1,0),0))</f>
        <v/>
      </c>
      <c r="N305" s="17" t="str">
        <f aca="false">IF(A305="","",IF(ISNUMBER(A305),A305,IFERROR(DATE(VALUE(MID(A305,7,4)),VALUE(MID(A305,4,2)),VALUE(MID(A305,1,2)))+TIME(VALUE(MID(A305,12,2)),VALUE(MID(A305,15,2)),VALUE(MID(A305,18,2))),"")))</f>
        <v/>
      </c>
    </row>
    <row r="306" customFormat="false" ht="15" hidden="false" customHeight="false" outlineLevel="0" collapsed="false">
      <c r="I306" s="15" t="str">
        <f aca="false">IF(N306="","",INT(N306))</f>
        <v/>
      </c>
      <c r="J306" s="16" t="str">
        <f aca="false">IF(B306="","",IF(N306=_xlfn.MINIFS($N$2:$N$5001,$B$2:$B$5001,B306),1,0))</f>
        <v/>
      </c>
      <c r="K306" s="16" t="str">
        <f aca="false">IF(B306="","",IF(AND(D306="Formalização",E306="Concluído"),IF(COUNTIFS($B$2:$B$5001,B306,$E$2:$E$5001,"Em ajustes",$N$2:$N$5001,"&lt;"&amp;I306)&gt;0,1,0),0))</f>
        <v/>
      </c>
      <c r="L306" s="16" t="str">
        <f aca="false">IF(B306="","",IF(N306=_xlfn.MAXIFS($N$2:$N$5001,$B$2:$B$5001,B306,$I$2:$I$5001,I306),1,0))</f>
        <v/>
      </c>
      <c r="M306" s="16" t="str">
        <f aca="false">IF(B306="","",IF(E306="Em ajustes",IF(N306=_xlfn.MINIFS($N$2:$N$5001,$B$2:$B$5001,B306,$E$2:$E$5001,"Em ajustes"),1,0),0))</f>
        <v/>
      </c>
      <c r="N306" s="17" t="str">
        <f aca="false">IF(A306="","",IF(ISNUMBER(A306),A306,IFERROR(DATE(VALUE(MID(A306,7,4)),VALUE(MID(A306,4,2)),VALUE(MID(A306,1,2)))+TIME(VALUE(MID(A306,12,2)),VALUE(MID(A306,15,2)),VALUE(MID(A306,18,2))),"")))</f>
        <v/>
      </c>
    </row>
    <row r="307" customFormat="false" ht="15" hidden="false" customHeight="false" outlineLevel="0" collapsed="false">
      <c r="I307" s="15" t="str">
        <f aca="false">IF(N307="","",INT(N307))</f>
        <v/>
      </c>
      <c r="J307" s="16" t="str">
        <f aca="false">IF(B307="","",IF(N307=_xlfn.MINIFS($N$2:$N$5001,$B$2:$B$5001,B307),1,0))</f>
        <v/>
      </c>
      <c r="K307" s="16" t="str">
        <f aca="false">IF(B307="","",IF(AND(D307="Formalização",E307="Concluído"),IF(COUNTIFS($B$2:$B$5001,B307,$E$2:$E$5001,"Em ajustes",$N$2:$N$5001,"&lt;"&amp;I307)&gt;0,1,0),0))</f>
        <v/>
      </c>
      <c r="L307" s="16" t="str">
        <f aca="false">IF(B307="","",IF(N307=_xlfn.MAXIFS($N$2:$N$5001,$B$2:$B$5001,B307,$I$2:$I$5001,I307),1,0))</f>
        <v/>
      </c>
      <c r="M307" s="16" t="str">
        <f aca="false">IF(B307="","",IF(E307="Em ajustes",IF(N307=_xlfn.MINIFS($N$2:$N$5001,$B$2:$B$5001,B307,$E$2:$E$5001,"Em ajustes"),1,0),0))</f>
        <v/>
      </c>
      <c r="N307" s="17" t="str">
        <f aca="false">IF(A307="","",IF(ISNUMBER(A307),A307,IFERROR(DATE(VALUE(MID(A307,7,4)),VALUE(MID(A307,4,2)),VALUE(MID(A307,1,2)))+TIME(VALUE(MID(A307,12,2)),VALUE(MID(A307,15,2)),VALUE(MID(A307,18,2))),"")))</f>
        <v/>
      </c>
    </row>
    <row r="308" customFormat="false" ht="15" hidden="false" customHeight="false" outlineLevel="0" collapsed="false">
      <c r="I308" s="15" t="str">
        <f aca="false">IF(N308="","",INT(N308))</f>
        <v/>
      </c>
      <c r="J308" s="16" t="str">
        <f aca="false">IF(B308="","",IF(N308=_xlfn.MINIFS($N$2:$N$5001,$B$2:$B$5001,B308),1,0))</f>
        <v/>
      </c>
      <c r="K308" s="16" t="str">
        <f aca="false">IF(B308="","",IF(AND(D308="Formalização",E308="Concluído"),IF(COUNTIFS($B$2:$B$5001,B308,$E$2:$E$5001,"Em ajustes",$N$2:$N$5001,"&lt;"&amp;I308)&gt;0,1,0),0))</f>
        <v/>
      </c>
      <c r="L308" s="16" t="str">
        <f aca="false">IF(B308="","",IF(N308=_xlfn.MAXIFS($N$2:$N$5001,$B$2:$B$5001,B308,$I$2:$I$5001,I308),1,0))</f>
        <v/>
      </c>
      <c r="M308" s="16" t="str">
        <f aca="false">IF(B308="","",IF(E308="Em ajustes",IF(N308=_xlfn.MINIFS($N$2:$N$5001,$B$2:$B$5001,B308,$E$2:$E$5001,"Em ajustes"),1,0),0))</f>
        <v/>
      </c>
      <c r="N308" s="17" t="str">
        <f aca="false">IF(A308="","",IF(ISNUMBER(A308),A308,IFERROR(DATE(VALUE(MID(A308,7,4)),VALUE(MID(A308,4,2)),VALUE(MID(A308,1,2)))+TIME(VALUE(MID(A308,12,2)),VALUE(MID(A308,15,2)),VALUE(MID(A308,18,2))),"")))</f>
        <v/>
      </c>
    </row>
    <row r="309" customFormat="false" ht="15" hidden="false" customHeight="false" outlineLevel="0" collapsed="false">
      <c r="I309" s="15" t="str">
        <f aca="false">IF(N309="","",INT(N309))</f>
        <v/>
      </c>
      <c r="J309" s="16" t="str">
        <f aca="false">IF(B309="","",IF(N309=_xlfn.MINIFS($N$2:$N$5001,$B$2:$B$5001,B309),1,0))</f>
        <v/>
      </c>
      <c r="K309" s="16" t="str">
        <f aca="false">IF(B309="","",IF(AND(D309="Formalização",E309="Concluído"),IF(COUNTIFS($B$2:$B$5001,B309,$E$2:$E$5001,"Em ajustes",$N$2:$N$5001,"&lt;"&amp;I309)&gt;0,1,0),0))</f>
        <v/>
      </c>
      <c r="L309" s="16" t="str">
        <f aca="false">IF(B309="","",IF(N309=_xlfn.MAXIFS($N$2:$N$5001,$B$2:$B$5001,B309,$I$2:$I$5001,I309),1,0))</f>
        <v/>
      </c>
      <c r="M309" s="16" t="str">
        <f aca="false">IF(B309="","",IF(E309="Em ajustes",IF(N309=_xlfn.MINIFS($N$2:$N$5001,$B$2:$B$5001,B309,$E$2:$E$5001,"Em ajustes"),1,0),0))</f>
        <v/>
      </c>
      <c r="N309" s="17" t="str">
        <f aca="false">IF(A309="","",IF(ISNUMBER(A309),A309,IFERROR(DATE(VALUE(MID(A309,7,4)),VALUE(MID(A309,4,2)),VALUE(MID(A309,1,2)))+TIME(VALUE(MID(A309,12,2)),VALUE(MID(A309,15,2)),VALUE(MID(A309,18,2))),"")))</f>
        <v/>
      </c>
    </row>
    <row r="310" customFormat="false" ht="15" hidden="false" customHeight="false" outlineLevel="0" collapsed="false">
      <c r="I310" s="15" t="str">
        <f aca="false">IF(N310="","",INT(N310))</f>
        <v/>
      </c>
      <c r="J310" s="16" t="str">
        <f aca="false">IF(B310="","",IF(N310=_xlfn.MINIFS($N$2:$N$5001,$B$2:$B$5001,B310),1,0))</f>
        <v/>
      </c>
      <c r="K310" s="16" t="str">
        <f aca="false">IF(B310="","",IF(AND(D310="Formalização",E310="Concluído"),IF(COUNTIFS($B$2:$B$5001,B310,$E$2:$E$5001,"Em ajustes",$N$2:$N$5001,"&lt;"&amp;I310)&gt;0,1,0),0))</f>
        <v/>
      </c>
      <c r="L310" s="16" t="str">
        <f aca="false">IF(B310="","",IF(N310=_xlfn.MAXIFS($N$2:$N$5001,$B$2:$B$5001,B310,$I$2:$I$5001,I310),1,0))</f>
        <v/>
      </c>
      <c r="M310" s="16" t="str">
        <f aca="false">IF(B310="","",IF(E310="Em ajustes",IF(N310=_xlfn.MINIFS($N$2:$N$5001,$B$2:$B$5001,B310,$E$2:$E$5001,"Em ajustes"),1,0),0))</f>
        <v/>
      </c>
      <c r="N310" s="17" t="str">
        <f aca="false">IF(A310="","",IF(ISNUMBER(A310),A310,IFERROR(DATE(VALUE(MID(A310,7,4)),VALUE(MID(A310,4,2)),VALUE(MID(A310,1,2)))+TIME(VALUE(MID(A310,12,2)),VALUE(MID(A310,15,2)),VALUE(MID(A310,18,2))),"")))</f>
        <v/>
      </c>
    </row>
    <row r="311" customFormat="false" ht="15" hidden="false" customHeight="false" outlineLevel="0" collapsed="false">
      <c r="I311" s="15" t="str">
        <f aca="false">IF(N311="","",INT(N311))</f>
        <v/>
      </c>
      <c r="J311" s="16" t="str">
        <f aca="false">IF(B311="","",IF(N311=_xlfn.MINIFS($N$2:$N$5001,$B$2:$B$5001,B311),1,0))</f>
        <v/>
      </c>
      <c r="K311" s="16" t="str">
        <f aca="false">IF(B311="","",IF(AND(D311="Formalização",E311="Concluído"),IF(COUNTIFS($B$2:$B$5001,B311,$E$2:$E$5001,"Em ajustes",$N$2:$N$5001,"&lt;"&amp;I311)&gt;0,1,0),0))</f>
        <v/>
      </c>
      <c r="L311" s="16" t="str">
        <f aca="false">IF(B311="","",IF(N311=_xlfn.MAXIFS($N$2:$N$5001,$B$2:$B$5001,B311,$I$2:$I$5001,I311),1,0))</f>
        <v/>
      </c>
      <c r="M311" s="16" t="str">
        <f aca="false">IF(B311="","",IF(E311="Em ajustes",IF(N311=_xlfn.MINIFS($N$2:$N$5001,$B$2:$B$5001,B311,$E$2:$E$5001,"Em ajustes"),1,0),0))</f>
        <v/>
      </c>
      <c r="N311" s="17" t="str">
        <f aca="false">IF(A311="","",IF(ISNUMBER(A311),A311,IFERROR(DATE(VALUE(MID(A311,7,4)),VALUE(MID(A311,4,2)),VALUE(MID(A311,1,2)))+TIME(VALUE(MID(A311,12,2)),VALUE(MID(A311,15,2)),VALUE(MID(A311,18,2))),"")))</f>
        <v/>
      </c>
    </row>
    <row r="312" customFormat="false" ht="15" hidden="false" customHeight="false" outlineLevel="0" collapsed="false">
      <c r="I312" s="15" t="str">
        <f aca="false">IF(N312="","",INT(N312))</f>
        <v/>
      </c>
      <c r="J312" s="16" t="str">
        <f aca="false">IF(B312="","",IF(N312=_xlfn.MINIFS($N$2:$N$5001,$B$2:$B$5001,B312),1,0))</f>
        <v/>
      </c>
      <c r="K312" s="16" t="str">
        <f aca="false">IF(B312="","",IF(AND(D312="Formalização",E312="Concluído"),IF(COUNTIFS($B$2:$B$5001,B312,$E$2:$E$5001,"Em ajustes",$N$2:$N$5001,"&lt;"&amp;I312)&gt;0,1,0),0))</f>
        <v/>
      </c>
      <c r="L312" s="16" t="str">
        <f aca="false">IF(B312="","",IF(N312=_xlfn.MAXIFS($N$2:$N$5001,$B$2:$B$5001,B312,$I$2:$I$5001,I312),1,0))</f>
        <v/>
      </c>
      <c r="M312" s="16" t="str">
        <f aca="false">IF(B312="","",IF(E312="Em ajustes",IF(N312=_xlfn.MINIFS($N$2:$N$5001,$B$2:$B$5001,B312,$E$2:$E$5001,"Em ajustes"),1,0),0))</f>
        <v/>
      </c>
      <c r="N312" s="17" t="str">
        <f aca="false">IF(A312="","",IF(ISNUMBER(A312),A312,IFERROR(DATE(VALUE(MID(A312,7,4)),VALUE(MID(A312,4,2)),VALUE(MID(A312,1,2)))+TIME(VALUE(MID(A312,12,2)),VALUE(MID(A312,15,2)),VALUE(MID(A312,18,2))),"")))</f>
        <v/>
      </c>
    </row>
    <row r="313" customFormat="false" ht="15" hidden="false" customHeight="false" outlineLevel="0" collapsed="false">
      <c r="I313" s="15" t="str">
        <f aca="false">IF(N313="","",INT(N313))</f>
        <v/>
      </c>
      <c r="J313" s="16" t="str">
        <f aca="false">IF(B313="","",IF(N313=_xlfn.MINIFS($N$2:$N$5001,$B$2:$B$5001,B313),1,0))</f>
        <v/>
      </c>
      <c r="K313" s="16" t="str">
        <f aca="false">IF(B313="","",IF(AND(D313="Formalização",E313="Concluído"),IF(COUNTIFS($B$2:$B$5001,B313,$E$2:$E$5001,"Em ajustes",$N$2:$N$5001,"&lt;"&amp;I313)&gt;0,1,0),0))</f>
        <v/>
      </c>
      <c r="L313" s="16" t="str">
        <f aca="false">IF(B313="","",IF(N313=_xlfn.MAXIFS($N$2:$N$5001,$B$2:$B$5001,B313,$I$2:$I$5001,I313),1,0))</f>
        <v/>
      </c>
      <c r="M313" s="16" t="str">
        <f aca="false">IF(B313="","",IF(E313="Em ajustes",IF(N313=_xlfn.MINIFS($N$2:$N$5001,$B$2:$B$5001,B313,$E$2:$E$5001,"Em ajustes"),1,0),0))</f>
        <v/>
      </c>
      <c r="N313" s="17" t="str">
        <f aca="false">IF(A313="","",IF(ISNUMBER(A313),A313,IFERROR(DATE(VALUE(MID(A313,7,4)),VALUE(MID(A313,4,2)),VALUE(MID(A313,1,2)))+TIME(VALUE(MID(A313,12,2)),VALUE(MID(A313,15,2)),VALUE(MID(A313,18,2))),"")))</f>
        <v/>
      </c>
    </row>
    <row r="314" customFormat="false" ht="15" hidden="false" customHeight="false" outlineLevel="0" collapsed="false">
      <c r="I314" s="15" t="str">
        <f aca="false">IF(N314="","",INT(N314))</f>
        <v/>
      </c>
      <c r="J314" s="16" t="str">
        <f aca="false">IF(B314="","",IF(N314=_xlfn.MINIFS($N$2:$N$5001,$B$2:$B$5001,B314),1,0))</f>
        <v/>
      </c>
      <c r="K314" s="16" t="str">
        <f aca="false">IF(B314="","",IF(AND(D314="Formalização",E314="Concluído"),IF(COUNTIFS($B$2:$B$5001,B314,$E$2:$E$5001,"Em ajustes",$N$2:$N$5001,"&lt;"&amp;I314)&gt;0,1,0),0))</f>
        <v/>
      </c>
      <c r="L314" s="16" t="str">
        <f aca="false">IF(B314="","",IF(N314=_xlfn.MAXIFS($N$2:$N$5001,$B$2:$B$5001,B314,$I$2:$I$5001,I314),1,0))</f>
        <v/>
      </c>
      <c r="M314" s="16" t="str">
        <f aca="false">IF(B314="","",IF(E314="Em ajustes",IF(N314=_xlfn.MINIFS($N$2:$N$5001,$B$2:$B$5001,B314,$E$2:$E$5001,"Em ajustes"),1,0),0))</f>
        <v/>
      </c>
      <c r="N314" s="17" t="str">
        <f aca="false">IF(A314="","",IF(ISNUMBER(A314),A314,IFERROR(DATE(VALUE(MID(A314,7,4)),VALUE(MID(A314,4,2)),VALUE(MID(A314,1,2)))+TIME(VALUE(MID(A314,12,2)),VALUE(MID(A314,15,2)),VALUE(MID(A314,18,2))),"")))</f>
        <v/>
      </c>
    </row>
    <row r="315" customFormat="false" ht="15" hidden="false" customHeight="false" outlineLevel="0" collapsed="false">
      <c r="I315" s="15" t="str">
        <f aca="false">IF(N315="","",INT(N315))</f>
        <v/>
      </c>
      <c r="J315" s="16" t="str">
        <f aca="false">IF(B315="","",IF(N315=_xlfn.MINIFS($N$2:$N$5001,$B$2:$B$5001,B315),1,0))</f>
        <v/>
      </c>
      <c r="K315" s="16" t="str">
        <f aca="false">IF(B315="","",IF(AND(D315="Formalização",E315="Concluído"),IF(COUNTIFS($B$2:$B$5001,B315,$E$2:$E$5001,"Em ajustes",$N$2:$N$5001,"&lt;"&amp;I315)&gt;0,1,0),0))</f>
        <v/>
      </c>
      <c r="L315" s="16" t="str">
        <f aca="false">IF(B315="","",IF(N315=_xlfn.MAXIFS($N$2:$N$5001,$B$2:$B$5001,B315,$I$2:$I$5001,I315),1,0))</f>
        <v/>
      </c>
      <c r="M315" s="16" t="str">
        <f aca="false">IF(B315="","",IF(E315="Em ajustes",IF(N315=_xlfn.MINIFS($N$2:$N$5001,$B$2:$B$5001,B315,$E$2:$E$5001,"Em ajustes"),1,0),0))</f>
        <v/>
      </c>
      <c r="N315" s="17" t="str">
        <f aca="false">IF(A315="","",IF(ISNUMBER(A315),A315,IFERROR(DATE(VALUE(MID(A315,7,4)),VALUE(MID(A315,4,2)),VALUE(MID(A315,1,2)))+TIME(VALUE(MID(A315,12,2)),VALUE(MID(A315,15,2)),VALUE(MID(A315,18,2))),"")))</f>
        <v/>
      </c>
    </row>
    <row r="316" customFormat="false" ht="15" hidden="false" customHeight="false" outlineLevel="0" collapsed="false">
      <c r="I316" s="15" t="str">
        <f aca="false">IF(N316="","",INT(N316))</f>
        <v/>
      </c>
      <c r="J316" s="16" t="str">
        <f aca="false">IF(B316="","",IF(N316=_xlfn.MINIFS($N$2:$N$5001,$B$2:$B$5001,B316),1,0))</f>
        <v/>
      </c>
      <c r="K316" s="16" t="str">
        <f aca="false">IF(B316="","",IF(AND(D316="Formalização",E316="Concluído"),IF(COUNTIFS($B$2:$B$5001,B316,$E$2:$E$5001,"Em ajustes",$N$2:$N$5001,"&lt;"&amp;I316)&gt;0,1,0),0))</f>
        <v/>
      </c>
      <c r="L316" s="16" t="str">
        <f aca="false">IF(B316="","",IF(N316=_xlfn.MAXIFS($N$2:$N$5001,$B$2:$B$5001,B316,$I$2:$I$5001,I316),1,0))</f>
        <v/>
      </c>
      <c r="M316" s="16" t="str">
        <f aca="false">IF(B316="","",IF(E316="Em ajustes",IF(N316=_xlfn.MINIFS($N$2:$N$5001,$B$2:$B$5001,B316,$E$2:$E$5001,"Em ajustes"),1,0),0))</f>
        <v/>
      </c>
      <c r="N316" s="17" t="str">
        <f aca="false">IF(A316="","",IF(ISNUMBER(A316),A316,IFERROR(DATE(VALUE(MID(A316,7,4)),VALUE(MID(A316,4,2)),VALUE(MID(A316,1,2)))+TIME(VALUE(MID(A316,12,2)),VALUE(MID(A316,15,2)),VALUE(MID(A316,18,2))),"")))</f>
        <v/>
      </c>
    </row>
    <row r="317" customFormat="false" ht="15" hidden="false" customHeight="false" outlineLevel="0" collapsed="false">
      <c r="I317" s="15" t="str">
        <f aca="false">IF(N317="","",INT(N317))</f>
        <v/>
      </c>
      <c r="J317" s="16" t="str">
        <f aca="false">IF(B317="","",IF(N317=_xlfn.MINIFS($N$2:$N$5001,$B$2:$B$5001,B317),1,0))</f>
        <v/>
      </c>
      <c r="K317" s="16" t="str">
        <f aca="false">IF(B317="","",IF(AND(D317="Formalização",E317="Concluído"),IF(COUNTIFS($B$2:$B$5001,B317,$E$2:$E$5001,"Em ajustes",$N$2:$N$5001,"&lt;"&amp;I317)&gt;0,1,0),0))</f>
        <v/>
      </c>
      <c r="L317" s="16" t="str">
        <f aca="false">IF(B317="","",IF(N317=_xlfn.MAXIFS($N$2:$N$5001,$B$2:$B$5001,B317,$I$2:$I$5001,I317),1,0))</f>
        <v/>
      </c>
      <c r="M317" s="16" t="str">
        <f aca="false">IF(B317="","",IF(E317="Em ajustes",IF(N317=_xlfn.MINIFS($N$2:$N$5001,$B$2:$B$5001,B317,$E$2:$E$5001,"Em ajustes"),1,0),0))</f>
        <v/>
      </c>
      <c r="N317" s="17" t="str">
        <f aca="false">IF(A317="","",IF(ISNUMBER(A317),A317,IFERROR(DATE(VALUE(MID(A317,7,4)),VALUE(MID(A317,4,2)),VALUE(MID(A317,1,2)))+TIME(VALUE(MID(A317,12,2)),VALUE(MID(A317,15,2)),VALUE(MID(A317,18,2))),"")))</f>
        <v/>
      </c>
    </row>
    <row r="318" customFormat="false" ht="15" hidden="false" customHeight="false" outlineLevel="0" collapsed="false">
      <c r="I318" s="15" t="str">
        <f aca="false">IF(N318="","",INT(N318))</f>
        <v/>
      </c>
      <c r="J318" s="16" t="str">
        <f aca="false">IF(B318="","",IF(N318=_xlfn.MINIFS($N$2:$N$5001,$B$2:$B$5001,B318),1,0))</f>
        <v/>
      </c>
      <c r="K318" s="16" t="str">
        <f aca="false">IF(B318="","",IF(AND(D318="Formalização",E318="Concluído"),IF(COUNTIFS($B$2:$B$5001,B318,$E$2:$E$5001,"Em ajustes",$N$2:$N$5001,"&lt;"&amp;I318)&gt;0,1,0),0))</f>
        <v/>
      </c>
      <c r="L318" s="16" t="str">
        <f aca="false">IF(B318="","",IF(N318=_xlfn.MAXIFS($N$2:$N$5001,$B$2:$B$5001,B318,$I$2:$I$5001,I318),1,0))</f>
        <v/>
      </c>
      <c r="M318" s="16" t="str">
        <f aca="false">IF(B318="","",IF(E318="Em ajustes",IF(N318=_xlfn.MINIFS($N$2:$N$5001,$B$2:$B$5001,B318,$E$2:$E$5001,"Em ajustes"),1,0),0))</f>
        <v/>
      </c>
      <c r="N318" s="17" t="str">
        <f aca="false">IF(A318="","",IF(ISNUMBER(A318),A318,IFERROR(DATE(VALUE(MID(A318,7,4)),VALUE(MID(A318,4,2)),VALUE(MID(A318,1,2)))+TIME(VALUE(MID(A318,12,2)),VALUE(MID(A318,15,2)),VALUE(MID(A318,18,2))),"")))</f>
        <v/>
      </c>
    </row>
    <row r="319" customFormat="false" ht="15" hidden="false" customHeight="false" outlineLevel="0" collapsed="false">
      <c r="I319" s="15" t="str">
        <f aca="false">IF(N319="","",INT(N319))</f>
        <v/>
      </c>
      <c r="J319" s="16" t="str">
        <f aca="false">IF(B319="","",IF(N319=_xlfn.MINIFS($N$2:$N$5001,$B$2:$B$5001,B319),1,0))</f>
        <v/>
      </c>
      <c r="K319" s="16" t="str">
        <f aca="false">IF(B319="","",IF(AND(D319="Formalização",E319="Concluído"),IF(COUNTIFS($B$2:$B$5001,B319,$E$2:$E$5001,"Em ajustes",$N$2:$N$5001,"&lt;"&amp;I319)&gt;0,1,0),0))</f>
        <v/>
      </c>
      <c r="L319" s="16" t="str">
        <f aca="false">IF(B319="","",IF(N319=_xlfn.MAXIFS($N$2:$N$5001,$B$2:$B$5001,B319,$I$2:$I$5001,I319),1,0))</f>
        <v/>
      </c>
      <c r="M319" s="16" t="str">
        <f aca="false">IF(B319="","",IF(E319="Em ajustes",IF(N319=_xlfn.MINIFS($N$2:$N$5001,$B$2:$B$5001,B319,$E$2:$E$5001,"Em ajustes"),1,0),0))</f>
        <v/>
      </c>
      <c r="N319" s="17" t="str">
        <f aca="false">IF(A319="","",IF(ISNUMBER(A319),A319,IFERROR(DATE(VALUE(MID(A319,7,4)),VALUE(MID(A319,4,2)),VALUE(MID(A319,1,2)))+TIME(VALUE(MID(A319,12,2)),VALUE(MID(A319,15,2)),VALUE(MID(A319,18,2))),"")))</f>
        <v/>
      </c>
    </row>
    <row r="320" customFormat="false" ht="15" hidden="false" customHeight="false" outlineLevel="0" collapsed="false">
      <c r="I320" s="15" t="str">
        <f aca="false">IF(N320="","",INT(N320))</f>
        <v/>
      </c>
      <c r="J320" s="16" t="str">
        <f aca="false">IF(B320="","",IF(N320=_xlfn.MINIFS($N$2:$N$5001,$B$2:$B$5001,B320),1,0))</f>
        <v/>
      </c>
      <c r="K320" s="16" t="str">
        <f aca="false">IF(B320="","",IF(AND(D320="Formalização",E320="Concluído"),IF(COUNTIFS($B$2:$B$5001,B320,$E$2:$E$5001,"Em ajustes",$N$2:$N$5001,"&lt;"&amp;I320)&gt;0,1,0),0))</f>
        <v/>
      </c>
      <c r="L320" s="16" t="str">
        <f aca="false">IF(B320="","",IF(N320=_xlfn.MAXIFS($N$2:$N$5001,$B$2:$B$5001,B320,$I$2:$I$5001,I320),1,0))</f>
        <v/>
      </c>
      <c r="M320" s="16" t="str">
        <f aca="false">IF(B320="","",IF(E320="Em ajustes",IF(N320=_xlfn.MINIFS($N$2:$N$5001,$B$2:$B$5001,B320,$E$2:$E$5001,"Em ajustes"),1,0),0))</f>
        <v/>
      </c>
      <c r="N320" s="17" t="str">
        <f aca="false">IF(A320="","",IF(ISNUMBER(A320),A320,IFERROR(DATE(VALUE(MID(A320,7,4)),VALUE(MID(A320,4,2)),VALUE(MID(A320,1,2)))+TIME(VALUE(MID(A320,12,2)),VALUE(MID(A320,15,2)),VALUE(MID(A320,18,2))),"")))</f>
        <v/>
      </c>
    </row>
    <row r="321" customFormat="false" ht="15" hidden="false" customHeight="false" outlineLevel="0" collapsed="false">
      <c r="I321" s="15" t="str">
        <f aca="false">IF(N321="","",INT(N321))</f>
        <v/>
      </c>
      <c r="J321" s="16" t="str">
        <f aca="false">IF(B321="","",IF(N321=_xlfn.MINIFS($N$2:$N$5001,$B$2:$B$5001,B321),1,0))</f>
        <v/>
      </c>
      <c r="K321" s="16" t="str">
        <f aca="false">IF(B321="","",IF(AND(D321="Formalização",E321="Concluído"),IF(COUNTIFS($B$2:$B$5001,B321,$E$2:$E$5001,"Em ajustes",$N$2:$N$5001,"&lt;"&amp;I321)&gt;0,1,0),0))</f>
        <v/>
      </c>
      <c r="L321" s="16" t="str">
        <f aca="false">IF(B321="","",IF(N321=_xlfn.MAXIFS($N$2:$N$5001,$B$2:$B$5001,B321,$I$2:$I$5001,I321),1,0))</f>
        <v/>
      </c>
      <c r="M321" s="16" t="str">
        <f aca="false">IF(B321="","",IF(E321="Em ajustes",IF(N321=_xlfn.MINIFS($N$2:$N$5001,$B$2:$B$5001,B321,$E$2:$E$5001,"Em ajustes"),1,0),0))</f>
        <v/>
      </c>
      <c r="N321" s="17" t="str">
        <f aca="false">IF(A321="","",IF(ISNUMBER(A321),A321,IFERROR(DATE(VALUE(MID(A321,7,4)),VALUE(MID(A321,4,2)),VALUE(MID(A321,1,2)))+TIME(VALUE(MID(A321,12,2)),VALUE(MID(A321,15,2)),VALUE(MID(A321,18,2))),"")))</f>
        <v/>
      </c>
    </row>
    <row r="322" customFormat="false" ht="15" hidden="false" customHeight="false" outlineLevel="0" collapsed="false">
      <c r="I322" s="15" t="str">
        <f aca="false">IF(N322="","",INT(N322))</f>
        <v/>
      </c>
      <c r="J322" s="16" t="str">
        <f aca="false">IF(B322="","",IF(N322=_xlfn.MINIFS($N$2:$N$5001,$B$2:$B$5001,B322),1,0))</f>
        <v/>
      </c>
      <c r="K322" s="16" t="str">
        <f aca="false">IF(B322="","",IF(AND(D322="Formalização",E322="Concluído"),IF(COUNTIFS($B$2:$B$5001,B322,$E$2:$E$5001,"Em ajustes",$N$2:$N$5001,"&lt;"&amp;I322)&gt;0,1,0),0))</f>
        <v/>
      </c>
      <c r="L322" s="16" t="str">
        <f aca="false">IF(B322="","",IF(N322=_xlfn.MAXIFS($N$2:$N$5001,$B$2:$B$5001,B322,$I$2:$I$5001,I322),1,0))</f>
        <v/>
      </c>
      <c r="M322" s="16" t="str">
        <f aca="false">IF(B322="","",IF(E322="Em ajustes",IF(N322=_xlfn.MINIFS($N$2:$N$5001,$B$2:$B$5001,B322,$E$2:$E$5001,"Em ajustes"),1,0),0))</f>
        <v/>
      </c>
      <c r="N322" s="17" t="str">
        <f aca="false">IF(A322="","",IF(ISNUMBER(A322),A322,IFERROR(DATE(VALUE(MID(A322,7,4)),VALUE(MID(A322,4,2)),VALUE(MID(A322,1,2)))+TIME(VALUE(MID(A322,12,2)),VALUE(MID(A322,15,2)),VALUE(MID(A322,18,2))),"")))</f>
        <v/>
      </c>
    </row>
    <row r="323" customFormat="false" ht="15" hidden="false" customHeight="false" outlineLevel="0" collapsed="false">
      <c r="I323" s="15" t="str">
        <f aca="false">IF(N323="","",INT(N323))</f>
        <v/>
      </c>
      <c r="J323" s="16" t="str">
        <f aca="false">IF(B323="","",IF(N323=_xlfn.MINIFS($N$2:$N$5001,$B$2:$B$5001,B323),1,0))</f>
        <v/>
      </c>
      <c r="K323" s="16" t="str">
        <f aca="false">IF(B323="","",IF(AND(D323="Formalização",E323="Concluído"),IF(COUNTIFS($B$2:$B$5001,B323,$E$2:$E$5001,"Em ajustes",$N$2:$N$5001,"&lt;"&amp;I323)&gt;0,1,0),0))</f>
        <v/>
      </c>
      <c r="L323" s="16" t="str">
        <f aca="false">IF(B323="","",IF(N323=_xlfn.MAXIFS($N$2:$N$5001,$B$2:$B$5001,B323,$I$2:$I$5001,I323),1,0))</f>
        <v/>
      </c>
      <c r="M323" s="16" t="str">
        <f aca="false">IF(B323="","",IF(E323="Em ajustes",IF(N323=_xlfn.MINIFS($N$2:$N$5001,$B$2:$B$5001,B323,$E$2:$E$5001,"Em ajustes"),1,0),0))</f>
        <v/>
      </c>
      <c r="N323" s="17" t="str">
        <f aca="false">IF(A323="","",IF(ISNUMBER(A323),A323,IFERROR(DATE(VALUE(MID(A323,7,4)),VALUE(MID(A323,4,2)),VALUE(MID(A323,1,2)))+TIME(VALUE(MID(A323,12,2)),VALUE(MID(A323,15,2)),VALUE(MID(A323,18,2))),"")))</f>
        <v/>
      </c>
    </row>
    <row r="324" customFormat="false" ht="15" hidden="false" customHeight="false" outlineLevel="0" collapsed="false">
      <c r="I324" s="15" t="str">
        <f aca="false">IF(N324="","",INT(N324))</f>
        <v/>
      </c>
      <c r="J324" s="16" t="str">
        <f aca="false">IF(B324="","",IF(N324=_xlfn.MINIFS($N$2:$N$5001,$B$2:$B$5001,B324),1,0))</f>
        <v/>
      </c>
      <c r="K324" s="16" t="str">
        <f aca="false">IF(B324="","",IF(AND(D324="Formalização",E324="Concluído"),IF(COUNTIFS($B$2:$B$5001,B324,$E$2:$E$5001,"Em ajustes",$N$2:$N$5001,"&lt;"&amp;I324)&gt;0,1,0),0))</f>
        <v/>
      </c>
      <c r="L324" s="16" t="str">
        <f aca="false">IF(B324="","",IF(N324=_xlfn.MAXIFS($N$2:$N$5001,$B$2:$B$5001,B324,$I$2:$I$5001,I324),1,0))</f>
        <v/>
      </c>
      <c r="M324" s="16" t="str">
        <f aca="false">IF(B324="","",IF(E324="Em ajustes",IF(N324=_xlfn.MINIFS($N$2:$N$5001,$B$2:$B$5001,B324,$E$2:$E$5001,"Em ajustes"),1,0),0))</f>
        <v/>
      </c>
      <c r="N324" s="17" t="str">
        <f aca="false">IF(A324="","",IF(ISNUMBER(A324),A324,IFERROR(DATE(VALUE(MID(A324,7,4)),VALUE(MID(A324,4,2)),VALUE(MID(A324,1,2)))+TIME(VALUE(MID(A324,12,2)),VALUE(MID(A324,15,2)),VALUE(MID(A324,18,2))),"")))</f>
        <v/>
      </c>
    </row>
    <row r="325" customFormat="false" ht="15" hidden="false" customHeight="false" outlineLevel="0" collapsed="false">
      <c r="I325" s="15" t="str">
        <f aca="false">IF(N325="","",INT(N325))</f>
        <v/>
      </c>
      <c r="J325" s="16" t="str">
        <f aca="false">IF(B325="","",IF(N325=_xlfn.MINIFS($N$2:$N$5001,$B$2:$B$5001,B325),1,0))</f>
        <v/>
      </c>
      <c r="K325" s="16" t="str">
        <f aca="false">IF(B325="","",IF(AND(D325="Formalização",E325="Concluído"),IF(COUNTIFS($B$2:$B$5001,B325,$E$2:$E$5001,"Em ajustes",$N$2:$N$5001,"&lt;"&amp;I325)&gt;0,1,0),0))</f>
        <v/>
      </c>
      <c r="L325" s="16" t="str">
        <f aca="false">IF(B325="","",IF(N325=_xlfn.MAXIFS($N$2:$N$5001,$B$2:$B$5001,B325,$I$2:$I$5001,I325),1,0))</f>
        <v/>
      </c>
      <c r="M325" s="16" t="str">
        <f aca="false">IF(B325="","",IF(E325="Em ajustes",IF(N325=_xlfn.MINIFS($N$2:$N$5001,$B$2:$B$5001,B325,$E$2:$E$5001,"Em ajustes"),1,0),0))</f>
        <v/>
      </c>
      <c r="N325" s="17" t="str">
        <f aca="false">IF(A325="","",IF(ISNUMBER(A325),A325,IFERROR(DATE(VALUE(MID(A325,7,4)),VALUE(MID(A325,4,2)),VALUE(MID(A325,1,2)))+TIME(VALUE(MID(A325,12,2)),VALUE(MID(A325,15,2)),VALUE(MID(A325,18,2))),"")))</f>
        <v/>
      </c>
    </row>
    <row r="326" customFormat="false" ht="15" hidden="false" customHeight="false" outlineLevel="0" collapsed="false">
      <c r="I326" s="15" t="str">
        <f aca="false">IF(N326="","",INT(N326))</f>
        <v/>
      </c>
      <c r="J326" s="16" t="str">
        <f aca="false">IF(B326="","",IF(N326=_xlfn.MINIFS($N$2:$N$5001,$B$2:$B$5001,B326),1,0))</f>
        <v/>
      </c>
      <c r="K326" s="16" t="str">
        <f aca="false">IF(B326="","",IF(AND(D326="Formalização",E326="Concluído"),IF(COUNTIFS($B$2:$B$5001,B326,$E$2:$E$5001,"Em ajustes",$N$2:$N$5001,"&lt;"&amp;I326)&gt;0,1,0),0))</f>
        <v/>
      </c>
      <c r="L326" s="16" t="str">
        <f aca="false">IF(B326="","",IF(N326=_xlfn.MAXIFS($N$2:$N$5001,$B$2:$B$5001,B326,$I$2:$I$5001,I326),1,0))</f>
        <v/>
      </c>
      <c r="M326" s="16" t="str">
        <f aca="false">IF(B326="","",IF(E326="Em ajustes",IF(N326=_xlfn.MINIFS($N$2:$N$5001,$B$2:$B$5001,B326,$E$2:$E$5001,"Em ajustes"),1,0),0))</f>
        <v/>
      </c>
      <c r="N326" s="17" t="str">
        <f aca="false">IF(A326="","",IF(ISNUMBER(A326),A326,IFERROR(DATE(VALUE(MID(A326,7,4)),VALUE(MID(A326,4,2)),VALUE(MID(A326,1,2)))+TIME(VALUE(MID(A326,12,2)),VALUE(MID(A326,15,2)),VALUE(MID(A326,18,2))),"")))</f>
        <v/>
      </c>
    </row>
    <row r="327" customFormat="false" ht="15" hidden="false" customHeight="false" outlineLevel="0" collapsed="false">
      <c r="I327" s="15" t="str">
        <f aca="false">IF(N327="","",INT(N327))</f>
        <v/>
      </c>
      <c r="J327" s="16" t="str">
        <f aca="false">IF(B327="","",IF(N327=_xlfn.MINIFS($N$2:$N$5001,$B$2:$B$5001,B327),1,0))</f>
        <v/>
      </c>
      <c r="K327" s="16" t="str">
        <f aca="false">IF(B327="","",IF(AND(D327="Formalização",E327="Concluído"),IF(COUNTIFS($B$2:$B$5001,B327,$E$2:$E$5001,"Em ajustes",$N$2:$N$5001,"&lt;"&amp;I327)&gt;0,1,0),0))</f>
        <v/>
      </c>
      <c r="L327" s="16" t="str">
        <f aca="false">IF(B327="","",IF(N327=_xlfn.MAXIFS($N$2:$N$5001,$B$2:$B$5001,B327,$I$2:$I$5001,I327),1,0))</f>
        <v/>
      </c>
      <c r="M327" s="16" t="str">
        <f aca="false">IF(B327="","",IF(E327="Em ajustes",IF(N327=_xlfn.MINIFS($N$2:$N$5001,$B$2:$B$5001,B327,$E$2:$E$5001,"Em ajustes"),1,0),0))</f>
        <v/>
      </c>
      <c r="N327" s="17" t="str">
        <f aca="false">IF(A327="","",IF(ISNUMBER(A327),A327,IFERROR(DATE(VALUE(MID(A327,7,4)),VALUE(MID(A327,4,2)),VALUE(MID(A327,1,2)))+TIME(VALUE(MID(A327,12,2)),VALUE(MID(A327,15,2)),VALUE(MID(A327,18,2))),"")))</f>
        <v/>
      </c>
    </row>
    <row r="328" customFormat="false" ht="15" hidden="false" customHeight="false" outlineLevel="0" collapsed="false">
      <c r="I328" s="15" t="str">
        <f aca="false">IF(N328="","",INT(N328))</f>
        <v/>
      </c>
      <c r="J328" s="16" t="str">
        <f aca="false">IF(B328="","",IF(N328=_xlfn.MINIFS($N$2:$N$5001,$B$2:$B$5001,B328),1,0))</f>
        <v/>
      </c>
      <c r="K328" s="16" t="str">
        <f aca="false">IF(B328="","",IF(AND(D328="Formalização",E328="Concluído"),IF(COUNTIFS($B$2:$B$5001,B328,$E$2:$E$5001,"Em ajustes",$N$2:$N$5001,"&lt;"&amp;I328)&gt;0,1,0),0))</f>
        <v/>
      </c>
      <c r="L328" s="16" t="str">
        <f aca="false">IF(B328="","",IF(N328=_xlfn.MAXIFS($N$2:$N$5001,$B$2:$B$5001,B328,$I$2:$I$5001,I328),1,0))</f>
        <v/>
      </c>
      <c r="M328" s="16" t="str">
        <f aca="false">IF(B328="","",IF(E328="Em ajustes",IF(N328=_xlfn.MINIFS($N$2:$N$5001,$B$2:$B$5001,B328,$E$2:$E$5001,"Em ajustes"),1,0),0))</f>
        <v/>
      </c>
      <c r="N328" s="17" t="str">
        <f aca="false">IF(A328="","",IF(ISNUMBER(A328),A328,IFERROR(DATE(VALUE(MID(A328,7,4)),VALUE(MID(A328,4,2)),VALUE(MID(A328,1,2)))+TIME(VALUE(MID(A328,12,2)),VALUE(MID(A328,15,2)),VALUE(MID(A328,18,2))),"")))</f>
        <v/>
      </c>
    </row>
    <row r="329" customFormat="false" ht="15" hidden="false" customHeight="false" outlineLevel="0" collapsed="false">
      <c r="I329" s="15" t="str">
        <f aca="false">IF(N329="","",INT(N329))</f>
        <v/>
      </c>
      <c r="J329" s="16" t="str">
        <f aca="false">IF(B329="","",IF(N329=_xlfn.MINIFS($N$2:$N$5001,$B$2:$B$5001,B329),1,0))</f>
        <v/>
      </c>
      <c r="K329" s="16" t="str">
        <f aca="false">IF(B329="","",IF(AND(D329="Formalização",E329="Concluído"),IF(COUNTIFS($B$2:$B$5001,B329,$E$2:$E$5001,"Em ajustes",$N$2:$N$5001,"&lt;"&amp;I329)&gt;0,1,0),0))</f>
        <v/>
      </c>
      <c r="L329" s="16" t="str">
        <f aca="false">IF(B329="","",IF(N329=_xlfn.MAXIFS($N$2:$N$5001,$B$2:$B$5001,B329,$I$2:$I$5001,I329),1,0))</f>
        <v/>
      </c>
      <c r="M329" s="16" t="str">
        <f aca="false">IF(B329="","",IF(E329="Em ajustes",IF(N329=_xlfn.MINIFS($N$2:$N$5001,$B$2:$B$5001,B329,$E$2:$E$5001,"Em ajustes"),1,0),0))</f>
        <v/>
      </c>
      <c r="N329" s="17" t="str">
        <f aca="false">IF(A329="","",IF(ISNUMBER(A329),A329,IFERROR(DATE(VALUE(MID(A329,7,4)),VALUE(MID(A329,4,2)),VALUE(MID(A329,1,2)))+TIME(VALUE(MID(A329,12,2)),VALUE(MID(A329,15,2)),VALUE(MID(A329,18,2))),"")))</f>
        <v/>
      </c>
    </row>
    <row r="330" customFormat="false" ht="15" hidden="false" customHeight="false" outlineLevel="0" collapsed="false">
      <c r="I330" s="15" t="str">
        <f aca="false">IF(N330="","",INT(N330))</f>
        <v/>
      </c>
      <c r="J330" s="16" t="str">
        <f aca="false">IF(B330="","",IF(N330=_xlfn.MINIFS($N$2:$N$5001,$B$2:$B$5001,B330),1,0))</f>
        <v/>
      </c>
      <c r="K330" s="16" t="str">
        <f aca="false">IF(B330="","",IF(AND(D330="Formalização",E330="Concluído"),IF(COUNTIFS($B$2:$B$5001,B330,$E$2:$E$5001,"Em ajustes",$N$2:$N$5001,"&lt;"&amp;I330)&gt;0,1,0),0))</f>
        <v/>
      </c>
      <c r="L330" s="16" t="str">
        <f aca="false">IF(B330="","",IF(N330=_xlfn.MAXIFS($N$2:$N$5001,$B$2:$B$5001,B330,$I$2:$I$5001,I330),1,0))</f>
        <v/>
      </c>
      <c r="M330" s="16" t="str">
        <f aca="false">IF(B330="","",IF(E330="Em ajustes",IF(N330=_xlfn.MINIFS($N$2:$N$5001,$B$2:$B$5001,B330,$E$2:$E$5001,"Em ajustes"),1,0),0))</f>
        <v/>
      </c>
      <c r="N330" s="17" t="str">
        <f aca="false">IF(A330="","",IF(ISNUMBER(A330),A330,IFERROR(DATE(VALUE(MID(A330,7,4)),VALUE(MID(A330,4,2)),VALUE(MID(A330,1,2)))+TIME(VALUE(MID(A330,12,2)),VALUE(MID(A330,15,2)),VALUE(MID(A330,18,2))),"")))</f>
        <v/>
      </c>
    </row>
    <row r="331" customFormat="false" ht="15" hidden="false" customHeight="false" outlineLevel="0" collapsed="false">
      <c r="I331" s="15" t="str">
        <f aca="false">IF(N331="","",INT(N331))</f>
        <v/>
      </c>
      <c r="J331" s="16" t="str">
        <f aca="false">IF(B331="","",IF(N331=_xlfn.MINIFS($N$2:$N$5001,$B$2:$B$5001,B331),1,0))</f>
        <v/>
      </c>
      <c r="K331" s="16" t="str">
        <f aca="false">IF(B331="","",IF(AND(D331="Formalização",E331="Concluído"),IF(COUNTIFS($B$2:$B$5001,B331,$E$2:$E$5001,"Em ajustes",$N$2:$N$5001,"&lt;"&amp;I331)&gt;0,1,0),0))</f>
        <v/>
      </c>
      <c r="L331" s="16" t="str">
        <f aca="false">IF(B331="","",IF(N331=_xlfn.MAXIFS($N$2:$N$5001,$B$2:$B$5001,B331,$I$2:$I$5001,I331),1,0))</f>
        <v/>
      </c>
      <c r="M331" s="16" t="str">
        <f aca="false">IF(B331="","",IF(E331="Em ajustes",IF(N331=_xlfn.MINIFS($N$2:$N$5001,$B$2:$B$5001,B331,$E$2:$E$5001,"Em ajustes"),1,0),0))</f>
        <v/>
      </c>
      <c r="N331" s="17" t="str">
        <f aca="false">IF(A331="","",IF(ISNUMBER(A331),A331,IFERROR(DATE(VALUE(MID(A331,7,4)),VALUE(MID(A331,4,2)),VALUE(MID(A331,1,2)))+TIME(VALUE(MID(A331,12,2)),VALUE(MID(A331,15,2)),VALUE(MID(A331,18,2))),"")))</f>
        <v/>
      </c>
    </row>
    <row r="332" customFormat="false" ht="15" hidden="false" customHeight="false" outlineLevel="0" collapsed="false">
      <c r="I332" s="15" t="str">
        <f aca="false">IF(N332="","",INT(N332))</f>
        <v/>
      </c>
      <c r="J332" s="16" t="str">
        <f aca="false">IF(B332="","",IF(N332=_xlfn.MINIFS($N$2:$N$5001,$B$2:$B$5001,B332),1,0))</f>
        <v/>
      </c>
      <c r="K332" s="16" t="str">
        <f aca="false">IF(B332="","",IF(AND(D332="Formalização",E332="Concluído"),IF(COUNTIFS($B$2:$B$5001,B332,$E$2:$E$5001,"Em ajustes",$N$2:$N$5001,"&lt;"&amp;I332)&gt;0,1,0),0))</f>
        <v/>
      </c>
      <c r="L332" s="16" t="str">
        <f aca="false">IF(B332="","",IF(N332=_xlfn.MAXIFS($N$2:$N$5001,$B$2:$B$5001,B332,$I$2:$I$5001,I332),1,0))</f>
        <v/>
      </c>
      <c r="M332" s="16" t="str">
        <f aca="false">IF(B332="","",IF(E332="Em ajustes",IF(N332=_xlfn.MINIFS($N$2:$N$5001,$B$2:$B$5001,B332,$E$2:$E$5001,"Em ajustes"),1,0),0))</f>
        <v/>
      </c>
      <c r="N332" s="17" t="str">
        <f aca="false">IF(A332="","",IF(ISNUMBER(A332),A332,IFERROR(DATE(VALUE(MID(A332,7,4)),VALUE(MID(A332,4,2)),VALUE(MID(A332,1,2)))+TIME(VALUE(MID(A332,12,2)),VALUE(MID(A332,15,2)),VALUE(MID(A332,18,2))),"")))</f>
        <v/>
      </c>
    </row>
    <row r="333" customFormat="false" ht="15" hidden="false" customHeight="false" outlineLevel="0" collapsed="false">
      <c r="I333" s="15" t="str">
        <f aca="false">IF(N333="","",INT(N333))</f>
        <v/>
      </c>
      <c r="J333" s="16" t="str">
        <f aca="false">IF(B333="","",IF(N333=_xlfn.MINIFS($N$2:$N$5001,$B$2:$B$5001,B333),1,0))</f>
        <v/>
      </c>
      <c r="K333" s="16" t="str">
        <f aca="false">IF(B333="","",IF(AND(D333="Formalização",E333="Concluído"),IF(COUNTIFS($B$2:$B$5001,B333,$E$2:$E$5001,"Em ajustes",$N$2:$N$5001,"&lt;"&amp;I333)&gt;0,1,0),0))</f>
        <v/>
      </c>
      <c r="L333" s="16" t="str">
        <f aca="false">IF(B333="","",IF(N333=_xlfn.MAXIFS($N$2:$N$5001,$B$2:$B$5001,B333,$I$2:$I$5001,I333),1,0))</f>
        <v/>
      </c>
      <c r="M333" s="16" t="str">
        <f aca="false">IF(B333="","",IF(E333="Em ajustes",IF(N333=_xlfn.MINIFS($N$2:$N$5001,$B$2:$B$5001,B333,$E$2:$E$5001,"Em ajustes"),1,0),0))</f>
        <v/>
      </c>
      <c r="N333" s="17" t="str">
        <f aca="false">IF(A333="","",IF(ISNUMBER(A333),A333,IFERROR(DATE(VALUE(MID(A333,7,4)),VALUE(MID(A333,4,2)),VALUE(MID(A333,1,2)))+TIME(VALUE(MID(A333,12,2)),VALUE(MID(A333,15,2)),VALUE(MID(A333,18,2))),"")))</f>
        <v/>
      </c>
    </row>
    <row r="334" customFormat="false" ht="15" hidden="false" customHeight="false" outlineLevel="0" collapsed="false">
      <c r="I334" s="15" t="str">
        <f aca="false">IF(N334="","",INT(N334))</f>
        <v/>
      </c>
      <c r="J334" s="16" t="str">
        <f aca="false">IF(B334="","",IF(N334=_xlfn.MINIFS($N$2:$N$5001,$B$2:$B$5001,B334),1,0))</f>
        <v/>
      </c>
      <c r="K334" s="16" t="str">
        <f aca="false">IF(B334="","",IF(AND(D334="Formalização",E334="Concluído"),IF(COUNTIFS($B$2:$B$5001,B334,$E$2:$E$5001,"Em ajustes",$N$2:$N$5001,"&lt;"&amp;I334)&gt;0,1,0),0))</f>
        <v/>
      </c>
      <c r="L334" s="16" t="str">
        <f aca="false">IF(B334="","",IF(N334=_xlfn.MAXIFS($N$2:$N$5001,$B$2:$B$5001,B334,$I$2:$I$5001,I334),1,0))</f>
        <v/>
      </c>
      <c r="M334" s="16" t="str">
        <f aca="false">IF(B334="","",IF(E334="Em ajustes",IF(N334=_xlfn.MINIFS($N$2:$N$5001,$B$2:$B$5001,B334,$E$2:$E$5001,"Em ajustes"),1,0),0))</f>
        <v/>
      </c>
      <c r="N334" s="17" t="str">
        <f aca="false">IF(A334="","",IF(ISNUMBER(A334),A334,IFERROR(DATE(VALUE(MID(A334,7,4)),VALUE(MID(A334,4,2)),VALUE(MID(A334,1,2)))+TIME(VALUE(MID(A334,12,2)),VALUE(MID(A334,15,2)),VALUE(MID(A334,18,2))),"")))</f>
        <v/>
      </c>
    </row>
    <row r="335" customFormat="false" ht="15" hidden="false" customHeight="false" outlineLevel="0" collapsed="false">
      <c r="I335" s="15" t="str">
        <f aca="false">IF(N335="","",INT(N335))</f>
        <v/>
      </c>
      <c r="J335" s="16" t="str">
        <f aca="false">IF(B335="","",IF(N335=_xlfn.MINIFS($N$2:$N$5001,$B$2:$B$5001,B335),1,0))</f>
        <v/>
      </c>
      <c r="K335" s="16" t="str">
        <f aca="false">IF(B335="","",IF(AND(D335="Formalização",E335="Concluído"),IF(COUNTIFS($B$2:$B$5001,B335,$E$2:$E$5001,"Em ajustes",$N$2:$N$5001,"&lt;"&amp;I335)&gt;0,1,0),0))</f>
        <v/>
      </c>
      <c r="L335" s="16" t="str">
        <f aca="false">IF(B335="","",IF(N335=_xlfn.MAXIFS($N$2:$N$5001,$B$2:$B$5001,B335,$I$2:$I$5001,I335),1,0))</f>
        <v/>
      </c>
      <c r="M335" s="16" t="str">
        <f aca="false">IF(B335="","",IF(E335="Em ajustes",IF(N335=_xlfn.MINIFS($N$2:$N$5001,$B$2:$B$5001,B335,$E$2:$E$5001,"Em ajustes"),1,0),0))</f>
        <v/>
      </c>
      <c r="N335" s="17" t="str">
        <f aca="false">IF(A335="","",IF(ISNUMBER(A335),A335,IFERROR(DATE(VALUE(MID(A335,7,4)),VALUE(MID(A335,4,2)),VALUE(MID(A335,1,2)))+TIME(VALUE(MID(A335,12,2)),VALUE(MID(A335,15,2)),VALUE(MID(A335,18,2))),"")))</f>
        <v/>
      </c>
    </row>
    <row r="336" customFormat="false" ht="15" hidden="false" customHeight="false" outlineLevel="0" collapsed="false">
      <c r="I336" s="15" t="str">
        <f aca="false">IF(N336="","",INT(N336))</f>
        <v/>
      </c>
      <c r="J336" s="16" t="str">
        <f aca="false">IF(B336="","",IF(N336=_xlfn.MINIFS($N$2:$N$5001,$B$2:$B$5001,B336),1,0))</f>
        <v/>
      </c>
      <c r="K336" s="16" t="str">
        <f aca="false">IF(B336="","",IF(AND(D336="Formalização",E336="Concluído"),IF(COUNTIFS($B$2:$B$5001,B336,$E$2:$E$5001,"Em ajustes",$N$2:$N$5001,"&lt;"&amp;I336)&gt;0,1,0),0))</f>
        <v/>
      </c>
      <c r="L336" s="16" t="str">
        <f aca="false">IF(B336="","",IF(N336=_xlfn.MAXIFS($N$2:$N$5001,$B$2:$B$5001,B336,$I$2:$I$5001,I336),1,0))</f>
        <v/>
      </c>
      <c r="M336" s="16" t="str">
        <f aca="false">IF(B336="","",IF(E336="Em ajustes",IF(N336=_xlfn.MINIFS($N$2:$N$5001,$B$2:$B$5001,B336,$E$2:$E$5001,"Em ajustes"),1,0),0))</f>
        <v/>
      </c>
      <c r="N336" s="17" t="str">
        <f aca="false">IF(A336="","",IF(ISNUMBER(A336),A336,IFERROR(DATE(VALUE(MID(A336,7,4)),VALUE(MID(A336,4,2)),VALUE(MID(A336,1,2)))+TIME(VALUE(MID(A336,12,2)),VALUE(MID(A336,15,2)),VALUE(MID(A336,18,2))),"")))</f>
        <v/>
      </c>
    </row>
    <row r="337" customFormat="false" ht="15" hidden="false" customHeight="false" outlineLevel="0" collapsed="false">
      <c r="I337" s="15" t="str">
        <f aca="false">IF(N337="","",INT(N337))</f>
        <v/>
      </c>
      <c r="J337" s="16" t="str">
        <f aca="false">IF(B337="","",IF(N337=_xlfn.MINIFS($N$2:$N$5001,$B$2:$B$5001,B337),1,0))</f>
        <v/>
      </c>
      <c r="K337" s="16" t="str">
        <f aca="false">IF(B337="","",IF(AND(D337="Formalização",E337="Concluído"),IF(COUNTIFS($B$2:$B$5001,B337,$E$2:$E$5001,"Em ajustes",$N$2:$N$5001,"&lt;"&amp;I337)&gt;0,1,0),0))</f>
        <v/>
      </c>
      <c r="L337" s="16" t="str">
        <f aca="false">IF(B337="","",IF(N337=_xlfn.MAXIFS($N$2:$N$5001,$B$2:$B$5001,B337,$I$2:$I$5001,I337),1,0))</f>
        <v/>
      </c>
      <c r="M337" s="16" t="str">
        <f aca="false">IF(B337="","",IF(E337="Em ajustes",IF(N337=_xlfn.MINIFS($N$2:$N$5001,$B$2:$B$5001,B337,$E$2:$E$5001,"Em ajustes"),1,0),0))</f>
        <v/>
      </c>
      <c r="N337" s="17" t="str">
        <f aca="false">IF(A337="","",IF(ISNUMBER(A337),A337,IFERROR(DATE(VALUE(MID(A337,7,4)),VALUE(MID(A337,4,2)),VALUE(MID(A337,1,2)))+TIME(VALUE(MID(A337,12,2)),VALUE(MID(A337,15,2)),VALUE(MID(A337,18,2))),"")))</f>
        <v/>
      </c>
    </row>
    <row r="338" customFormat="false" ht="15" hidden="false" customHeight="false" outlineLevel="0" collapsed="false">
      <c r="I338" s="15" t="str">
        <f aca="false">IF(N338="","",INT(N338))</f>
        <v/>
      </c>
      <c r="J338" s="16" t="str">
        <f aca="false">IF(B338="","",IF(N338=_xlfn.MINIFS($N$2:$N$5001,$B$2:$B$5001,B338),1,0))</f>
        <v/>
      </c>
      <c r="K338" s="16" t="str">
        <f aca="false">IF(B338="","",IF(AND(D338="Formalização",E338="Concluído"),IF(COUNTIFS($B$2:$B$5001,B338,$E$2:$E$5001,"Em ajustes",$N$2:$N$5001,"&lt;"&amp;I338)&gt;0,1,0),0))</f>
        <v/>
      </c>
      <c r="L338" s="16" t="str">
        <f aca="false">IF(B338="","",IF(N338=_xlfn.MAXIFS($N$2:$N$5001,$B$2:$B$5001,B338,$I$2:$I$5001,I338),1,0))</f>
        <v/>
      </c>
      <c r="M338" s="16" t="str">
        <f aca="false">IF(B338="","",IF(E338="Em ajustes",IF(N338=_xlfn.MINIFS($N$2:$N$5001,$B$2:$B$5001,B338,$E$2:$E$5001,"Em ajustes"),1,0),0))</f>
        <v/>
      </c>
      <c r="N338" s="17" t="str">
        <f aca="false">IF(A338="","",IF(ISNUMBER(A338),A338,IFERROR(DATE(VALUE(MID(A338,7,4)),VALUE(MID(A338,4,2)),VALUE(MID(A338,1,2)))+TIME(VALUE(MID(A338,12,2)),VALUE(MID(A338,15,2)),VALUE(MID(A338,18,2))),"")))</f>
        <v/>
      </c>
    </row>
    <row r="339" customFormat="false" ht="15" hidden="false" customHeight="false" outlineLevel="0" collapsed="false">
      <c r="I339" s="15" t="str">
        <f aca="false">IF(N339="","",INT(N339))</f>
        <v/>
      </c>
      <c r="J339" s="16" t="str">
        <f aca="false">IF(B339="","",IF(N339=_xlfn.MINIFS($N$2:$N$5001,$B$2:$B$5001,B339),1,0))</f>
        <v/>
      </c>
      <c r="K339" s="16" t="str">
        <f aca="false">IF(B339="","",IF(AND(D339="Formalização",E339="Concluído"),IF(COUNTIFS($B$2:$B$5001,B339,$E$2:$E$5001,"Em ajustes",$N$2:$N$5001,"&lt;"&amp;I339)&gt;0,1,0),0))</f>
        <v/>
      </c>
      <c r="L339" s="16" t="str">
        <f aca="false">IF(B339="","",IF(N339=_xlfn.MAXIFS($N$2:$N$5001,$B$2:$B$5001,B339,$I$2:$I$5001,I339),1,0))</f>
        <v/>
      </c>
      <c r="M339" s="16" t="str">
        <f aca="false">IF(B339="","",IF(E339="Em ajustes",IF(N339=_xlfn.MINIFS($N$2:$N$5001,$B$2:$B$5001,B339,$E$2:$E$5001,"Em ajustes"),1,0),0))</f>
        <v/>
      </c>
      <c r="N339" s="17" t="str">
        <f aca="false">IF(A339="","",IF(ISNUMBER(A339),A339,IFERROR(DATE(VALUE(MID(A339,7,4)),VALUE(MID(A339,4,2)),VALUE(MID(A339,1,2)))+TIME(VALUE(MID(A339,12,2)),VALUE(MID(A339,15,2)),VALUE(MID(A339,18,2))),"")))</f>
        <v/>
      </c>
    </row>
    <row r="340" customFormat="false" ht="15" hidden="false" customHeight="false" outlineLevel="0" collapsed="false">
      <c r="I340" s="15" t="str">
        <f aca="false">IF(N340="","",INT(N340))</f>
        <v/>
      </c>
      <c r="J340" s="16" t="str">
        <f aca="false">IF(B340="","",IF(N340=_xlfn.MINIFS($N$2:$N$5001,$B$2:$B$5001,B340),1,0))</f>
        <v/>
      </c>
      <c r="K340" s="16" t="str">
        <f aca="false">IF(B340="","",IF(AND(D340="Formalização",E340="Concluído"),IF(COUNTIFS($B$2:$B$5001,B340,$E$2:$E$5001,"Em ajustes",$N$2:$N$5001,"&lt;"&amp;I340)&gt;0,1,0),0))</f>
        <v/>
      </c>
      <c r="L340" s="16" t="str">
        <f aca="false">IF(B340="","",IF(N340=_xlfn.MAXIFS($N$2:$N$5001,$B$2:$B$5001,B340,$I$2:$I$5001,I340),1,0))</f>
        <v/>
      </c>
      <c r="M340" s="16" t="str">
        <f aca="false">IF(B340="","",IF(E340="Em ajustes",IF(N340=_xlfn.MINIFS($N$2:$N$5001,$B$2:$B$5001,B340,$E$2:$E$5001,"Em ajustes"),1,0),0))</f>
        <v/>
      </c>
      <c r="N340" s="17" t="str">
        <f aca="false">IF(A340="","",IF(ISNUMBER(A340),A340,IFERROR(DATE(VALUE(MID(A340,7,4)),VALUE(MID(A340,4,2)),VALUE(MID(A340,1,2)))+TIME(VALUE(MID(A340,12,2)),VALUE(MID(A340,15,2)),VALUE(MID(A340,18,2))),"")))</f>
        <v/>
      </c>
    </row>
    <row r="341" customFormat="false" ht="15" hidden="false" customHeight="false" outlineLevel="0" collapsed="false">
      <c r="I341" s="15" t="str">
        <f aca="false">IF(N341="","",INT(N341))</f>
        <v/>
      </c>
      <c r="J341" s="16" t="str">
        <f aca="false">IF(B341="","",IF(N341=_xlfn.MINIFS($N$2:$N$5001,$B$2:$B$5001,B341),1,0))</f>
        <v/>
      </c>
      <c r="K341" s="16" t="str">
        <f aca="false">IF(B341="","",IF(AND(D341="Formalização",E341="Concluído"),IF(COUNTIFS($B$2:$B$5001,B341,$E$2:$E$5001,"Em ajustes",$N$2:$N$5001,"&lt;"&amp;I341)&gt;0,1,0),0))</f>
        <v/>
      </c>
      <c r="L341" s="16" t="str">
        <f aca="false">IF(B341="","",IF(N341=_xlfn.MAXIFS($N$2:$N$5001,$B$2:$B$5001,B341,$I$2:$I$5001,I341),1,0))</f>
        <v/>
      </c>
      <c r="M341" s="16" t="str">
        <f aca="false">IF(B341="","",IF(E341="Em ajustes",IF(N341=_xlfn.MINIFS($N$2:$N$5001,$B$2:$B$5001,B341,$E$2:$E$5001,"Em ajustes"),1,0),0))</f>
        <v/>
      </c>
      <c r="N341" s="17" t="str">
        <f aca="false">IF(A341="","",IF(ISNUMBER(A341),A341,IFERROR(DATE(VALUE(MID(A341,7,4)),VALUE(MID(A341,4,2)),VALUE(MID(A341,1,2)))+TIME(VALUE(MID(A341,12,2)),VALUE(MID(A341,15,2)),VALUE(MID(A341,18,2))),"")))</f>
        <v/>
      </c>
    </row>
    <row r="342" customFormat="false" ht="15" hidden="false" customHeight="false" outlineLevel="0" collapsed="false">
      <c r="I342" s="15" t="str">
        <f aca="false">IF(N342="","",INT(N342))</f>
        <v/>
      </c>
      <c r="J342" s="16" t="str">
        <f aca="false">IF(B342="","",IF(N342=_xlfn.MINIFS($N$2:$N$5001,$B$2:$B$5001,B342),1,0))</f>
        <v/>
      </c>
      <c r="K342" s="16" t="str">
        <f aca="false">IF(B342="","",IF(AND(D342="Formalização",E342="Concluído"),IF(COUNTIFS($B$2:$B$5001,B342,$E$2:$E$5001,"Em ajustes",$N$2:$N$5001,"&lt;"&amp;I342)&gt;0,1,0),0))</f>
        <v/>
      </c>
      <c r="L342" s="16" t="str">
        <f aca="false">IF(B342="","",IF(N342=_xlfn.MAXIFS($N$2:$N$5001,$B$2:$B$5001,B342,$I$2:$I$5001,I342),1,0))</f>
        <v/>
      </c>
      <c r="M342" s="16" t="str">
        <f aca="false">IF(B342="","",IF(E342="Em ajustes",IF(N342=_xlfn.MINIFS($N$2:$N$5001,$B$2:$B$5001,B342,$E$2:$E$5001,"Em ajustes"),1,0),0))</f>
        <v/>
      </c>
      <c r="N342" s="17" t="str">
        <f aca="false">IF(A342="","",IF(ISNUMBER(A342),A342,IFERROR(DATE(VALUE(MID(A342,7,4)),VALUE(MID(A342,4,2)),VALUE(MID(A342,1,2)))+TIME(VALUE(MID(A342,12,2)),VALUE(MID(A342,15,2)),VALUE(MID(A342,18,2))),"")))</f>
        <v/>
      </c>
    </row>
    <row r="343" customFormat="false" ht="15" hidden="false" customHeight="false" outlineLevel="0" collapsed="false">
      <c r="I343" s="15" t="str">
        <f aca="false">IF(N343="","",INT(N343))</f>
        <v/>
      </c>
      <c r="J343" s="16" t="str">
        <f aca="false">IF(B343="","",IF(N343=_xlfn.MINIFS($N$2:$N$5001,$B$2:$B$5001,B343),1,0))</f>
        <v/>
      </c>
      <c r="K343" s="16" t="str">
        <f aca="false">IF(B343="","",IF(AND(D343="Formalização",E343="Concluído"),IF(COUNTIFS($B$2:$B$5001,B343,$E$2:$E$5001,"Em ajustes",$N$2:$N$5001,"&lt;"&amp;I343)&gt;0,1,0),0))</f>
        <v/>
      </c>
      <c r="L343" s="16" t="str">
        <f aca="false">IF(B343="","",IF(N343=_xlfn.MAXIFS($N$2:$N$5001,$B$2:$B$5001,B343,$I$2:$I$5001,I343),1,0))</f>
        <v/>
      </c>
      <c r="M343" s="16" t="str">
        <f aca="false">IF(B343="","",IF(E343="Em ajustes",IF(N343=_xlfn.MINIFS($N$2:$N$5001,$B$2:$B$5001,B343,$E$2:$E$5001,"Em ajustes"),1,0),0))</f>
        <v/>
      </c>
      <c r="N343" s="17" t="str">
        <f aca="false">IF(A343="","",IF(ISNUMBER(A343),A343,IFERROR(DATE(VALUE(MID(A343,7,4)),VALUE(MID(A343,4,2)),VALUE(MID(A343,1,2)))+TIME(VALUE(MID(A343,12,2)),VALUE(MID(A343,15,2)),VALUE(MID(A343,18,2))),"")))</f>
        <v/>
      </c>
    </row>
    <row r="344" customFormat="false" ht="15" hidden="false" customHeight="false" outlineLevel="0" collapsed="false">
      <c r="I344" s="15" t="str">
        <f aca="false">IF(N344="","",INT(N344))</f>
        <v/>
      </c>
      <c r="J344" s="16" t="str">
        <f aca="false">IF(B344="","",IF(N344=_xlfn.MINIFS($N$2:$N$5001,$B$2:$B$5001,B344),1,0))</f>
        <v/>
      </c>
      <c r="K344" s="16" t="str">
        <f aca="false">IF(B344="","",IF(AND(D344="Formalização",E344="Concluído"),IF(COUNTIFS($B$2:$B$5001,B344,$E$2:$E$5001,"Em ajustes",$N$2:$N$5001,"&lt;"&amp;I344)&gt;0,1,0),0))</f>
        <v/>
      </c>
      <c r="L344" s="16" t="str">
        <f aca="false">IF(B344="","",IF(N344=_xlfn.MAXIFS($N$2:$N$5001,$B$2:$B$5001,B344,$I$2:$I$5001,I344),1,0))</f>
        <v/>
      </c>
      <c r="M344" s="16" t="str">
        <f aca="false">IF(B344="","",IF(E344="Em ajustes",IF(N344=_xlfn.MINIFS($N$2:$N$5001,$B$2:$B$5001,B344,$E$2:$E$5001,"Em ajustes"),1,0),0))</f>
        <v/>
      </c>
      <c r="N344" s="17" t="str">
        <f aca="false">IF(A344="","",IF(ISNUMBER(A344),A344,IFERROR(DATE(VALUE(MID(A344,7,4)),VALUE(MID(A344,4,2)),VALUE(MID(A344,1,2)))+TIME(VALUE(MID(A344,12,2)),VALUE(MID(A344,15,2)),VALUE(MID(A344,18,2))),"")))</f>
        <v/>
      </c>
    </row>
    <row r="345" customFormat="false" ht="15" hidden="false" customHeight="false" outlineLevel="0" collapsed="false">
      <c r="I345" s="15" t="str">
        <f aca="false">IF(N345="","",INT(N345))</f>
        <v/>
      </c>
      <c r="J345" s="16" t="str">
        <f aca="false">IF(B345="","",IF(N345=_xlfn.MINIFS($N$2:$N$5001,$B$2:$B$5001,B345),1,0))</f>
        <v/>
      </c>
      <c r="K345" s="16" t="str">
        <f aca="false">IF(B345="","",IF(AND(D345="Formalização",E345="Concluído"),IF(COUNTIFS($B$2:$B$5001,B345,$E$2:$E$5001,"Em ajustes",$N$2:$N$5001,"&lt;"&amp;I345)&gt;0,1,0),0))</f>
        <v/>
      </c>
      <c r="L345" s="16" t="str">
        <f aca="false">IF(B345="","",IF(N345=_xlfn.MAXIFS($N$2:$N$5001,$B$2:$B$5001,B345,$I$2:$I$5001,I345),1,0))</f>
        <v/>
      </c>
      <c r="M345" s="16" t="str">
        <f aca="false">IF(B345="","",IF(E345="Em ajustes",IF(N345=_xlfn.MINIFS($N$2:$N$5001,$B$2:$B$5001,B345,$E$2:$E$5001,"Em ajustes"),1,0),0))</f>
        <v/>
      </c>
      <c r="N345" s="17" t="str">
        <f aca="false">IF(A345="","",IF(ISNUMBER(A345),A345,IFERROR(DATE(VALUE(MID(A345,7,4)),VALUE(MID(A345,4,2)),VALUE(MID(A345,1,2)))+TIME(VALUE(MID(A345,12,2)),VALUE(MID(A345,15,2)),VALUE(MID(A345,18,2))),"")))</f>
        <v/>
      </c>
    </row>
    <row r="346" customFormat="false" ht="15" hidden="false" customHeight="false" outlineLevel="0" collapsed="false">
      <c r="I346" s="15" t="str">
        <f aca="false">IF(N346="","",INT(N346))</f>
        <v/>
      </c>
      <c r="J346" s="16" t="str">
        <f aca="false">IF(B346="","",IF(N346=_xlfn.MINIFS($N$2:$N$5001,$B$2:$B$5001,B346),1,0))</f>
        <v/>
      </c>
      <c r="K346" s="16" t="str">
        <f aca="false">IF(B346="","",IF(AND(D346="Formalização",E346="Concluído"),IF(COUNTIFS($B$2:$B$5001,B346,$E$2:$E$5001,"Em ajustes",$N$2:$N$5001,"&lt;"&amp;I346)&gt;0,1,0),0))</f>
        <v/>
      </c>
      <c r="L346" s="16" t="str">
        <f aca="false">IF(B346="","",IF(N346=_xlfn.MAXIFS($N$2:$N$5001,$B$2:$B$5001,B346,$I$2:$I$5001,I346),1,0))</f>
        <v/>
      </c>
      <c r="M346" s="16" t="str">
        <f aca="false">IF(B346="","",IF(E346="Em ajustes",IF(N346=_xlfn.MINIFS($N$2:$N$5001,$B$2:$B$5001,B346,$E$2:$E$5001,"Em ajustes"),1,0),0))</f>
        <v/>
      </c>
      <c r="N346" s="17" t="str">
        <f aca="false">IF(A346="","",IF(ISNUMBER(A346),A346,IFERROR(DATE(VALUE(MID(A346,7,4)),VALUE(MID(A346,4,2)),VALUE(MID(A346,1,2)))+TIME(VALUE(MID(A346,12,2)),VALUE(MID(A346,15,2)),VALUE(MID(A346,18,2))),"")))</f>
        <v/>
      </c>
    </row>
    <row r="347" customFormat="false" ht="15" hidden="false" customHeight="false" outlineLevel="0" collapsed="false">
      <c r="I347" s="15" t="str">
        <f aca="false">IF(N347="","",INT(N347))</f>
        <v/>
      </c>
      <c r="J347" s="16" t="str">
        <f aca="false">IF(B347="","",IF(N347=_xlfn.MINIFS($N$2:$N$5001,$B$2:$B$5001,B347),1,0))</f>
        <v/>
      </c>
      <c r="K347" s="16" t="str">
        <f aca="false">IF(B347="","",IF(AND(D347="Formalização",E347="Concluído"),IF(COUNTIFS($B$2:$B$5001,B347,$E$2:$E$5001,"Em ajustes",$N$2:$N$5001,"&lt;"&amp;I347)&gt;0,1,0),0))</f>
        <v/>
      </c>
      <c r="L347" s="16" t="str">
        <f aca="false">IF(B347="","",IF(N347=_xlfn.MAXIFS($N$2:$N$5001,$B$2:$B$5001,B347,$I$2:$I$5001,I347),1,0))</f>
        <v/>
      </c>
      <c r="M347" s="16" t="str">
        <f aca="false">IF(B347="","",IF(E347="Em ajustes",IF(N347=_xlfn.MINIFS($N$2:$N$5001,$B$2:$B$5001,B347,$E$2:$E$5001,"Em ajustes"),1,0),0))</f>
        <v/>
      </c>
      <c r="N347" s="17" t="str">
        <f aca="false">IF(A347="","",IF(ISNUMBER(A347),A347,IFERROR(DATE(VALUE(MID(A347,7,4)),VALUE(MID(A347,4,2)),VALUE(MID(A347,1,2)))+TIME(VALUE(MID(A347,12,2)),VALUE(MID(A347,15,2)),VALUE(MID(A347,18,2))),"")))</f>
        <v/>
      </c>
    </row>
    <row r="348" customFormat="false" ht="15" hidden="false" customHeight="false" outlineLevel="0" collapsed="false">
      <c r="I348" s="15" t="str">
        <f aca="false">IF(N348="","",INT(N348))</f>
        <v/>
      </c>
      <c r="J348" s="16" t="str">
        <f aca="false">IF(B348="","",IF(N348=_xlfn.MINIFS($N$2:$N$5001,$B$2:$B$5001,B348),1,0))</f>
        <v/>
      </c>
      <c r="K348" s="16" t="str">
        <f aca="false">IF(B348="","",IF(AND(D348="Formalização",E348="Concluído"),IF(COUNTIFS($B$2:$B$5001,B348,$E$2:$E$5001,"Em ajustes",$N$2:$N$5001,"&lt;"&amp;I348)&gt;0,1,0),0))</f>
        <v/>
      </c>
      <c r="L348" s="16" t="str">
        <f aca="false">IF(B348="","",IF(N348=_xlfn.MAXIFS($N$2:$N$5001,$B$2:$B$5001,B348,$I$2:$I$5001,I348),1,0))</f>
        <v/>
      </c>
      <c r="M348" s="16" t="str">
        <f aca="false">IF(B348="","",IF(E348="Em ajustes",IF(N348=_xlfn.MINIFS($N$2:$N$5001,$B$2:$B$5001,B348,$E$2:$E$5001,"Em ajustes"),1,0),0))</f>
        <v/>
      </c>
      <c r="N348" s="17" t="str">
        <f aca="false">IF(A348="","",IF(ISNUMBER(A348),A348,IFERROR(DATE(VALUE(MID(A348,7,4)),VALUE(MID(A348,4,2)),VALUE(MID(A348,1,2)))+TIME(VALUE(MID(A348,12,2)),VALUE(MID(A348,15,2)),VALUE(MID(A348,18,2))),"")))</f>
        <v/>
      </c>
    </row>
    <row r="349" customFormat="false" ht="15" hidden="false" customHeight="false" outlineLevel="0" collapsed="false">
      <c r="I349" s="15" t="str">
        <f aca="false">IF(N349="","",INT(N349))</f>
        <v/>
      </c>
      <c r="J349" s="16" t="str">
        <f aca="false">IF(B349="","",IF(N349=_xlfn.MINIFS($N$2:$N$5001,$B$2:$B$5001,B349),1,0))</f>
        <v/>
      </c>
      <c r="K349" s="16" t="str">
        <f aca="false">IF(B349="","",IF(AND(D349="Formalização",E349="Concluído"),IF(COUNTIFS($B$2:$B$5001,B349,$E$2:$E$5001,"Em ajustes",$N$2:$N$5001,"&lt;"&amp;I349)&gt;0,1,0),0))</f>
        <v/>
      </c>
      <c r="L349" s="16" t="str">
        <f aca="false">IF(B349="","",IF(N349=_xlfn.MAXIFS($N$2:$N$5001,$B$2:$B$5001,B349,$I$2:$I$5001,I349),1,0))</f>
        <v/>
      </c>
      <c r="M349" s="16" t="str">
        <f aca="false">IF(B349="","",IF(E349="Em ajustes",IF(N349=_xlfn.MINIFS($N$2:$N$5001,$B$2:$B$5001,B349,$E$2:$E$5001,"Em ajustes"),1,0),0))</f>
        <v/>
      </c>
      <c r="N349" s="17" t="str">
        <f aca="false">IF(A349="","",IF(ISNUMBER(A349),A349,IFERROR(DATE(VALUE(MID(A349,7,4)),VALUE(MID(A349,4,2)),VALUE(MID(A349,1,2)))+TIME(VALUE(MID(A349,12,2)),VALUE(MID(A349,15,2)),VALUE(MID(A349,18,2))),"")))</f>
        <v/>
      </c>
    </row>
    <row r="350" customFormat="false" ht="15" hidden="false" customHeight="false" outlineLevel="0" collapsed="false">
      <c r="I350" s="15" t="str">
        <f aca="false">IF(N350="","",INT(N350))</f>
        <v/>
      </c>
      <c r="J350" s="16" t="str">
        <f aca="false">IF(B350="","",IF(N350=_xlfn.MINIFS($N$2:$N$5001,$B$2:$B$5001,B350),1,0))</f>
        <v/>
      </c>
      <c r="K350" s="16" t="str">
        <f aca="false">IF(B350="","",IF(AND(D350="Formalização",E350="Concluído"),IF(COUNTIFS($B$2:$B$5001,B350,$E$2:$E$5001,"Em ajustes",$N$2:$N$5001,"&lt;"&amp;I350)&gt;0,1,0),0))</f>
        <v/>
      </c>
      <c r="L350" s="16" t="str">
        <f aca="false">IF(B350="","",IF(N350=_xlfn.MAXIFS($N$2:$N$5001,$B$2:$B$5001,B350,$I$2:$I$5001,I350),1,0))</f>
        <v/>
      </c>
      <c r="M350" s="16" t="str">
        <f aca="false">IF(B350="","",IF(E350="Em ajustes",IF(N350=_xlfn.MINIFS($N$2:$N$5001,$B$2:$B$5001,B350,$E$2:$E$5001,"Em ajustes"),1,0),0))</f>
        <v/>
      </c>
      <c r="N350" s="17" t="str">
        <f aca="false">IF(A350="","",IF(ISNUMBER(A350),A350,IFERROR(DATE(VALUE(MID(A350,7,4)),VALUE(MID(A350,4,2)),VALUE(MID(A350,1,2)))+TIME(VALUE(MID(A350,12,2)),VALUE(MID(A350,15,2)),VALUE(MID(A350,18,2))),"")))</f>
        <v/>
      </c>
    </row>
    <row r="351" customFormat="false" ht="15" hidden="false" customHeight="false" outlineLevel="0" collapsed="false">
      <c r="I351" s="15" t="str">
        <f aca="false">IF(N351="","",INT(N351))</f>
        <v/>
      </c>
      <c r="J351" s="16" t="str">
        <f aca="false">IF(B351="","",IF(N351=_xlfn.MINIFS($N$2:$N$5001,$B$2:$B$5001,B351),1,0))</f>
        <v/>
      </c>
      <c r="K351" s="16" t="str">
        <f aca="false">IF(B351="","",IF(AND(D351="Formalização",E351="Concluído"),IF(COUNTIFS($B$2:$B$5001,B351,$E$2:$E$5001,"Em ajustes",$N$2:$N$5001,"&lt;"&amp;I351)&gt;0,1,0),0))</f>
        <v/>
      </c>
      <c r="L351" s="16" t="str">
        <f aca="false">IF(B351="","",IF(N351=_xlfn.MAXIFS($N$2:$N$5001,$B$2:$B$5001,B351,$I$2:$I$5001,I351),1,0))</f>
        <v/>
      </c>
      <c r="M351" s="16" t="str">
        <f aca="false">IF(B351="","",IF(E351="Em ajustes",IF(N351=_xlfn.MINIFS($N$2:$N$5001,$B$2:$B$5001,B351,$E$2:$E$5001,"Em ajustes"),1,0),0))</f>
        <v/>
      </c>
      <c r="N351" s="17" t="str">
        <f aca="false">IF(A351="","",IF(ISNUMBER(A351),A351,IFERROR(DATE(VALUE(MID(A351,7,4)),VALUE(MID(A351,4,2)),VALUE(MID(A351,1,2)))+TIME(VALUE(MID(A351,12,2)),VALUE(MID(A351,15,2)),VALUE(MID(A351,18,2))),"")))</f>
        <v/>
      </c>
    </row>
    <row r="352" customFormat="false" ht="15" hidden="false" customHeight="false" outlineLevel="0" collapsed="false">
      <c r="I352" s="15" t="str">
        <f aca="false">IF(N352="","",INT(N352))</f>
        <v/>
      </c>
      <c r="J352" s="16" t="str">
        <f aca="false">IF(B352="","",IF(N352=_xlfn.MINIFS($N$2:$N$5001,$B$2:$B$5001,B352),1,0))</f>
        <v/>
      </c>
      <c r="K352" s="16" t="str">
        <f aca="false">IF(B352="","",IF(AND(D352="Formalização",E352="Concluído"),IF(COUNTIFS($B$2:$B$5001,B352,$E$2:$E$5001,"Em ajustes",$N$2:$N$5001,"&lt;"&amp;I352)&gt;0,1,0),0))</f>
        <v/>
      </c>
      <c r="L352" s="16" t="str">
        <f aca="false">IF(B352="","",IF(N352=_xlfn.MAXIFS($N$2:$N$5001,$B$2:$B$5001,B352,$I$2:$I$5001,I352),1,0))</f>
        <v/>
      </c>
      <c r="M352" s="16" t="str">
        <f aca="false">IF(B352="","",IF(E352="Em ajustes",IF(N352=_xlfn.MINIFS($N$2:$N$5001,$B$2:$B$5001,B352,$E$2:$E$5001,"Em ajustes"),1,0),0))</f>
        <v/>
      </c>
      <c r="N352" s="17" t="str">
        <f aca="false">IF(A352="","",IF(ISNUMBER(A352),A352,IFERROR(DATE(VALUE(MID(A352,7,4)),VALUE(MID(A352,4,2)),VALUE(MID(A352,1,2)))+TIME(VALUE(MID(A352,12,2)),VALUE(MID(A352,15,2)),VALUE(MID(A352,18,2))),"")))</f>
        <v/>
      </c>
    </row>
    <row r="353" customFormat="false" ht="15" hidden="false" customHeight="false" outlineLevel="0" collapsed="false">
      <c r="I353" s="15" t="str">
        <f aca="false">IF(N353="","",INT(N353))</f>
        <v/>
      </c>
      <c r="J353" s="16" t="str">
        <f aca="false">IF(B353="","",IF(N353=_xlfn.MINIFS($N$2:$N$5001,$B$2:$B$5001,B353),1,0))</f>
        <v/>
      </c>
      <c r="K353" s="16" t="str">
        <f aca="false">IF(B353="","",IF(AND(D353="Formalização",E353="Concluído"),IF(COUNTIFS($B$2:$B$5001,B353,$E$2:$E$5001,"Em ajustes",$N$2:$N$5001,"&lt;"&amp;I353)&gt;0,1,0),0))</f>
        <v/>
      </c>
      <c r="L353" s="16" t="str">
        <f aca="false">IF(B353="","",IF(N353=_xlfn.MAXIFS($N$2:$N$5001,$B$2:$B$5001,B353,$I$2:$I$5001,I353),1,0))</f>
        <v/>
      </c>
      <c r="M353" s="16" t="str">
        <f aca="false">IF(B353="","",IF(E353="Em ajustes",IF(N353=_xlfn.MINIFS($N$2:$N$5001,$B$2:$B$5001,B353,$E$2:$E$5001,"Em ajustes"),1,0),0))</f>
        <v/>
      </c>
      <c r="N353" s="17" t="str">
        <f aca="false">IF(A353="","",IF(ISNUMBER(A353),A353,IFERROR(DATE(VALUE(MID(A353,7,4)),VALUE(MID(A353,4,2)),VALUE(MID(A353,1,2)))+TIME(VALUE(MID(A353,12,2)),VALUE(MID(A353,15,2)),VALUE(MID(A353,18,2))),"")))</f>
        <v/>
      </c>
    </row>
    <row r="354" customFormat="false" ht="15" hidden="false" customHeight="false" outlineLevel="0" collapsed="false">
      <c r="I354" s="15" t="str">
        <f aca="false">IF(N354="","",INT(N354))</f>
        <v/>
      </c>
      <c r="J354" s="16" t="str">
        <f aca="false">IF(B354="","",IF(N354=_xlfn.MINIFS($N$2:$N$5001,$B$2:$B$5001,B354),1,0))</f>
        <v/>
      </c>
      <c r="K354" s="16" t="str">
        <f aca="false">IF(B354="","",IF(AND(D354="Formalização",E354="Concluído"),IF(COUNTIFS($B$2:$B$5001,B354,$E$2:$E$5001,"Em ajustes",$N$2:$N$5001,"&lt;"&amp;I354)&gt;0,1,0),0))</f>
        <v/>
      </c>
      <c r="L354" s="16" t="str">
        <f aca="false">IF(B354="","",IF(N354=_xlfn.MAXIFS($N$2:$N$5001,$B$2:$B$5001,B354,$I$2:$I$5001,I354),1,0))</f>
        <v/>
      </c>
      <c r="M354" s="16" t="str">
        <f aca="false">IF(B354="","",IF(E354="Em ajustes",IF(N354=_xlfn.MINIFS($N$2:$N$5001,$B$2:$B$5001,B354,$E$2:$E$5001,"Em ajustes"),1,0),0))</f>
        <v/>
      </c>
      <c r="N354" s="17" t="str">
        <f aca="false">IF(A354="","",IF(ISNUMBER(A354),A354,IFERROR(DATE(VALUE(MID(A354,7,4)),VALUE(MID(A354,4,2)),VALUE(MID(A354,1,2)))+TIME(VALUE(MID(A354,12,2)),VALUE(MID(A354,15,2)),VALUE(MID(A354,18,2))),"")))</f>
        <v/>
      </c>
    </row>
    <row r="355" customFormat="false" ht="15" hidden="false" customHeight="false" outlineLevel="0" collapsed="false">
      <c r="I355" s="15" t="str">
        <f aca="false">IF(N355="","",INT(N355))</f>
        <v/>
      </c>
      <c r="J355" s="16" t="str">
        <f aca="false">IF(B355="","",IF(N355=_xlfn.MINIFS($N$2:$N$5001,$B$2:$B$5001,B355),1,0))</f>
        <v/>
      </c>
      <c r="K355" s="16" t="str">
        <f aca="false">IF(B355="","",IF(AND(D355="Formalização",E355="Concluído"),IF(COUNTIFS($B$2:$B$5001,B355,$E$2:$E$5001,"Em ajustes",$N$2:$N$5001,"&lt;"&amp;I355)&gt;0,1,0),0))</f>
        <v/>
      </c>
      <c r="L355" s="16" t="str">
        <f aca="false">IF(B355="","",IF(N355=_xlfn.MAXIFS($N$2:$N$5001,$B$2:$B$5001,B355,$I$2:$I$5001,I355),1,0))</f>
        <v/>
      </c>
      <c r="M355" s="16" t="str">
        <f aca="false">IF(B355="","",IF(E355="Em ajustes",IF(N355=_xlfn.MINIFS($N$2:$N$5001,$B$2:$B$5001,B355,$E$2:$E$5001,"Em ajustes"),1,0),0))</f>
        <v/>
      </c>
      <c r="N355" s="17" t="str">
        <f aca="false">IF(A355="","",IF(ISNUMBER(A355),A355,IFERROR(DATE(VALUE(MID(A355,7,4)),VALUE(MID(A355,4,2)),VALUE(MID(A355,1,2)))+TIME(VALUE(MID(A355,12,2)),VALUE(MID(A355,15,2)),VALUE(MID(A355,18,2))),"")))</f>
        <v/>
      </c>
    </row>
    <row r="356" customFormat="false" ht="15" hidden="false" customHeight="false" outlineLevel="0" collapsed="false">
      <c r="I356" s="15" t="str">
        <f aca="false">IF(N356="","",INT(N356))</f>
        <v/>
      </c>
      <c r="J356" s="16" t="str">
        <f aca="false">IF(B356="","",IF(N356=_xlfn.MINIFS($N$2:$N$5001,$B$2:$B$5001,B356),1,0))</f>
        <v/>
      </c>
      <c r="K356" s="16" t="str">
        <f aca="false">IF(B356="","",IF(AND(D356="Formalização",E356="Concluído"),IF(COUNTIFS($B$2:$B$5001,B356,$E$2:$E$5001,"Em ajustes",$N$2:$N$5001,"&lt;"&amp;I356)&gt;0,1,0),0))</f>
        <v/>
      </c>
      <c r="L356" s="16" t="str">
        <f aca="false">IF(B356="","",IF(N356=_xlfn.MAXIFS($N$2:$N$5001,$B$2:$B$5001,B356,$I$2:$I$5001,I356),1,0))</f>
        <v/>
      </c>
      <c r="M356" s="16" t="str">
        <f aca="false">IF(B356="","",IF(E356="Em ajustes",IF(N356=_xlfn.MINIFS($N$2:$N$5001,$B$2:$B$5001,B356,$E$2:$E$5001,"Em ajustes"),1,0),0))</f>
        <v/>
      </c>
      <c r="N356" s="17" t="str">
        <f aca="false">IF(A356="","",IF(ISNUMBER(A356),A356,IFERROR(DATE(VALUE(MID(A356,7,4)),VALUE(MID(A356,4,2)),VALUE(MID(A356,1,2)))+TIME(VALUE(MID(A356,12,2)),VALUE(MID(A356,15,2)),VALUE(MID(A356,18,2))),"")))</f>
        <v/>
      </c>
    </row>
    <row r="357" customFormat="false" ht="15" hidden="false" customHeight="false" outlineLevel="0" collapsed="false">
      <c r="I357" s="15" t="str">
        <f aca="false">IF(N357="","",INT(N357))</f>
        <v/>
      </c>
      <c r="J357" s="16" t="str">
        <f aca="false">IF(B357="","",IF(N357=_xlfn.MINIFS($N$2:$N$5001,$B$2:$B$5001,B357),1,0))</f>
        <v/>
      </c>
      <c r="K357" s="16" t="str">
        <f aca="false">IF(B357="","",IF(AND(D357="Formalização",E357="Concluído"),IF(COUNTIFS($B$2:$B$5001,B357,$E$2:$E$5001,"Em ajustes",$N$2:$N$5001,"&lt;"&amp;I357)&gt;0,1,0),0))</f>
        <v/>
      </c>
      <c r="L357" s="16" t="str">
        <f aca="false">IF(B357="","",IF(N357=_xlfn.MAXIFS($N$2:$N$5001,$B$2:$B$5001,B357,$I$2:$I$5001,I357),1,0))</f>
        <v/>
      </c>
      <c r="M357" s="16" t="str">
        <f aca="false">IF(B357="","",IF(E357="Em ajustes",IF(N357=_xlfn.MINIFS($N$2:$N$5001,$B$2:$B$5001,B357,$E$2:$E$5001,"Em ajustes"),1,0),0))</f>
        <v/>
      </c>
      <c r="N357" s="17" t="str">
        <f aca="false">IF(A357="","",IF(ISNUMBER(A357),A357,IFERROR(DATE(VALUE(MID(A357,7,4)),VALUE(MID(A357,4,2)),VALUE(MID(A357,1,2)))+TIME(VALUE(MID(A357,12,2)),VALUE(MID(A357,15,2)),VALUE(MID(A357,18,2))),"")))</f>
        <v/>
      </c>
    </row>
    <row r="358" customFormat="false" ht="15" hidden="false" customHeight="false" outlineLevel="0" collapsed="false">
      <c r="I358" s="15" t="str">
        <f aca="false">IF(N358="","",INT(N358))</f>
        <v/>
      </c>
      <c r="J358" s="16" t="str">
        <f aca="false">IF(B358="","",IF(N358=_xlfn.MINIFS($N$2:$N$5001,$B$2:$B$5001,B358),1,0))</f>
        <v/>
      </c>
      <c r="K358" s="16" t="str">
        <f aca="false">IF(B358="","",IF(AND(D358="Formalização",E358="Concluído"),IF(COUNTIFS($B$2:$B$5001,B358,$E$2:$E$5001,"Em ajustes",$N$2:$N$5001,"&lt;"&amp;I358)&gt;0,1,0),0))</f>
        <v/>
      </c>
      <c r="L358" s="16" t="str">
        <f aca="false">IF(B358="","",IF(N358=_xlfn.MAXIFS($N$2:$N$5001,$B$2:$B$5001,B358,$I$2:$I$5001,I358),1,0))</f>
        <v/>
      </c>
      <c r="M358" s="16" t="str">
        <f aca="false">IF(B358="","",IF(E358="Em ajustes",IF(N358=_xlfn.MINIFS($N$2:$N$5001,$B$2:$B$5001,B358,$E$2:$E$5001,"Em ajustes"),1,0),0))</f>
        <v/>
      </c>
      <c r="N358" s="17" t="str">
        <f aca="false">IF(A358="","",IF(ISNUMBER(A358),A358,IFERROR(DATE(VALUE(MID(A358,7,4)),VALUE(MID(A358,4,2)),VALUE(MID(A358,1,2)))+TIME(VALUE(MID(A358,12,2)),VALUE(MID(A358,15,2)),VALUE(MID(A358,18,2))),"")))</f>
        <v/>
      </c>
    </row>
    <row r="359" customFormat="false" ht="15" hidden="false" customHeight="false" outlineLevel="0" collapsed="false">
      <c r="I359" s="15" t="str">
        <f aca="false">IF(N359="","",INT(N359))</f>
        <v/>
      </c>
      <c r="J359" s="16" t="str">
        <f aca="false">IF(B359="","",IF(N359=_xlfn.MINIFS($N$2:$N$5001,$B$2:$B$5001,B359),1,0))</f>
        <v/>
      </c>
      <c r="K359" s="16" t="str">
        <f aca="false">IF(B359="","",IF(AND(D359="Formalização",E359="Concluído"),IF(COUNTIFS($B$2:$B$5001,B359,$E$2:$E$5001,"Em ajustes",$N$2:$N$5001,"&lt;"&amp;I359)&gt;0,1,0),0))</f>
        <v/>
      </c>
      <c r="L359" s="16" t="str">
        <f aca="false">IF(B359="","",IF(N359=_xlfn.MAXIFS($N$2:$N$5001,$B$2:$B$5001,B359,$I$2:$I$5001,I359),1,0))</f>
        <v/>
      </c>
      <c r="M359" s="16" t="str">
        <f aca="false">IF(B359="","",IF(E359="Em ajustes",IF(N359=_xlfn.MINIFS($N$2:$N$5001,$B$2:$B$5001,B359,$E$2:$E$5001,"Em ajustes"),1,0),0))</f>
        <v/>
      </c>
      <c r="N359" s="17" t="str">
        <f aca="false">IF(A359="","",IF(ISNUMBER(A359),A359,IFERROR(DATE(VALUE(MID(A359,7,4)),VALUE(MID(A359,4,2)),VALUE(MID(A359,1,2)))+TIME(VALUE(MID(A359,12,2)),VALUE(MID(A359,15,2)),VALUE(MID(A359,18,2))),"")))</f>
        <v/>
      </c>
    </row>
    <row r="360" customFormat="false" ht="15" hidden="false" customHeight="false" outlineLevel="0" collapsed="false">
      <c r="I360" s="15" t="str">
        <f aca="false">IF(N360="","",INT(N360))</f>
        <v/>
      </c>
      <c r="J360" s="16" t="str">
        <f aca="false">IF(B360="","",IF(N360=_xlfn.MINIFS($N$2:$N$5001,$B$2:$B$5001,B360),1,0))</f>
        <v/>
      </c>
      <c r="K360" s="16" t="str">
        <f aca="false">IF(B360="","",IF(AND(D360="Formalização",E360="Concluído"),IF(COUNTIFS($B$2:$B$5001,B360,$E$2:$E$5001,"Em ajustes",$N$2:$N$5001,"&lt;"&amp;I360)&gt;0,1,0),0))</f>
        <v/>
      </c>
      <c r="L360" s="16" t="str">
        <f aca="false">IF(B360="","",IF(N360=_xlfn.MAXIFS($N$2:$N$5001,$B$2:$B$5001,B360,$I$2:$I$5001,I360),1,0))</f>
        <v/>
      </c>
      <c r="M360" s="16" t="str">
        <f aca="false">IF(B360="","",IF(E360="Em ajustes",IF(N360=_xlfn.MINIFS($N$2:$N$5001,$B$2:$B$5001,B360,$E$2:$E$5001,"Em ajustes"),1,0),0))</f>
        <v/>
      </c>
      <c r="N360" s="17" t="str">
        <f aca="false">IF(A360="","",IF(ISNUMBER(A360),A360,IFERROR(DATE(VALUE(MID(A360,7,4)),VALUE(MID(A360,4,2)),VALUE(MID(A360,1,2)))+TIME(VALUE(MID(A360,12,2)),VALUE(MID(A360,15,2)),VALUE(MID(A360,18,2))),"")))</f>
        <v/>
      </c>
    </row>
    <row r="361" customFormat="false" ht="15" hidden="false" customHeight="false" outlineLevel="0" collapsed="false">
      <c r="I361" s="15" t="str">
        <f aca="false">IF(N361="","",INT(N361))</f>
        <v/>
      </c>
      <c r="J361" s="16" t="str">
        <f aca="false">IF(B361="","",IF(N361=_xlfn.MINIFS($N$2:$N$5001,$B$2:$B$5001,B361),1,0))</f>
        <v/>
      </c>
      <c r="K361" s="16" t="str">
        <f aca="false">IF(B361="","",IF(AND(D361="Formalização",E361="Concluído"),IF(COUNTIFS($B$2:$B$5001,B361,$E$2:$E$5001,"Em ajustes",$N$2:$N$5001,"&lt;"&amp;I361)&gt;0,1,0),0))</f>
        <v/>
      </c>
      <c r="L361" s="16" t="str">
        <f aca="false">IF(B361="","",IF(N361=_xlfn.MAXIFS($N$2:$N$5001,$B$2:$B$5001,B361,$I$2:$I$5001,I361),1,0))</f>
        <v/>
      </c>
      <c r="M361" s="16" t="str">
        <f aca="false">IF(B361="","",IF(E361="Em ajustes",IF(N361=_xlfn.MINIFS($N$2:$N$5001,$B$2:$B$5001,B361,$E$2:$E$5001,"Em ajustes"),1,0),0))</f>
        <v/>
      </c>
      <c r="N361" s="17" t="str">
        <f aca="false">IF(A361="","",IF(ISNUMBER(A361),A361,IFERROR(DATE(VALUE(MID(A361,7,4)),VALUE(MID(A361,4,2)),VALUE(MID(A361,1,2)))+TIME(VALUE(MID(A361,12,2)),VALUE(MID(A361,15,2)),VALUE(MID(A361,18,2))),"")))</f>
        <v/>
      </c>
    </row>
    <row r="362" customFormat="false" ht="15" hidden="false" customHeight="false" outlineLevel="0" collapsed="false">
      <c r="I362" s="15" t="str">
        <f aca="false">IF(N362="","",INT(N362))</f>
        <v/>
      </c>
      <c r="J362" s="16" t="str">
        <f aca="false">IF(B362="","",IF(N362=_xlfn.MINIFS($N$2:$N$5001,$B$2:$B$5001,B362),1,0))</f>
        <v/>
      </c>
      <c r="K362" s="16" t="str">
        <f aca="false">IF(B362="","",IF(AND(D362="Formalização",E362="Concluído"),IF(COUNTIFS($B$2:$B$5001,B362,$E$2:$E$5001,"Em ajustes",$N$2:$N$5001,"&lt;"&amp;I362)&gt;0,1,0),0))</f>
        <v/>
      </c>
      <c r="L362" s="16" t="str">
        <f aca="false">IF(B362="","",IF(N362=_xlfn.MAXIFS($N$2:$N$5001,$B$2:$B$5001,B362,$I$2:$I$5001,I362),1,0))</f>
        <v/>
      </c>
      <c r="M362" s="16" t="str">
        <f aca="false">IF(B362="","",IF(E362="Em ajustes",IF(N362=_xlfn.MINIFS($N$2:$N$5001,$B$2:$B$5001,B362,$E$2:$E$5001,"Em ajustes"),1,0),0))</f>
        <v/>
      </c>
      <c r="N362" s="17" t="str">
        <f aca="false">IF(A362="","",IF(ISNUMBER(A362),A362,IFERROR(DATE(VALUE(MID(A362,7,4)),VALUE(MID(A362,4,2)),VALUE(MID(A362,1,2)))+TIME(VALUE(MID(A362,12,2)),VALUE(MID(A362,15,2)),VALUE(MID(A362,18,2))),"")))</f>
        <v/>
      </c>
    </row>
    <row r="363" customFormat="false" ht="15" hidden="false" customHeight="false" outlineLevel="0" collapsed="false">
      <c r="I363" s="15" t="str">
        <f aca="false">IF(N363="","",INT(N363))</f>
        <v/>
      </c>
      <c r="J363" s="16" t="str">
        <f aca="false">IF(B363="","",IF(N363=_xlfn.MINIFS($N$2:$N$5001,$B$2:$B$5001,B363),1,0))</f>
        <v/>
      </c>
      <c r="K363" s="16" t="str">
        <f aca="false">IF(B363="","",IF(AND(D363="Formalização",E363="Concluído"),IF(COUNTIFS($B$2:$B$5001,B363,$E$2:$E$5001,"Em ajustes",$N$2:$N$5001,"&lt;"&amp;I363)&gt;0,1,0),0))</f>
        <v/>
      </c>
      <c r="L363" s="16" t="str">
        <f aca="false">IF(B363="","",IF(N363=_xlfn.MAXIFS($N$2:$N$5001,$B$2:$B$5001,B363,$I$2:$I$5001,I363),1,0))</f>
        <v/>
      </c>
      <c r="M363" s="16" t="str">
        <f aca="false">IF(B363="","",IF(E363="Em ajustes",IF(N363=_xlfn.MINIFS($N$2:$N$5001,$B$2:$B$5001,B363,$E$2:$E$5001,"Em ajustes"),1,0),0))</f>
        <v/>
      </c>
      <c r="N363" s="17" t="str">
        <f aca="false">IF(A363="","",IF(ISNUMBER(A363),A363,IFERROR(DATE(VALUE(MID(A363,7,4)),VALUE(MID(A363,4,2)),VALUE(MID(A363,1,2)))+TIME(VALUE(MID(A363,12,2)),VALUE(MID(A363,15,2)),VALUE(MID(A363,18,2))),"")))</f>
        <v/>
      </c>
    </row>
    <row r="364" customFormat="false" ht="15" hidden="false" customHeight="false" outlineLevel="0" collapsed="false">
      <c r="I364" s="15" t="str">
        <f aca="false">IF(N364="","",INT(N364))</f>
        <v/>
      </c>
      <c r="J364" s="16" t="str">
        <f aca="false">IF(B364="","",IF(N364=_xlfn.MINIFS($N$2:$N$5001,$B$2:$B$5001,B364),1,0))</f>
        <v/>
      </c>
      <c r="K364" s="16" t="str">
        <f aca="false">IF(B364="","",IF(AND(D364="Formalização",E364="Concluído"),IF(COUNTIFS($B$2:$B$5001,B364,$E$2:$E$5001,"Em ajustes",$N$2:$N$5001,"&lt;"&amp;I364)&gt;0,1,0),0))</f>
        <v/>
      </c>
      <c r="L364" s="16" t="str">
        <f aca="false">IF(B364="","",IF(N364=_xlfn.MAXIFS($N$2:$N$5001,$B$2:$B$5001,B364,$I$2:$I$5001,I364),1,0))</f>
        <v/>
      </c>
      <c r="M364" s="16" t="str">
        <f aca="false">IF(B364="","",IF(E364="Em ajustes",IF(N364=_xlfn.MINIFS($N$2:$N$5001,$B$2:$B$5001,B364,$E$2:$E$5001,"Em ajustes"),1,0),0))</f>
        <v/>
      </c>
      <c r="N364" s="17" t="str">
        <f aca="false">IF(A364="","",IF(ISNUMBER(A364),A364,IFERROR(DATE(VALUE(MID(A364,7,4)),VALUE(MID(A364,4,2)),VALUE(MID(A364,1,2)))+TIME(VALUE(MID(A364,12,2)),VALUE(MID(A364,15,2)),VALUE(MID(A364,18,2))),"")))</f>
        <v/>
      </c>
    </row>
    <row r="365" customFormat="false" ht="15" hidden="false" customHeight="false" outlineLevel="0" collapsed="false">
      <c r="I365" s="15" t="str">
        <f aca="false">IF(N365="","",INT(N365))</f>
        <v/>
      </c>
      <c r="J365" s="16" t="str">
        <f aca="false">IF(B365="","",IF(N365=_xlfn.MINIFS($N$2:$N$5001,$B$2:$B$5001,B365),1,0))</f>
        <v/>
      </c>
      <c r="K365" s="16" t="str">
        <f aca="false">IF(B365="","",IF(AND(D365="Formalização",E365="Concluído"),IF(COUNTIFS($B$2:$B$5001,B365,$E$2:$E$5001,"Em ajustes",$N$2:$N$5001,"&lt;"&amp;I365)&gt;0,1,0),0))</f>
        <v/>
      </c>
      <c r="L365" s="16" t="str">
        <f aca="false">IF(B365="","",IF(N365=_xlfn.MAXIFS($N$2:$N$5001,$B$2:$B$5001,B365,$I$2:$I$5001,I365),1,0))</f>
        <v/>
      </c>
      <c r="M365" s="16" t="str">
        <f aca="false">IF(B365="","",IF(E365="Em ajustes",IF(N365=_xlfn.MINIFS($N$2:$N$5001,$B$2:$B$5001,B365,$E$2:$E$5001,"Em ajustes"),1,0),0))</f>
        <v/>
      </c>
      <c r="N365" s="17" t="str">
        <f aca="false">IF(A365="","",IF(ISNUMBER(A365),A365,IFERROR(DATE(VALUE(MID(A365,7,4)),VALUE(MID(A365,4,2)),VALUE(MID(A365,1,2)))+TIME(VALUE(MID(A365,12,2)),VALUE(MID(A365,15,2)),VALUE(MID(A365,18,2))),"")))</f>
        <v/>
      </c>
    </row>
    <row r="366" customFormat="false" ht="15" hidden="false" customHeight="false" outlineLevel="0" collapsed="false">
      <c r="I366" s="15" t="str">
        <f aca="false">IF(N366="","",INT(N366))</f>
        <v/>
      </c>
      <c r="J366" s="16" t="str">
        <f aca="false">IF(B366="","",IF(N366=_xlfn.MINIFS($N$2:$N$5001,$B$2:$B$5001,B366),1,0))</f>
        <v/>
      </c>
      <c r="K366" s="16" t="str">
        <f aca="false">IF(B366="","",IF(AND(D366="Formalização",E366="Concluído"),IF(COUNTIFS($B$2:$B$5001,B366,$E$2:$E$5001,"Em ajustes",$N$2:$N$5001,"&lt;"&amp;I366)&gt;0,1,0),0))</f>
        <v/>
      </c>
      <c r="L366" s="16" t="str">
        <f aca="false">IF(B366="","",IF(N366=_xlfn.MAXIFS($N$2:$N$5001,$B$2:$B$5001,B366,$I$2:$I$5001,I366),1,0))</f>
        <v/>
      </c>
      <c r="M366" s="16" t="str">
        <f aca="false">IF(B366="","",IF(E366="Em ajustes",IF(N366=_xlfn.MINIFS($N$2:$N$5001,$B$2:$B$5001,B366,$E$2:$E$5001,"Em ajustes"),1,0),0))</f>
        <v/>
      </c>
      <c r="N366" s="17" t="str">
        <f aca="false">IF(A366="","",IF(ISNUMBER(A366),A366,IFERROR(DATE(VALUE(MID(A366,7,4)),VALUE(MID(A366,4,2)),VALUE(MID(A366,1,2)))+TIME(VALUE(MID(A366,12,2)),VALUE(MID(A366,15,2)),VALUE(MID(A366,18,2))),"")))</f>
        <v/>
      </c>
    </row>
    <row r="367" customFormat="false" ht="15" hidden="false" customHeight="false" outlineLevel="0" collapsed="false">
      <c r="I367" s="15" t="str">
        <f aca="false">IF(N367="","",INT(N367))</f>
        <v/>
      </c>
      <c r="J367" s="16" t="str">
        <f aca="false">IF(B367="","",IF(N367=_xlfn.MINIFS($N$2:$N$5001,$B$2:$B$5001,B367),1,0))</f>
        <v/>
      </c>
      <c r="K367" s="16" t="str">
        <f aca="false">IF(B367="","",IF(AND(D367="Formalização",E367="Concluído"),IF(COUNTIFS($B$2:$B$5001,B367,$E$2:$E$5001,"Em ajustes",$N$2:$N$5001,"&lt;"&amp;I367)&gt;0,1,0),0))</f>
        <v/>
      </c>
      <c r="L367" s="16" t="str">
        <f aca="false">IF(B367="","",IF(N367=_xlfn.MAXIFS($N$2:$N$5001,$B$2:$B$5001,B367,$I$2:$I$5001,I367),1,0))</f>
        <v/>
      </c>
      <c r="M367" s="16" t="str">
        <f aca="false">IF(B367="","",IF(E367="Em ajustes",IF(N367=_xlfn.MINIFS($N$2:$N$5001,$B$2:$B$5001,B367,$E$2:$E$5001,"Em ajustes"),1,0),0))</f>
        <v/>
      </c>
      <c r="N367" s="17" t="str">
        <f aca="false">IF(A367="","",IF(ISNUMBER(A367),A367,IFERROR(DATE(VALUE(MID(A367,7,4)),VALUE(MID(A367,4,2)),VALUE(MID(A367,1,2)))+TIME(VALUE(MID(A367,12,2)),VALUE(MID(A367,15,2)),VALUE(MID(A367,18,2))),"")))</f>
        <v/>
      </c>
    </row>
    <row r="368" customFormat="false" ht="15" hidden="false" customHeight="false" outlineLevel="0" collapsed="false">
      <c r="I368" s="15" t="str">
        <f aca="false">IF(N368="","",INT(N368))</f>
        <v/>
      </c>
      <c r="J368" s="16" t="str">
        <f aca="false">IF(B368="","",IF(N368=_xlfn.MINIFS($N$2:$N$5001,$B$2:$B$5001,B368),1,0))</f>
        <v/>
      </c>
      <c r="K368" s="16" t="str">
        <f aca="false">IF(B368="","",IF(AND(D368="Formalização",E368="Concluído"),IF(COUNTIFS($B$2:$B$5001,B368,$E$2:$E$5001,"Em ajustes",$N$2:$N$5001,"&lt;"&amp;I368)&gt;0,1,0),0))</f>
        <v/>
      </c>
      <c r="L368" s="16" t="str">
        <f aca="false">IF(B368="","",IF(N368=_xlfn.MAXIFS($N$2:$N$5001,$B$2:$B$5001,B368,$I$2:$I$5001,I368),1,0))</f>
        <v/>
      </c>
      <c r="M368" s="16" t="str">
        <f aca="false">IF(B368="","",IF(E368="Em ajustes",IF(N368=_xlfn.MINIFS($N$2:$N$5001,$B$2:$B$5001,B368,$E$2:$E$5001,"Em ajustes"),1,0),0))</f>
        <v/>
      </c>
      <c r="N368" s="17" t="str">
        <f aca="false">IF(A368="","",IF(ISNUMBER(A368),A368,IFERROR(DATE(VALUE(MID(A368,7,4)),VALUE(MID(A368,4,2)),VALUE(MID(A368,1,2)))+TIME(VALUE(MID(A368,12,2)),VALUE(MID(A368,15,2)),VALUE(MID(A368,18,2))),"")))</f>
        <v/>
      </c>
    </row>
    <row r="369" customFormat="false" ht="15" hidden="false" customHeight="false" outlineLevel="0" collapsed="false">
      <c r="I369" s="15" t="str">
        <f aca="false">IF(N369="","",INT(N369))</f>
        <v/>
      </c>
      <c r="J369" s="16" t="str">
        <f aca="false">IF(B369="","",IF(N369=_xlfn.MINIFS($N$2:$N$5001,$B$2:$B$5001,B369),1,0))</f>
        <v/>
      </c>
      <c r="K369" s="16" t="str">
        <f aca="false">IF(B369="","",IF(AND(D369="Formalização",E369="Concluído"),IF(COUNTIFS($B$2:$B$5001,B369,$E$2:$E$5001,"Em ajustes",$N$2:$N$5001,"&lt;"&amp;I369)&gt;0,1,0),0))</f>
        <v/>
      </c>
      <c r="L369" s="16" t="str">
        <f aca="false">IF(B369="","",IF(N369=_xlfn.MAXIFS($N$2:$N$5001,$B$2:$B$5001,B369,$I$2:$I$5001,I369),1,0))</f>
        <v/>
      </c>
      <c r="M369" s="16" t="str">
        <f aca="false">IF(B369="","",IF(E369="Em ajustes",IF(N369=_xlfn.MINIFS($N$2:$N$5001,$B$2:$B$5001,B369,$E$2:$E$5001,"Em ajustes"),1,0),0))</f>
        <v/>
      </c>
      <c r="N369" s="17" t="str">
        <f aca="false">IF(A369="","",IF(ISNUMBER(A369),A369,IFERROR(DATE(VALUE(MID(A369,7,4)),VALUE(MID(A369,4,2)),VALUE(MID(A369,1,2)))+TIME(VALUE(MID(A369,12,2)),VALUE(MID(A369,15,2)),VALUE(MID(A369,18,2))),"")))</f>
        <v/>
      </c>
    </row>
    <row r="370" customFormat="false" ht="15" hidden="false" customHeight="false" outlineLevel="0" collapsed="false">
      <c r="I370" s="15" t="str">
        <f aca="false">IF(N370="","",INT(N370))</f>
        <v/>
      </c>
      <c r="J370" s="16" t="str">
        <f aca="false">IF(B370="","",IF(N370=_xlfn.MINIFS($N$2:$N$5001,$B$2:$B$5001,B370),1,0))</f>
        <v/>
      </c>
      <c r="K370" s="16" t="str">
        <f aca="false">IF(B370="","",IF(AND(D370="Formalização",E370="Concluído"),IF(COUNTIFS($B$2:$B$5001,B370,$E$2:$E$5001,"Em ajustes",$N$2:$N$5001,"&lt;"&amp;I370)&gt;0,1,0),0))</f>
        <v/>
      </c>
      <c r="L370" s="16" t="str">
        <f aca="false">IF(B370="","",IF(N370=_xlfn.MAXIFS($N$2:$N$5001,$B$2:$B$5001,B370,$I$2:$I$5001,I370),1,0))</f>
        <v/>
      </c>
      <c r="M370" s="16" t="str">
        <f aca="false">IF(B370="","",IF(E370="Em ajustes",IF(N370=_xlfn.MINIFS($N$2:$N$5001,$B$2:$B$5001,B370,$E$2:$E$5001,"Em ajustes"),1,0),0))</f>
        <v/>
      </c>
      <c r="N370" s="17" t="str">
        <f aca="false">IF(A370="","",IF(ISNUMBER(A370),A370,IFERROR(DATE(VALUE(MID(A370,7,4)),VALUE(MID(A370,4,2)),VALUE(MID(A370,1,2)))+TIME(VALUE(MID(A370,12,2)),VALUE(MID(A370,15,2)),VALUE(MID(A370,18,2))),"")))</f>
        <v/>
      </c>
    </row>
    <row r="371" customFormat="false" ht="15" hidden="false" customHeight="false" outlineLevel="0" collapsed="false">
      <c r="I371" s="15" t="str">
        <f aca="false">IF(N371="","",INT(N371))</f>
        <v/>
      </c>
      <c r="J371" s="16" t="str">
        <f aca="false">IF(B371="","",IF(N371=_xlfn.MINIFS($N$2:$N$5001,$B$2:$B$5001,B371),1,0))</f>
        <v/>
      </c>
      <c r="K371" s="16" t="str">
        <f aca="false">IF(B371="","",IF(AND(D371="Formalização",E371="Concluído"),IF(COUNTIFS($B$2:$B$5001,B371,$E$2:$E$5001,"Em ajustes",$N$2:$N$5001,"&lt;"&amp;I371)&gt;0,1,0),0))</f>
        <v/>
      </c>
      <c r="L371" s="16" t="str">
        <f aca="false">IF(B371="","",IF(N371=_xlfn.MAXIFS($N$2:$N$5001,$B$2:$B$5001,B371,$I$2:$I$5001,I371),1,0))</f>
        <v/>
      </c>
      <c r="M371" s="16" t="str">
        <f aca="false">IF(B371="","",IF(E371="Em ajustes",IF(N371=_xlfn.MINIFS($N$2:$N$5001,$B$2:$B$5001,B371,$E$2:$E$5001,"Em ajustes"),1,0),0))</f>
        <v/>
      </c>
      <c r="N371" s="17" t="str">
        <f aca="false">IF(A371="","",IF(ISNUMBER(A371),A371,IFERROR(DATE(VALUE(MID(A371,7,4)),VALUE(MID(A371,4,2)),VALUE(MID(A371,1,2)))+TIME(VALUE(MID(A371,12,2)),VALUE(MID(A371,15,2)),VALUE(MID(A371,18,2))),"")))</f>
        <v/>
      </c>
    </row>
    <row r="372" customFormat="false" ht="15" hidden="false" customHeight="false" outlineLevel="0" collapsed="false">
      <c r="I372" s="15" t="str">
        <f aca="false">IF(N372="","",INT(N372))</f>
        <v/>
      </c>
      <c r="J372" s="16" t="str">
        <f aca="false">IF(B372="","",IF(N372=_xlfn.MINIFS($N$2:$N$5001,$B$2:$B$5001,B372),1,0))</f>
        <v/>
      </c>
      <c r="K372" s="16" t="str">
        <f aca="false">IF(B372="","",IF(AND(D372="Formalização",E372="Concluído"),IF(COUNTIFS($B$2:$B$5001,B372,$E$2:$E$5001,"Em ajustes",$N$2:$N$5001,"&lt;"&amp;I372)&gt;0,1,0),0))</f>
        <v/>
      </c>
      <c r="L372" s="16" t="str">
        <f aca="false">IF(B372="","",IF(N372=_xlfn.MAXIFS($N$2:$N$5001,$B$2:$B$5001,B372,$I$2:$I$5001,I372),1,0))</f>
        <v/>
      </c>
      <c r="M372" s="16" t="str">
        <f aca="false">IF(B372="","",IF(E372="Em ajustes",IF(N372=_xlfn.MINIFS($N$2:$N$5001,$B$2:$B$5001,B372,$E$2:$E$5001,"Em ajustes"),1,0),0))</f>
        <v/>
      </c>
      <c r="N372" s="17" t="str">
        <f aca="false">IF(A372="","",IF(ISNUMBER(A372),A372,IFERROR(DATE(VALUE(MID(A372,7,4)),VALUE(MID(A372,4,2)),VALUE(MID(A372,1,2)))+TIME(VALUE(MID(A372,12,2)),VALUE(MID(A372,15,2)),VALUE(MID(A372,18,2))),"")))</f>
        <v/>
      </c>
    </row>
    <row r="373" customFormat="false" ht="15" hidden="false" customHeight="false" outlineLevel="0" collapsed="false">
      <c r="I373" s="15" t="str">
        <f aca="false">IF(N373="","",INT(N373))</f>
        <v/>
      </c>
      <c r="J373" s="16" t="str">
        <f aca="false">IF(B373="","",IF(N373=_xlfn.MINIFS($N$2:$N$5001,$B$2:$B$5001,B373),1,0))</f>
        <v/>
      </c>
      <c r="K373" s="16" t="str">
        <f aca="false">IF(B373="","",IF(AND(D373="Formalização",E373="Concluído"),IF(COUNTIFS($B$2:$B$5001,B373,$E$2:$E$5001,"Em ajustes",$N$2:$N$5001,"&lt;"&amp;I373)&gt;0,1,0),0))</f>
        <v/>
      </c>
      <c r="L373" s="16" t="str">
        <f aca="false">IF(B373="","",IF(N373=_xlfn.MAXIFS($N$2:$N$5001,$B$2:$B$5001,B373,$I$2:$I$5001,I373),1,0))</f>
        <v/>
      </c>
      <c r="M373" s="16" t="str">
        <f aca="false">IF(B373="","",IF(E373="Em ajustes",IF(N373=_xlfn.MINIFS($N$2:$N$5001,$B$2:$B$5001,B373,$E$2:$E$5001,"Em ajustes"),1,0),0))</f>
        <v/>
      </c>
      <c r="N373" s="17" t="str">
        <f aca="false">IF(A373="","",IF(ISNUMBER(A373),A373,IFERROR(DATE(VALUE(MID(A373,7,4)),VALUE(MID(A373,4,2)),VALUE(MID(A373,1,2)))+TIME(VALUE(MID(A373,12,2)),VALUE(MID(A373,15,2)),VALUE(MID(A373,18,2))),"")))</f>
        <v/>
      </c>
    </row>
    <row r="374" customFormat="false" ht="15" hidden="false" customHeight="false" outlineLevel="0" collapsed="false">
      <c r="I374" s="15" t="str">
        <f aca="false">IF(N374="","",INT(N374))</f>
        <v/>
      </c>
      <c r="J374" s="16" t="str">
        <f aca="false">IF(B374="","",IF(N374=_xlfn.MINIFS($N$2:$N$5001,$B$2:$B$5001,B374),1,0))</f>
        <v/>
      </c>
      <c r="K374" s="16" t="str">
        <f aca="false">IF(B374="","",IF(AND(D374="Formalização",E374="Concluído"),IF(COUNTIFS($B$2:$B$5001,B374,$E$2:$E$5001,"Em ajustes",$N$2:$N$5001,"&lt;"&amp;I374)&gt;0,1,0),0))</f>
        <v/>
      </c>
      <c r="L374" s="16" t="str">
        <f aca="false">IF(B374="","",IF(N374=_xlfn.MAXIFS($N$2:$N$5001,$B$2:$B$5001,B374,$I$2:$I$5001,I374),1,0))</f>
        <v/>
      </c>
      <c r="M374" s="16" t="str">
        <f aca="false">IF(B374="","",IF(E374="Em ajustes",IF(N374=_xlfn.MINIFS($N$2:$N$5001,$B$2:$B$5001,B374,$E$2:$E$5001,"Em ajustes"),1,0),0))</f>
        <v/>
      </c>
      <c r="N374" s="17" t="str">
        <f aca="false">IF(A374="","",IF(ISNUMBER(A374),A374,IFERROR(DATE(VALUE(MID(A374,7,4)),VALUE(MID(A374,4,2)),VALUE(MID(A374,1,2)))+TIME(VALUE(MID(A374,12,2)),VALUE(MID(A374,15,2)),VALUE(MID(A374,18,2))),"")))</f>
        <v/>
      </c>
    </row>
    <row r="375" customFormat="false" ht="15" hidden="false" customHeight="false" outlineLevel="0" collapsed="false">
      <c r="I375" s="15" t="str">
        <f aca="false">IF(N375="","",INT(N375))</f>
        <v/>
      </c>
      <c r="J375" s="16" t="str">
        <f aca="false">IF(B375="","",IF(N375=_xlfn.MINIFS($N$2:$N$5001,$B$2:$B$5001,B375),1,0))</f>
        <v/>
      </c>
      <c r="K375" s="16" t="str">
        <f aca="false">IF(B375="","",IF(AND(D375="Formalização",E375="Concluído"),IF(COUNTIFS($B$2:$B$5001,B375,$E$2:$E$5001,"Em ajustes",$N$2:$N$5001,"&lt;"&amp;I375)&gt;0,1,0),0))</f>
        <v/>
      </c>
      <c r="L375" s="16" t="str">
        <f aca="false">IF(B375="","",IF(N375=_xlfn.MAXIFS($N$2:$N$5001,$B$2:$B$5001,B375,$I$2:$I$5001,I375),1,0))</f>
        <v/>
      </c>
      <c r="M375" s="16" t="str">
        <f aca="false">IF(B375="","",IF(E375="Em ajustes",IF(N375=_xlfn.MINIFS($N$2:$N$5001,$B$2:$B$5001,B375,$E$2:$E$5001,"Em ajustes"),1,0),0))</f>
        <v/>
      </c>
      <c r="N375" s="17" t="str">
        <f aca="false">IF(A375="","",IF(ISNUMBER(A375),A375,IFERROR(DATE(VALUE(MID(A375,7,4)),VALUE(MID(A375,4,2)),VALUE(MID(A375,1,2)))+TIME(VALUE(MID(A375,12,2)),VALUE(MID(A375,15,2)),VALUE(MID(A375,18,2))),"")))</f>
        <v/>
      </c>
    </row>
    <row r="376" customFormat="false" ht="15" hidden="false" customHeight="false" outlineLevel="0" collapsed="false">
      <c r="I376" s="15" t="str">
        <f aca="false">IF(N376="","",INT(N376))</f>
        <v/>
      </c>
      <c r="J376" s="16" t="str">
        <f aca="false">IF(B376="","",IF(N376=_xlfn.MINIFS($N$2:$N$5001,$B$2:$B$5001,B376),1,0))</f>
        <v/>
      </c>
      <c r="K376" s="16" t="str">
        <f aca="false">IF(B376="","",IF(AND(D376="Formalização",E376="Concluído"),IF(COUNTIFS($B$2:$B$5001,B376,$E$2:$E$5001,"Em ajustes",$N$2:$N$5001,"&lt;"&amp;I376)&gt;0,1,0),0))</f>
        <v/>
      </c>
      <c r="L376" s="16" t="str">
        <f aca="false">IF(B376="","",IF(N376=_xlfn.MAXIFS($N$2:$N$5001,$B$2:$B$5001,B376,$I$2:$I$5001,I376),1,0))</f>
        <v/>
      </c>
      <c r="M376" s="16" t="str">
        <f aca="false">IF(B376="","",IF(E376="Em ajustes",IF(N376=_xlfn.MINIFS($N$2:$N$5001,$B$2:$B$5001,B376,$E$2:$E$5001,"Em ajustes"),1,0),0))</f>
        <v/>
      </c>
      <c r="N376" s="17" t="str">
        <f aca="false">IF(A376="","",IF(ISNUMBER(A376),A376,IFERROR(DATE(VALUE(MID(A376,7,4)),VALUE(MID(A376,4,2)),VALUE(MID(A376,1,2)))+TIME(VALUE(MID(A376,12,2)),VALUE(MID(A376,15,2)),VALUE(MID(A376,18,2))),"")))</f>
        <v/>
      </c>
    </row>
    <row r="377" customFormat="false" ht="15" hidden="false" customHeight="false" outlineLevel="0" collapsed="false">
      <c r="I377" s="15" t="str">
        <f aca="false">IF(N377="","",INT(N377))</f>
        <v/>
      </c>
      <c r="J377" s="16" t="str">
        <f aca="false">IF(B377="","",IF(N377=_xlfn.MINIFS($N$2:$N$5001,$B$2:$B$5001,B377),1,0))</f>
        <v/>
      </c>
      <c r="K377" s="16" t="str">
        <f aca="false">IF(B377="","",IF(AND(D377="Formalização",E377="Concluído"),IF(COUNTIFS($B$2:$B$5001,B377,$E$2:$E$5001,"Em ajustes",$N$2:$N$5001,"&lt;"&amp;I377)&gt;0,1,0),0))</f>
        <v/>
      </c>
      <c r="L377" s="16" t="str">
        <f aca="false">IF(B377="","",IF(N377=_xlfn.MAXIFS($N$2:$N$5001,$B$2:$B$5001,B377,$I$2:$I$5001,I377),1,0))</f>
        <v/>
      </c>
      <c r="M377" s="16" t="str">
        <f aca="false">IF(B377="","",IF(E377="Em ajustes",IF(N377=_xlfn.MINIFS($N$2:$N$5001,$B$2:$B$5001,B377,$E$2:$E$5001,"Em ajustes"),1,0),0))</f>
        <v/>
      </c>
      <c r="N377" s="17" t="str">
        <f aca="false">IF(A377="","",IF(ISNUMBER(A377),A377,IFERROR(DATE(VALUE(MID(A377,7,4)),VALUE(MID(A377,4,2)),VALUE(MID(A377,1,2)))+TIME(VALUE(MID(A377,12,2)),VALUE(MID(A377,15,2)),VALUE(MID(A377,18,2))),"")))</f>
        <v/>
      </c>
    </row>
    <row r="378" customFormat="false" ht="15" hidden="false" customHeight="false" outlineLevel="0" collapsed="false">
      <c r="I378" s="15" t="str">
        <f aca="false">IF(N378="","",INT(N378))</f>
        <v/>
      </c>
      <c r="J378" s="16" t="str">
        <f aca="false">IF(B378="","",IF(N378=_xlfn.MINIFS($N$2:$N$5001,$B$2:$B$5001,B378),1,0))</f>
        <v/>
      </c>
      <c r="K378" s="16" t="str">
        <f aca="false">IF(B378="","",IF(AND(D378="Formalização",E378="Concluído"),IF(COUNTIFS($B$2:$B$5001,B378,$E$2:$E$5001,"Em ajustes",$N$2:$N$5001,"&lt;"&amp;I378)&gt;0,1,0),0))</f>
        <v/>
      </c>
      <c r="L378" s="16" t="str">
        <f aca="false">IF(B378="","",IF(N378=_xlfn.MAXIFS($N$2:$N$5001,$B$2:$B$5001,B378,$I$2:$I$5001,I378),1,0))</f>
        <v/>
      </c>
      <c r="M378" s="16" t="str">
        <f aca="false">IF(B378="","",IF(E378="Em ajustes",IF(N378=_xlfn.MINIFS($N$2:$N$5001,$B$2:$B$5001,B378,$E$2:$E$5001,"Em ajustes"),1,0),0))</f>
        <v/>
      </c>
      <c r="N378" s="17" t="str">
        <f aca="false">IF(A378="","",IF(ISNUMBER(A378),A378,IFERROR(DATE(VALUE(MID(A378,7,4)),VALUE(MID(A378,4,2)),VALUE(MID(A378,1,2)))+TIME(VALUE(MID(A378,12,2)),VALUE(MID(A378,15,2)),VALUE(MID(A378,18,2))),"")))</f>
        <v/>
      </c>
    </row>
    <row r="379" customFormat="false" ht="15" hidden="false" customHeight="false" outlineLevel="0" collapsed="false">
      <c r="I379" s="15" t="str">
        <f aca="false">IF(N379="","",INT(N379))</f>
        <v/>
      </c>
      <c r="J379" s="16" t="str">
        <f aca="false">IF(B379="","",IF(N379=_xlfn.MINIFS($N$2:$N$5001,$B$2:$B$5001,B379),1,0))</f>
        <v/>
      </c>
      <c r="K379" s="16" t="str">
        <f aca="false">IF(B379="","",IF(AND(D379="Formalização",E379="Concluído"),IF(COUNTIFS($B$2:$B$5001,B379,$E$2:$E$5001,"Em ajustes",$N$2:$N$5001,"&lt;"&amp;I379)&gt;0,1,0),0))</f>
        <v/>
      </c>
      <c r="L379" s="16" t="str">
        <f aca="false">IF(B379="","",IF(N379=_xlfn.MAXIFS($N$2:$N$5001,$B$2:$B$5001,B379,$I$2:$I$5001,I379),1,0))</f>
        <v/>
      </c>
      <c r="M379" s="16" t="str">
        <f aca="false">IF(B379="","",IF(E379="Em ajustes",IF(N379=_xlfn.MINIFS($N$2:$N$5001,$B$2:$B$5001,B379,$E$2:$E$5001,"Em ajustes"),1,0),0))</f>
        <v/>
      </c>
      <c r="N379" s="17" t="str">
        <f aca="false">IF(A379="","",IF(ISNUMBER(A379),A379,IFERROR(DATE(VALUE(MID(A379,7,4)),VALUE(MID(A379,4,2)),VALUE(MID(A379,1,2)))+TIME(VALUE(MID(A379,12,2)),VALUE(MID(A379,15,2)),VALUE(MID(A379,18,2))),"")))</f>
        <v/>
      </c>
    </row>
    <row r="380" customFormat="false" ht="15" hidden="false" customHeight="false" outlineLevel="0" collapsed="false">
      <c r="I380" s="15" t="str">
        <f aca="false">IF(N380="","",INT(N380))</f>
        <v/>
      </c>
      <c r="J380" s="16" t="str">
        <f aca="false">IF(B380="","",IF(N380=_xlfn.MINIFS($N$2:$N$5001,$B$2:$B$5001,B380),1,0))</f>
        <v/>
      </c>
      <c r="K380" s="16" t="str">
        <f aca="false">IF(B380="","",IF(AND(D380="Formalização",E380="Concluído"),IF(COUNTIFS($B$2:$B$5001,B380,$E$2:$E$5001,"Em ajustes",$N$2:$N$5001,"&lt;"&amp;I380)&gt;0,1,0),0))</f>
        <v/>
      </c>
      <c r="L380" s="16" t="str">
        <f aca="false">IF(B380="","",IF(N380=_xlfn.MAXIFS($N$2:$N$5001,$B$2:$B$5001,B380,$I$2:$I$5001,I380),1,0))</f>
        <v/>
      </c>
      <c r="M380" s="16" t="str">
        <f aca="false">IF(B380="","",IF(E380="Em ajustes",IF(N380=_xlfn.MINIFS($N$2:$N$5001,$B$2:$B$5001,B380,$E$2:$E$5001,"Em ajustes"),1,0),0))</f>
        <v/>
      </c>
      <c r="N380" s="17" t="str">
        <f aca="false">IF(A380="","",IF(ISNUMBER(A380),A380,IFERROR(DATE(VALUE(MID(A380,7,4)),VALUE(MID(A380,4,2)),VALUE(MID(A380,1,2)))+TIME(VALUE(MID(A380,12,2)),VALUE(MID(A380,15,2)),VALUE(MID(A380,18,2))),"")))</f>
        <v/>
      </c>
    </row>
    <row r="381" customFormat="false" ht="15" hidden="false" customHeight="false" outlineLevel="0" collapsed="false">
      <c r="I381" s="15" t="str">
        <f aca="false">IF(N381="","",INT(N381))</f>
        <v/>
      </c>
      <c r="J381" s="16" t="str">
        <f aca="false">IF(B381="","",IF(N381=_xlfn.MINIFS($N$2:$N$5001,$B$2:$B$5001,B381),1,0))</f>
        <v/>
      </c>
      <c r="K381" s="16" t="str">
        <f aca="false">IF(B381="","",IF(AND(D381="Formalização",E381="Concluído"),IF(COUNTIFS($B$2:$B$5001,B381,$E$2:$E$5001,"Em ajustes",$N$2:$N$5001,"&lt;"&amp;I381)&gt;0,1,0),0))</f>
        <v/>
      </c>
      <c r="L381" s="16" t="str">
        <f aca="false">IF(B381="","",IF(N381=_xlfn.MAXIFS($N$2:$N$5001,$B$2:$B$5001,B381,$I$2:$I$5001,I381),1,0))</f>
        <v/>
      </c>
      <c r="M381" s="16" t="str">
        <f aca="false">IF(B381="","",IF(E381="Em ajustes",IF(N381=_xlfn.MINIFS($N$2:$N$5001,$B$2:$B$5001,B381,$E$2:$E$5001,"Em ajustes"),1,0),0))</f>
        <v/>
      </c>
      <c r="N381" s="17" t="str">
        <f aca="false">IF(A381="","",IF(ISNUMBER(A381),A381,IFERROR(DATE(VALUE(MID(A381,7,4)),VALUE(MID(A381,4,2)),VALUE(MID(A381,1,2)))+TIME(VALUE(MID(A381,12,2)),VALUE(MID(A381,15,2)),VALUE(MID(A381,18,2))),"")))</f>
        <v/>
      </c>
    </row>
    <row r="382" customFormat="false" ht="15" hidden="false" customHeight="false" outlineLevel="0" collapsed="false">
      <c r="I382" s="15" t="str">
        <f aca="false">IF(N382="","",INT(N382))</f>
        <v/>
      </c>
      <c r="J382" s="16" t="str">
        <f aca="false">IF(B382="","",IF(N382=_xlfn.MINIFS($N$2:$N$5001,$B$2:$B$5001,B382),1,0))</f>
        <v/>
      </c>
      <c r="K382" s="16" t="str">
        <f aca="false">IF(B382="","",IF(AND(D382="Formalização",E382="Concluído"),IF(COUNTIFS($B$2:$B$5001,B382,$E$2:$E$5001,"Em ajustes",$N$2:$N$5001,"&lt;"&amp;I382)&gt;0,1,0),0))</f>
        <v/>
      </c>
      <c r="L382" s="16" t="str">
        <f aca="false">IF(B382="","",IF(N382=_xlfn.MAXIFS($N$2:$N$5001,$B$2:$B$5001,B382,$I$2:$I$5001,I382),1,0))</f>
        <v/>
      </c>
      <c r="M382" s="16" t="str">
        <f aca="false">IF(B382="","",IF(E382="Em ajustes",IF(N382=_xlfn.MINIFS($N$2:$N$5001,$B$2:$B$5001,B382,$E$2:$E$5001,"Em ajustes"),1,0),0))</f>
        <v/>
      </c>
      <c r="N382" s="17" t="str">
        <f aca="false">IF(A382="","",IF(ISNUMBER(A382),A382,IFERROR(DATE(VALUE(MID(A382,7,4)),VALUE(MID(A382,4,2)),VALUE(MID(A382,1,2)))+TIME(VALUE(MID(A382,12,2)),VALUE(MID(A382,15,2)),VALUE(MID(A382,18,2))),"")))</f>
        <v/>
      </c>
    </row>
    <row r="383" customFormat="false" ht="15" hidden="false" customHeight="false" outlineLevel="0" collapsed="false">
      <c r="I383" s="15" t="str">
        <f aca="false">IF(N383="","",INT(N383))</f>
        <v/>
      </c>
      <c r="J383" s="16" t="str">
        <f aca="false">IF(B383="","",IF(N383=_xlfn.MINIFS($N$2:$N$5001,$B$2:$B$5001,B383),1,0))</f>
        <v/>
      </c>
      <c r="K383" s="16" t="str">
        <f aca="false">IF(B383="","",IF(AND(D383="Formalização",E383="Concluído"),IF(COUNTIFS($B$2:$B$5001,B383,$E$2:$E$5001,"Em ajustes",$N$2:$N$5001,"&lt;"&amp;I383)&gt;0,1,0),0))</f>
        <v/>
      </c>
      <c r="L383" s="16" t="str">
        <f aca="false">IF(B383="","",IF(N383=_xlfn.MAXIFS($N$2:$N$5001,$B$2:$B$5001,B383,$I$2:$I$5001,I383),1,0))</f>
        <v/>
      </c>
      <c r="M383" s="16" t="str">
        <f aca="false">IF(B383="","",IF(E383="Em ajustes",IF(N383=_xlfn.MINIFS($N$2:$N$5001,$B$2:$B$5001,B383,$E$2:$E$5001,"Em ajustes"),1,0),0))</f>
        <v/>
      </c>
      <c r="N383" s="17" t="str">
        <f aca="false">IF(A383="","",IF(ISNUMBER(A383),A383,IFERROR(DATE(VALUE(MID(A383,7,4)),VALUE(MID(A383,4,2)),VALUE(MID(A383,1,2)))+TIME(VALUE(MID(A383,12,2)),VALUE(MID(A383,15,2)),VALUE(MID(A383,18,2))),"")))</f>
        <v/>
      </c>
    </row>
    <row r="384" customFormat="false" ht="15" hidden="false" customHeight="false" outlineLevel="0" collapsed="false">
      <c r="I384" s="15" t="str">
        <f aca="false">IF(N384="","",INT(N384))</f>
        <v/>
      </c>
      <c r="J384" s="16" t="str">
        <f aca="false">IF(B384="","",IF(N384=_xlfn.MINIFS($N$2:$N$5001,$B$2:$B$5001,B384),1,0))</f>
        <v/>
      </c>
      <c r="K384" s="16" t="str">
        <f aca="false">IF(B384="","",IF(AND(D384="Formalização",E384="Concluído"),IF(COUNTIFS($B$2:$B$5001,B384,$E$2:$E$5001,"Em ajustes",$N$2:$N$5001,"&lt;"&amp;I384)&gt;0,1,0),0))</f>
        <v/>
      </c>
      <c r="L384" s="16" t="str">
        <f aca="false">IF(B384="","",IF(N384=_xlfn.MAXIFS($N$2:$N$5001,$B$2:$B$5001,B384,$I$2:$I$5001,I384),1,0))</f>
        <v/>
      </c>
      <c r="M384" s="16" t="str">
        <f aca="false">IF(B384="","",IF(E384="Em ajustes",IF(N384=_xlfn.MINIFS($N$2:$N$5001,$B$2:$B$5001,B384,$E$2:$E$5001,"Em ajustes"),1,0),0))</f>
        <v/>
      </c>
      <c r="N384" s="17" t="str">
        <f aca="false">IF(A384="","",IF(ISNUMBER(A384),A384,IFERROR(DATE(VALUE(MID(A384,7,4)),VALUE(MID(A384,4,2)),VALUE(MID(A384,1,2)))+TIME(VALUE(MID(A384,12,2)),VALUE(MID(A384,15,2)),VALUE(MID(A384,18,2))),"")))</f>
        <v/>
      </c>
    </row>
    <row r="385" customFormat="false" ht="15" hidden="false" customHeight="false" outlineLevel="0" collapsed="false">
      <c r="I385" s="15" t="str">
        <f aca="false">IF(N385="","",INT(N385))</f>
        <v/>
      </c>
      <c r="J385" s="16" t="str">
        <f aca="false">IF(B385="","",IF(N385=_xlfn.MINIFS($N$2:$N$5001,$B$2:$B$5001,B385),1,0))</f>
        <v/>
      </c>
      <c r="K385" s="16" t="str">
        <f aca="false">IF(B385="","",IF(AND(D385="Formalização",E385="Concluído"),IF(COUNTIFS($B$2:$B$5001,B385,$E$2:$E$5001,"Em ajustes",$N$2:$N$5001,"&lt;"&amp;I385)&gt;0,1,0),0))</f>
        <v/>
      </c>
      <c r="L385" s="16" t="str">
        <f aca="false">IF(B385="","",IF(N385=_xlfn.MAXIFS($N$2:$N$5001,$B$2:$B$5001,B385,$I$2:$I$5001,I385),1,0))</f>
        <v/>
      </c>
      <c r="M385" s="16" t="str">
        <f aca="false">IF(B385="","",IF(E385="Em ajustes",IF(N385=_xlfn.MINIFS($N$2:$N$5001,$B$2:$B$5001,B385,$E$2:$E$5001,"Em ajustes"),1,0),0))</f>
        <v/>
      </c>
      <c r="N385" s="17" t="str">
        <f aca="false">IF(A385="","",IF(ISNUMBER(A385),A385,IFERROR(DATE(VALUE(MID(A385,7,4)),VALUE(MID(A385,4,2)),VALUE(MID(A385,1,2)))+TIME(VALUE(MID(A385,12,2)),VALUE(MID(A385,15,2)),VALUE(MID(A385,18,2))),"")))</f>
        <v/>
      </c>
    </row>
    <row r="386" customFormat="false" ht="15" hidden="false" customHeight="false" outlineLevel="0" collapsed="false">
      <c r="I386" s="15" t="str">
        <f aca="false">IF(N386="","",INT(N386))</f>
        <v/>
      </c>
      <c r="J386" s="16" t="str">
        <f aca="false">IF(B386="","",IF(N386=_xlfn.MINIFS($N$2:$N$5001,$B$2:$B$5001,B386),1,0))</f>
        <v/>
      </c>
      <c r="K386" s="16" t="str">
        <f aca="false">IF(B386="","",IF(AND(D386="Formalização",E386="Concluído"),IF(COUNTIFS($B$2:$B$5001,B386,$E$2:$E$5001,"Em ajustes",$N$2:$N$5001,"&lt;"&amp;I386)&gt;0,1,0),0))</f>
        <v/>
      </c>
      <c r="L386" s="16" t="str">
        <f aca="false">IF(B386="","",IF(N386=_xlfn.MAXIFS($N$2:$N$5001,$B$2:$B$5001,B386,$I$2:$I$5001,I386),1,0))</f>
        <v/>
      </c>
      <c r="M386" s="16" t="str">
        <f aca="false">IF(B386="","",IF(E386="Em ajustes",IF(N386=_xlfn.MINIFS($N$2:$N$5001,$B$2:$B$5001,B386,$E$2:$E$5001,"Em ajustes"),1,0),0))</f>
        <v/>
      </c>
      <c r="N386" s="17" t="str">
        <f aca="false">IF(A386="","",IF(ISNUMBER(A386),A386,IFERROR(DATE(VALUE(MID(A386,7,4)),VALUE(MID(A386,4,2)),VALUE(MID(A386,1,2)))+TIME(VALUE(MID(A386,12,2)),VALUE(MID(A386,15,2)),VALUE(MID(A386,18,2))),"")))</f>
        <v/>
      </c>
    </row>
    <row r="387" customFormat="false" ht="15" hidden="false" customHeight="false" outlineLevel="0" collapsed="false">
      <c r="I387" s="15" t="str">
        <f aca="false">IF(N387="","",INT(N387))</f>
        <v/>
      </c>
      <c r="J387" s="16" t="str">
        <f aca="false">IF(B387="","",IF(N387=_xlfn.MINIFS($N$2:$N$5001,$B$2:$B$5001,B387),1,0))</f>
        <v/>
      </c>
      <c r="K387" s="16" t="str">
        <f aca="false">IF(B387="","",IF(AND(D387="Formalização",E387="Concluído"),IF(COUNTIFS($B$2:$B$5001,B387,$E$2:$E$5001,"Em ajustes",$N$2:$N$5001,"&lt;"&amp;I387)&gt;0,1,0),0))</f>
        <v/>
      </c>
      <c r="L387" s="16" t="str">
        <f aca="false">IF(B387="","",IF(N387=_xlfn.MAXIFS($N$2:$N$5001,$B$2:$B$5001,B387,$I$2:$I$5001,I387),1,0))</f>
        <v/>
      </c>
      <c r="M387" s="16" t="str">
        <f aca="false">IF(B387="","",IF(E387="Em ajustes",IF(N387=_xlfn.MINIFS($N$2:$N$5001,$B$2:$B$5001,B387,$E$2:$E$5001,"Em ajustes"),1,0),0))</f>
        <v/>
      </c>
      <c r="N387" s="17" t="str">
        <f aca="false">IF(A387="","",IF(ISNUMBER(A387),A387,IFERROR(DATE(VALUE(MID(A387,7,4)),VALUE(MID(A387,4,2)),VALUE(MID(A387,1,2)))+TIME(VALUE(MID(A387,12,2)),VALUE(MID(A387,15,2)),VALUE(MID(A387,18,2))),"")))</f>
        <v/>
      </c>
    </row>
    <row r="388" customFormat="false" ht="15" hidden="false" customHeight="false" outlineLevel="0" collapsed="false">
      <c r="I388" s="15" t="str">
        <f aca="false">IF(N388="","",INT(N388))</f>
        <v/>
      </c>
      <c r="J388" s="16" t="str">
        <f aca="false">IF(B388="","",IF(N388=_xlfn.MINIFS($N$2:$N$5001,$B$2:$B$5001,B388),1,0))</f>
        <v/>
      </c>
      <c r="K388" s="16" t="str">
        <f aca="false">IF(B388="","",IF(AND(D388="Formalização",E388="Concluído"),IF(COUNTIFS($B$2:$B$5001,B388,$E$2:$E$5001,"Em ajustes",$N$2:$N$5001,"&lt;"&amp;I388)&gt;0,1,0),0))</f>
        <v/>
      </c>
      <c r="L388" s="16" t="str">
        <f aca="false">IF(B388="","",IF(N388=_xlfn.MAXIFS($N$2:$N$5001,$B$2:$B$5001,B388,$I$2:$I$5001,I388),1,0))</f>
        <v/>
      </c>
      <c r="M388" s="16" t="str">
        <f aca="false">IF(B388="","",IF(E388="Em ajustes",IF(N388=_xlfn.MINIFS($N$2:$N$5001,$B$2:$B$5001,B388,$E$2:$E$5001,"Em ajustes"),1,0),0))</f>
        <v/>
      </c>
      <c r="N388" s="17" t="str">
        <f aca="false">IF(A388="","",IF(ISNUMBER(A388),A388,IFERROR(DATE(VALUE(MID(A388,7,4)),VALUE(MID(A388,4,2)),VALUE(MID(A388,1,2)))+TIME(VALUE(MID(A388,12,2)),VALUE(MID(A388,15,2)),VALUE(MID(A388,18,2))),"")))</f>
        <v/>
      </c>
    </row>
    <row r="389" customFormat="false" ht="15" hidden="false" customHeight="false" outlineLevel="0" collapsed="false">
      <c r="I389" s="15" t="str">
        <f aca="false">IF(N389="","",INT(N389))</f>
        <v/>
      </c>
      <c r="J389" s="16" t="str">
        <f aca="false">IF(B389="","",IF(N389=_xlfn.MINIFS($N$2:$N$5001,$B$2:$B$5001,B389),1,0))</f>
        <v/>
      </c>
      <c r="K389" s="16" t="str">
        <f aca="false">IF(B389="","",IF(AND(D389="Formalização",E389="Concluído"),IF(COUNTIFS($B$2:$B$5001,B389,$E$2:$E$5001,"Em ajustes",$N$2:$N$5001,"&lt;"&amp;I389)&gt;0,1,0),0))</f>
        <v/>
      </c>
      <c r="L389" s="16" t="str">
        <f aca="false">IF(B389="","",IF(N389=_xlfn.MAXIFS($N$2:$N$5001,$B$2:$B$5001,B389,$I$2:$I$5001,I389),1,0))</f>
        <v/>
      </c>
      <c r="M389" s="16" t="str">
        <f aca="false">IF(B389="","",IF(E389="Em ajustes",IF(N389=_xlfn.MINIFS($N$2:$N$5001,$B$2:$B$5001,B389,$E$2:$E$5001,"Em ajustes"),1,0),0))</f>
        <v/>
      </c>
      <c r="N389" s="17" t="str">
        <f aca="false">IF(A389="","",IF(ISNUMBER(A389),A389,IFERROR(DATE(VALUE(MID(A389,7,4)),VALUE(MID(A389,4,2)),VALUE(MID(A389,1,2)))+TIME(VALUE(MID(A389,12,2)),VALUE(MID(A389,15,2)),VALUE(MID(A389,18,2))),"")))</f>
        <v/>
      </c>
    </row>
    <row r="390" customFormat="false" ht="15" hidden="false" customHeight="false" outlineLevel="0" collapsed="false">
      <c r="I390" s="15" t="str">
        <f aca="false">IF(N390="","",INT(N390))</f>
        <v/>
      </c>
      <c r="J390" s="16" t="str">
        <f aca="false">IF(B390="","",IF(N390=_xlfn.MINIFS($N$2:$N$5001,$B$2:$B$5001,B390),1,0))</f>
        <v/>
      </c>
      <c r="K390" s="16" t="str">
        <f aca="false">IF(B390="","",IF(AND(D390="Formalização",E390="Concluído"),IF(COUNTIFS($B$2:$B$5001,B390,$E$2:$E$5001,"Em ajustes",$N$2:$N$5001,"&lt;"&amp;I390)&gt;0,1,0),0))</f>
        <v/>
      </c>
      <c r="L390" s="16" t="str">
        <f aca="false">IF(B390="","",IF(N390=_xlfn.MAXIFS($N$2:$N$5001,$B$2:$B$5001,B390,$I$2:$I$5001,I390),1,0))</f>
        <v/>
      </c>
      <c r="M390" s="16" t="str">
        <f aca="false">IF(B390="","",IF(E390="Em ajustes",IF(N390=_xlfn.MINIFS($N$2:$N$5001,$B$2:$B$5001,B390,$E$2:$E$5001,"Em ajustes"),1,0),0))</f>
        <v/>
      </c>
      <c r="N390" s="17" t="str">
        <f aca="false">IF(A390="","",IF(ISNUMBER(A390),A390,IFERROR(DATE(VALUE(MID(A390,7,4)),VALUE(MID(A390,4,2)),VALUE(MID(A390,1,2)))+TIME(VALUE(MID(A390,12,2)),VALUE(MID(A390,15,2)),VALUE(MID(A390,18,2))),"")))</f>
        <v/>
      </c>
    </row>
    <row r="391" customFormat="false" ht="15" hidden="false" customHeight="false" outlineLevel="0" collapsed="false">
      <c r="I391" s="15" t="str">
        <f aca="false">IF(N391="","",INT(N391))</f>
        <v/>
      </c>
      <c r="J391" s="16" t="str">
        <f aca="false">IF(B391="","",IF(N391=_xlfn.MINIFS($N$2:$N$5001,$B$2:$B$5001,B391),1,0))</f>
        <v/>
      </c>
      <c r="K391" s="16" t="str">
        <f aca="false">IF(B391="","",IF(AND(D391="Formalização",E391="Concluído"),IF(COUNTIFS($B$2:$B$5001,B391,$E$2:$E$5001,"Em ajustes",$N$2:$N$5001,"&lt;"&amp;I391)&gt;0,1,0),0))</f>
        <v/>
      </c>
      <c r="L391" s="16" t="str">
        <f aca="false">IF(B391="","",IF(N391=_xlfn.MAXIFS($N$2:$N$5001,$B$2:$B$5001,B391,$I$2:$I$5001,I391),1,0))</f>
        <v/>
      </c>
      <c r="M391" s="16" t="str">
        <f aca="false">IF(B391="","",IF(E391="Em ajustes",IF(N391=_xlfn.MINIFS($N$2:$N$5001,$B$2:$B$5001,B391,$E$2:$E$5001,"Em ajustes"),1,0),0))</f>
        <v/>
      </c>
      <c r="N391" s="17" t="str">
        <f aca="false">IF(A391="","",IF(ISNUMBER(A391),A391,IFERROR(DATE(VALUE(MID(A391,7,4)),VALUE(MID(A391,4,2)),VALUE(MID(A391,1,2)))+TIME(VALUE(MID(A391,12,2)),VALUE(MID(A391,15,2)),VALUE(MID(A391,18,2))),"")))</f>
        <v/>
      </c>
    </row>
    <row r="392" customFormat="false" ht="15" hidden="false" customHeight="false" outlineLevel="0" collapsed="false">
      <c r="I392" s="15" t="str">
        <f aca="false">IF(N392="","",INT(N392))</f>
        <v/>
      </c>
      <c r="J392" s="16" t="str">
        <f aca="false">IF(B392="","",IF(N392=_xlfn.MINIFS($N$2:$N$5001,$B$2:$B$5001,B392),1,0))</f>
        <v/>
      </c>
      <c r="K392" s="16" t="str">
        <f aca="false">IF(B392="","",IF(AND(D392="Formalização",E392="Concluído"),IF(COUNTIFS($B$2:$B$5001,B392,$E$2:$E$5001,"Em ajustes",$N$2:$N$5001,"&lt;"&amp;I392)&gt;0,1,0),0))</f>
        <v/>
      </c>
      <c r="L392" s="16" t="str">
        <f aca="false">IF(B392="","",IF(N392=_xlfn.MAXIFS($N$2:$N$5001,$B$2:$B$5001,B392,$I$2:$I$5001,I392),1,0))</f>
        <v/>
      </c>
      <c r="M392" s="16" t="str">
        <f aca="false">IF(B392="","",IF(E392="Em ajustes",IF(N392=_xlfn.MINIFS($N$2:$N$5001,$B$2:$B$5001,B392,$E$2:$E$5001,"Em ajustes"),1,0),0))</f>
        <v/>
      </c>
      <c r="N392" s="17" t="str">
        <f aca="false">IF(A392="","",IF(ISNUMBER(A392),A392,IFERROR(DATE(VALUE(MID(A392,7,4)),VALUE(MID(A392,4,2)),VALUE(MID(A392,1,2)))+TIME(VALUE(MID(A392,12,2)),VALUE(MID(A392,15,2)),VALUE(MID(A392,18,2))),"")))</f>
        <v/>
      </c>
    </row>
    <row r="393" customFormat="false" ht="15" hidden="false" customHeight="false" outlineLevel="0" collapsed="false">
      <c r="I393" s="15" t="str">
        <f aca="false">IF(N393="","",INT(N393))</f>
        <v/>
      </c>
      <c r="J393" s="16" t="str">
        <f aca="false">IF(B393="","",IF(N393=_xlfn.MINIFS($N$2:$N$5001,$B$2:$B$5001,B393),1,0))</f>
        <v/>
      </c>
      <c r="K393" s="16" t="str">
        <f aca="false">IF(B393="","",IF(AND(D393="Formalização",E393="Concluído"),IF(COUNTIFS($B$2:$B$5001,B393,$E$2:$E$5001,"Em ajustes",$N$2:$N$5001,"&lt;"&amp;I393)&gt;0,1,0),0))</f>
        <v/>
      </c>
      <c r="L393" s="16" t="str">
        <f aca="false">IF(B393="","",IF(N393=_xlfn.MAXIFS($N$2:$N$5001,$B$2:$B$5001,B393,$I$2:$I$5001,I393),1,0))</f>
        <v/>
      </c>
      <c r="M393" s="16" t="str">
        <f aca="false">IF(B393="","",IF(E393="Em ajustes",IF(N393=_xlfn.MINIFS($N$2:$N$5001,$B$2:$B$5001,B393,$E$2:$E$5001,"Em ajustes"),1,0),0))</f>
        <v/>
      </c>
      <c r="N393" s="17" t="str">
        <f aca="false">IF(A393="","",IF(ISNUMBER(A393),A393,IFERROR(DATE(VALUE(MID(A393,7,4)),VALUE(MID(A393,4,2)),VALUE(MID(A393,1,2)))+TIME(VALUE(MID(A393,12,2)),VALUE(MID(A393,15,2)),VALUE(MID(A393,18,2))),"")))</f>
        <v/>
      </c>
    </row>
    <row r="394" customFormat="false" ht="15" hidden="false" customHeight="false" outlineLevel="0" collapsed="false">
      <c r="I394" s="15" t="str">
        <f aca="false">IF(N394="","",INT(N394))</f>
        <v/>
      </c>
      <c r="J394" s="16" t="str">
        <f aca="false">IF(B394="","",IF(N394=_xlfn.MINIFS($N$2:$N$5001,$B$2:$B$5001,B394),1,0))</f>
        <v/>
      </c>
      <c r="K394" s="16" t="str">
        <f aca="false">IF(B394="","",IF(AND(D394="Formalização",E394="Concluído"),IF(COUNTIFS($B$2:$B$5001,B394,$E$2:$E$5001,"Em ajustes",$N$2:$N$5001,"&lt;"&amp;I394)&gt;0,1,0),0))</f>
        <v/>
      </c>
      <c r="L394" s="16" t="str">
        <f aca="false">IF(B394="","",IF(N394=_xlfn.MAXIFS($N$2:$N$5001,$B$2:$B$5001,B394,$I$2:$I$5001,I394),1,0))</f>
        <v/>
      </c>
      <c r="M394" s="16" t="str">
        <f aca="false">IF(B394="","",IF(E394="Em ajustes",IF(N394=_xlfn.MINIFS($N$2:$N$5001,$B$2:$B$5001,B394,$E$2:$E$5001,"Em ajustes"),1,0),0))</f>
        <v/>
      </c>
      <c r="N394" s="17" t="str">
        <f aca="false">IF(A394="","",IF(ISNUMBER(A394),A394,IFERROR(DATE(VALUE(MID(A394,7,4)),VALUE(MID(A394,4,2)),VALUE(MID(A394,1,2)))+TIME(VALUE(MID(A394,12,2)),VALUE(MID(A394,15,2)),VALUE(MID(A394,18,2))),"")))</f>
        <v/>
      </c>
    </row>
    <row r="395" customFormat="false" ht="15" hidden="false" customHeight="false" outlineLevel="0" collapsed="false">
      <c r="I395" s="15" t="str">
        <f aca="false">IF(N395="","",INT(N395))</f>
        <v/>
      </c>
      <c r="J395" s="16" t="str">
        <f aca="false">IF(B395="","",IF(N395=_xlfn.MINIFS($N$2:$N$5001,$B$2:$B$5001,B395),1,0))</f>
        <v/>
      </c>
      <c r="K395" s="16" t="str">
        <f aca="false">IF(B395="","",IF(AND(D395="Formalização",E395="Concluído"),IF(COUNTIFS($B$2:$B$5001,B395,$E$2:$E$5001,"Em ajustes",$N$2:$N$5001,"&lt;"&amp;I395)&gt;0,1,0),0))</f>
        <v/>
      </c>
      <c r="L395" s="16" t="str">
        <f aca="false">IF(B395="","",IF(N395=_xlfn.MAXIFS($N$2:$N$5001,$B$2:$B$5001,B395,$I$2:$I$5001,I395),1,0))</f>
        <v/>
      </c>
      <c r="M395" s="16" t="str">
        <f aca="false">IF(B395="","",IF(E395="Em ajustes",IF(N395=_xlfn.MINIFS($N$2:$N$5001,$B$2:$B$5001,B395,$E$2:$E$5001,"Em ajustes"),1,0),0))</f>
        <v/>
      </c>
      <c r="N395" s="17" t="str">
        <f aca="false">IF(A395="","",IF(ISNUMBER(A395),A395,IFERROR(DATE(VALUE(MID(A395,7,4)),VALUE(MID(A395,4,2)),VALUE(MID(A395,1,2)))+TIME(VALUE(MID(A395,12,2)),VALUE(MID(A395,15,2)),VALUE(MID(A395,18,2))),"")))</f>
        <v/>
      </c>
    </row>
    <row r="396" customFormat="false" ht="15" hidden="false" customHeight="false" outlineLevel="0" collapsed="false">
      <c r="I396" s="15" t="str">
        <f aca="false">IF(N396="","",INT(N396))</f>
        <v/>
      </c>
      <c r="J396" s="16" t="str">
        <f aca="false">IF(B396="","",IF(N396=_xlfn.MINIFS($N$2:$N$5001,$B$2:$B$5001,B396),1,0))</f>
        <v/>
      </c>
      <c r="K396" s="16" t="str">
        <f aca="false">IF(B396="","",IF(AND(D396="Formalização",E396="Concluído"),IF(COUNTIFS($B$2:$B$5001,B396,$E$2:$E$5001,"Em ajustes",$N$2:$N$5001,"&lt;"&amp;I396)&gt;0,1,0),0))</f>
        <v/>
      </c>
      <c r="L396" s="16" t="str">
        <f aca="false">IF(B396="","",IF(N396=_xlfn.MAXIFS($N$2:$N$5001,$B$2:$B$5001,B396,$I$2:$I$5001,I396),1,0))</f>
        <v/>
      </c>
      <c r="M396" s="16" t="str">
        <f aca="false">IF(B396="","",IF(E396="Em ajustes",IF(N396=_xlfn.MINIFS($N$2:$N$5001,$B$2:$B$5001,B396,$E$2:$E$5001,"Em ajustes"),1,0),0))</f>
        <v/>
      </c>
      <c r="N396" s="17" t="str">
        <f aca="false">IF(A396="","",IF(ISNUMBER(A396),A396,IFERROR(DATE(VALUE(MID(A396,7,4)),VALUE(MID(A396,4,2)),VALUE(MID(A396,1,2)))+TIME(VALUE(MID(A396,12,2)),VALUE(MID(A396,15,2)),VALUE(MID(A396,18,2))),"")))</f>
        <v/>
      </c>
    </row>
    <row r="397" customFormat="false" ht="15" hidden="false" customHeight="false" outlineLevel="0" collapsed="false">
      <c r="I397" s="15" t="str">
        <f aca="false">IF(N397="","",INT(N397))</f>
        <v/>
      </c>
      <c r="J397" s="16" t="str">
        <f aca="false">IF(B397="","",IF(N397=_xlfn.MINIFS($N$2:$N$5001,$B$2:$B$5001,B397),1,0))</f>
        <v/>
      </c>
      <c r="K397" s="16" t="str">
        <f aca="false">IF(B397="","",IF(AND(D397="Formalização",E397="Concluído"),IF(COUNTIFS($B$2:$B$5001,B397,$E$2:$E$5001,"Em ajustes",$N$2:$N$5001,"&lt;"&amp;I397)&gt;0,1,0),0))</f>
        <v/>
      </c>
      <c r="L397" s="16" t="str">
        <f aca="false">IF(B397="","",IF(N397=_xlfn.MAXIFS($N$2:$N$5001,$B$2:$B$5001,B397,$I$2:$I$5001,I397),1,0))</f>
        <v/>
      </c>
      <c r="M397" s="16" t="str">
        <f aca="false">IF(B397="","",IF(E397="Em ajustes",IF(N397=_xlfn.MINIFS($N$2:$N$5001,$B$2:$B$5001,B397,$E$2:$E$5001,"Em ajustes"),1,0),0))</f>
        <v/>
      </c>
      <c r="N397" s="17" t="str">
        <f aca="false">IF(A397="","",IF(ISNUMBER(A397),A397,IFERROR(DATE(VALUE(MID(A397,7,4)),VALUE(MID(A397,4,2)),VALUE(MID(A397,1,2)))+TIME(VALUE(MID(A397,12,2)),VALUE(MID(A397,15,2)),VALUE(MID(A397,18,2))),"")))</f>
        <v/>
      </c>
    </row>
    <row r="398" customFormat="false" ht="15" hidden="false" customHeight="false" outlineLevel="0" collapsed="false">
      <c r="I398" s="15" t="str">
        <f aca="false">IF(N398="","",INT(N398))</f>
        <v/>
      </c>
      <c r="J398" s="16" t="str">
        <f aca="false">IF(B398="","",IF(N398=_xlfn.MINIFS($N$2:$N$5001,$B$2:$B$5001,B398),1,0))</f>
        <v/>
      </c>
      <c r="K398" s="16" t="str">
        <f aca="false">IF(B398="","",IF(AND(D398="Formalização",E398="Concluído"),IF(COUNTIFS($B$2:$B$5001,B398,$E$2:$E$5001,"Em ajustes",$N$2:$N$5001,"&lt;"&amp;I398)&gt;0,1,0),0))</f>
        <v/>
      </c>
      <c r="L398" s="16" t="str">
        <f aca="false">IF(B398="","",IF(N398=_xlfn.MAXIFS($N$2:$N$5001,$B$2:$B$5001,B398,$I$2:$I$5001,I398),1,0))</f>
        <v/>
      </c>
      <c r="M398" s="16" t="str">
        <f aca="false">IF(B398="","",IF(E398="Em ajustes",IF(N398=_xlfn.MINIFS($N$2:$N$5001,$B$2:$B$5001,B398,$E$2:$E$5001,"Em ajustes"),1,0),0))</f>
        <v/>
      </c>
      <c r="N398" s="17" t="str">
        <f aca="false">IF(A398="","",IF(ISNUMBER(A398),A398,IFERROR(DATE(VALUE(MID(A398,7,4)),VALUE(MID(A398,4,2)),VALUE(MID(A398,1,2)))+TIME(VALUE(MID(A398,12,2)),VALUE(MID(A398,15,2)),VALUE(MID(A398,18,2))),"")))</f>
        <v/>
      </c>
    </row>
    <row r="399" customFormat="false" ht="15" hidden="false" customHeight="false" outlineLevel="0" collapsed="false">
      <c r="I399" s="15" t="str">
        <f aca="false">IF(N399="","",INT(N399))</f>
        <v/>
      </c>
      <c r="J399" s="16" t="str">
        <f aca="false">IF(B399="","",IF(N399=_xlfn.MINIFS($N$2:$N$5001,$B$2:$B$5001,B399),1,0))</f>
        <v/>
      </c>
      <c r="K399" s="16" t="str">
        <f aca="false">IF(B399="","",IF(AND(D399="Formalização",E399="Concluído"),IF(COUNTIFS($B$2:$B$5001,B399,$E$2:$E$5001,"Em ajustes",$N$2:$N$5001,"&lt;"&amp;I399)&gt;0,1,0),0))</f>
        <v/>
      </c>
      <c r="L399" s="16" t="str">
        <f aca="false">IF(B399="","",IF(N399=_xlfn.MAXIFS($N$2:$N$5001,$B$2:$B$5001,B399,$I$2:$I$5001,I399),1,0))</f>
        <v/>
      </c>
      <c r="M399" s="16" t="str">
        <f aca="false">IF(B399="","",IF(E399="Em ajustes",IF(N399=_xlfn.MINIFS($N$2:$N$5001,$B$2:$B$5001,B399,$E$2:$E$5001,"Em ajustes"),1,0),0))</f>
        <v/>
      </c>
      <c r="N399" s="17" t="str">
        <f aca="false">IF(A399="","",IF(ISNUMBER(A399),A399,IFERROR(DATE(VALUE(MID(A399,7,4)),VALUE(MID(A399,4,2)),VALUE(MID(A399,1,2)))+TIME(VALUE(MID(A399,12,2)),VALUE(MID(A399,15,2)),VALUE(MID(A399,18,2))),"")))</f>
        <v/>
      </c>
    </row>
    <row r="400" customFormat="false" ht="15" hidden="false" customHeight="false" outlineLevel="0" collapsed="false">
      <c r="I400" s="15" t="str">
        <f aca="false">IF(N400="","",INT(N400))</f>
        <v/>
      </c>
      <c r="J400" s="16" t="str">
        <f aca="false">IF(B400="","",IF(N400=_xlfn.MINIFS($N$2:$N$5001,$B$2:$B$5001,B400),1,0))</f>
        <v/>
      </c>
      <c r="K400" s="16" t="str">
        <f aca="false">IF(B400="","",IF(AND(D400="Formalização",E400="Concluído"),IF(COUNTIFS($B$2:$B$5001,B400,$E$2:$E$5001,"Em ajustes",$N$2:$N$5001,"&lt;"&amp;I400)&gt;0,1,0),0))</f>
        <v/>
      </c>
      <c r="L400" s="16" t="str">
        <f aca="false">IF(B400="","",IF(N400=_xlfn.MAXIFS($N$2:$N$5001,$B$2:$B$5001,B400,$I$2:$I$5001,I400),1,0))</f>
        <v/>
      </c>
      <c r="M400" s="16" t="str">
        <f aca="false">IF(B400="","",IF(E400="Em ajustes",IF(N400=_xlfn.MINIFS($N$2:$N$5001,$B$2:$B$5001,B400,$E$2:$E$5001,"Em ajustes"),1,0),0))</f>
        <v/>
      </c>
      <c r="N400" s="17" t="str">
        <f aca="false">IF(A400="","",IF(ISNUMBER(A400),A400,IFERROR(DATE(VALUE(MID(A400,7,4)),VALUE(MID(A400,4,2)),VALUE(MID(A400,1,2)))+TIME(VALUE(MID(A400,12,2)),VALUE(MID(A400,15,2)),VALUE(MID(A400,18,2))),"")))</f>
        <v/>
      </c>
    </row>
    <row r="401" customFormat="false" ht="15" hidden="false" customHeight="false" outlineLevel="0" collapsed="false">
      <c r="I401" s="15" t="str">
        <f aca="false">IF(N401="","",INT(N401))</f>
        <v/>
      </c>
      <c r="J401" s="16" t="str">
        <f aca="false">IF(B401="","",IF(N401=_xlfn.MINIFS($N$2:$N$5001,$B$2:$B$5001,B401),1,0))</f>
        <v/>
      </c>
      <c r="K401" s="16" t="str">
        <f aca="false">IF(B401="","",IF(AND(D401="Formalização",E401="Concluído"),IF(COUNTIFS($B$2:$B$5001,B401,$E$2:$E$5001,"Em ajustes",$N$2:$N$5001,"&lt;"&amp;I401)&gt;0,1,0),0))</f>
        <v/>
      </c>
      <c r="L401" s="16" t="str">
        <f aca="false">IF(B401="","",IF(N401=_xlfn.MAXIFS($N$2:$N$5001,$B$2:$B$5001,B401,$I$2:$I$5001,I401),1,0))</f>
        <v/>
      </c>
      <c r="M401" s="16" t="str">
        <f aca="false">IF(B401="","",IF(E401="Em ajustes",IF(N401=_xlfn.MINIFS($N$2:$N$5001,$B$2:$B$5001,B401,$E$2:$E$5001,"Em ajustes"),1,0),0))</f>
        <v/>
      </c>
      <c r="N401" s="17" t="str">
        <f aca="false">IF(A401="","",IF(ISNUMBER(A401),A401,IFERROR(DATE(VALUE(MID(A401,7,4)),VALUE(MID(A401,4,2)),VALUE(MID(A401,1,2)))+TIME(VALUE(MID(A401,12,2)),VALUE(MID(A401,15,2)),VALUE(MID(A401,18,2))),"")))</f>
        <v/>
      </c>
    </row>
    <row r="402" customFormat="false" ht="15" hidden="false" customHeight="false" outlineLevel="0" collapsed="false">
      <c r="I402" s="15" t="str">
        <f aca="false">IF(N402="","",INT(N402))</f>
        <v/>
      </c>
      <c r="J402" s="16" t="str">
        <f aca="false">IF(B402="","",IF(N402=_xlfn.MINIFS($N$2:$N$5001,$B$2:$B$5001,B402),1,0))</f>
        <v/>
      </c>
      <c r="K402" s="16" t="str">
        <f aca="false">IF(B402="","",IF(AND(D402="Formalização",E402="Concluído"),IF(COUNTIFS($B$2:$B$5001,B402,$E$2:$E$5001,"Em ajustes",$N$2:$N$5001,"&lt;"&amp;I402)&gt;0,1,0),0))</f>
        <v/>
      </c>
      <c r="L402" s="16" t="str">
        <f aca="false">IF(B402="","",IF(N402=_xlfn.MAXIFS($N$2:$N$5001,$B$2:$B$5001,B402,$I$2:$I$5001,I402),1,0))</f>
        <v/>
      </c>
      <c r="M402" s="16" t="str">
        <f aca="false">IF(B402="","",IF(E402="Em ajustes",IF(N402=_xlfn.MINIFS($N$2:$N$5001,$B$2:$B$5001,B402,$E$2:$E$5001,"Em ajustes"),1,0),0))</f>
        <v/>
      </c>
      <c r="N402" s="17" t="str">
        <f aca="false">IF(A402="","",IF(ISNUMBER(A402),A402,IFERROR(DATE(VALUE(MID(A402,7,4)),VALUE(MID(A402,4,2)),VALUE(MID(A402,1,2)))+TIME(VALUE(MID(A402,12,2)),VALUE(MID(A402,15,2)),VALUE(MID(A402,18,2))),"")))</f>
        <v/>
      </c>
    </row>
    <row r="403" customFormat="false" ht="15" hidden="false" customHeight="false" outlineLevel="0" collapsed="false">
      <c r="I403" s="15" t="str">
        <f aca="false">IF(N403="","",INT(N403))</f>
        <v/>
      </c>
      <c r="J403" s="16" t="str">
        <f aca="false">IF(B403="","",IF(N403=_xlfn.MINIFS($N$2:$N$5001,$B$2:$B$5001,B403),1,0))</f>
        <v/>
      </c>
      <c r="K403" s="16" t="str">
        <f aca="false">IF(B403="","",IF(AND(D403="Formalização",E403="Concluído"),IF(COUNTIFS($B$2:$B$5001,B403,$E$2:$E$5001,"Em ajustes",$N$2:$N$5001,"&lt;"&amp;I403)&gt;0,1,0),0))</f>
        <v/>
      </c>
      <c r="L403" s="16" t="str">
        <f aca="false">IF(B403="","",IF(N403=_xlfn.MAXIFS($N$2:$N$5001,$B$2:$B$5001,B403,$I$2:$I$5001,I403),1,0))</f>
        <v/>
      </c>
      <c r="M403" s="16" t="str">
        <f aca="false">IF(B403="","",IF(E403="Em ajustes",IF(N403=_xlfn.MINIFS($N$2:$N$5001,$B$2:$B$5001,B403,$E$2:$E$5001,"Em ajustes"),1,0),0))</f>
        <v/>
      </c>
      <c r="N403" s="17" t="str">
        <f aca="false">IF(A403="","",IF(ISNUMBER(A403),A403,IFERROR(DATE(VALUE(MID(A403,7,4)),VALUE(MID(A403,4,2)),VALUE(MID(A403,1,2)))+TIME(VALUE(MID(A403,12,2)),VALUE(MID(A403,15,2)),VALUE(MID(A403,18,2))),"")))</f>
        <v/>
      </c>
    </row>
    <row r="404" customFormat="false" ht="15" hidden="false" customHeight="false" outlineLevel="0" collapsed="false">
      <c r="I404" s="15" t="str">
        <f aca="false">IF(N404="","",INT(N404))</f>
        <v/>
      </c>
      <c r="J404" s="16" t="str">
        <f aca="false">IF(B404="","",IF(N404=_xlfn.MINIFS($N$2:$N$5001,$B$2:$B$5001,B404),1,0))</f>
        <v/>
      </c>
      <c r="K404" s="16" t="str">
        <f aca="false">IF(B404="","",IF(AND(D404="Formalização",E404="Concluído"),IF(COUNTIFS($B$2:$B$5001,B404,$E$2:$E$5001,"Em ajustes",$N$2:$N$5001,"&lt;"&amp;I404)&gt;0,1,0),0))</f>
        <v/>
      </c>
      <c r="L404" s="16" t="str">
        <f aca="false">IF(B404="","",IF(N404=_xlfn.MAXIFS($N$2:$N$5001,$B$2:$B$5001,B404,$I$2:$I$5001,I404),1,0))</f>
        <v/>
      </c>
      <c r="M404" s="16" t="str">
        <f aca="false">IF(B404="","",IF(E404="Em ajustes",IF(N404=_xlfn.MINIFS($N$2:$N$5001,$B$2:$B$5001,B404,$E$2:$E$5001,"Em ajustes"),1,0),0))</f>
        <v/>
      </c>
      <c r="N404" s="17" t="str">
        <f aca="false">IF(A404="","",IF(ISNUMBER(A404),A404,IFERROR(DATE(VALUE(MID(A404,7,4)),VALUE(MID(A404,4,2)),VALUE(MID(A404,1,2)))+TIME(VALUE(MID(A404,12,2)),VALUE(MID(A404,15,2)),VALUE(MID(A404,18,2))),"")))</f>
        <v/>
      </c>
    </row>
    <row r="405" customFormat="false" ht="15" hidden="false" customHeight="false" outlineLevel="0" collapsed="false">
      <c r="I405" s="15" t="str">
        <f aca="false">IF(N405="","",INT(N405))</f>
        <v/>
      </c>
      <c r="J405" s="16" t="str">
        <f aca="false">IF(B405="","",IF(N405=_xlfn.MINIFS($N$2:$N$5001,$B$2:$B$5001,B405),1,0))</f>
        <v/>
      </c>
      <c r="K405" s="16" t="str">
        <f aca="false">IF(B405="","",IF(AND(D405="Formalização",E405="Concluído"),IF(COUNTIFS($B$2:$B$5001,B405,$E$2:$E$5001,"Em ajustes",$N$2:$N$5001,"&lt;"&amp;I405)&gt;0,1,0),0))</f>
        <v/>
      </c>
      <c r="L405" s="16" t="str">
        <f aca="false">IF(B405="","",IF(N405=_xlfn.MAXIFS($N$2:$N$5001,$B$2:$B$5001,B405,$I$2:$I$5001,I405),1,0))</f>
        <v/>
      </c>
      <c r="M405" s="16" t="str">
        <f aca="false">IF(B405="","",IF(E405="Em ajustes",IF(N405=_xlfn.MINIFS($N$2:$N$5001,$B$2:$B$5001,B405,$E$2:$E$5001,"Em ajustes"),1,0),0))</f>
        <v/>
      </c>
      <c r="N405" s="17" t="str">
        <f aca="false">IF(A405="","",IF(ISNUMBER(A405),A405,IFERROR(DATE(VALUE(MID(A405,7,4)),VALUE(MID(A405,4,2)),VALUE(MID(A405,1,2)))+TIME(VALUE(MID(A405,12,2)),VALUE(MID(A405,15,2)),VALUE(MID(A405,18,2))),"")))</f>
        <v/>
      </c>
    </row>
    <row r="406" customFormat="false" ht="15" hidden="false" customHeight="false" outlineLevel="0" collapsed="false">
      <c r="I406" s="15" t="str">
        <f aca="false">IF(N406="","",INT(N406))</f>
        <v/>
      </c>
      <c r="J406" s="16" t="str">
        <f aca="false">IF(B406="","",IF(N406=_xlfn.MINIFS($N$2:$N$5001,$B$2:$B$5001,B406),1,0))</f>
        <v/>
      </c>
      <c r="K406" s="16" t="str">
        <f aca="false">IF(B406="","",IF(AND(D406="Formalização",E406="Concluído"),IF(COUNTIFS($B$2:$B$5001,B406,$E$2:$E$5001,"Em ajustes",$N$2:$N$5001,"&lt;"&amp;I406)&gt;0,1,0),0))</f>
        <v/>
      </c>
      <c r="L406" s="16" t="str">
        <f aca="false">IF(B406="","",IF(N406=_xlfn.MAXIFS($N$2:$N$5001,$B$2:$B$5001,B406,$I$2:$I$5001,I406),1,0))</f>
        <v/>
      </c>
      <c r="M406" s="16" t="str">
        <f aca="false">IF(B406="","",IF(E406="Em ajustes",IF(N406=_xlfn.MINIFS($N$2:$N$5001,$B$2:$B$5001,B406,$E$2:$E$5001,"Em ajustes"),1,0),0))</f>
        <v/>
      </c>
      <c r="N406" s="17" t="str">
        <f aca="false">IF(A406="","",IF(ISNUMBER(A406),A406,IFERROR(DATE(VALUE(MID(A406,7,4)),VALUE(MID(A406,4,2)),VALUE(MID(A406,1,2)))+TIME(VALUE(MID(A406,12,2)),VALUE(MID(A406,15,2)),VALUE(MID(A406,18,2))),"")))</f>
        <v/>
      </c>
    </row>
    <row r="407" customFormat="false" ht="15" hidden="false" customHeight="false" outlineLevel="0" collapsed="false">
      <c r="I407" s="15" t="str">
        <f aca="false">IF(N407="","",INT(N407))</f>
        <v/>
      </c>
      <c r="J407" s="16" t="str">
        <f aca="false">IF(B407="","",IF(N407=_xlfn.MINIFS($N$2:$N$5001,$B$2:$B$5001,B407),1,0))</f>
        <v/>
      </c>
      <c r="K407" s="16" t="str">
        <f aca="false">IF(B407="","",IF(AND(D407="Formalização",E407="Concluído"),IF(COUNTIFS($B$2:$B$5001,B407,$E$2:$E$5001,"Em ajustes",$N$2:$N$5001,"&lt;"&amp;I407)&gt;0,1,0),0))</f>
        <v/>
      </c>
      <c r="L407" s="16" t="str">
        <f aca="false">IF(B407="","",IF(N407=_xlfn.MAXIFS($N$2:$N$5001,$B$2:$B$5001,B407,$I$2:$I$5001,I407),1,0))</f>
        <v/>
      </c>
      <c r="M407" s="16" t="str">
        <f aca="false">IF(B407="","",IF(E407="Em ajustes",IF(N407=_xlfn.MINIFS($N$2:$N$5001,$B$2:$B$5001,B407,$E$2:$E$5001,"Em ajustes"),1,0),0))</f>
        <v/>
      </c>
      <c r="N407" s="17" t="str">
        <f aca="false">IF(A407="","",IF(ISNUMBER(A407),A407,IFERROR(DATE(VALUE(MID(A407,7,4)),VALUE(MID(A407,4,2)),VALUE(MID(A407,1,2)))+TIME(VALUE(MID(A407,12,2)),VALUE(MID(A407,15,2)),VALUE(MID(A407,18,2))),"")))</f>
        <v/>
      </c>
    </row>
    <row r="408" customFormat="false" ht="15" hidden="false" customHeight="false" outlineLevel="0" collapsed="false">
      <c r="I408" s="15" t="str">
        <f aca="false">IF(N408="","",INT(N408))</f>
        <v/>
      </c>
      <c r="J408" s="16" t="str">
        <f aca="false">IF(B408="","",IF(N408=_xlfn.MINIFS($N$2:$N$5001,$B$2:$B$5001,B408),1,0))</f>
        <v/>
      </c>
      <c r="K408" s="16" t="str">
        <f aca="false">IF(B408="","",IF(AND(D408="Formalização",E408="Concluído"),IF(COUNTIFS($B$2:$B$5001,B408,$E$2:$E$5001,"Em ajustes",$N$2:$N$5001,"&lt;"&amp;I408)&gt;0,1,0),0))</f>
        <v/>
      </c>
      <c r="L408" s="16" t="str">
        <f aca="false">IF(B408="","",IF(N408=_xlfn.MAXIFS($N$2:$N$5001,$B$2:$B$5001,B408,$I$2:$I$5001,I408),1,0))</f>
        <v/>
      </c>
      <c r="M408" s="16" t="str">
        <f aca="false">IF(B408="","",IF(E408="Em ajustes",IF(N408=_xlfn.MINIFS($N$2:$N$5001,$B$2:$B$5001,B408,$E$2:$E$5001,"Em ajustes"),1,0),0))</f>
        <v/>
      </c>
      <c r="N408" s="17" t="str">
        <f aca="false">IF(A408="","",IF(ISNUMBER(A408),A408,IFERROR(DATE(VALUE(MID(A408,7,4)),VALUE(MID(A408,4,2)),VALUE(MID(A408,1,2)))+TIME(VALUE(MID(A408,12,2)),VALUE(MID(A408,15,2)),VALUE(MID(A408,18,2))),"")))</f>
        <v/>
      </c>
    </row>
    <row r="409" customFormat="false" ht="15" hidden="false" customHeight="false" outlineLevel="0" collapsed="false">
      <c r="I409" s="15" t="str">
        <f aca="false">IF(N409="","",INT(N409))</f>
        <v/>
      </c>
      <c r="J409" s="16" t="str">
        <f aca="false">IF(B409="","",IF(N409=_xlfn.MINIFS($N$2:$N$5001,$B$2:$B$5001,B409),1,0))</f>
        <v/>
      </c>
      <c r="K409" s="16" t="str">
        <f aca="false">IF(B409="","",IF(AND(D409="Formalização",E409="Concluído"),IF(COUNTIFS($B$2:$B$5001,B409,$E$2:$E$5001,"Em ajustes",$N$2:$N$5001,"&lt;"&amp;I409)&gt;0,1,0),0))</f>
        <v/>
      </c>
      <c r="L409" s="16" t="str">
        <f aca="false">IF(B409="","",IF(N409=_xlfn.MAXIFS($N$2:$N$5001,$B$2:$B$5001,B409,$I$2:$I$5001,I409),1,0))</f>
        <v/>
      </c>
      <c r="M409" s="16" t="str">
        <f aca="false">IF(B409="","",IF(E409="Em ajustes",IF(N409=_xlfn.MINIFS($N$2:$N$5001,$B$2:$B$5001,B409,$E$2:$E$5001,"Em ajustes"),1,0),0))</f>
        <v/>
      </c>
      <c r="N409" s="17" t="str">
        <f aca="false">IF(A409="","",IF(ISNUMBER(A409),A409,IFERROR(DATE(VALUE(MID(A409,7,4)),VALUE(MID(A409,4,2)),VALUE(MID(A409,1,2)))+TIME(VALUE(MID(A409,12,2)),VALUE(MID(A409,15,2)),VALUE(MID(A409,18,2))),"")))</f>
        <v/>
      </c>
    </row>
    <row r="410" customFormat="false" ht="15" hidden="false" customHeight="false" outlineLevel="0" collapsed="false">
      <c r="I410" s="15" t="str">
        <f aca="false">IF(N410="","",INT(N410))</f>
        <v/>
      </c>
      <c r="J410" s="16" t="str">
        <f aca="false">IF(B410="","",IF(N410=_xlfn.MINIFS($N$2:$N$5001,$B$2:$B$5001,B410),1,0))</f>
        <v/>
      </c>
      <c r="K410" s="16" t="str">
        <f aca="false">IF(B410="","",IF(AND(D410="Formalização",E410="Concluído"),IF(COUNTIFS($B$2:$B$5001,B410,$E$2:$E$5001,"Em ajustes",$N$2:$N$5001,"&lt;"&amp;I410)&gt;0,1,0),0))</f>
        <v/>
      </c>
      <c r="L410" s="16" t="str">
        <f aca="false">IF(B410="","",IF(N410=_xlfn.MAXIFS($N$2:$N$5001,$B$2:$B$5001,B410,$I$2:$I$5001,I410),1,0))</f>
        <v/>
      </c>
      <c r="M410" s="16" t="str">
        <f aca="false">IF(B410="","",IF(E410="Em ajustes",IF(N410=_xlfn.MINIFS($N$2:$N$5001,$B$2:$B$5001,B410,$E$2:$E$5001,"Em ajustes"),1,0),0))</f>
        <v/>
      </c>
      <c r="N410" s="17" t="str">
        <f aca="false">IF(A410="","",IF(ISNUMBER(A410),A410,IFERROR(DATE(VALUE(MID(A410,7,4)),VALUE(MID(A410,4,2)),VALUE(MID(A410,1,2)))+TIME(VALUE(MID(A410,12,2)),VALUE(MID(A410,15,2)),VALUE(MID(A410,18,2))),"")))</f>
        <v/>
      </c>
    </row>
    <row r="411" customFormat="false" ht="15" hidden="false" customHeight="false" outlineLevel="0" collapsed="false">
      <c r="I411" s="15" t="str">
        <f aca="false">IF(N411="","",INT(N411))</f>
        <v/>
      </c>
      <c r="J411" s="16" t="str">
        <f aca="false">IF(B411="","",IF(N411=_xlfn.MINIFS($N$2:$N$5001,$B$2:$B$5001,B411),1,0))</f>
        <v/>
      </c>
      <c r="K411" s="16" t="str">
        <f aca="false">IF(B411="","",IF(AND(D411="Formalização",E411="Concluído"),IF(COUNTIFS($B$2:$B$5001,B411,$E$2:$E$5001,"Em ajustes",$N$2:$N$5001,"&lt;"&amp;I411)&gt;0,1,0),0))</f>
        <v/>
      </c>
      <c r="L411" s="16" t="str">
        <f aca="false">IF(B411="","",IF(N411=_xlfn.MAXIFS($N$2:$N$5001,$B$2:$B$5001,B411,$I$2:$I$5001,I411),1,0))</f>
        <v/>
      </c>
      <c r="M411" s="16" t="str">
        <f aca="false">IF(B411="","",IF(E411="Em ajustes",IF(N411=_xlfn.MINIFS($N$2:$N$5001,$B$2:$B$5001,B411,$E$2:$E$5001,"Em ajustes"),1,0),0))</f>
        <v/>
      </c>
      <c r="N411" s="17" t="str">
        <f aca="false">IF(A411="","",IF(ISNUMBER(A411),A411,IFERROR(DATE(VALUE(MID(A411,7,4)),VALUE(MID(A411,4,2)),VALUE(MID(A411,1,2)))+TIME(VALUE(MID(A411,12,2)),VALUE(MID(A411,15,2)),VALUE(MID(A411,18,2))),"")))</f>
        <v/>
      </c>
    </row>
    <row r="412" customFormat="false" ht="15" hidden="false" customHeight="false" outlineLevel="0" collapsed="false">
      <c r="I412" s="15" t="str">
        <f aca="false">IF(N412="","",INT(N412))</f>
        <v/>
      </c>
      <c r="J412" s="16" t="str">
        <f aca="false">IF(B412="","",IF(N412=_xlfn.MINIFS($N$2:$N$5001,$B$2:$B$5001,B412),1,0))</f>
        <v/>
      </c>
      <c r="K412" s="16" t="str">
        <f aca="false">IF(B412="","",IF(AND(D412="Formalização",E412="Concluído"),IF(COUNTIFS($B$2:$B$5001,B412,$E$2:$E$5001,"Em ajustes",$N$2:$N$5001,"&lt;"&amp;I412)&gt;0,1,0),0))</f>
        <v/>
      </c>
      <c r="L412" s="16" t="str">
        <f aca="false">IF(B412="","",IF(N412=_xlfn.MAXIFS($N$2:$N$5001,$B$2:$B$5001,B412,$I$2:$I$5001,I412),1,0))</f>
        <v/>
      </c>
      <c r="M412" s="16" t="str">
        <f aca="false">IF(B412="","",IF(E412="Em ajustes",IF(N412=_xlfn.MINIFS($N$2:$N$5001,$B$2:$B$5001,B412,$E$2:$E$5001,"Em ajustes"),1,0),0))</f>
        <v/>
      </c>
      <c r="N412" s="17" t="str">
        <f aca="false">IF(A412="","",IF(ISNUMBER(A412),A412,IFERROR(DATE(VALUE(MID(A412,7,4)),VALUE(MID(A412,4,2)),VALUE(MID(A412,1,2)))+TIME(VALUE(MID(A412,12,2)),VALUE(MID(A412,15,2)),VALUE(MID(A412,18,2))),"")))</f>
        <v/>
      </c>
    </row>
    <row r="413" customFormat="false" ht="15" hidden="false" customHeight="false" outlineLevel="0" collapsed="false">
      <c r="I413" s="15" t="str">
        <f aca="false">IF(N413="","",INT(N413))</f>
        <v/>
      </c>
      <c r="J413" s="16" t="str">
        <f aca="false">IF(B413="","",IF(N413=_xlfn.MINIFS($N$2:$N$5001,$B$2:$B$5001,B413),1,0))</f>
        <v/>
      </c>
      <c r="K413" s="16" t="str">
        <f aca="false">IF(B413="","",IF(AND(D413="Formalização",E413="Concluído"),IF(COUNTIFS($B$2:$B$5001,B413,$E$2:$E$5001,"Em ajustes",$N$2:$N$5001,"&lt;"&amp;I413)&gt;0,1,0),0))</f>
        <v/>
      </c>
      <c r="L413" s="16" t="str">
        <f aca="false">IF(B413="","",IF(N413=_xlfn.MAXIFS($N$2:$N$5001,$B$2:$B$5001,B413,$I$2:$I$5001,I413),1,0))</f>
        <v/>
      </c>
      <c r="M413" s="16" t="str">
        <f aca="false">IF(B413="","",IF(E413="Em ajustes",IF(N413=_xlfn.MINIFS($N$2:$N$5001,$B$2:$B$5001,B413,$E$2:$E$5001,"Em ajustes"),1,0),0))</f>
        <v/>
      </c>
      <c r="N413" s="17" t="str">
        <f aca="false">IF(A413="","",IF(ISNUMBER(A413),A413,IFERROR(DATE(VALUE(MID(A413,7,4)),VALUE(MID(A413,4,2)),VALUE(MID(A413,1,2)))+TIME(VALUE(MID(A413,12,2)),VALUE(MID(A413,15,2)),VALUE(MID(A413,18,2))),"")))</f>
        <v/>
      </c>
    </row>
    <row r="414" customFormat="false" ht="15" hidden="false" customHeight="false" outlineLevel="0" collapsed="false">
      <c r="I414" s="15" t="str">
        <f aca="false">IF(N414="","",INT(N414))</f>
        <v/>
      </c>
      <c r="J414" s="16" t="str">
        <f aca="false">IF(B414="","",IF(N414=_xlfn.MINIFS($N$2:$N$5001,$B$2:$B$5001,B414),1,0))</f>
        <v/>
      </c>
      <c r="K414" s="16" t="str">
        <f aca="false">IF(B414="","",IF(AND(D414="Formalização",E414="Concluído"),IF(COUNTIFS($B$2:$B$5001,B414,$E$2:$E$5001,"Em ajustes",$N$2:$N$5001,"&lt;"&amp;I414)&gt;0,1,0),0))</f>
        <v/>
      </c>
      <c r="L414" s="16" t="str">
        <f aca="false">IF(B414="","",IF(N414=_xlfn.MAXIFS($N$2:$N$5001,$B$2:$B$5001,B414,$I$2:$I$5001,I414),1,0))</f>
        <v/>
      </c>
      <c r="M414" s="16" t="str">
        <f aca="false">IF(B414="","",IF(E414="Em ajustes",IF(N414=_xlfn.MINIFS($N$2:$N$5001,$B$2:$B$5001,B414,$E$2:$E$5001,"Em ajustes"),1,0),0))</f>
        <v/>
      </c>
      <c r="N414" s="17" t="str">
        <f aca="false">IF(A414="","",IF(ISNUMBER(A414),A414,IFERROR(DATE(VALUE(MID(A414,7,4)),VALUE(MID(A414,4,2)),VALUE(MID(A414,1,2)))+TIME(VALUE(MID(A414,12,2)),VALUE(MID(A414,15,2)),VALUE(MID(A414,18,2))),"")))</f>
        <v/>
      </c>
    </row>
    <row r="415" customFormat="false" ht="15" hidden="false" customHeight="false" outlineLevel="0" collapsed="false">
      <c r="I415" s="15" t="str">
        <f aca="false">IF(N415="","",INT(N415))</f>
        <v/>
      </c>
      <c r="J415" s="16" t="str">
        <f aca="false">IF(B415="","",IF(N415=_xlfn.MINIFS($N$2:$N$5001,$B$2:$B$5001,B415),1,0))</f>
        <v/>
      </c>
      <c r="K415" s="16" t="str">
        <f aca="false">IF(B415="","",IF(AND(D415="Formalização",E415="Concluído"),IF(COUNTIFS($B$2:$B$5001,B415,$E$2:$E$5001,"Em ajustes",$N$2:$N$5001,"&lt;"&amp;I415)&gt;0,1,0),0))</f>
        <v/>
      </c>
      <c r="L415" s="16" t="str">
        <f aca="false">IF(B415="","",IF(N415=_xlfn.MAXIFS($N$2:$N$5001,$B$2:$B$5001,B415,$I$2:$I$5001,I415),1,0))</f>
        <v/>
      </c>
      <c r="M415" s="16" t="str">
        <f aca="false">IF(B415="","",IF(E415="Em ajustes",IF(N415=_xlfn.MINIFS($N$2:$N$5001,$B$2:$B$5001,B415,$E$2:$E$5001,"Em ajustes"),1,0),0))</f>
        <v/>
      </c>
      <c r="N415" s="17" t="str">
        <f aca="false">IF(A415="","",IF(ISNUMBER(A415),A415,IFERROR(DATE(VALUE(MID(A415,7,4)),VALUE(MID(A415,4,2)),VALUE(MID(A415,1,2)))+TIME(VALUE(MID(A415,12,2)),VALUE(MID(A415,15,2)),VALUE(MID(A415,18,2))),"")))</f>
        <v/>
      </c>
    </row>
    <row r="416" customFormat="false" ht="15" hidden="false" customHeight="false" outlineLevel="0" collapsed="false">
      <c r="I416" s="15" t="str">
        <f aca="false">IF(N416="","",INT(N416))</f>
        <v/>
      </c>
      <c r="J416" s="16" t="str">
        <f aca="false">IF(B416="","",IF(N416=_xlfn.MINIFS($N$2:$N$5001,$B$2:$B$5001,B416),1,0))</f>
        <v/>
      </c>
      <c r="K416" s="16" t="str">
        <f aca="false">IF(B416="","",IF(AND(D416="Formalização",E416="Concluído"),IF(COUNTIFS($B$2:$B$5001,B416,$E$2:$E$5001,"Em ajustes",$N$2:$N$5001,"&lt;"&amp;I416)&gt;0,1,0),0))</f>
        <v/>
      </c>
      <c r="L416" s="16" t="str">
        <f aca="false">IF(B416="","",IF(N416=_xlfn.MAXIFS($N$2:$N$5001,$B$2:$B$5001,B416,$I$2:$I$5001,I416),1,0))</f>
        <v/>
      </c>
      <c r="M416" s="16" t="str">
        <f aca="false">IF(B416="","",IF(E416="Em ajustes",IF(N416=_xlfn.MINIFS($N$2:$N$5001,$B$2:$B$5001,B416,$E$2:$E$5001,"Em ajustes"),1,0),0))</f>
        <v/>
      </c>
      <c r="N416" s="17" t="str">
        <f aca="false">IF(A416="","",IF(ISNUMBER(A416),A416,IFERROR(DATE(VALUE(MID(A416,7,4)),VALUE(MID(A416,4,2)),VALUE(MID(A416,1,2)))+TIME(VALUE(MID(A416,12,2)),VALUE(MID(A416,15,2)),VALUE(MID(A416,18,2))),"")))</f>
        <v/>
      </c>
    </row>
    <row r="417" customFormat="false" ht="15" hidden="false" customHeight="false" outlineLevel="0" collapsed="false">
      <c r="I417" s="15" t="str">
        <f aca="false">IF(N417="","",INT(N417))</f>
        <v/>
      </c>
      <c r="J417" s="16" t="str">
        <f aca="false">IF(B417="","",IF(N417=_xlfn.MINIFS($N$2:$N$5001,$B$2:$B$5001,B417),1,0))</f>
        <v/>
      </c>
      <c r="K417" s="16" t="str">
        <f aca="false">IF(B417="","",IF(AND(D417="Formalização",E417="Concluído"),IF(COUNTIFS($B$2:$B$5001,B417,$E$2:$E$5001,"Em ajustes",$N$2:$N$5001,"&lt;"&amp;I417)&gt;0,1,0),0))</f>
        <v/>
      </c>
      <c r="L417" s="16" t="str">
        <f aca="false">IF(B417="","",IF(N417=_xlfn.MAXIFS($N$2:$N$5001,$B$2:$B$5001,B417,$I$2:$I$5001,I417),1,0))</f>
        <v/>
      </c>
      <c r="M417" s="16" t="str">
        <f aca="false">IF(B417="","",IF(E417="Em ajustes",IF(N417=_xlfn.MINIFS($N$2:$N$5001,$B$2:$B$5001,B417,$E$2:$E$5001,"Em ajustes"),1,0),0))</f>
        <v/>
      </c>
      <c r="N417" s="17" t="str">
        <f aca="false">IF(A417="","",IF(ISNUMBER(A417),A417,IFERROR(DATE(VALUE(MID(A417,7,4)),VALUE(MID(A417,4,2)),VALUE(MID(A417,1,2)))+TIME(VALUE(MID(A417,12,2)),VALUE(MID(A417,15,2)),VALUE(MID(A417,18,2))),"")))</f>
        <v/>
      </c>
    </row>
    <row r="418" customFormat="false" ht="15" hidden="false" customHeight="false" outlineLevel="0" collapsed="false">
      <c r="I418" s="15" t="str">
        <f aca="false">IF(N418="","",INT(N418))</f>
        <v/>
      </c>
      <c r="J418" s="16" t="str">
        <f aca="false">IF(B418="","",IF(N418=_xlfn.MINIFS($N$2:$N$5001,$B$2:$B$5001,B418),1,0))</f>
        <v/>
      </c>
      <c r="K418" s="16" t="str">
        <f aca="false">IF(B418="","",IF(AND(D418="Formalização",E418="Concluído"),IF(COUNTIFS($B$2:$B$5001,B418,$E$2:$E$5001,"Em ajustes",$N$2:$N$5001,"&lt;"&amp;I418)&gt;0,1,0),0))</f>
        <v/>
      </c>
      <c r="L418" s="16" t="str">
        <f aca="false">IF(B418="","",IF(N418=_xlfn.MAXIFS($N$2:$N$5001,$B$2:$B$5001,B418,$I$2:$I$5001,I418),1,0))</f>
        <v/>
      </c>
      <c r="M418" s="16" t="str">
        <f aca="false">IF(B418="","",IF(E418="Em ajustes",IF(N418=_xlfn.MINIFS($N$2:$N$5001,$B$2:$B$5001,B418,$E$2:$E$5001,"Em ajustes"),1,0),0))</f>
        <v/>
      </c>
      <c r="N418" s="17" t="str">
        <f aca="false">IF(A418="","",IF(ISNUMBER(A418),A418,IFERROR(DATE(VALUE(MID(A418,7,4)),VALUE(MID(A418,4,2)),VALUE(MID(A418,1,2)))+TIME(VALUE(MID(A418,12,2)),VALUE(MID(A418,15,2)),VALUE(MID(A418,18,2))),"")))</f>
        <v/>
      </c>
    </row>
    <row r="419" customFormat="false" ht="15" hidden="false" customHeight="false" outlineLevel="0" collapsed="false">
      <c r="I419" s="15" t="str">
        <f aca="false">IF(N419="","",INT(N419))</f>
        <v/>
      </c>
      <c r="J419" s="16" t="str">
        <f aca="false">IF(B419="","",IF(N419=_xlfn.MINIFS($N$2:$N$5001,$B$2:$B$5001,B419),1,0))</f>
        <v/>
      </c>
      <c r="K419" s="16" t="str">
        <f aca="false">IF(B419="","",IF(AND(D419="Formalização",E419="Concluído"),IF(COUNTIFS($B$2:$B$5001,B419,$E$2:$E$5001,"Em ajustes",$N$2:$N$5001,"&lt;"&amp;I419)&gt;0,1,0),0))</f>
        <v/>
      </c>
      <c r="L419" s="16" t="str">
        <f aca="false">IF(B419="","",IF(N419=_xlfn.MAXIFS($N$2:$N$5001,$B$2:$B$5001,B419,$I$2:$I$5001,I419),1,0))</f>
        <v/>
      </c>
      <c r="M419" s="16" t="str">
        <f aca="false">IF(B419="","",IF(E419="Em ajustes",IF(N419=_xlfn.MINIFS($N$2:$N$5001,$B$2:$B$5001,B419,$E$2:$E$5001,"Em ajustes"),1,0),0))</f>
        <v/>
      </c>
      <c r="N419" s="17" t="str">
        <f aca="false">IF(A419="","",IF(ISNUMBER(A419),A419,IFERROR(DATE(VALUE(MID(A419,7,4)),VALUE(MID(A419,4,2)),VALUE(MID(A419,1,2)))+TIME(VALUE(MID(A419,12,2)),VALUE(MID(A419,15,2)),VALUE(MID(A419,18,2))),"")))</f>
        <v/>
      </c>
    </row>
    <row r="420" customFormat="false" ht="15" hidden="false" customHeight="false" outlineLevel="0" collapsed="false">
      <c r="I420" s="15" t="str">
        <f aca="false">IF(N420="","",INT(N420))</f>
        <v/>
      </c>
      <c r="J420" s="16" t="str">
        <f aca="false">IF(B420="","",IF(N420=_xlfn.MINIFS($N$2:$N$5001,$B$2:$B$5001,B420),1,0))</f>
        <v/>
      </c>
      <c r="K420" s="16" t="str">
        <f aca="false">IF(B420="","",IF(AND(D420="Formalização",E420="Concluído"),IF(COUNTIFS($B$2:$B$5001,B420,$E$2:$E$5001,"Em ajustes",$N$2:$N$5001,"&lt;"&amp;I420)&gt;0,1,0),0))</f>
        <v/>
      </c>
      <c r="L420" s="16" t="str">
        <f aca="false">IF(B420="","",IF(N420=_xlfn.MAXIFS($N$2:$N$5001,$B$2:$B$5001,B420,$I$2:$I$5001,I420),1,0))</f>
        <v/>
      </c>
      <c r="M420" s="16" t="str">
        <f aca="false">IF(B420="","",IF(E420="Em ajustes",IF(N420=_xlfn.MINIFS($N$2:$N$5001,$B$2:$B$5001,B420,$E$2:$E$5001,"Em ajustes"),1,0),0))</f>
        <v/>
      </c>
      <c r="N420" s="17" t="str">
        <f aca="false">IF(A420="","",IF(ISNUMBER(A420),A420,IFERROR(DATE(VALUE(MID(A420,7,4)),VALUE(MID(A420,4,2)),VALUE(MID(A420,1,2)))+TIME(VALUE(MID(A420,12,2)),VALUE(MID(A420,15,2)),VALUE(MID(A420,18,2))),"")))</f>
        <v/>
      </c>
    </row>
    <row r="421" customFormat="false" ht="15" hidden="false" customHeight="false" outlineLevel="0" collapsed="false">
      <c r="I421" s="15" t="str">
        <f aca="false">IF(N421="","",INT(N421))</f>
        <v/>
      </c>
      <c r="J421" s="16" t="str">
        <f aca="false">IF(B421="","",IF(N421=_xlfn.MINIFS($N$2:$N$5001,$B$2:$B$5001,B421),1,0))</f>
        <v/>
      </c>
      <c r="K421" s="16" t="str">
        <f aca="false">IF(B421="","",IF(AND(D421="Formalização",E421="Concluído"),IF(COUNTIFS($B$2:$B$5001,B421,$E$2:$E$5001,"Em ajustes",$N$2:$N$5001,"&lt;"&amp;I421)&gt;0,1,0),0))</f>
        <v/>
      </c>
      <c r="L421" s="16" t="str">
        <f aca="false">IF(B421="","",IF(N421=_xlfn.MAXIFS($N$2:$N$5001,$B$2:$B$5001,B421,$I$2:$I$5001,I421),1,0))</f>
        <v/>
      </c>
      <c r="M421" s="16" t="str">
        <f aca="false">IF(B421="","",IF(E421="Em ajustes",IF(N421=_xlfn.MINIFS($N$2:$N$5001,$B$2:$B$5001,B421,$E$2:$E$5001,"Em ajustes"),1,0),0))</f>
        <v/>
      </c>
      <c r="N421" s="17" t="str">
        <f aca="false">IF(A421="","",IF(ISNUMBER(A421),A421,IFERROR(DATE(VALUE(MID(A421,7,4)),VALUE(MID(A421,4,2)),VALUE(MID(A421,1,2)))+TIME(VALUE(MID(A421,12,2)),VALUE(MID(A421,15,2)),VALUE(MID(A421,18,2))),"")))</f>
        <v/>
      </c>
    </row>
    <row r="422" customFormat="false" ht="15" hidden="false" customHeight="false" outlineLevel="0" collapsed="false">
      <c r="I422" s="15" t="str">
        <f aca="false">IF(N422="","",INT(N422))</f>
        <v/>
      </c>
      <c r="J422" s="16" t="str">
        <f aca="false">IF(B422="","",IF(N422=_xlfn.MINIFS($N$2:$N$5001,$B$2:$B$5001,B422),1,0))</f>
        <v/>
      </c>
      <c r="K422" s="16" t="str">
        <f aca="false">IF(B422="","",IF(AND(D422="Formalização",E422="Concluído"),IF(COUNTIFS($B$2:$B$5001,B422,$E$2:$E$5001,"Em ajustes",$N$2:$N$5001,"&lt;"&amp;I422)&gt;0,1,0),0))</f>
        <v/>
      </c>
      <c r="L422" s="16" t="str">
        <f aca="false">IF(B422="","",IF(N422=_xlfn.MAXIFS($N$2:$N$5001,$B$2:$B$5001,B422,$I$2:$I$5001,I422),1,0))</f>
        <v/>
      </c>
      <c r="M422" s="16" t="str">
        <f aca="false">IF(B422="","",IF(E422="Em ajustes",IF(N422=_xlfn.MINIFS($N$2:$N$5001,$B$2:$B$5001,B422,$E$2:$E$5001,"Em ajustes"),1,0),0))</f>
        <v/>
      </c>
      <c r="N422" s="17" t="str">
        <f aca="false">IF(A422="","",IF(ISNUMBER(A422),A422,IFERROR(DATE(VALUE(MID(A422,7,4)),VALUE(MID(A422,4,2)),VALUE(MID(A422,1,2)))+TIME(VALUE(MID(A422,12,2)),VALUE(MID(A422,15,2)),VALUE(MID(A422,18,2))),"")))</f>
        <v/>
      </c>
    </row>
    <row r="423" customFormat="false" ht="15" hidden="false" customHeight="false" outlineLevel="0" collapsed="false">
      <c r="I423" s="15" t="str">
        <f aca="false">IF(N423="","",INT(N423))</f>
        <v/>
      </c>
      <c r="J423" s="16" t="str">
        <f aca="false">IF(B423="","",IF(N423=_xlfn.MINIFS($N$2:$N$5001,$B$2:$B$5001,B423),1,0))</f>
        <v/>
      </c>
      <c r="K423" s="16" t="str">
        <f aca="false">IF(B423="","",IF(AND(D423="Formalização",E423="Concluído"),IF(COUNTIFS($B$2:$B$5001,B423,$E$2:$E$5001,"Em ajustes",$N$2:$N$5001,"&lt;"&amp;I423)&gt;0,1,0),0))</f>
        <v/>
      </c>
      <c r="L423" s="16" t="str">
        <f aca="false">IF(B423="","",IF(N423=_xlfn.MAXIFS($N$2:$N$5001,$B$2:$B$5001,B423,$I$2:$I$5001,I423),1,0))</f>
        <v/>
      </c>
      <c r="M423" s="16" t="str">
        <f aca="false">IF(B423="","",IF(E423="Em ajustes",IF(N423=_xlfn.MINIFS($N$2:$N$5001,$B$2:$B$5001,B423,$E$2:$E$5001,"Em ajustes"),1,0),0))</f>
        <v/>
      </c>
      <c r="N423" s="17" t="str">
        <f aca="false">IF(A423="","",IF(ISNUMBER(A423),A423,IFERROR(DATE(VALUE(MID(A423,7,4)),VALUE(MID(A423,4,2)),VALUE(MID(A423,1,2)))+TIME(VALUE(MID(A423,12,2)),VALUE(MID(A423,15,2)),VALUE(MID(A423,18,2))),"")))</f>
        <v/>
      </c>
    </row>
    <row r="424" customFormat="false" ht="15" hidden="false" customHeight="false" outlineLevel="0" collapsed="false">
      <c r="I424" s="15" t="str">
        <f aca="false">IF(N424="","",INT(N424))</f>
        <v/>
      </c>
      <c r="J424" s="16" t="str">
        <f aca="false">IF(B424="","",IF(N424=_xlfn.MINIFS($N$2:$N$5001,$B$2:$B$5001,B424),1,0))</f>
        <v/>
      </c>
      <c r="K424" s="16" t="str">
        <f aca="false">IF(B424="","",IF(AND(D424="Formalização",E424="Concluído"),IF(COUNTIFS($B$2:$B$5001,B424,$E$2:$E$5001,"Em ajustes",$N$2:$N$5001,"&lt;"&amp;I424)&gt;0,1,0),0))</f>
        <v/>
      </c>
      <c r="L424" s="16" t="str">
        <f aca="false">IF(B424="","",IF(N424=_xlfn.MAXIFS($N$2:$N$5001,$B$2:$B$5001,B424,$I$2:$I$5001,I424),1,0))</f>
        <v/>
      </c>
      <c r="M424" s="16" t="str">
        <f aca="false">IF(B424="","",IF(E424="Em ajustes",IF(N424=_xlfn.MINIFS($N$2:$N$5001,$B$2:$B$5001,B424,$E$2:$E$5001,"Em ajustes"),1,0),0))</f>
        <v/>
      </c>
      <c r="N424" s="17" t="str">
        <f aca="false">IF(A424="","",IF(ISNUMBER(A424),A424,IFERROR(DATE(VALUE(MID(A424,7,4)),VALUE(MID(A424,4,2)),VALUE(MID(A424,1,2)))+TIME(VALUE(MID(A424,12,2)),VALUE(MID(A424,15,2)),VALUE(MID(A424,18,2))),"")))</f>
        <v/>
      </c>
    </row>
    <row r="425" customFormat="false" ht="15" hidden="false" customHeight="false" outlineLevel="0" collapsed="false">
      <c r="I425" s="15" t="str">
        <f aca="false">IF(N425="","",INT(N425))</f>
        <v/>
      </c>
      <c r="J425" s="16" t="str">
        <f aca="false">IF(B425="","",IF(N425=_xlfn.MINIFS($N$2:$N$5001,$B$2:$B$5001,B425),1,0))</f>
        <v/>
      </c>
      <c r="K425" s="16" t="str">
        <f aca="false">IF(B425="","",IF(AND(D425="Formalização",E425="Concluído"),IF(COUNTIFS($B$2:$B$5001,B425,$E$2:$E$5001,"Em ajustes",$N$2:$N$5001,"&lt;"&amp;I425)&gt;0,1,0),0))</f>
        <v/>
      </c>
      <c r="L425" s="16" t="str">
        <f aca="false">IF(B425="","",IF(N425=_xlfn.MAXIFS($N$2:$N$5001,$B$2:$B$5001,B425,$I$2:$I$5001,I425),1,0))</f>
        <v/>
      </c>
      <c r="M425" s="16" t="str">
        <f aca="false">IF(B425="","",IF(E425="Em ajustes",IF(N425=_xlfn.MINIFS($N$2:$N$5001,$B$2:$B$5001,B425,$E$2:$E$5001,"Em ajustes"),1,0),0))</f>
        <v/>
      </c>
      <c r="N425" s="17" t="str">
        <f aca="false">IF(A425="","",IF(ISNUMBER(A425),A425,IFERROR(DATE(VALUE(MID(A425,7,4)),VALUE(MID(A425,4,2)),VALUE(MID(A425,1,2)))+TIME(VALUE(MID(A425,12,2)),VALUE(MID(A425,15,2)),VALUE(MID(A425,18,2))),"")))</f>
        <v/>
      </c>
    </row>
    <row r="426" customFormat="false" ht="15" hidden="false" customHeight="false" outlineLevel="0" collapsed="false">
      <c r="I426" s="15" t="str">
        <f aca="false">IF(N426="","",INT(N426))</f>
        <v/>
      </c>
      <c r="J426" s="16" t="str">
        <f aca="false">IF(B426="","",IF(N426=_xlfn.MINIFS($N$2:$N$5001,$B$2:$B$5001,B426),1,0))</f>
        <v/>
      </c>
      <c r="K426" s="16" t="str">
        <f aca="false">IF(B426="","",IF(AND(D426="Formalização",E426="Concluído"),IF(COUNTIFS($B$2:$B$5001,B426,$E$2:$E$5001,"Em ajustes",$N$2:$N$5001,"&lt;"&amp;I426)&gt;0,1,0),0))</f>
        <v/>
      </c>
      <c r="L426" s="16" t="str">
        <f aca="false">IF(B426="","",IF(N426=_xlfn.MAXIFS($N$2:$N$5001,$B$2:$B$5001,B426,$I$2:$I$5001,I426),1,0))</f>
        <v/>
      </c>
      <c r="M426" s="16" t="str">
        <f aca="false">IF(B426="","",IF(E426="Em ajustes",IF(N426=_xlfn.MINIFS($N$2:$N$5001,$B$2:$B$5001,B426,$E$2:$E$5001,"Em ajustes"),1,0),0))</f>
        <v/>
      </c>
      <c r="N426" s="17" t="str">
        <f aca="false">IF(A426="","",IF(ISNUMBER(A426),A426,IFERROR(DATE(VALUE(MID(A426,7,4)),VALUE(MID(A426,4,2)),VALUE(MID(A426,1,2)))+TIME(VALUE(MID(A426,12,2)),VALUE(MID(A426,15,2)),VALUE(MID(A426,18,2))),"")))</f>
        <v/>
      </c>
    </row>
    <row r="427" customFormat="false" ht="15" hidden="false" customHeight="false" outlineLevel="0" collapsed="false">
      <c r="I427" s="15" t="str">
        <f aca="false">IF(N427="","",INT(N427))</f>
        <v/>
      </c>
      <c r="J427" s="16" t="str">
        <f aca="false">IF(B427="","",IF(N427=_xlfn.MINIFS($N$2:$N$5001,$B$2:$B$5001,B427),1,0))</f>
        <v/>
      </c>
      <c r="K427" s="16" t="str">
        <f aca="false">IF(B427="","",IF(AND(D427="Formalização",E427="Concluído"),IF(COUNTIFS($B$2:$B$5001,B427,$E$2:$E$5001,"Em ajustes",$N$2:$N$5001,"&lt;"&amp;I427)&gt;0,1,0),0))</f>
        <v/>
      </c>
      <c r="L427" s="16" t="str">
        <f aca="false">IF(B427="","",IF(N427=_xlfn.MAXIFS($N$2:$N$5001,$B$2:$B$5001,B427,$I$2:$I$5001,I427),1,0))</f>
        <v/>
      </c>
      <c r="M427" s="16" t="str">
        <f aca="false">IF(B427="","",IF(E427="Em ajustes",IF(N427=_xlfn.MINIFS($N$2:$N$5001,$B$2:$B$5001,B427,$E$2:$E$5001,"Em ajustes"),1,0),0))</f>
        <v/>
      </c>
      <c r="N427" s="17" t="str">
        <f aca="false">IF(A427="","",IF(ISNUMBER(A427),A427,IFERROR(DATE(VALUE(MID(A427,7,4)),VALUE(MID(A427,4,2)),VALUE(MID(A427,1,2)))+TIME(VALUE(MID(A427,12,2)),VALUE(MID(A427,15,2)),VALUE(MID(A427,18,2))),"")))</f>
        <v/>
      </c>
    </row>
    <row r="428" customFormat="false" ht="15" hidden="false" customHeight="false" outlineLevel="0" collapsed="false">
      <c r="I428" s="15" t="str">
        <f aca="false">IF(N428="","",INT(N428))</f>
        <v/>
      </c>
      <c r="J428" s="16" t="str">
        <f aca="false">IF(B428="","",IF(N428=_xlfn.MINIFS($N$2:$N$5001,$B$2:$B$5001,B428),1,0))</f>
        <v/>
      </c>
      <c r="K428" s="16" t="str">
        <f aca="false">IF(B428="","",IF(AND(D428="Formalização",E428="Concluído"),IF(COUNTIFS($B$2:$B$5001,B428,$E$2:$E$5001,"Em ajustes",$N$2:$N$5001,"&lt;"&amp;I428)&gt;0,1,0),0))</f>
        <v/>
      </c>
      <c r="L428" s="16" t="str">
        <f aca="false">IF(B428="","",IF(N428=_xlfn.MAXIFS($N$2:$N$5001,$B$2:$B$5001,B428,$I$2:$I$5001,I428),1,0))</f>
        <v/>
      </c>
      <c r="M428" s="16" t="str">
        <f aca="false">IF(B428="","",IF(E428="Em ajustes",IF(N428=_xlfn.MINIFS($N$2:$N$5001,$B$2:$B$5001,B428,$E$2:$E$5001,"Em ajustes"),1,0),0))</f>
        <v/>
      </c>
      <c r="N428" s="17" t="str">
        <f aca="false">IF(A428="","",IF(ISNUMBER(A428),A428,IFERROR(DATE(VALUE(MID(A428,7,4)),VALUE(MID(A428,4,2)),VALUE(MID(A428,1,2)))+TIME(VALUE(MID(A428,12,2)),VALUE(MID(A428,15,2)),VALUE(MID(A428,18,2))),"")))</f>
        <v/>
      </c>
    </row>
    <row r="429" customFormat="false" ht="15" hidden="false" customHeight="false" outlineLevel="0" collapsed="false">
      <c r="I429" s="15" t="str">
        <f aca="false">IF(N429="","",INT(N429))</f>
        <v/>
      </c>
      <c r="J429" s="16" t="str">
        <f aca="false">IF(B429="","",IF(N429=_xlfn.MINIFS($N$2:$N$5001,$B$2:$B$5001,B429),1,0))</f>
        <v/>
      </c>
      <c r="K429" s="16" t="str">
        <f aca="false">IF(B429="","",IF(AND(D429="Formalização",E429="Concluído"),IF(COUNTIFS($B$2:$B$5001,B429,$E$2:$E$5001,"Em ajustes",$N$2:$N$5001,"&lt;"&amp;I429)&gt;0,1,0),0))</f>
        <v/>
      </c>
      <c r="L429" s="16" t="str">
        <f aca="false">IF(B429="","",IF(N429=_xlfn.MAXIFS($N$2:$N$5001,$B$2:$B$5001,B429,$I$2:$I$5001,I429),1,0))</f>
        <v/>
      </c>
      <c r="M429" s="16" t="str">
        <f aca="false">IF(B429="","",IF(E429="Em ajustes",IF(N429=_xlfn.MINIFS($N$2:$N$5001,$B$2:$B$5001,B429,$E$2:$E$5001,"Em ajustes"),1,0),0))</f>
        <v/>
      </c>
      <c r="N429" s="17" t="str">
        <f aca="false">IF(A429="","",IF(ISNUMBER(A429),A429,IFERROR(DATE(VALUE(MID(A429,7,4)),VALUE(MID(A429,4,2)),VALUE(MID(A429,1,2)))+TIME(VALUE(MID(A429,12,2)),VALUE(MID(A429,15,2)),VALUE(MID(A429,18,2))),"")))</f>
        <v/>
      </c>
    </row>
    <row r="430" customFormat="false" ht="15" hidden="false" customHeight="false" outlineLevel="0" collapsed="false">
      <c r="I430" s="15" t="str">
        <f aca="false">IF(N430="","",INT(N430))</f>
        <v/>
      </c>
      <c r="J430" s="16" t="str">
        <f aca="false">IF(B430="","",IF(N430=_xlfn.MINIFS($N$2:$N$5001,$B$2:$B$5001,B430),1,0))</f>
        <v/>
      </c>
      <c r="K430" s="16" t="str">
        <f aca="false">IF(B430="","",IF(AND(D430="Formalização",E430="Concluído"),IF(COUNTIFS($B$2:$B$5001,B430,$E$2:$E$5001,"Em ajustes",$N$2:$N$5001,"&lt;"&amp;I430)&gt;0,1,0),0))</f>
        <v/>
      </c>
      <c r="L430" s="16" t="str">
        <f aca="false">IF(B430="","",IF(N430=_xlfn.MAXIFS($N$2:$N$5001,$B$2:$B$5001,B430,$I$2:$I$5001,I430),1,0))</f>
        <v/>
      </c>
      <c r="M430" s="16" t="str">
        <f aca="false">IF(B430="","",IF(E430="Em ajustes",IF(N430=_xlfn.MINIFS($N$2:$N$5001,$B$2:$B$5001,B430,$E$2:$E$5001,"Em ajustes"),1,0),0))</f>
        <v/>
      </c>
      <c r="N430" s="17" t="str">
        <f aca="false">IF(A430="","",IF(ISNUMBER(A430),A430,IFERROR(DATE(VALUE(MID(A430,7,4)),VALUE(MID(A430,4,2)),VALUE(MID(A430,1,2)))+TIME(VALUE(MID(A430,12,2)),VALUE(MID(A430,15,2)),VALUE(MID(A430,18,2))),"")))</f>
        <v/>
      </c>
    </row>
    <row r="431" customFormat="false" ht="15" hidden="false" customHeight="false" outlineLevel="0" collapsed="false">
      <c r="I431" s="15" t="str">
        <f aca="false">IF(N431="","",INT(N431))</f>
        <v/>
      </c>
      <c r="J431" s="16" t="str">
        <f aca="false">IF(B431="","",IF(N431=_xlfn.MINIFS($N$2:$N$5001,$B$2:$B$5001,B431),1,0))</f>
        <v/>
      </c>
      <c r="K431" s="16" t="str">
        <f aca="false">IF(B431="","",IF(AND(D431="Formalização",E431="Concluído"),IF(COUNTIFS($B$2:$B$5001,B431,$E$2:$E$5001,"Em ajustes",$N$2:$N$5001,"&lt;"&amp;I431)&gt;0,1,0),0))</f>
        <v/>
      </c>
      <c r="L431" s="16" t="str">
        <f aca="false">IF(B431="","",IF(N431=_xlfn.MAXIFS($N$2:$N$5001,$B$2:$B$5001,B431,$I$2:$I$5001,I431),1,0))</f>
        <v/>
      </c>
      <c r="M431" s="16" t="str">
        <f aca="false">IF(B431="","",IF(E431="Em ajustes",IF(N431=_xlfn.MINIFS($N$2:$N$5001,$B$2:$B$5001,B431,$E$2:$E$5001,"Em ajustes"),1,0),0))</f>
        <v/>
      </c>
      <c r="N431" s="17" t="str">
        <f aca="false">IF(A431="","",IF(ISNUMBER(A431),A431,IFERROR(DATE(VALUE(MID(A431,7,4)),VALUE(MID(A431,4,2)),VALUE(MID(A431,1,2)))+TIME(VALUE(MID(A431,12,2)),VALUE(MID(A431,15,2)),VALUE(MID(A431,18,2))),"")))</f>
        <v/>
      </c>
    </row>
    <row r="432" customFormat="false" ht="15" hidden="false" customHeight="false" outlineLevel="0" collapsed="false">
      <c r="I432" s="15" t="str">
        <f aca="false">IF(N432="","",INT(N432))</f>
        <v/>
      </c>
      <c r="J432" s="16" t="str">
        <f aca="false">IF(B432="","",IF(N432=_xlfn.MINIFS($N$2:$N$5001,$B$2:$B$5001,B432),1,0))</f>
        <v/>
      </c>
      <c r="K432" s="16" t="str">
        <f aca="false">IF(B432="","",IF(AND(D432="Formalização",E432="Concluído"),IF(COUNTIFS($B$2:$B$5001,B432,$E$2:$E$5001,"Em ajustes",$N$2:$N$5001,"&lt;"&amp;I432)&gt;0,1,0),0))</f>
        <v/>
      </c>
      <c r="L432" s="16" t="str">
        <f aca="false">IF(B432="","",IF(N432=_xlfn.MAXIFS($N$2:$N$5001,$B$2:$B$5001,B432,$I$2:$I$5001,I432),1,0))</f>
        <v/>
      </c>
      <c r="M432" s="16" t="str">
        <f aca="false">IF(B432="","",IF(E432="Em ajustes",IF(N432=_xlfn.MINIFS($N$2:$N$5001,$B$2:$B$5001,B432,$E$2:$E$5001,"Em ajustes"),1,0),0))</f>
        <v/>
      </c>
      <c r="N432" s="17" t="str">
        <f aca="false">IF(A432="","",IF(ISNUMBER(A432),A432,IFERROR(DATE(VALUE(MID(A432,7,4)),VALUE(MID(A432,4,2)),VALUE(MID(A432,1,2)))+TIME(VALUE(MID(A432,12,2)),VALUE(MID(A432,15,2)),VALUE(MID(A432,18,2))),"")))</f>
        <v/>
      </c>
    </row>
    <row r="433" customFormat="false" ht="15" hidden="false" customHeight="false" outlineLevel="0" collapsed="false">
      <c r="I433" s="15" t="str">
        <f aca="false">IF(N433="","",INT(N433))</f>
        <v/>
      </c>
      <c r="J433" s="16" t="str">
        <f aca="false">IF(B433="","",IF(N433=_xlfn.MINIFS($N$2:$N$5001,$B$2:$B$5001,B433),1,0))</f>
        <v/>
      </c>
      <c r="K433" s="16" t="str">
        <f aca="false">IF(B433="","",IF(AND(D433="Formalização",E433="Concluído"),IF(COUNTIFS($B$2:$B$5001,B433,$E$2:$E$5001,"Em ajustes",$N$2:$N$5001,"&lt;"&amp;I433)&gt;0,1,0),0))</f>
        <v/>
      </c>
      <c r="L433" s="16" t="str">
        <f aca="false">IF(B433="","",IF(N433=_xlfn.MAXIFS($N$2:$N$5001,$B$2:$B$5001,B433,$I$2:$I$5001,I433),1,0))</f>
        <v/>
      </c>
      <c r="M433" s="16" t="str">
        <f aca="false">IF(B433="","",IF(E433="Em ajustes",IF(N433=_xlfn.MINIFS($N$2:$N$5001,$B$2:$B$5001,B433,$E$2:$E$5001,"Em ajustes"),1,0),0))</f>
        <v/>
      </c>
      <c r="N433" s="17" t="str">
        <f aca="false">IF(A433="","",IF(ISNUMBER(A433),A433,IFERROR(DATE(VALUE(MID(A433,7,4)),VALUE(MID(A433,4,2)),VALUE(MID(A433,1,2)))+TIME(VALUE(MID(A433,12,2)),VALUE(MID(A433,15,2)),VALUE(MID(A433,18,2))),"")))</f>
        <v/>
      </c>
    </row>
    <row r="434" customFormat="false" ht="15" hidden="false" customHeight="false" outlineLevel="0" collapsed="false">
      <c r="I434" s="15" t="str">
        <f aca="false">IF(N434="","",INT(N434))</f>
        <v/>
      </c>
      <c r="J434" s="16" t="str">
        <f aca="false">IF(B434="","",IF(N434=_xlfn.MINIFS($N$2:$N$5001,$B$2:$B$5001,B434),1,0))</f>
        <v/>
      </c>
      <c r="K434" s="16" t="str">
        <f aca="false">IF(B434="","",IF(AND(D434="Formalização",E434="Concluído"),IF(COUNTIFS($B$2:$B$5001,B434,$E$2:$E$5001,"Em ajustes",$N$2:$N$5001,"&lt;"&amp;I434)&gt;0,1,0),0))</f>
        <v/>
      </c>
      <c r="L434" s="16" t="str">
        <f aca="false">IF(B434="","",IF(N434=_xlfn.MAXIFS($N$2:$N$5001,$B$2:$B$5001,B434,$I$2:$I$5001,I434),1,0))</f>
        <v/>
      </c>
      <c r="M434" s="16" t="str">
        <f aca="false">IF(B434="","",IF(E434="Em ajustes",IF(N434=_xlfn.MINIFS($N$2:$N$5001,$B$2:$B$5001,B434,$E$2:$E$5001,"Em ajustes"),1,0),0))</f>
        <v/>
      </c>
      <c r="N434" s="17" t="str">
        <f aca="false">IF(A434="","",IF(ISNUMBER(A434),A434,IFERROR(DATE(VALUE(MID(A434,7,4)),VALUE(MID(A434,4,2)),VALUE(MID(A434,1,2)))+TIME(VALUE(MID(A434,12,2)),VALUE(MID(A434,15,2)),VALUE(MID(A434,18,2))),"")))</f>
        <v/>
      </c>
    </row>
    <row r="435" customFormat="false" ht="15" hidden="false" customHeight="false" outlineLevel="0" collapsed="false">
      <c r="I435" s="15" t="str">
        <f aca="false">IF(N435="","",INT(N435))</f>
        <v/>
      </c>
      <c r="J435" s="16" t="str">
        <f aca="false">IF(B435="","",IF(N435=_xlfn.MINIFS($N$2:$N$5001,$B$2:$B$5001,B435),1,0))</f>
        <v/>
      </c>
      <c r="K435" s="16" t="str">
        <f aca="false">IF(B435="","",IF(AND(D435="Formalização",E435="Concluído"),IF(COUNTIFS($B$2:$B$5001,B435,$E$2:$E$5001,"Em ajustes",$N$2:$N$5001,"&lt;"&amp;I435)&gt;0,1,0),0))</f>
        <v/>
      </c>
      <c r="L435" s="16" t="str">
        <f aca="false">IF(B435="","",IF(N435=_xlfn.MAXIFS($N$2:$N$5001,$B$2:$B$5001,B435,$I$2:$I$5001,I435),1,0))</f>
        <v/>
      </c>
      <c r="M435" s="16" t="str">
        <f aca="false">IF(B435="","",IF(E435="Em ajustes",IF(N435=_xlfn.MINIFS($N$2:$N$5001,$B$2:$B$5001,B435,$E$2:$E$5001,"Em ajustes"),1,0),0))</f>
        <v/>
      </c>
      <c r="N435" s="17" t="str">
        <f aca="false">IF(A435="","",IF(ISNUMBER(A435),A435,IFERROR(DATE(VALUE(MID(A435,7,4)),VALUE(MID(A435,4,2)),VALUE(MID(A435,1,2)))+TIME(VALUE(MID(A435,12,2)),VALUE(MID(A435,15,2)),VALUE(MID(A435,18,2))),"")))</f>
        <v/>
      </c>
    </row>
    <row r="436" customFormat="false" ht="15" hidden="false" customHeight="false" outlineLevel="0" collapsed="false">
      <c r="I436" s="15" t="str">
        <f aca="false">IF(N436="","",INT(N436))</f>
        <v/>
      </c>
      <c r="J436" s="16" t="str">
        <f aca="false">IF(B436="","",IF(N436=_xlfn.MINIFS($N$2:$N$5001,$B$2:$B$5001,B436),1,0))</f>
        <v/>
      </c>
      <c r="K436" s="16" t="str">
        <f aca="false">IF(B436="","",IF(AND(D436="Formalização",E436="Concluído"),IF(COUNTIFS($B$2:$B$5001,B436,$E$2:$E$5001,"Em ajustes",$N$2:$N$5001,"&lt;"&amp;I436)&gt;0,1,0),0))</f>
        <v/>
      </c>
      <c r="L436" s="16" t="str">
        <f aca="false">IF(B436="","",IF(N436=_xlfn.MAXIFS($N$2:$N$5001,$B$2:$B$5001,B436,$I$2:$I$5001,I436),1,0))</f>
        <v/>
      </c>
      <c r="M436" s="16" t="str">
        <f aca="false">IF(B436="","",IF(E436="Em ajustes",IF(N436=_xlfn.MINIFS($N$2:$N$5001,$B$2:$B$5001,B436,$E$2:$E$5001,"Em ajustes"),1,0),0))</f>
        <v/>
      </c>
      <c r="N436" s="17" t="str">
        <f aca="false">IF(A436="","",IF(ISNUMBER(A436),A436,IFERROR(DATE(VALUE(MID(A436,7,4)),VALUE(MID(A436,4,2)),VALUE(MID(A436,1,2)))+TIME(VALUE(MID(A436,12,2)),VALUE(MID(A436,15,2)),VALUE(MID(A436,18,2))),"")))</f>
        <v/>
      </c>
    </row>
    <row r="437" customFormat="false" ht="15" hidden="false" customHeight="false" outlineLevel="0" collapsed="false">
      <c r="I437" s="15" t="str">
        <f aca="false">IF(N437="","",INT(N437))</f>
        <v/>
      </c>
      <c r="J437" s="16" t="str">
        <f aca="false">IF(B437="","",IF(N437=_xlfn.MINIFS($N$2:$N$5001,$B$2:$B$5001,B437),1,0))</f>
        <v/>
      </c>
      <c r="K437" s="16" t="str">
        <f aca="false">IF(B437="","",IF(AND(D437="Formalização",E437="Concluído"),IF(COUNTIFS($B$2:$B$5001,B437,$E$2:$E$5001,"Em ajustes",$N$2:$N$5001,"&lt;"&amp;I437)&gt;0,1,0),0))</f>
        <v/>
      </c>
      <c r="L437" s="16" t="str">
        <f aca="false">IF(B437="","",IF(N437=_xlfn.MAXIFS($N$2:$N$5001,$B$2:$B$5001,B437,$I$2:$I$5001,I437),1,0))</f>
        <v/>
      </c>
      <c r="M437" s="16" t="str">
        <f aca="false">IF(B437="","",IF(E437="Em ajustes",IF(N437=_xlfn.MINIFS($N$2:$N$5001,$B$2:$B$5001,B437,$E$2:$E$5001,"Em ajustes"),1,0),0))</f>
        <v/>
      </c>
      <c r="N437" s="17" t="str">
        <f aca="false">IF(A437="","",IF(ISNUMBER(A437),A437,IFERROR(DATE(VALUE(MID(A437,7,4)),VALUE(MID(A437,4,2)),VALUE(MID(A437,1,2)))+TIME(VALUE(MID(A437,12,2)),VALUE(MID(A437,15,2)),VALUE(MID(A437,18,2))),"")))</f>
        <v/>
      </c>
    </row>
    <row r="438" customFormat="false" ht="15" hidden="false" customHeight="false" outlineLevel="0" collapsed="false">
      <c r="I438" s="15" t="str">
        <f aca="false">IF(N438="","",INT(N438))</f>
        <v/>
      </c>
      <c r="J438" s="16" t="str">
        <f aca="false">IF(B438="","",IF(N438=_xlfn.MINIFS($N$2:$N$5001,$B$2:$B$5001,B438),1,0))</f>
        <v/>
      </c>
      <c r="K438" s="16" t="str">
        <f aca="false">IF(B438="","",IF(AND(D438="Formalização",E438="Concluído"),IF(COUNTIFS($B$2:$B$5001,B438,$E$2:$E$5001,"Em ajustes",$N$2:$N$5001,"&lt;"&amp;I438)&gt;0,1,0),0))</f>
        <v/>
      </c>
      <c r="L438" s="16" t="str">
        <f aca="false">IF(B438="","",IF(N438=_xlfn.MAXIFS($N$2:$N$5001,$B$2:$B$5001,B438,$I$2:$I$5001,I438),1,0))</f>
        <v/>
      </c>
      <c r="M438" s="16" t="str">
        <f aca="false">IF(B438="","",IF(E438="Em ajustes",IF(N438=_xlfn.MINIFS($N$2:$N$5001,$B$2:$B$5001,B438,$E$2:$E$5001,"Em ajustes"),1,0),0))</f>
        <v/>
      </c>
      <c r="N438" s="17" t="str">
        <f aca="false">IF(A438="","",IF(ISNUMBER(A438),A438,IFERROR(DATE(VALUE(MID(A438,7,4)),VALUE(MID(A438,4,2)),VALUE(MID(A438,1,2)))+TIME(VALUE(MID(A438,12,2)),VALUE(MID(A438,15,2)),VALUE(MID(A438,18,2))),"")))</f>
        <v/>
      </c>
    </row>
    <row r="439" customFormat="false" ht="15" hidden="false" customHeight="false" outlineLevel="0" collapsed="false">
      <c r="I439" s="15" t="str">
        <f aca="false">IF(N439="","",INT(N439))</f>
        <v/>
      </c>
      <c r="J439" s="16" t="str">
        <f aca="false">IF(B439="","",IF(N439=_xlfn.MINIFS($N$2:$N$5001,$B$2:$B$5001,B439),1,0))</f>
        <v/>
      </c>
      <c r="K439" s="16" t="str">
        <f aca="false">IF(B439="","",IF(AND(D439="Formalização",E439="Concluído"),IF(COUNTIFS($B$2:$B$5001,B439,$E$2:$E$5001,"Em ajustes",$N$2:$N$5001,"&lt;"&amp;I439)&gt;0,1,0),0))</f>
        <v/>
      </c>
      <c r="L439" s="16" t="str">
        <f aca="false">IF(B439="","",IF(N439=_xlfn.MAXIFS($N$2:$N$5001,$B$2:$B$5001,B439,$I$2:$I$5001,I439),1,0))</f>
        <v/>
      </c>
      <c r="M439" s="16" t="str">
        <f aca="false">IF(B439="","",IF(E439="Em ajustes",IF(N439=_xlfn.MINIFS($N$2:$N$5001,$B$2:$B$5001,B439,$E$2:$E$5001,"Em ajustes"),1,0),0))</f>
        <v/>
      </c>
      <c r="N439" s="17" t="str">
        <f aca="false">IF(A439="","",IF(ISNUMBER(A439),A439,IFERROR(DATE(VALUE(MID(A439,7,4)),VALUE(MID(A439,4,2)),VALUE(MID(A439,1,2)))+TIME(VALUE(MID(A439,12,2)),VALUE(MID(A439,15,2)),VALUE(MID(A439,18,2))),"")))</f>
        <v/>
      </c>
    </row>
    <row r="440" customFormat="false" ht="15" hidden="false" customHeight="false" outlineLevel="0" collapsed="false">
      <c r="I440" s="15" t="str">
        <f aca="false">IF(N440="","",INT(N440))</f>
        <v/>
      </c>
      <c r="J440" s="16" t="str">
        <f aca="false">IF(B440="","",IF(N440=_xlfn.MINIFS($N$2:$N$5001,$B$2:$B$5001,B440),1,0))</f>
        <v/>
      </c>
      <c r="K440" s="16" t="str">
        <f aca="false">IF(B440="","",IF(AND(D440="Formalização",E440="Concluído"),IF(COUNTIFS($B$2:$B$5001,B440,$E$2:$E$5001,"Em ajustes",$N$2:$N$5001,"&lt;"&amp;I440)&gt;0,1,0),0))</f>
        <v/>
      </c>
      <c r="L440" s="16" t="str">
        <f aca="false">IF(B440="","",IF(N440=_xlfn.MAXIFS($N$2:$N$5001,$B$2:$B$5001,B440,$I$2:$I$5001,I440),1,0))</f>
        <v/>
      </c>
      <c r="M440" s="16" t="str">
        <f aca="false">IF(B440="","",IF(E440="Em ajustes",IF(N440=_xlfn.MINIFS($N$2:$N$5001,$B$2:$B$5001,B440,$E$2:$E$5001,"Em ajustes"),1,0),0))</f>
        <v/>
      </c>
      <c r="N440" s="17" t="str">
        <f aca="false">IF(A440="","",IF(ISNUMBER(A440),A440,IFERROR(DATE(VALUE(MID(A440,7,4)),VALUE(MID(A440,4,2)),VALUE(MID(A440,1,2)))+TIME(VALUE(MID(A440,12,2)),VALUE(MID(A440,15,2)),VALUE(MID(A440,18,2))),"")))</f>
        <v/>
      </c>
    </row>
    <row r="441" customFormat="false" ht="15" hidden="false" customHeight="false" outlineLevel="0" collapsed="false">
      <c r="I441" s="15" t="str">
        <f aca="false">IF(N441="","",INT(N441))</f>
        <v/>
      </c>
      <c r="J441" s="16" t="str">
        <f aca="false">IF(B441="","",IF(N441=_xlfn.MINIFS($N$2:$N$5001,$B$2:$B$5001,B441),1,0))</f>
        <v/>
      </c>
      <c r="K441" s="16" t="str">
        <f aca="false">IF(B441="","",IF(AND(D441="Formalização",E441="Concluído"),IF(COUNTIFS($B$2:$B$5001,B441,$E$2:$E$5001,"Em ajustes",$N$2:$N$5001,"&lt;"&amp;I441)&gt;0,1,0),0))</f>
        <v/>
      </c>
      <c r="L441" s="16" t="str">
        <f aca="false">IF(B441="","",IF(N441=_xlfn.MAXIFS($N$2:$N$5001,$B$2:$B$5001,B441,$I$2:$I$5001,I441),1,0))</f>
        <v/>
      </c>
      <c r="M441" s="16" t="str">
        <f aca="false">IF(B441="","",IF(E441="Em ajustes",IF(N441=_xlfn.MINIFS($N$2:$N$5001,$B$2:$B$5001,B441,$E$2:$E$5001,"Em ajustes"),1,0),0))</f>
        <v/>
      </c>
      <c r="N441" s="17" t="str">
        <f aca="false">IF(A441="","",IF(ISNUMBER(A441),A441,IFERROR(DATE(VALUE(MID(A441,7,4)),VALUE(MID(A441,4,2)),VALUE(MID(A441,1,2)))+TIME(VALUE(MID(A441,12,2)),VALUE(MID(A441,15,2)),VALUE(MID(A441,18,2))),"")))</f>
        <v/>
      </c>
    </row>
    <row r="442" customFormat="false" ht="15" hidden="false" customHeight="false" outlineLevel="0" collapsed="false">
      <c r="I442" s="15" t="str">
        <f aca="false">IF(N442="","",INT(N442))</f>
        <v/>
      </c>
      <c r="J442" s="16" t="str">
        <f aca="false">IF(B442="","",IF(N442=_xlfn.MINIFS($N$2:$N$5001,$B$2:$B$5001,B442),1,0))</f>
        <v/>
      </c>
      <c r="K442" s="16" t="str">
        <f aca="false">IF(B442="","",IF(AND(D442="Formalização",E442="Concluído"),IF(COUNTIFS($B$2:$B$5001,B442,$E$2:$E$5001,"Em ajustes",$N$2:$N$5001,"&lt;"&amp;I442)&gt;0,1,0),0))</f>
        <v/>
      </c>
      <c r="L442" s="16" t="str">
        <f aca="false">IF(B442="","",IF(N442=_xlfn.MAXIFS($N$2:$N$5001,$B$2:$B$5001,B442,$I$2:$I$5001,I442),1,0))</f>
        <v/>
      </c>
      <c r="M442" s="16" t="str">
        <f aca="false">IF(B442="","",IF(E442="Em ajustes",IF(N442=_xlfn.MINIFS($N$2:$N$5001,$B$2:$B$5001,B442,$E$2:$E$5001,"Em ajustes"),1,0),0))</f>
        <v/>
      </c>
      <c r="N442" s="17" t="str">
        <f aca="false">IF(A442="","",IF(ISNUMBER(A442),A442,IFERROR(DATE(VALUE(MID(A442,7,4)),VALUE(MID(A442,4,2)),VALUE(MID(A442,1,2)))+TIME(VALUE(MID(A442,12,2)),VALUE(MID(A442,15,2)),VALUE(MID(A442,18,2))),"")))</f>
        <v/>
      </c>
    </row>
    <row r="443" customFormat="false" ht="15" hidden="false" customHeight="false" outlineLevel="0" collapsed="false">
      <c r="I443" s="15" t="str">
        <f aca="false">IF(N443="","",INT(N443))</f>
        <v/>
      </c>
      <c r="J443" s="16" t="str">
        <f aca="false">IF(B443="","",IF(N443=_xlfn.MINIFS($N$2:$N$5001,$B$2:$B$5001,B443),1,0))</f>
        <v/>
      </c>
      <c r="K443" s="16" t="str">
        <f aca="false">IF(B443="","",IF(AND(D443="Formalização",E443="Concluído"),IF(COUNTIFS($B$2:$B$5001,B443,$E$2:$E$5001,"Em ajustes",$N$2:$N$5001,"&lt;"&amp;I443)&gt;0,1,0),0))</f>
        <v/>
      </c>
      <c r="L443" s="16" t="str">
        <f aca="false">IF(B443="","",IF(N443=_xlfn.MAXIFS($N$2:$N$5001,$B$2:$B$5001,B443,$I$2:$I$5001,I443),1,0))</f>
        <v/>
      </c>
      <c r="M443" s="16" t="str">
        <f aca="false">IF(B443="","",IF(E443="Em ajustes",IF(N443=_xlfn.MINIFS($N$2:$N$5001,$B$2:$B$5001,B443,$E$2:$E$5001,"Em ajustes"),1,0),0))</f>
        <v/>
      </c>
      <c r="N443" s="17" t="str">
        <f aca="false">IF(A443="","",IF(ISNUMBER(A443),A443,IFERROR(DATE(VALUE(MID(A443,7,4)),VALUE(MID(A443,4,2)),VALUE(MID(A443,1,2)))+TIME(VALUE(MID(A443,12,2)),VALUE(MID(A443,15,2)),VALUE(MID(A443,18,2))),"")))</f>
        <v/>
      </c>
    </row>
    <row r="444" customFormat="false" ht="15" hidden="false" customHeight="false" outlineLevel="0" collapsed="false">
      <c r="I444" s="15" t="str">
        <f aca="false">IF(N444="","",INT(N444))</f>
        <v/>
      </c>
      <c r="J444" s="16" t="str">
        <f aca="false">IF(B444="","",IF(N444=_xlfn.MINIFS($N$2:$N$5001,$B$2:$B$5001,B444),1,0))</f>
        <v/>
      </c>
      <c r="K444" s="16" t="str">
        <f aca="false">IF(B444="","",IF(AND(D444="Formalização",E444="Concluído"),IF(COUNTIFS($B$2:$B$5001,B444,$E$2:$E$5001,"Em ajustes",$N$2:$N$5001,"&lt;"&amp;I444)&gt;0,1,0),0))</f>
        <v/>
      </c>
      <c r="L444" s="16" t="str">
        <f aca="false">IF(B444="","",IF(N444=_xlfn.MAXIFS($N$2:$N$5001,$B$2:$B$5001,B444,$I$2:$I$5001,I444),1,0))</f>
        <v/>
      </c>
      <c r="M444" s="16" t="str">
        <f aca="false">IF(B444="","",IF(E444="Em ajustes",IF(N444=_xlfn.MINIFS($N$2:$N$5001,$B$2:$B$5001,B444,$E$2:$E$5001,"Em ajustes"),1,0),0))</f>
        <v/>
      </c>
      <c r="N444" s="17" t="str">
        <f aca="false">IF(A444="","",IF(ISNUMBER(A444),A444,IFERROR(DATE(VALUE(MID(A444,7,4)),VALUE(MID(A444,4,2)),VALUE(MID(A444,1,2)))+TIME(VALUE(MID(A444,12,2)),VALUE(MID(A444,15,2)),VALUE(MID(A444,18,2))),"")))</f>
        <v/>
      </c>
    </row>
    <row r="445" customFormat="false" ht="15" hidden="false" customHeight="false" outlineLevel="0" collapsed="false">
      <c r="I445" s="15" t="str">
        <f aca="false">IF(N445="","",INT(N445))</f>
        <v/>
      </c>
      <c r="J445" s="16" t="str">
        <f aca="false">IF(B445="","",IF(N445=_xlfn.MINIFS($N$2:$N$5001,$B$2:$B$5001,B445),1,0))</f>
        <v/>
      </c>
      <c r="K445" s="16" t="str">
        <f aca="false">IF(B445="","",IF(AND(D445="Formalização",E445="Concluído"),IF(COUNTIFS($B$2:$B$5001,B445,$E$2:$E$5001,"Em ajustes",$N$2:$N$5001,"&lt;"&amp;I445)&gt;0,1,0),0))</f>
        <v/>
      </c>
      <c r="L445" s="16" t="str">
        <f aca="false">IF(B445="","",IF(N445=_xlfn.MAXIFS($N$2:$N$5001,$B$2:$B$5001,B445,$I$2:$I$5001,I445),1,0))</f>
        <v/>
      </c>
      <c r="M445" s="16" t="str">
        <f aca="false">IF(B445="","",IF(E445="Em ajustes",IF(N445=_xlfn.MINIFS($N$2:$N$5001,$B$2:$B$5001,B445,$E$2:$E$5001,"Em ajustes"),1,0),0))</f>
        <v/>
      </c>
      <c r="N445" s="17" t="str">
        <f aca="false">IF(A445="","",IF(ISNUMBER(A445),A445,IFERROR(DATE(VALUE(MID(A445,7,4)),VALUE(MID(A445,4,2)),VALUE(MID(A445,1,2)))+TIME(VALUE(MID(A445,12,2)),VALUE(MID(A445,15,2)),VALUE(MID(A445,18,2))),"")))</f>
        <v/>
      </c>
    </row>
    <row r="446" customFormat="false" ht="15" hidden="false" customHeight="false" outlineLevel="0" collapsed="false">
      <c r="I446" s="15" t="str">
        <f aca="false">IF(N446="","",INT(N446))</f>
        <v/>
      </c>
      <c r="J446" s="16" t="str">
        <f aca="false">IF(B446="","",IF(N446=_xlfn.MINIFS($N$2:$N$5001,$B$2:$B$5001,B446),1,0))</f>
        <v/>
      </c>
      <c r="K446" s="16" t="str">
        <f aca="false">IF(B446="","",IF(AND(D446="Formalização",E446="Concluído"),IF(COUNTIFS($B$2:$B$5001,B446,$E$2:$E$5001,"Em ajustes",$N$2:$N$5001,"&lt;"&amp;I446)&gt;0,1,0),0))</f>
        <v/>
      </c>
      <c r="L446" s="16" t="str">
        <f aca="false">IF(B446="","",IF(N446=_xlfn.MAXIFS($N$2:$N$5001,$B$2:$B$5001,B446,$I$2:$I$5001,I446),1,0))</f>
        <v/>
      </c>
      <c r="M446" s="16" t="str">
        <f aca="false">IF(B446="","",IF(E446="Em ajustes",IF(N446=_xlfn.MINIFS($N$2:$N$5001,$B$2:$B$5001,B446,$E$2:$E$5001,"Em ajustes"),1,0),0))</f>
        <v/>
      </c>
      <c r="N446" s="17" t="str">
        <f aca="false">IF(A446="","",IF(ISNUMBER(A446),A446,IFERROR(DATE(VALUE(MID(A446,7,4)),VALUE(MID(A446,4,2)),VALUE(MID(A446,1,2)))+TIME(VALUE(MID(A446,12,2)),VALUE(MID(A446,15,2)),VALUE(MID(A446,18,2))),"")))</f>
        <v/>
      </c>
    </row>
    <row r="447" customFormat="false" ht="15" hidden="false" customHeight="false" outlineLevel="0" collapsed="false">
      <c r="I447" s="15" t="str">
        <f aca="false">IF(N447="","",INT(N447))</f>
        <v/>
      </c>
      <c r="J447" s="16" t="str">
        <f aca="false">IF(B447="","",IF(N447=_xlfn.MINIFS($N$2:$N$5001,$B$2:$B$5001,B447),1,0))</f>
        <v/>
      </c>
      <c r="K447" s="16" t="str">
        <f aca="false">IF(B447="","",IF(AND(D447="Formalização",E447="Concluído"),IF(COUNTIFS($B$2:$B$5001,B447,$E$2:$E$5001,"Em ajustes",$N$2:$N$5001,"&lt;"&amp;I447)&gt;0,1,0),0))</f>
        <v/>
      </c>
      <c r="L447" s="16" t="str">
        <f aca="false">IF(B447="","",IF(N447=_xlfn.MAXIFS($N$2:$N$5001,$B$2:$B$5001,B447,$I$2:$I$5001,I447),1,0))</f>
        <v/>
      </c>
      <c r="M447" s="16" t="str">
        <f aca="false">IF(B447="","",IF(E447="Em ajustes",IF(N447=_xlfn.MINIFS($N$2:$N$5001,$B$2:$B$5001,B447,$E$2:$E$5001,"Em ajustes"),1,0),0))</f>
        <v/>
      </c>
      <c r="N447" s="17" t="str">
        <f aca="false">IF(A447="","",IF(ISNUMBER(A447),A447,IFERROR(DATE(VALUE(MID(A447,7,4)),VALUE(MID(A447,4,2)),VALUE(MID(A447,1,2)))+TIME(VALUE(MID(A447,12,2)),VALUE(MID(A447,15,2)),VALUE(MID(A447,18,2))),"")))</f>
        <v/>
      </c>
    </row>
    <row r="448" customFormat="false" ht="15" hidden="false" customHeight="false" outlineLevel="0" collapsed="false">
      <c r="I448" s="15" t="str">
        <f aca="false">IF(N448="","",INT(N448))</f>
        <v/>
      </c>
      <c r="J448" s="16" t="str">
        <f aca="false">IF(B448="","",IF(N448=_xlfn.MINIFS($N$2:$N$5001,$B$2:$B$5001,B448),1,0))</f>
        <v/>
      </c>
      <c r="K448" s="16" t="str">
        <f aca="false">IF(B448="","",IF(AND(D448="Formalização",E448="Concluído"),IF(COUNTIFS($B$2:$B$5001,B448,$E$2:$E$5001,"Em ajustes",$N$2:$N$5001,"&lt;"&amp;I448)&gt;0,1,0),0))</f>
        <v/>
      </c>
      <c r="L448" s="16" t="str">
        <f aca="false">IF(B448="","",IF(N448=_xlfn.MAXIFS($N$2:$N$5001,$B$2:$B$5001,B448,$I$2:$I$5001,I448),1,0))</f>
        <v/>
      </c>
      <c r="M448" s="16" t="str">
        <f aca="false">IF(B448="","",IF(E448="Em ajustes",IF(N448=_xlfn.MINIFS($N$2:$N$5001,$B$2:$B$5001,B448,$E$2:$E$5001,"Em ajustes"),1,0),0))</f>
        <v/>
      </c>
      <c r="N448" s="17" t="str">
        <f aca="false">IF(A448="","",IF(ISNUMBER(A448),A448,IFERROR(DATE(VALUE(MID(A448,7,4)),VALUE(MID(A448,4,2)),VALUE(MID(A448,1,2)))+TIME(VALUE(MID(A448,12,2)),VALUE(MID(A448,15,2)),VALUE(MID(A448,18,2))),"")))</f>
        <v/>
      </c>
    </row>
    <row r="449" customFormat="false" ht="15" hidden="false" customHeight="false" outlineLevel="0" collapsed="false">
      <c r="I449" s="15" t="str">
        <f aca="false">IF(N449="","",INT(N449))</f>
        <v/>
      </c>
      <c r="J449" s="16" t="str">
        <f aca="false">IF(B449="","",IF(N449=_xlfn.MINIFS($N$2:$N$5001,$B$2:$B$5001,B449),1,0))</f>
        <v/>
      </c>
      <c r="K449" s="16" t="str">
        <f aca="false">IF(B449="","",IF(AND(D449="Formalização",E449="Concluído"),IF(COUNTIFS($B$2:$B$5001,B449,$E$2:$E$5001,"Em ajustes",$N$2:$N$5001,"&lt;"&amp;I449)&gt;0,1,0),0))</f>
        <v/>
      </c>
      <c r="L449" s="16" t="str">
        <f aca="false">IF(B449="","",IF(N449=_xlfn.MAXIFS($N$2:$N$5001,$B$2:$B$5001,B449,$I$2:$I$5001,I449),1,0))</f>
        <v/>
      </c>
      <c r="M449" s="16" t="str">
        <f aca="false">IF(B449="","",IF(E449="Em ajustes",IF(N449=_xlfn.MINIFS($N$2:$N$5001,$B$2:$B$5001,B449,$E$2:$E$5001,"Em ajustes"),1,0),0))</f>
        <v/>
      </c>
      <c r="N449" s="17" t="str">
        <f aca="false">IF(A449="","",IF(ISNUMBER(A449),A449,IFERROR(DATE(VALUE(MID(A449,7,4)),VALUE(MID(A449,4,2)),VALUE(MID(A449,1,2)))+TIME(VALUE(MID(A449,12,2)),VALUE(MID(A449,15,2)),VALUE(MID(A449,18,2))),"")))</f>
        <v/>
      </c>
    </row>
    <row r="450" customFormat="false" ht="15" hidden="false" customHeight="false" outlineLevel="0" collapsed="false">
      <c r="I450" s="15" t="str">
        <f aca="false">IF(N450="","",INT(N450))</f>
        <v/>
      </c>
      <c r="J450" s="16" t="str">
        <f aca="false">IF(B450="","",IF(N450=_xlfn.MINIFS($N$2:$N$5001,$B$2:$B$5001,B450),1,0))</f>
        <v/>
      </c>
      <c r="K450" s="16" t="str">
        <f aca="false">IF(B450="","",IF(AND(D450="Formalização",E450="Concluído"),IF(COUNTIFS($B$2:$B$5001,B450,$E$2:$E$5001,"Em ajustes",$N$2:$N$5001,"&lt;"&amp;I450)&gt;0,1,0),0))</f>
        <v/>
      </c>
      <c r="L450" s="16" t="str">
        <f aca="false">IF(B450="","",IF(N450=_xlfn.MAXIFS($N$2:$N$5001,$B$2:$B$5001,B450,$I$2:$I$5001,I450),1,0))</f>
        <v/>
      </c>
      <c r="M450" s="16" t="str">
        <f aca="false">IF(B450="","",IF(E450="Em ajustes",IF(N450=_xlfn.MINIFS($N$2:$N$5001,$B$2:$B$5001,B450,$E$2:$E$5001,"Em ajustes"),1,0),0))</f>
        <v/>
      </c>
      <c r="N450" s="17" t="str">
        <f aca="false">IF(A450="","",IF(ISNUMBER(A450),A450,IFERROR(DATE(VALUE(MID(A450,7,4)),VALUE(MID(A450,4,2)),VALUE(MID(A450,1,2)))+TIME(VALUE(MID(A450,12,2)),VALUE(MID(A450,15,2)),VALUE(MID(A450,18,2))),"")))</f>
        <v/>
      </c>
    </row>
    <row r="451" customFormat="false" ht="15" hidden="false" customHeight="false" outlineLevel="0" collapsed="false">
      <c r="I451" s="15" t="str">
        <f aca="false">IF(N451="","",INT(N451))</f>
        <v/>
      </c>
      <c r="J451" s="16" t="str">
        <f aca="false">IF(B451="","",IF(N451=_xlfn.MINIFS($N$2:$N$5001,$B$2:$B$5001,B451),1,0))</f>
        <v/>
      </c>
      <c r="K451" s="16" t="str">
        <f aca="false">IF(B451="","",IF(AND(D451="Formalização",E451="Concluído"),IF(COUNTIFS($B$2:$B$5001,B451,$E$2:$E$5001,"Em ajustes",$N$2:$N$5001,"&lt;"&amp;I451)&gt;0,1,0),0))</f>
        <v/>
      </c>
      <c r="L451" s="16" t="str">
        <f aca="false">IF(B451="","",IF(N451=_xlfn.MAXIFS($N$2:$N$5001,$B$2:$B$5001,B451,$I$2:$I$5001,I451),1,0))</f>
        <v/>
      </c>
      <c r="M451" s="16" t="str">
        <f aca="false">IF(B451="","",IF(E451="Em ajustes",IF(N451=_xlfn.MINIFS($N$2:$N$5001,$B$2:$B$5001,B451,$E$2:$E$5001,"Em ajustes"),1,0),0))</f>
        <v/>
      </c>
      <c r="N451" s="17" t="str">
        <f aca="false">IF(A451="","",IF(ISNUMBER(A451),A451,IFERROR(DATE(VALUE(MID(A451,7,4)),VALUE(MID(A451,4,2)),VALUE(MID(A451,1,2)))+TIME(VALUE(MID(A451,12,2)),VALUE(MID(A451,15,2)),VALUE(MID(A451,18,2))),"")))</f>
        <v/>
      </c>
    </row>
    <row r="452" customFormat="false" ht="15" hidden="false" customHeight="false" outlineLevel="0" collapsed="false">
      <c r="I452" s="15" t="str">
        <f aca="false">IF(N452="","",INT(N452))</f>
        <v/>
      </c>
      <c r="J452" s="16" t="str">
        <f aca="false">IF(B452="","",IF(N452=_xlfn.MINIFS($N$2:$N$5001,$B$2:$B$5001,B452),1,0))</f>
        <v/>
      </c>
      <c r="K452" s="16" t="str">
        <f aca="false">IF(B452="","",IF(AND(D452="Formalização",E452="Concluído"),IF(COUNTIFS($B$2:$B$5001,B452,$E$2:$E$5001,"Em ajustes",$N$2:$N$5001,"&lt;"&amp;I452)&gt;0,1,0),0))</f>
        <v/>
      </c>
      <c r="L452" s="16" t="str">
        <f aca="false">IF(B452="","",IF(N452=_xlfn.MAXIFS($N$2:$N$5001,$B$2:$B$5001,B452,$I$2:$I$5001,I452),1,0))</f>
        <v/>
      </c>
      <c r="M452" s="16" t="str">
        <f aca="false">IF(B452="","",IF(E452="Em ajustes",IF(N452=_xlfn.MINIFS($N$2:$N$5001,$B$2:$B$5001,B452,$E$2:$E$5001,"Em ajustes"),1,0),0))</f>
        <v/>
      </c>
      <c r="N452" s="17" t="str">
        <f aca="false">IF(A452="","",IF(ISNUMBER(A452),A452,IFERROR(DATE(VALUE(MID(A452,7,4)),VALUE(MID(A452,4,2)),VALUE(MID(A452,1,2)))+TIME(VALUE(MID(A452,12,2)),VALUE(MID(A452,15,2)),VALUE(MID(A452,18,2))),"")))</f>
        <v/>
      </c>
    </row>
    <row r="453" customFormat="false" ht="15" hidden="false" customHeight="false" outlineLevel="0" collapsed="false">
      <c r="I453" s="15" t="str">
        <f aca="false">IF(N453="","",INT(N453))</f>
        <v/>
      </c>
      <c r="J453" s="16" t="str">
        <f aca="false">IF(B453="","",IF(N453=_xlfn.MINIFS($N$2:$N$5001,$B$2:$B$5001,B453),1,0))</f>
        <v/>
      </c>
      <c r="K453" s="16" t="str">
        <f aca="false">IF(B453="","",IF(AND(D453="Formalização",E453="Concluído"),IF(COUNTIFS($B$2:$B$5001,B453,$E$2:$E$5001,"Em ajustes",$N$2:$N$5001,"&lt;"&amp;I453)&gt;0,1,0),0))</f>
        <v/>
      </c>
      <c r="L453" s="16" t="str">
        <f aca="false">IF(B453="","",IF(N453=_xlfn.MAXIFS($N$2:$N$5001,$B$2:$B$5001,B453,$I$2:$I$5001,I453),1,0))</f>
        <v/>
      </c>
      <c r="M453" s="16" t="str">
        <f aca="false">IF(B453="","",IF(E453="Em ajustes",IF(N453=_xlfn.MINIFS($N$2:$N$5001,$B$2:$B$5001,B453,$E$2:$E$5001,"Em ajustes"),1,0),0))</f>
        <v/>
      </c>
      <c r="N453" s="17" t="str">
        <f aca="false">IF(A453="","",IF(ISNUMBER(A453),A453,IFERROR(DATE(VALUE(MID(A453,7,4)),VALUE(MID(A453,4,2)),VALUE(MID(A453,1,2)))+TIME(VALUE(MID(A453,12,2)),VALUE(MID(A453,15,2)),VALUE(MID(A453,18,2))),"")))</f>
        <v/>
      </c>
    </row>
    <row r="454" customFormat="false" ht="15" hidden="false" customHeight="false" outlineLevel="0" collapsed="false">
      <c r="I454" s="15" t="str">
        <f aca="false">IF(N454="","",INT(N454))</f>
        <v/>
      </c>
      <c r="J454" s="16" t="str">
        <f aca="false">IF(B454="","",IF(N454=_xlfn.MINIFS($N$2:$N$5001,$B$2:$B$5001,B454),1,0))</f>
        <v/>
      </c>
      <c r="K454" s="16" t="str">
        <f aca="false">IF(B454="","",IF(AND(D454="Formalização",E454="Concluído"),IF(COUNTIFS($B$2:$B$5001,B454,$E$2:$E$5001,"Em ajustes",$N$2:$N$5001,"&lt;"&amp;I454)&gt;0,1,0),0))</f>
        <v/>
      </c>
      <c r="L454" s="16" t="str">
        <f aca="false">IF(B454="","",IF(N454=_xlfn.MAXIFS($N$2:$N$5001,$B$2:$B$5001,B454,$I$2:$I$5001,I454),1,0))</f>
        <v/>
      </c>
      <c r="M454" s="16" t="str">
        <f aca="false">IF(B454="","",IF(E454="Em ajustes",IF(N454=_xlfn.MINIFS($N$2:$N$5001,$B$2:$B$5001,B454,$E$2:$E$5001,"Em ajustes"),1,0),0))</f>
        <v/>
      </c>
      <c r="N454" s="17" t="str">
        <f aca="false">IF(A454="","",IF(ISNUMBER(A454),A454,IFERROR(DATE(VALUE(MID(A454,7,4)),VALUE(MID(A454,4,2)),VALUE(MID(A454,1,2)))+TIME(VALUE(MID(A454,12,2)),VALUE(MID(A454,15,2)),VALUE(MID(A454,18,2))),"")))</f>
        <v/>
      </c>
    </row>
    <row r="455" customFormat="false" ht="15" hidden="false" customHeight="false" outlineLevel="0" collapsed="false">
      <c r="I455" s="15" t="str">
        <f aca="false">IF(N455="","",INT(N455))</f>
        <v/>
      </c>
      <c r="J455" s="16" t="str">
        <f aca="false">IF(B455="","",IF(N455=_xlfn.MINIFS($N$2:$N$5001,$B$2:$B$5001,B455),1,0))</f>
        <v/>
      </c>
      <c r="K455" s="16" t="str">
        <f aca="false">IF(B455="","",IF(AND(D455="Formalização",E455="Concluído"),IF(COUNTIFS($B$2:$B$5001,B455,$E$2:$E$5001,"Em ajustes",$N$2:$N$5001,"&lt;"&amp;I455)&gt;0,1,0),0))</f>
        <v/>
      </c>
      <c r="L455" s="16" t="str">
        <f aca="false">IF(B455="","",IF(N455=_xlfn.MAXIFS($N$2:$N$5001,$B$2:$B$5001,B455,$I$2:$I$5001,I455),1,0))</f>
        <v/>
      </c>
      <c r="M455" s="16" t="str">
        <f aca="false">IF(B455="","",IF(E455="Em ajustes",IF(N455=_xlfn.MINIFS($N$2:$N$5001,$B$2:$B$5001,B455,$E$2:$E$5001,"Em ajustes"),1,0),0))</f>
        <v/>
      </c>
      <c r="N455" s="17" t="str">
        <f aca="false">IF(A455="","",IF(ISNUMBER(A455),A455,IFERROR(DATE(VALUE(MID(A455,7,4)),VALUE(MID(A455,4,2)),VALUE(MID(A455,1,2)))+TIME(VALUE(MID(A455,12,2)),VALUE(MID(A455,15,2)),VALUE(MID(A455,18,2))),"")))</f>
        <v/>
      </c>
    </row>
    <row r="456" customFormat="false" ht="15" hidden="false" customHeight="false" outlineLevel="0" collapsed="false">
      <c r="I456" s="15" t="str">
        <f aca="false">IF(N456="","",INT(N456))</f>
        <v/>
      </c>
      <c r="J456" s="16" t="str">
        <f aca="false">IF(B456="","",IF(N456=_xlfn.MINIFS($N$2:$N$5001,$B$2:$B$5001,B456),1,0))</f>
        <v/>
      </c>
      <c r="K456" s="16" t="str">
        <f aca="false">IF(B456="","",IF(AND(D456="Formalização",E456="Concluído"),IF(COUNTIFS($B$2:$B$5001,B456,$E$2:$E$5001,"Em ajustes",$N$2:$N$5001,"&lt;"&amp;I456)&gt;0,1,0),0))</f>
        <v/>
      </c>
      <c r="L456" s="16" t="str">
        <f aca="false">IF(B456="","",IF(N456=_xlfn.MAXIFS($N$2:$N$5001,$B$2:$B$5001,B456,$I$2:$I$5001,I456),1,0))</f>
        <v/>
      </c>
      <c r="M456" s="16" t="str">
        <f aca="false">IF(B456="","",IF(E456="Em ajustes",IF(N456=_xlfn.MINIFS($N$2:$N$5001,$B$2:$B$5001,B456,$E$2:$E$5001,"Em ajustes"),1,0),0))</f>
        <v/>
      </c>
      <c r="N456" s="17" t="str">
        <f aca="false">IF(A456="","",IF(ISNUMBER(A456),A456,IFERROR(DATE(VALUE(MID(A456,7,4)),VALUE(MID(A456,4,2)),VALUE(MID(A456,1,2)))+TIME(VALUE(MID(A456,12,2)),VALUE(MID(A456,15,2)),VALUE(MID(A456,18,2))),"")))</f>
        <v/>
      </c>
    </row>
    <row r="457" customFormat="false" ht="15" hidden="false" customHeight="false" outlineLevel="0" collapsed="false">
      <c r="I457" s="15" t="str">
        <f aca="false">IF(N457="","",INT(N457))</f>
        <v/>
      </c>
      <c r="J457" s="16" t="str">
        <f aca="false">IF(B457="","",IF(N457=_xlfn.MINIFS($N$2:$N$5001,$B$2:$B$5001,B457),1,0))</f>
        <v/>
      </c>
      <c r="K457" s="16" t="str">
        <f aca="false">IF(B457="","",IF(AND(D457="Formalização",E457="Concluído"),IF(COUNTIFS($B$2:$B$5001,B457,$E$2:$E$5001,"Em ajustes",$N$2:$N$5001,"&lt;"&amp;I457)&gt;0,1,0),0))</f>
        <v/>
      </c>
      <c r="L457" s="16" t="str">
        <f aca="false">IF(B457="","",IF(N457=_xlfn.MAXIFS($N$2:$N$5001,$B$2:$B$5001,B457,$I$2:$I$5001,I457),1,0))</f>
        <v/>
      </c>
      <c r="M457" s="16" t="str">
        <f aca="false">IF(B457="","",IF(E457="Em ajustes",IF(N457=_xlfn.MINIFS($N$2:$N$5001,$B$2:$B$5001,B457,$E$2:$E$5001,"Em ajustes"),1,0),0))</f>
        <v/>
      </c>
      <c r="N457" s="17" t="str">
        <f aca="false">IF(A457="","",IF(ISNUMBER(A457),A457,IFERROR(DATE(VALUE(MID(A457,7,4)),VALUE(MID(A457,4,2)),VALUE(MID(A457,1,2)))+TIME(VALUE(MID(A457,12,2)),VALUE(MID(A457,15,2)),VALUE(MID(A457,18,2))),"")))</f>
        <v/>
      </c>
    </row>
    <row r="458" customFormat="false" ht="15" hidden="false" customHeight="false" outlineLevel="0" collapsed="false">
      <c r="I458" s="15" t="str">
        <f aca="false">IF(N458="","",INT(N458))</f>
        <v/>
      </c>
      <c r="J458" s="16" t="str">
        <f aca="false">IF(B458="","",IF(N458=_xlfn.MINIFS($N$2:$N$5001,$B$2:$B$5001,B458),1,0))</f>
        <v/>
      </c>
      <c r="K458" s="16" t="str">
        <f aca="false">IF(B458="","",IF(AND(D458="Formalização",E458="Concluído"),IF(COUNTIFS($B$2:$B$5001,B458,$E$2:$E$5001,"Em ajustes",$N$2:$N$5001,"&lt;"&amp;I458)&gt;0,1,0),0))</f>
        <v/>
      </c>
      <c r="L458" s="16" t="str">
        <f aca="false">IF(B458="","",IF(N458=_xlfn.MAXIFS($N$2:$N$5001,$B$2:$B$5001,B458,$I$2:$I$5001,I458),1,0))</f>
        <v/>
      </c>
      <c r="M458" s="16" t="str">
        <f aca="false">IF(B458="","",IF(E458="Em ajustes",IF(N458=_xlfn.MINIFS($N$2:$N$5001,$B$2:$B$5001,B458,$E$2:$E$5001,"Em ajustes"),1,0),0))</f>
        <v/>
      </c>
      <c r="N458" s="17" t="str">
        <f aca="false">IF(A458="","",IF(ISNUMBER(A458),A458,IFERROR(DATE(VALUE(MID(A458,7,4)),VALUE(MID(A458,4,2)),VALUE(MID(A458,1,2)))+TIME(VALUE(MID(A458,12,2)),VALUE(MID(A458,15,2)),VALUE(MID(A458,18,2))),"")))</f>
        <v/>
      </c>
    </row>
    <row r="459" customFormat="false" ht="15" hidden="false" customHeight="false" outlineLevel="0" collapsed="false">
      <c r="I459" s="15" t="str">
        <f aca="false">IF(N459="","",INT(N459))</f>
        <v/>
      </c>
      <c r="J459" s="16" t="str">
        <f aca="false">IF(B459="","",IF(N459=_xlfn.MINIFS($N$2:$N$5001,$B$2:$B$5001,B459),1,0))</f>
        <v/>
      </c>
      <c r="K459" s="16" t="str">
        <f aca="false">IF(B459="","",IF(AND(D459="Formalização",E459="Concluído"),IF(COUNTIFS($B$2:$B$5001,B459,$E$2:$E$5001,"Em ajustes",$N$2:$N$5001,"&lt;"&amp;I459)&gt;0,1,0),0))</f>
        <v/>
      </c>
      <c r="L459" s="16" t="str">
        <f aca="false">IF(B459="","",IF(N459=_xlfn.MAXIFS($N$2:$N$5001,$B$2:$B$5001,B459,$I$2:$I$5001,I459),1,0))</f>
        <v/>
      </c>
      <c r="M459" s="16" t="str">
        <f aca="false">IF(B459="","",IF(E459="Em ajustes",IF(N459=_xlfn.MINIFS($N$2:$N$5001,$B$2:$B$5001,B459,$E$2:$E$5001,"Em ajustes"),1,0),0))</f>
        <v/>
      </c>
      <c r="N459" s="17" t="str">
        <f aca="false">IF(A459="","",IF(ISNUMBER(A459),A459,IFERROR(DATE(VALUE(MID(A459,7,4)),VALUE(MID(A459,4,2)),VALUE(MID(A459,1,2)))+TIME(VALUE(MID(A459,12,2)),VALUE(MID(A459,15,2)),VALUE(MID(A459,18,2))),"")))</f>
        <v/>
      </c>
    </row>
    <row r="460" customFormat="false" ht="15" hidden="false" customHeight="false" outlineLevel="0" collapsed="false">
      <c r="I460" s="15" t="str">
        <f aca="false">IF(N460="","",INT(N460))</f>
        <v/>
      </c>
      <c r="J460" s="16" t="str">
        <f aca="false">IF(B460="","",IF(N460=_xlfn.MINIFS($N$2:$N$5001,$B$2:$B$5001,B460),1,0))</f>
        <v/>
      </c>
      <c r="K460" s="16" t="str">
        <f aca="false">IF(B460="","",IF(AND(D460="Formalização",E460="Concluído"),IF(COUNTIFS($B$2:$B$5001,B460,$E$2:$E$5001,"Em ajustes",$N$2:$N$5001,"&lt;"&amp;I460)&gt;0,1,0),0))</f>
        <v/>
      </c>
      <c r="L460" s="16" t="str">
        <f aca="false">IF(B460="","",IF(N460=_xlfn.MAXIFS($N$2:$N$5001,$B$2:$B$5001,B460,$I$2:$I$5001,I460),1,0))</f>
        <v/>
      </c>
      <c r="M460" s="16" t="str">
        <f aca="false">IF(B460="","",IF(E460="Em ajustes",IF(N460=_xlfn.MINIFS($N$2:$N$5001,$B$2:$B$5001,B460,$E$2:$E$5001,"Em ajustes"),1,0),0))</f>
        <v/>
      </c>
      <c r="N460" s="17" t="str">
        <f aca="false">IF(A460="","",IF(ISNUMBER(A460),A460,IFERROR(DATE(VALUE(MID(A460,7,4)),VALUE(MID(A460,4,2)),VALUE(MID(A460,1,2)))+TIME(VALUE(MID(A460,12,2)),VALUE(MID(A460,15,2)),VALUE(MID(A460,18,2))),"")))</f>
        <v/>
      </c>
    </row>
    <row r="461" customFormat="false" ht="15" hidden="false" customHeight="false" outlineLevel="0" collapsed="false">
      <c r="I461" s="15" t="str">
        <f aca="false">IF(N461="","",INT(N461))</f>
        <v/>
      </c>
      <c r="J461" s="16" t="str">
        <f aca="false">IF(B461="","",IF(N461=_xlfn.MINIFS($N$2:$N$5001,$B$2:$B$5001,B461),1,0))</f>
        <v/>
      </c>
      <c r="K461" s="16" t="str">
        <f aca="false">IF(B461="","",IF(AND(D461="Formalização",E461="Concluído"),IF(COUNTIFS($B$2:$B$5001,B461,$E$2:$E$5001,"Em ajustes",$N$2:$N$5001,"&lt;"&amp;I461)&gt;0,1,0),0))</f>
        <v/>
      </c>
      <c r="L461" s="16" t="str">
        <f aca="false">IF(B461="","",IF(N461=_xlfn.MAXIFS($N$2:$N$5001,$B$2:$B$5001,B461,$I$2:$I$5001,I461),1,0))</f>
        <v/>
      </c>
      <c r="M461" s="16" t="str">
        <f aca="false">IF(B461="","",IF(E461="Em ajustes",IF(N461=_xlfn.MINIFS($N$2:$N$5001,$B$2:$B$5001,B461,$E$2:$E$5001,"Em ajustes"),1,0),0))</f>
        <v/>
      </c>
      <c r="N461" s="17" t="str">
        <f aca="false">IF(A461="","",IF(ISNUMBER(A461),A461,IFERROR(DATE(VALUE(MID(A461,7,4)),VALUE(MID(A461,4,2)),VALUE(MID(A461,1,2)))+TIME(VALUE(MID(A461,12,2)),VALUE(MID(A461,15,2)),VALUE(MID(A461,18,2))),"")))</f>
        <v/>
      </c>
    </row>
    <row r="462" customFormat="false" ht="15" hidden="false" customHeight="false" outlineLevel="0" collapsed="false">
      <c r="I462" s="15" t="str">
        <f aca="false">IF(N462="","",INT(N462))</f>
        <v/>
      </c>
      <c r="J462" s="16" t="str">
        <f aca="false">IF(B462="","",IF(N462=_xlfn.MINIFS($N$2:$N$5001,$B$2:$B$5001,B462),1,0))</f>
        <v/>
      </c>
      <c r="K462" s="16" t="str">
        <f aca="false">IF(B462="","",IF(AND(D462="Formalização",E462="Concluído"),IF(COUNTIFS($B$2:$B$5001,B462,$E$2:$E$5001,"Em ajustes",$N$2:$N$5001,"&lt;"&amp;I462)&gt;0,1,0),0))</f>
        <v/>
      </c>
      <c r="L462" s="16" t="str">
        <f aca="false">IF(B462="","",IF(N462=_xlfn.MAXIFS($N$2:$N$5001,$B$2:$B$5001,B462,$I$2:$I$5001,I462),1,0))</f>
        <v/>
      </c>
      <c r="M462" s="16" t="str">
        <f aca="false">IF(B462="","",IF(E462="Em ajustes",IF(N462=_xlfn.MINIFS($N$2:$N$5001,$B$2:$B$5001,B462,$E$2:$E$5001,"Em ajustes"),1,0),0))</f>
        <v/>
      </c>
      <c r="N462" s="17" t="str">
        <f aca="false">IF(A462="","",IF(ISNUMBER(A462),A462,IFERROR(DATE(VALUE(MID(A462,7,4)),VALUE(MID(A462,4,2)),VALUE(MID(A462,1,2)))+TIME(VALUE(MID(A462,12,2)),VALUE(MID(A462,15,2)),VALUE(MID(A462,18,2))),"")))</f>
        <v/>
      </c>
    </row>
    <row r="463" customFormat="false" ht="15" hidden="false" customHeight="false" outlineLevel="0" collapsed="false">
      <c r="I463" s="15" t="str">
        <f aca="false">IF(N463="","",INT(N463))</f>
        <v/>
      </c>
      <c r="J463" s="16" t="str">
        <f aca="false">IF(B463="","",IF(N463=_xlfn.MINIFS($N$2:$N$5001,$B$2:$B$5001,B463),1,0))</f>
        <v/>
      </c>
      <c r="K463" s="16" t="str">
        <f aca="false">IF(B463="","",IF(AND(D463="Formalização",E463="Concluído"),IF(COUNTIFS($B$2:$B$5001,B463,$E$2:$E$5001,"Em ajustes",$N$2:$N$5001,"&lt;"&amp;I463)&gt;0,1,0),0))</f>
        <v/>
      </c>
      <c r="L463" s="16" t="str">
        <f aca="false">IF(B463="","",IF(N463=_xlfn.MAXIFS($N$2:$N$5001,$B$2:$B$5001,B463,$I$2:$I$5001,I463),1,0))</f>
        <v/>
      </c>
      <c r="M463" s="16" t="str">
        <f aca="false">IF(B463="","",IF(E463="Em ajustes",IF(N463=_xlfn.MINIFS($N$2:$N$5001,$B$2:$B$5001,B463,$E$2:$E$5001,"Em ajustes"),1,0),0))</f>
        <v/>
      </c>
      <c r="N463" s="17" t="str">
        <f aca="false">IF(A463="","",IF(ISNUMBER(A463),A463,IFERROR(DATE(VALUE(MID(A463,7,4)),VALUE(MID(A463,4,2)),VALUE(MID(A463,1,2)))+TIME(VALUE(MID(A463,12,2)),VALUE(MID(A463,15,2)),VALUE(MID(A463,18,2))),"")))</f>
        <v/>
      </c>
    </row>
    <row r="464" customFormat="false" ht="15" hidden="false" customHeight="false" outlineLevel="0" collapsed="false">
      <c r="I464" s="15" t="str">
        <f aca="false">IF(N464="","",INT(N464))</f>
        <v/>
      </c>
      <c r="J464" s="16" t="str">
        <f aca="false">IF(B464="","",IF(N464=_xlfn.MINIFS($N$2:$N$5001,$B$2:$B$5001,B464),1,0))</f>
        <v/>
      </c>
      <c r="K464" s="16" t="str">
        <f aca="false">IF(B464="","",IF(AND(D464="Formalização",E464="Concluído"),IF(COUNTIFS($B$2:$B$5001,B464,$E$2:$E$5001,"Em ajustes",$N$2:$N$5001,"&lt;"&amp;I464)&gt;0,1,0),0))</f>
        <v/>
      </c>
      <c r="L464" s="16" t="str">
        <f aca="false">IF(B464="","",IF(N464=_xlfn.MAXIFS($N$2:$N$5001,$B$2:$B$5001,B464,$I$2:$I$5001,I464),1,0))</f>
        <v/>
      </c>
      <c r="M464" s="16" t="str">
        <f aca="false">IF(B464="","",IF(E464="Em ajustes",IF(N464=_xlfn.MINIFS($N$2:$N$5001,$B$2:$B$5001,B464,$E$2:$E$5001,"Em ajustes"),1,0),0))</f>
        <v/>
      </c>
      <c r="N464" s="17" t="str">
        <f aca="false">IF(A464="","",IF(ISNUMBER(A464),A464,IFERROR(DATE(VALUE(MID(A464,7,4)),VALUE(MID(A464,4,2)),VALUE(MID(A464,1,2)))+TIME(VALUE(MID(A464,12,2)),VALUE(MID(A464,15,2)),VALUE(MID(A464,18,2))),"")))</f>
        <v/>
      </c>
    </row>
    <row r="465" customFormat="false" ht="15" hidden="false" customHeight="false" outlineLevel="0" collapsed="false">
      <c r="I465" s="15" t="str">
        <f aca="false">IF(N465="","",INT(N465))</f>
        <v/>
      </c>
      <c r="J465" s="16" t="str">
        <f aca="false">IF(B465="","",IF(N465=_xlfn.MINIFS($N$2:$N$5001,$B$2:$B$5001,B465),1,0))</f>
        <v/>
      </c>
      <c r="K465" s="16" t="str">
        <f aca="false">IF(B465="","",IF(AND(D465="Formalização",E465="Concluído"),IF(COUNTIFS($B$2:$B$5001,B465,$E$2:$E$5001,"Em ajustes",$N$2:$N$5001,"&lt;"&amp;I465)&gt;0,1,0),0))</f>
        <v/>
      </c>
      <c r="L465" s="16" t="str">
        <f aca="false">IF(B465="","",IF(N465=_xlfn.MAXIFS($N$2:$N$5001,$B$2:$B$5001,B465,$I$2:$I$5001,I465),1,0))</f>
        <v/>
      </c>
      <c r="M465" s="16" t="str">
        <f aca="false">IF(B465="","",IF(E465="Em ajustes",IF(N465=_xlfn.MINIFS($N$2:$N$5001,$B$2:$B$5001,B465,$E$2:$E$5001,"Em ajustes"),1,0),0))</f>
        <v/>
      </c>
      <c r="N465" s="17" t="str">
        <f aca="false">IF(A465="","",IF(ISNUMBER(A465),A465,IFERROR(DATE(VALUE(MID(A465,7,4)),VALUE(MID(A465,4,2)),VALUE(MID(A465,1,2)))+TIME(VALUE(MID(A465,12,2)),VALUE(MID(A465,15,2)),VALUE(MID(A465,18,2))),"")))</f>
        <v/>
      </c>
    </row>
    <row r="466" customFormat="false" ht="15" hidden="false" customHeight="false" outlineLevel="0" collapsed="false">
      <c r="I466" s="15" t="str">
        <f aca="false">IF(N466="","",INT(N466))</f>
        <v/>
      </c>
      <c r="J466" s="16" t="str">
        <f aca="false">IF(B466="","",IF(N466=_xlfn.MINIFS($N$2:$N$5001,$B$2:$B$5001,B466),1,0))</f>
        <v/>
      </c>
      <c r="K466" s="16" t="str">
        <f aca="false">IF(B466="","",IF(AND(D466="Formalização",E466="Concluído"),IF(COUNTIFS($B$2:$B$5001,B466,$E$2:$E$5001,"Em ajustes",$N$2:$N$5001,"&lt;"&amp;I466)&gt;0,1,0),0))</f>
        <v/>
      </c>
      <c r="L466" s="16" t="str">
        <f aca="false">IF(B466="","",IF(N466=_xlfn.MAXIFS($N$2:$N$5001,$B$2:$B$5001,B466,$I$2:$I$5001,I466),1,0))</f>
        <v/>
      </c>
      <c r="M466" s="16" t="str">
        <f aca="false">IF(B466="","",IF(E466="Em ajustes",IF(N466=_xlfn.MINIFS($N$2:$N$5001,$B$2:$B$5001,B466,$E$2:$E$5001,"Em ajustes"),1,0),0))</f>
        <v/>
      </c>
      <c r="N466" s="17" t="str">
        <f aca="false">IF(A466="","",IF(ISNUMBER(A466),A466,IFERROR(DATE(VALUE(MID(A466,7,4)),VALUE(MID(A466,4,2)),VALUE(MID(A466,1,2)))+TIME(VALUE(MID(A466,12,2)),VALUE(MID(A466,15,2)),VALUE(MID(A466,18,2))),"")))</f>
        <v/>
      </c>
    </row>
    <row r="467" customFormat="false" ht="15" hidden="false" customHeight="false" outlineLevel="0" collapsed="false">
      <c r="I467" s="15" t="str">
        <f aca="false">IF(N467="","",INT(N467))</f>
        <v/>
      </c>
      <c r="J467" s="16" t="str">
        <f aca="false">IF(B467="","",IF(N467=_xlfn.MINIFS($N$2:$N$5001,$B$2:$B$5001,B467),1,0))</f>
        <v/>
      </c>
      <c r="K467" s="16" t="str">
        <f aca="false">IF(B467="","",IF(AND(D467="Formalização",E467="Concluído"),IF(COUNTIFS($B$2:$B$5001,B467,$E$2:$E$5001,"Em ajustes",$N$2:$N$5001,"&lt;"&amp;I467)&gt;0,1,0),0))</f>
        <v/>
      </c>
      <c r="L467" s="16" t="str">
        <f aca="false">IF(B467="","",IF(N467=_xlfn.MAXIFS($N$2:$N$5001,$B$2:$B$5001,B467,$I$2:$I$5001,I467),1,0))</f>
        <v/>
      </c>
      <c r="M467" s="16" t="str">
        <f aca="false">IF(B467="","",IF(E467="Em ajustes",IF(N467=_xlfn.MINIFS($N$2:$N$5001,$B$2:$B$5001,B467,$E$2:$E$5001,"Em ajustes"),1,0),0))</f>
        <v/>
      </c>
      <c r="N467" s="17" t="str">
        <f aca="false">IF(A467="","",IF(ISNUMBER(A467),A467,IFERROR(DATE(VALUE(MID(A467,7,4)),VALUE(MID(A467,4,2)),VALUE(MID(A467,1,2)))+TIME(VALUE(MID(A467,12,2)),VALUE(MID(A467,15,2)),VALUE(MID(A467,18,2))),"")))</f>
        <v/>
      </c>
    </row>
    <row r="468" customFormat="false" ht="15" hidden="false" customHeight="false" outlineLevel="0" collapsed="false">
      <c r="I468" s="15" t="str">
        <f aca="false">IF(N468="","",INT(N468))</f>
        <v/>
      </c>
      <c r="J468" s="16" t="str">
        <f aca="false">IF(B468="","",IF(N468=_xlfn.MINIFS($N$2:$N$5001,$B$2:$B$5001,B468),1,0))</f>
        <v/>
      </c>
      <c r="K468" s="16" t="str">
        <f aca="false">IF(B468="","",IF(AND(D468="Formalização",E468="Concluído"),IF(COUNTIFS($B$2:$B$5001,B468,$E$2:$E$5001,"Em ajustes",$N$2:$N$5001,"&lt;"&amp;I468)&gt;0,1,0),0))</f>
        <v/>
      </c>
      <c r="L468" s="16" t="str">
        <f aca="false">IF(B468="","",IF(N468=_xlfn.MAXIFS($N$2:$N$5001,$B$2:$B$5001,B468,$I$2:$I$5001,I468),1,0))</f>
        <v/>
      </c>
      <c r="M468" s="16" t="str">
        <f aca="false">IF(B468="","",IF(E468="Em ajustes",IF(N468=_xlfn.MINIFS($N$2:$N$5001,$B$2:$B$5001,B468,$E$2:$E$5001,"Em ajustes"),1,0),0))</f>
        <v/>
      </c>
      <c r="N468" s="17" t="str">
        <f aca="false">IF(A468="","",IF(ISNUMBER(A468),A468,IFERROR(DATE(VALUE(MID(A468,7,4)),VALUE(MID(A468,4,2)),VALUE(MID(A468,1,2)))+TIME(VALUE(MID(A468,12,2)),VALUE(MID(A468,15,2)),VALUE(MID(A468,18,2))),"")))</f>
        <v/>
      </c>
    </row>
    <row r="469" customFormat="false" ht="15" hidden="false" customHeight="false" outlineLevel="0" collapsed="false">
      <c r="I469" s="15" t="str">
        <f aca="false">IF(N469="","",INT(N469))</f>
        <v/>
      </c>
      <c r="J469" s="16" t="str">
        <f aca="false">IF(B469="","",IF(N469=_xlfn.MINIFS($N$2:$N$5001,$B$2:$B$5001,B469),1,0))</f>
        <v/>
      </c>
      <c r="K469" s="16" t="str">
        <f aca="false">IF(B469="","",IF(AND(D469="Formalização",E469="Concluído"),IF(COUNTIFS($B$2:$B$5001,B469,$E$2:$E$5001,"Em ajustes",$N$2:$N$5001,"&lt;"&amp;I469)&gt;0,1,0),0))</f>
        <v/>
      </c>
      <c r="L469" s="16" t="str">
        <f aca="false">IF(B469="","",IF(N469=_xlfn.MAXIFS($N$2:$N$5001,$B$2:$B$5001,B469,$I$2:$I$5001,I469),1,0))</f>
        <v/>
      </c>
      <c r="M469" s="16" t="str">
        <f aca="false">IF(B469="","",IF(E469="Em ajustes",IF(N469=_xlfn.MINIFS($N$2:$N$5001,$B$2:$B$5001,B469,$E$2:$E$5001,"Em ajustes"),1,0),0))</f>
        <v/>
      </c>
      <c r="N469" s="17" t="str">
        <f aca="false">IF(A469="","",IF(ISNUMBER(A469),A469,IFERROR(DATE(VALUE(MID(A469,7,4)),VALUE(MID(A469,4,2)),VALUE(MID(A469,1,2)))+TIME(VALUE(MID(A469,12,2)),VALUE(MID(A469,15,2)),VALUE(MID(A469,18,2))),"")))</f>
        <v/>
      </c>
    </row>
    <row r="470" customFormat="false" ht="15" hidden="false" customHeight="false" outlineLevel="0" collapsed="false">
      <c r="I470" s="15" t="str">
        <f aca="false">IF(N470="","",INT(N470))</f>
        <v/>
      </c>
      <c r="J470" s="16" t="str">
        <f aca="false">IF(B470="","",IF(N470=_xlfn.MINIFS($N$2:$N$5001,$B$2:$B$5001,B470),1,0))</f>
        <v/>
      </c>
      <c r="K470" s="16" t="str">
        <f aca="false">IF(B470="","",IF(AND(D470="Formalização",E470="Concluído"),IF(COUNTIFS($B$2:$B$5001,B470,$E$2:$E$5001,"Em ajustes",$N$2:$N$5001,"&lt;"&amp;I470)&gt;0,1,0),0))</f>
        <v/>
      </c>
      <c r="L470" s="16" t="str">
        <f aca="false">IF(B470="","",IF(N470=_xlfn.MAXIFS($N$2:$N$5001,$B$2:$B$5001,B470,$I$2:$I$5001,I470),1,0))</f>
        <v/>
      </c>
      <c r="M470" s="16" t="str">
        <f aca="false">IF(B470="","",IF(E470="Em ajustes",IF(N470=_xlfn.MINIFS($N$2:$N$5001,$B$2:$B$5001,B470,$E$2:$E$5001,"Em ajustes"),1,0),0))</f>
        <v/>
      </c>
      <c r="N470" s="17" t="str">
        <f aca="false">IF(A470="","",IF(ISNUMBER(A470),A470,IFERROR(DATE(VALUE(MID(A470,7,4)),VALUE(MID(A470,4,2)),VALUE(MID(A470,1,2)))+TIME(VALUE(MID(A470,12,2)),VALUE(MID(A470,15,2)),VALUE(MID(A470,18,2))),"")))</f>
        <v/>
      </c>
    </row>
    <row r="471" customFormat="false" ht="15" hidden="false" customHeight="false" outlineLevel="0" collapsed="false">
      <c r="I471" s="15" t="str">
        <f aca="false">IF(N471="","",INT(N471))</f>
        <v/>
      </c>
      <c r="J471" s="16" t="str">
        <f aca="false">IF(B471="","",IF(N471=_xlfn.MINIFS($N$2:$N$5001,$B$2:$B$5001,B471),1,0))</f>
        <v/>
      </c>
      <c r="K471" s="16" t="str">
        <f aca="false">IF(B471="","",IF(AND(D471="Formalização",E471="Concluído"),IF(COUNTIFS($B$2:$B$5001,B471,$E$2:$E$5001,"Em ajustes",$N$2:$N$5001,"&lt;"&amp;I471)&gt;0,1,0),0))</f>
        <v/>
      </c>
      <c r="L471" s="16" t="str">
        <f aca="false">IF(B471="","",IF(N471=_xlfn.MAXIFS($N$2:$N$5001,$B$2:$B$5001,B471,$I$2:$I$5001,I471),1,0))</f>
        <v/>
      </c>
      <c r="M471" s="16" t="str">
        <f aca="false">IF(B471="","",IF(E471="Em ajustes",IF(N471=_xlfn.MINIFS($N$2:$N$5001,$B$2:$B$5001,B471,$E$2:$E$5001,"Em ajustes"),1,0),0))</f>
        <v/>
      </c>
      <c r="N471" s="17" t="str">
        <f aca="false">IF(A471="","",IF(ISNUMBER(A471),A471,IFERROR(DATE(VALUE(MID(A471,7,4)),VALUE(MID(A471,4,2)),VALUE(MID(A471,1,2)))+TIME(VALUE(MID(A471,12,2)),VALUE(MID(A471,15,2)),VALUE(MID(A471,18,2))),"")))</f>
        <v/>
      </c>
    </row>
    <row r="472" customFormat="false" ht="15" hidden="false" customHeight="false" outlineLevel="0" collapsed="false">
      <c r="I472" s="15" t="str">
        <f aca="false">IF(N472="","",INT(N472))</f>
        <v/>
      </c>
      <c r="J472" s="16" t="str">
        <f aca="false">IF(B472="","",IF(N472=_xlfn.MINIFS($N$2:$N$5001,$B$2:$B$5001,B472),1,0))</f>
        <v/>
      </c>
      <c r="K472" s="16" t="str">
        <f aca="false">IF(B472="","",IF(AND(D472="Formalização",E472="Concluído"),IF(COUNTIFS($B$2:$B$5001,B472,$E$2:$E$5001,"Em ajustes",$N$2:$N$5001,"&lt;"&amp;I472)&gt;0,1,0),0))</f>
        <v/>
      </c>
      <c r="L472" s="16" t="str">
        <f aca="false">IF(B472="","",IF(N472=_xlfn.MAXIFS($N$2:$N$5001,$B$2:$B$5001,B472,$I$2:$I$5001,I472),1,0))</f>
        <v/>
      </c>
      <c r="M472" s="16" t="str">
        <f aca="false">IF(B472="","",IF(E472="Em ajustes",IF(N472=_xlfn.MINIFS($N$2:$N$5001,$B$2:$B$5001,B472,$E$2:$E$5001,"Em ajustes"),1,0),0))</f>
        <v/>
      </c>
      <c r="N472" s="17" t="str">
        <f aca="false">IF(A472="","",IF(ISNUMBER(A472),A472,IFERROR(DATE(VALUE(MID(A472,7,4)),VALUE(MID(A472,4,2)),VALUE(MID(A472,1,2)))+TIME(VALUE(MID(A472,12,2)),VALUE(MID(A472,15,2)),VALUE(MID(A472,18,2))),"")))</f>
        <v/>
      </c>
    </row>
    <row r="473" customFormat="false" ht="15" hidden="false" customHeight="false" outlineLevel="0" collapsed="false">
      <c r="I473" s="15" t="str">
        <f aca="false">IF(N473="","",INT(N473))</f>
        <v/>
      </c>
      <c r="J473" s="16" t="str">
        <f aca="false">IF(B473="","",IF(N473=_xlfn.MINIFS($N$2:$N$5001,$B$2:$B$5001,B473),1,0))</f>
        <v/>
      </c>
      <c r="K473" s="16" t="str">
        <f aca="false">IF(B473="","",IF(AND(D473="Formalização",E473="Concluído"),IF(COUNTIFS($B$2:$B$5001,B473,$E$2:$E$5001,"Em ajustes",$N$2:$N$5001,"&lt;"&amp;I473)&gt;0,1,0),0))</f>
        <v/>
      </c>
      <c r="L473" s="16" t="str">
        <f aca="false">IF(B473="","",IF(N473=_xlfn.MAXIFS($N$2:$N$5001,$B$2:$B$5001,B473,$I$2:$I$5001,I473),1,0))</f>
        <v/>
      </c>
      <c r="M473" s="16" t="str">
        <f aca="false">IF(B473="","",IF(E473="Em ajustes",IF(N473=_xlfn.MINIFS($N$2:$N$5001,$B$2:$B$5001,B473,$E$2:$E$5001,"Em ajustes"),1,0),0))</f>
        <v/>
      </c>
      <c r="N473" s="17" t="str">
        <f aca="false">IF(A473="","",IF(ISNUMBER(A473),A473,IFERROR(DATE(VALUE(MID(A473,7,4)),VALUE(MID(A473,4,2)),VALUE(MID(A473,1,2)))+TIME(VALUE(MID(A473,12,2)),VALUE(MID(A473,15,2)),VALUE(MID(A473,18,2))),"")))</f>
        <v/>
      </c>
    </row>
    <row r="474" customFormat="false" ht="15" hidden="false" customHeight="false" outlineLevel="0" collapsed="false">
      <c r="I474" s="15" t="str">
        <f aca="false">IF(N474="","",INT(N474))</f>
        <v/>
      </c>
      <c r="J474" s="16" t="str">
        <f aca="false">IF(B474="","",IF(N474=_xlfn.MINIFS($N$2:$N$5001,$B$2:$B$5001,B474),1,0))</f>
        <v/>
      </c>
      <c r="K474" s="16" t="str">
        <f aca="false">IF(B474="","",IF(AND(D474="Formalização",E474="Concluído"),IF(COUNTIFS($B$2:$B$5001,B474,$E$2:$E$5001,"Em ajustes",$N$2:$N$5001,"&lt;"&amp;I474)&gt;0,1,0),0))</f>
        <v/>
      </c>
      <c r="L474" s="16" t="str">
        <f aca="false">IF(B474="","",IF(N474=_xlfn.MAXIFS($N$2:$N$5001,$B$2:$B$5001,B474,$I$2:$I$5001,I474),1,0))</f>
        <v/>
      </c>
      <c r="M474" s="16" t="str">
        <f aca="false">IF(B474="","",IF(E474="Em ajustes",IF(N474=_xlfn.MINIFS($N$2:$N$5001,$B$2:$B$5001,B474,$E$2:$E$5001,"Em ajustes"),1,0),0))</f>
        <v/>
      </c>
      <c r="N474" s="17" t="str">
        <f aca="false">IF(A474="","",IF(ISNUMBER(A474),A474,IFERROR(DATE(VALUE(MID(A474,7,4)),VALUE(MID(A474,4,2)),VALUE(MID(A474,1,2)))+TIME(VALUE(MID(A474,12,2)),VALUE(MID(A474,15,2)),VALUE(MID(A474,18,2))),"")))</f>
        <v/>
      </c>
    </row>
    <row r="475" customFormat="false" ht="15" hidden="false" customHeight="false" outlineLevel="0" collapsed="false">
      <c r="I475" s="15" t="str">
        <f aca="false">IF(N475="","",INT(N475))</f>
        <v/>
      </c>
      <c r="J475" s="16" t="str">
        <f aca="false">IF(B475="","",IF(N475=_xlfn.MINIFS($N$2:$N$5001,$B$2:$B$5001,B475),1,0))</f>
        <v/>
      </c>
      <c r="K475" s="16" t="str">
        <f aca="false">IF(B475="","",IF(AND(D475="Formalização",E475="Concluído"),IF(COUNTIFS($B$2:$B$5001,B475,$E$2:$E$5001,"Em ajustes",$N$2:$N$5001,"&lt;"&amp;I475)&gt;0,1,0),0))</f>
        <v/>
      </c>
      <c r="L475" s="16" t="str">
        <f aca="false">IF(B475="","",IF(N475=_xlfn.MAXIFS($N$2:$N$5001,$B$2:$B$5001,B475,$I$2:$I$5001,I475),1,0))</f>
        <v/>
      </c>
      <c r="M475" s="16" t="str">
        <f aca="false">IF(B475="","",IF(E475="Em ajustes",IF(N475=_xlfn.MINIFS($N$2:$N$5001,$B$2:$B$5001,B475,$E$2:$E$5001,"Em ajustes"),1,0),0))</f>
        <v/>
      </c>
      <c r="N475" s="17" t="str">
        <f aca="false">IF(A475="","",IF(ISNUMBER(A475),A475,IFERROR(DATE(VALUE(MID(A475,7,4)),VALUE(MID(A475,4,2)),VALUE(MID(A475,1,2)))+TIME(VALUE(MID(A475,12,2)),VALUE(MID(A475,15,2)),VALUE(MID(A475,18,2))),"")))</f>
        <v/>
      </c>
    </row>
    <row r="476" customFormat="false" ht="15" hidden="false" customHeight="false" outlineLevel="0" collapsed="false">
      <c r="I476" s="15" t="str">
        <f aca="false">IF(N476="","",INT(N476))</f>
        <v/>
      </c>
      <c r="J476" s="16" t="str">
        <f aca="false">IF(B476="","",IF(N476=_xlfn.MINIFS($N$2:$N$5001,$B$2:$B$5001,B476),1,0))</f>
        <v/>
      </c>
      <c r="K476" s="16" t="str">
        <f aca="false">IF(B476="","",IF(AND(D476="Formalização",E476="Concluído"),IF(COUNTIFS($B$2:$B$5001,B476,$E$2:$E$5001,"Em ajustes",$N$2:$N$5001,"&lt;"&amp;I476)&gt;0,1,0),0))</f>
        <v/>
      </c>
      <c r="L476" s="16" t="str">
        <f aca="false">IF(B476="","",IF(N476=_xlfn.MAXIFS($N$2:$N$5001,$B$2:$B$5001,B476,$I$2:$I$5001,I476),1,0))</f>
        <v/>
      </c>
      <c r="M476" s="16" t="str">
        <f aca="false">IF(B476="","",IF(E476="Em ajustes",IF(N476=_xlfn.MINIFS($N$2:$N$5001,$B$2:$B$5001,B476,$E$2:$E$5001,"Em ajustes"),1,0),0))</f>
        <v/>
      </c>
      <c r="N476" s="17" t="str">
        <f aca="false">IF(A476="","",IF(ISNUMBER(A476),A476,IFERROR(DATE(VALUE(MID(A476,7,4)),VALUE(MID(A476,4,2)),VALUE(MID(A476,1,2)))+TIME(VALUE(MID(A476,12,2)),VALUE(MID(A476,15,2)),VALUE(MID(A476,18,2))),"")))</f>
        <v/>
      </c>
    </row>
    <row r="477" customFormat="false" ht="15" hidden="false" customHeight="false" outlineLevel="0" collapsed="false">
      <c r="I477" s="15" t="str">
        <f aca="false">IF(N477="","",INT(N477))</f>
        <v/>
      </c>
      <c r="J477" s="16" t="str">
        <f aca="false">IF(B477="","",IF(N477=_xlfn.MINIFS($N$2:$N$5001,$B$2:$B$5001,B477),1,0))</f>
        <v/>
      </c>
      <c r="K477" s="16" t="str">
        <f aca="false">IF(B477="","",IF(AND(D477="Formalização",E477="Concluído"),IF(COUNTIFS($B$2:$B$5001,B477,$E$2:$E$5001,"Em ajustes",$N$2:$N$5001,"&lt;"&amp;I477)&gt;0,1,0),0))</f>
        <v/>
      </c>
      <c r="L477" s="16" t="str">
        <f aca="false">IF(B477="","",IF(N477=_xlfn.MAXIFS($N$2:$N$5001,$B$2:$B$5001,B477,$I$2:$I$5001,I477),1,0))</f>
        <v/>
      </c>
      <c r="M477" s="16" t="str">
        <f aca="false">IF(B477="","",IF(E477="Em ajustes",IF(N477=_xlfn.MINIFS($N$2:$N$5001,$B$2:$B$5001,B477,$E$2:$E$5001,"Em ajustes"),1,0),0))</f>
        <v/>
      </c>
      <c r="N477" s="17" t="str">
        <f aca="false">IF(A477="","",IF(ISNUMBER(A477),A477,IFERROR(DATE(VALUE(MID(A477,7,4)),VALUE(MID(A477,4,2)),VALUE(MID(A477,1,2)))+TIME(VALUE(MID(A477,12,2)),VALUE(MID(A477,15,2)),VALUE(MID(A477,18,2))),"")))</f>
        <v/>
      </c>
    </row>
    <row r="478" customFormat="false" ht="15" hidden="false" customHeight="false" outlineLevel="0" collapsed="false">
      <c r="I478" s="15" t="str">
        <f aca="false">IF(N478="","",INT(N478))</f>
        <v/>
      </c>
      <c r="J478" s="16" t="str">
        <f aca="false">IF(B478="","",IF(N478=_xlfn.MINIFS($N$2:$N$5001,$B$2:$B$5001,B478),1,0))</f>
        <v/>
      </c>
      <c r="K478" s="16" t="str">
        <f aca="false">IF(B478="","",IF(AND(D478="Formalização",E478="Concluído"),IF(COUNTIFS($B$2:$B$5001,B478,$E$2:$E$5001,"Em ajustes",$N$2:$N$5001,"&lt;"&amp;I478)&gt;0,1,0),0))</f>
        <v/>
      </c>
      <c r="L478" s="16" t="str">
        <f aca="false">IF(B478="","",IF(N478=_xlfn.MAXIFS($N$2:$N$5001,$B$2:$B$5001,B478,$I$2:$I$5001,I478),1,0))</f>
        <v/>
      </c>
      <c r="M478" s="16" t="str">
        <f aca="false">IF(B478="","",IF(E478="Em ajustes",IF(N478=_xlfn.MINIFS($N$2:$N$5001,$B$2:$B$5001,B478,$E$2:$E$5001,"Em ajustes"),1,0),0))</f>
        <v/>
      </c>
      <c r="N478" s="17" t="str">
        <f aca="false">IF(A478="","",IF(ISNUMBER(A478),A478,IFERROR(DATE(VALUE(MID(A478,7,4)),VALUE(MID(A478,4,2)),VALUE(MID(A478,1,2)))+TIME(VALUE(MID(A478,12,2)),VALUE(MID(A478,15,2)),VALUE(MID(A478,18,2))),"")))</f>
        <v/>
      </c>
    </row>
    <row r="479" customFormat="false" ht="15" hidden="false" customHeight="false" outlineLevel="0" collapsed="false">
      <c r="I479" s="15" t="str">
        <f aca="false">IF(N479="","",INT(N479))</f>
        <v/>
      </c>
      <c r="J479" s="16" t="str">
        <f aca="false">IF(B479="","",IF(N479=_xlfn.MINIFS($N$2:$N$5001,$B$2:$B$5001,B479),1,0))</f>
        <v/>
      </c>
      <c r="K479" s="16" t="str">
        <f aca="false">IF(B479="","",IF(AND(D479="Formalização",E479="Concluído"),IF(COUNTIFS($B$2:$B$5001,B479,$E$2:$E$5001,"Em ajustes",$N$2:$N$5001,"&lt;"&amp;I479)&gt;0,1,0),0))</f>
        <v/>
      </c>
      <c r="L479" s="16" t="str">
        <f aca="false">IF(B479="","",IF(N479=_xlfn.MAXIFS($N$2:$N$5001,$B$2:$B$5001,B479,$I$2:$I$5001,I479),1,0))</f>
        <v/>
      </c>
      <c r="M479" s="16" t="str">
        <f aca="false">IF(B479="","",IF(E479="Em ajustes",IF(N479=_xlfn.MINIFS($N$2:$N$5001,$B$2:$B$5001,B479,$E$2:$E$5001,"Em ajustes"),1,0),0))</f>
        <v/>
      </c>
      <c r="N479" s="17" t="str">
        <f aca="false">IF(A479="","",IF(ISNUMBER(A479),A479,IFERROR(DATE(VALUE(MID(A479,7,4)),VALUE(MID(A479,4,2)),VALUE(MID(A479,1,2)))+TIME(VALUE(MID(A479,12,2)),VALUE(MID(A479,15,2)),VALUE(MID(A479,18,2))),"")))</f>
        <v/>
      </c>
    </row>
    <row r="480" customFormat="false" ht="15" hidden="false" customHeight="false" outlineLevel="0" collapsed="false">
      <c r="I480" s="15" t="str">
        <f aca="false">IF(N480="","",INT(N480))</f>
        <v/>
      </c>
      <c r="J480" s="16" t="str">
        <f aca="false">IF(B480="","",IF(N480=_xlfn.MINIFS($N$2:$N$5001,$B$2:$B$5001,B480),1,0))</f>
        <v/>
      </c>
      <c r="K480" s="16" t="str">
        <f aca="false">IF(B480="","",IF(AND(D480="Formalização",E480="Concluído"),IF(COUNTIFS($B$2:$B$5001,B480,$E$2:$E$5001,"Em ajustes",$N$2:$N$5001,"&lt;"&amp;I480)&gt;0,1,0),0))</f>
        <v/>
      </c>
      <c r="L480" s="16" t="str">
        <f aca="false">IF(B480="","",IF(N480=_xlfn.MAXIFS($N$2:$N$5001,$B$2:$B$5001,B480,$I$2:$I$5001,I480),1,0))</f>
        <v/>
      </c>
      <c r="M480" s="16" t="str">
        <f aca="false">IF(B480="","",IF(E480="Em ajustes",IF(N480=_xlfn.MINIFS($N$2:$N$5001,$B$2:$B$5001,B480,$E$2:$E$5001,"Em ajustes"),1,0),0))</f>
        <v/>
      </c>
      <c r="N480" s="17" t="str">
        <f aca="false">IF(A480="","",IF(ISNUMBER(A480),A480,IFERROR(DATE(VALUE(MID(A480,7,4)),VALUE(MID(A480,4,2)),VALUE(MID(A480,1,2)))+TIME(VALUE(MID(A480,12,2)),VALUE(MID(A480,15,2)),VALUE(MID(A480,18,2))),"")))</f>
        <v/>
      </c>
    </row>
    <row r="481" customFormat="false" ht="15" hidden="false" customHeight="false" outlineLevel="0" collapsed="false">
      <c r="I481" s="15" t="str">
        <f aca="false">IF(N481="","",INT(N481))</f>
        <v/>
      </c>
      <c r="J481" s="16" t="str">
        <f aca="false">IF(B481="","",IF(N481=_xlfn.MINIFS($N$2:$N$5001,$B$2:$B$5001,B481),1,0))</f>
        <v/>
      </c>
      <c r="K481" s="16" t="str">
        <f aca="false">IF(B481="","",IF(AND(D481="Formalização",E481="Concluído"),IF(COUNTIFS($B$2:$B$5001,B481,$E$2:$E$5001,"Em ajustes",$N$2:$N$5001,"&lt;"&amp;I481)&gt;0,1,0),0))</f>
        <v/>
      </c>
      <c r="L481" s="16" t="str">
        <f aca="false">IF(B481="","",IF(N481=_xlfn.MAXIFS($N$2:$N$5001,$B$2:$B$5001,B481,$I$2:$I$5001,I481),1,0))</f>
        <v/>
      </c>
      <c r="M481" s="16" t="str">
        <f aca="false">IF(B481="","",IF(E481="Em ajustes",IF(N481=_xlfn.MINIFS($N$2:$N$5001,$B$2:$B$5001,B481,$E$2:$E$5001,"Em ajustes"),1,0),0))</f>
        <v/>
      </c>
      <c r="N481" s="17" t="str">
        <f aca="false">IF(A481="","",IF(ISNUMBER(A481),A481,IFERROR(DATE(VALUE(MID(A481,7,4)),VALUE(MID(A481,4,2)),VALUE(MID(A481,1,2)))+TIME(VALUE(MID(A481,12,2)),VALUE(MID(A481,15,2)),VALUE(MID(A481,18,2))),"")))</f>
        <v/>
      </c>
    </row>
    <row r="482" customFormat="false" ht="15" hidden="false" customHeight="false" outlineLevel="0" collapsed="false">
      <c r="I482" s="15" t="str">
        <f aca="false">IF(N482="","",INT(N482))</f>
        <v/>
      </c>
      <c r="J482" s="16" t="str">
        <f aca="false">IF(B482="","",IF(N482=_xlfn.MINIFS($N$2:$N$5001,$B$2:$B$5001,B482),1,0))</f>
        <v/>
      </c>
      <c r="K482" s="16" t="str">
        <f aca="false">IF(B482="","",IF(AND(D482="Formalização",E482="Concluído"),IF(COUNTIFS($B$2:$B$5001,B482,$E$2:$E$5001,"Em ajustes",$N$2:$N$5001,"&lt;"&amp;I482)&gt;0,1,0),0))</f>
        <v/>
      </c>
      <c r="L482" s="16" t="str">
        <f aca="false">IF(B482="","",IF(N482=_xlfn.MAXIFS($N$2:$N$5001,$B$2:$B$5001,B482,$I$2:$I$5001,I482),1,0))</f>
        <v/>
      </c>
      <c r="M482" s="16" t="str">
        <f aca="false">IF(B482="","",IF(E482="Em ajustes",IF(N482=_xlfn.MINIFS($N$2:$N$5001,$B$2:$B$5001,B482,$E$2:$E$5001,"Em ajustes"),1,0),0))</f>
        <v/>
      </c>
      <c r="N482" s="17" t="str">
        <f aca="false">IF(A482="","",IF(ISNUMBER(A482),A482,IFERROR(DATE(VALUE(MID(A482,7,4)),VALUE(MID(A482,4,2)),VALUE(MID(A482,1,2)))+TIME(VALUE(MID(A482,12,2)),VALUE(MID(A482,15,2)),VALUE(MID(A482,18,2))),"")))</f>
        <v/>
      </c>
    </row>
    <row r="483" customFormat="false" ht="15" hidden="false" customHeight="false" outlineLevel="0" collapsed="false">
      <c r="I483" s="15" t="str">
        <f aca="false">IF(N483="","",INT(N483))</f>
        <v/>
      </c>
      <c r="J483" s="16" t="str">
        <f aca="false">IF(B483="","",IF(N483=_xlfn.MINIFS($N$2:$N$5001,$B$2:$B$5001,B483),1,0))</f>
        <v/>
      </c>
      <c r="K483" s="16" t="str">
        <f aca="false">IF(B483="","",IF(AND(D483="Formalização",E483="Concluído"),IF(COUNTIFS($B$2:$B$5001,B483,$E$2:$E$5001,"Em ajustes",$N$2:$N$5001,"&lt;"&amp;I483)&gt;0,1,0),0))</f>
        <v/>
      </c>
      <c r="L483" s="16" t="str">
        <f aca="false">IF(B483="","",IF(N483=_xlfn.MAXIFS($N$2:$N$5001,$B$2:$B$5001,B483,$I$2:$I$5001,I483),1,0))</f>
        <v/>
      </c>
      <c r="M483" s="16" t="str">
        <f aca="false">IF(B483="","",IF(E483="Em ajustes",IF(N483=_xlfn.MINIFS($N$2:$N$5001,$B$2:$B$5001,B483,$E$2:$E$5001,"Em ajustes"),1,0),0))</f>
        <v/>
      </c>
      <c r="N483" s="17" t="str">
        <f aca="false">IF(A483="","",IF(ISNUMBER(A483),A483,IFERROR(DATE(VALUE(MID(A483,7,4)),VALUE(MID(A483,4,2)),VALUE(MID(A483,1,2)))+TIME(VALUE(MID(A483,12,2)),VALUE(MID(A483,15,2)),VALUE(MID(A483,18,2))),"")))</f>
        <v/>
      </c>
    </row>
    <row r="484" customFormat="false" ht="15" hidden="false" customHeight="false" outlineLevel="0" collapsed="false">
      <c r="I484" s="15" t="str">
        <f aca="false">IF(N484="","",INT(N484))</f>
        <v/>
      </c>
      <c r="J484" s="16" t="str">
        <f aca="false">IF(B484="","",IF(N484=_xlfn.MINIFS($N$2:$N$5001,$B$2:$B$5001,B484),1,0))</f>
        <v/>
      </c>
      <c r="K484" s="16" t="str">
        <f aca="false">IF(B484="","",IF(AND(D484="Formalização",E484="Concluído"),IF(COUNTIFS($B$2:$B$5001,B484,$E$2:$E$5001,"Em ajustes",$N$2:$N$5001,"&lt;"&amp;I484)&gt;0,1,0),0))</f>
        <v/>
      </c>
      <c r="L484" s="16" t="str">
        <f aca="false">IF(B484="","",IF(N484=_xlfn.MAXIFS($N$2:$N$5001,$B$2:$B$5001,B484,$I$2:$I$5001,I484),1,0))</f>
        <v/>
      </c>
      <c r="M484" s="16" t="str">
        <f aca="false">IF(B484="","",IF(E484="Em ajustes",IF(N484=_xlfn.MINIFS($N$2:$N$5001,$B$2:$B$5001,B484,$E$2:$E$5001,"Em ajustes"),1,0),0))</f>
        <v/>
      </c>
      <c r="N484" s="17" t="str">
        <f aca="false">IF(A484="","",IF(ISNUMBER(A484),A484,IFERROR(DATE(VALUE(MID(A484,7,4)),VALUE(MID(A484,4,2)),VALUE(MID(A484,1,2)))+TIME(VALUE(MID(A484,12,2)),VALUE(MID(A484,15,2)),VALUE(MID(A484,18,2))),"")))</f>
        <v/>
      </c>
    </row>
    <row r="485" customFormat="false" ht="15" hidden="false" customHeight="false" outlineLevel="0" collapsed="false">
      <c r="I485" s="15" t="str">
        <f aca="false">IF(N485="","",INT(N485))</f>
        <v/>
      </c>
      <c r="J485" s="16" t="str">
        <f aca="false">IF(B485="","",IF(N485=_xlfn.MINIFS($N$2:$N$5001,$B$2:$B$5001,B485),1,0))</f>
        <v/>
      </c>
      <c r="K485" s="16" t="str">
        <f aca="false">IF(B485="","",IF(AND(D485="Formalização",E485="Concluído"),IF(COUNTIFS($B$2:$B$5001,B485,$E$2:$E$5001,"Em ajustes",$N$2:$N$5001,"&lt;"&amp;I485)&gt;0,1,0),0))</f>
        <v/>
      </c>
      <c r="L485" s="16" t="str">
        <f aca="false">IF(B485="","",IF(N485=_xlfn.MAXIFS($N$2:$N$5001,$B$2:$B$5001,B485,$I$2:$I$5001,I485),1,0))</f>
        <v/>
      </c>
      <c r="M485" s="16" t="str">
        <f aca="false">IF(B485="","",IF(E485="Em ajustes",IF(N485=_xlfn.MINIFS($N$2:$N$5001,$B$2:$B$5001,B485,$E$2:$E$5001,"Em ajustes"),1,0),0))</f>
        <v/>
      </c>
      <c r="N485" s="17" t="str">
        <f aca="false">IF(A485="","",IF(ISNUMBER(A485),A485,IFERROR(DATE(VALUE(MID(A485,7,4)),VALUE(MID(A485,4,2)),VALUE(MID(A485,1,2)))+TIME(VALUE(MID(A485,12,2)),VALUE(MID(A485,15,2)),VALUE(MID(A485,18,2))),"")))</f>
        <v/>
      </c>
    </row>
    <row r="486" customFormat="false" ht="15" hidden="false" customHeight="false" outlineLevel="0" collapsed="false">
      <c r="I486" s="15" t="str">
        <f aca="false">IF(N486="","",INT(N486))</f>
        <v/>
      </c>
      <c r="J486" s="16" t="str">
        <f aca="false">IF(B486="","",IF(N486=_xlfn.MINIFS($N$2:$N$5001,$B$2:$B$5001,B486),1,0))</f>
        <v/>
      </c>
      <c r="K486" s="16" t="str">
        <f aca="false">IF(B486="","",IF(AND(D486="Formalização",E486="Concluído"),IF(COUNTIFS($B$2:$B$5001,B486,$E$2:$E$5001,"Em ajustes",$N$2:$N$5001,"&lt;"&amp;I486)&gt;0,1,0),0))</f>
        <v/>
      </c>
      <c r="L486" s="16" t="str">
        <f aca="false">IF(B486="","",IF(N486=_xlfn.MAXIFS($N$2:$N$5001,$B$2:$B$5001,B486,$I$2:$I$5001,I486),1,0))</f>
        <v/>
      </c>
      <c r="M486" s="16" t="str">
        <f aca="false">IF(B486="","",IF(E486="Em ajustes",IF(N486=_xlfn.MINIFS($N$2:$N$5001,$B$2:$B$5001,B486,$E$2:$E$5001,"Em ajustes"),1,0),0))</f>
        <v/>
      </c>
      <c r="N486" s="17" t="str">
        <f aca="false">IF(A486="","",IF(ISNUMBER(A486),A486,IFERROR(DATE(VALUE(MID(A486,7,4)),VALUE(MID(A486,4,2)),VALUE(MID(A486,1,2)))+TIME(VALUE(MID(A486,12,2)),VALUE(MID(A486,15,2)),VALUE(MID(A486,18,2))),"")))</f>
        <v/>
      </c>
    </row>
    <row r="487" customFormat="false" ht="15" hidden="false" customHeight="false" outlineLevel="0" collapsed="false">
      <c r="I487" s="15" t="str">
        <f aca="false">IF(N487="","",INT(N487))</f>
        <v/>
      </c>
      <c r="J487" s="16" t="str">
        <f aca="false">IF(B487="","",IF(N487=_xlfn.MINIFS($N$2:$N$5001,$B$2:$B$5001,B487),1,0))</f>
        <v/>
      </c>
      <c r="K487" s="16" t="str">
        <f aca="false">IF(B487="","",IF(AND(D487="Formalização",E487="Concluído"),IF(COUNTIFS($B$2:$B$5001,B487,$E$2:$E$5001,"Em ajustes",$N$2:$N$5001,"&lt;"&amp;I487)&gt;0,1,0),0))</f>
        <v/>
      </c>
      <c r="L487" s="16" t="str">
        <f aca="false">IF(B487="","",IF(N487=_xlfn.MAXIFS($N$2:$N$5001,$B$2:$B$5001,B487,$I$2:$I$5001,I487),1,0))</f>
        <v/>
      </c>
      <c r="M487" s="16" t="str">
        <f aca="false">IF(B487="","",IF(E487="Em ajustes",IF(N487=_xlfn.MINIFS($N$2:$N$5001,$B$2:$B$5001,B487,$E$2:$E$5001,"Em ajustes"),1,0),0))</f>
        <v/>
      </c>
      <c r="N487" s="17" t="str">
        <f aca="false">IF(A487="","",IF(ISNUMBER(A487),A487,IFERROR(DATE(VALUE(MID(A487,7,4)),VALUE(MID(A487,4,2)),VALUE(MID(A487,1,2)))+TIME(VALUE(MID(A487,12,2)),VALUE(MID(A487,15,2)),VALUE(MID(A487,18,2))),"")))</f>
        <v/>
      </c>
    </row>
    <row r="488" customFormat="false" ht="15" hidden="false" customHeight="false" outlineLevel="0" collapsed="false">
      <c r="I488" s="15" t="str">
        <f aca="false">IF(N488="","",INT(N488))</f>
        <v/>
      </c>
      <c r="J488" s="16" t="str">
        <f aca="false">IF(B488="","",IF(N488=_xlfn.MINIFS($N$2:$N$5001,$B$2:$B$5001,B488),1,0))</f>
        <v/>
      </c>
      <c r="K488" s="16" t="str">
        <f aca="false">IF(B488="","",IF(AND(D488="Formalização",E488="Concluído"),IF(COUNTIFS($B$2:$B$5001,B488,$E$2:$E$5001,"Em ajustes",$N$2:$N$5001,"&lt;"&amp;I488)&gt;0,1,0),0))</f>
        <v/>
      </c>
      <c r="L488" s="16" t="str">
        <f aca="false">IF(B488="","",IF(N488=_xlfn.MAXIFS($N$2:$N$5001,$B$2:$B$5001,B488,$I$2:$I$5001,I488),1,0))</f>
        <v/>
      </c>
      <c r="M488" s="16" t="str">
        <f aca="false">IF(B488="","",IF(E488="Em ajustes",IF(N488=_xlfn.MINIFS($N$2:$N$5001,$B$2:$B$5001,B488,$E$2:$E$5001,"Em ajustes"),1,0),0))</f>
        <v/>
      </c>
      <c r="N488" s="17" t="str">
        <f aca="false">IF(A488="","",IF(ISNUMBER(A488),A488,IFERROR(DATE(VALUE(MID(A488,7,4)),VALUE(MID(A488,4,2)),VALUE(MID(A488,1,2)))+TIME(VALUE(MID(A488,12,2)),VALUE(MID(A488,15,2)),VALUE(MID(A488,18,2))),"")))</f>
        <v/>
      </c>
    </row>
    <row r="489" customFormat="false" ht="15" hidden="false" customHeight="false" outlineLevel="0" collapsed="false">
      <c r="I489" s="15" t="str">
        <f aca="false">IF(N489="","",INT(N489))</f>
        <v/>
      </c>
      <c r="J489" s="16" t="str">
        <f aca="false">IF(B489="","",IF(N489=_xlfn.MINIFS($N$2:$N$5001,$B$2:$B$5001,B489),1,0))</f>
        <v/>
      </c>
      <c r="K489" s="16" t="str">
        <f aca="false">IF(B489="","",IF(AND(D489="Formalização",E489="Concluído"),IF(COUNTIFS($B$2:$B$5001,B489,$E$2:$E$5001,"Em ajustes",$N$2:$N$5001,"&lt;"&amp;I489)&gt;0,1,0),0))</f>
        <v/>
      </c>
      <c r="L489" s="16" t="str">
        <f aca="false">IF(B489="","",IF(N489=_xlfn.MAXIFS($N$2:$N$5001,$B$2:$B$5001,B489,$I$2:$I$5001,I489),1,0))</f>
        <v/>
      </c>
      <c r="M489" s="16" t="str">
        <f aca="false">IF(B489="","",IF(E489="Em ajustes",IF(N489=_xlfn.MINIFS($N$2:$N$5001,$B$2:$B$5001,B489,$E$2:$E$5001,"Em ajustes"),1,0),0))</f>
        <v/>
      </c>
      <c r="N489" s="17" t="str">
        <f aca="false">IF(A489="","",IF(ISNUMBER(A489),A489,IFERROR(DATE(VALUE(MID(A489,7,4)),VALUE(MID(A489,4,2)),VALUE(MID(A489,1,2)))+TIME(VALUE(MID(A489,12,2)),VALUE(MID(A489,15,2)),VALUE(MID(A489,18,2))),"")))</f>
        <v/>
      </c>
    </row>
    <row r="490" customFormat="false" ht="15" hidden="false" customHeight="false" outlineLevel="0" collapsed="false">
      <c r="I490" s="15" t="str">
        <f aca="false">IF(N490="","",INT(N490))</f>
        <v/>
      </c>
      <c r="J490" s="16" t="str">
        <f aca="false">IF(B490="","",IF(N490=_xlfn.MINIFS($N$2:$N$5001,$B$2:$B$5001,B490),1,0))</f>
        <v/>
      </c>
      <c r="K490" s="16" t="str">
        <f aca="false">IF(B490="","",IF(AND(D490="Formalização",E490="Concluído"),IF(COUNTIFS($B$2:$B$5001,B490,$E$2:$E$5001,"Em ajustes",$N$2:$N$5001,"&lt;"&amp;I490)&gt;0,1,0),0))</f>
        <v/>
      </c>
      <c r="L490" s="16" t="str">
        <f aca="false">IF(B490="","",IF(N490=_xlfn.MAXIFS($N$2:$N$5001,$B$2:$B$5001,B490,$I$2:$I$5001,I490),1,0))</f>
        <v/>
      </c>
      <c r="M490" s="16" t="str">
        <f aca="false">IF(B490="","",IF(E490="Em ajustes",IF(N490=_xlfn.MINIFS($N$2:$N$5001,$B$2:$B$5001,B490,$E$2:$E$5001,"Em ajustes"),1,0),0))</f>
        <v/>
      </c>
      <c r="N490" s="17" t="str">
        <f aca="false">IF(A490="","",IF(ISNUMBER(A490),A490,IFERROR(DATE(VALUE(MID(A490,7,4)),VALUE(MID(A490,4,2)),VALUE(MID(A490,1,2)))+TIME(VALUE(MID(A490,12,2)),VALUE(MID(A490,15,2)),VALUE(MID(A490,18,2))),"")))</f>
        <v/>
      </c>
    </row>
    <row r="491" customFormat="false" ht="15" hidden="false" customHeight="false" outlineLevel="0" collapsed="false">
      <c r="I491" s="15" t="str">
        <f aca="false">IF(N491="","",INT(N491))</f>
        <v/>
      </c>
      <c r="J491" s="16" t="str">
        <f aca="false">IF(B491="","",IF(N491=_xlfn.MINIFS($N$2:$N$5001,$B$2:$B$5001,B491),1,0))</f>
        <v/>
      </c>
      <c r="K491" s="16" t="str">
        <f aca="false">IF(B491="","",IF(AND(D491="Formalização",E491="Concluído"),IF(COUNTIFS($B$2:$B$5001,B491,$E$2:$E$5001,"Em ajustes",$N$2:$N$5001,"&lt;"&amp;I491)&gt;0,1,0),0))</f>
        <v/>
      </c>
      <c r="L491" s="16" t="str">
        <f aca="false">IF(B491="","",IF(N491=_xlfn.MAXIFS($N$2:$N$5001,$B$2:$B$5001,B491,$I$2:$I$5001,I491),1,0))</f>
        <v/>
      </c>
      <c r="M491" s="16" t="str">
        <f aca="false">IF(B491="","",IF(E491="Em ajustes",IF(N491=_xlfn.MINIFS($N$2:$N$5001,$B$2:$B$5001,B491,$E$2:$E$5001,"Em ajustes"),1,0),0))</f>
        <v/>
      </c>
      <c r="N491" s="17" t="str">
        <f aca="false">IF(A491="","",IF(ISNUMBER(A491),A491,IFERROR(DATE(VALUE(MID(A491,7,4)),VALUE(MID(A491,4,2)),VALUE(MID(A491,1,2)))+TIME(VALUE(MID(A491,12,2)),VALUE(MID(A491,15,2)),VALUE(MID(A491,18,2))),"")))</f>
        <v/>
      </c>
    </row>
    <row r="492" customFormat="false" ht="15" hidden="false" customHeight="false" outlineLevel="0" collapsed="false">
      <c r="I492" s="15" t="str">
        <f aca="false">IF(N492="","",INT(N492))</f>
        <v/>
      </c>
      <c r="J492" s="16" t="str">
        <f aca="false">IF(B492="","",IF(N492=_xlfn.MINIFS($N$2:$N$5001,$B$2:$B$5001,B492),1,0))</f>
        <v/>
      </c>
      <c r="K492" s="16" t="str">
        <f aca="false">IF(B492="","",IF(AND(D492="Formalização",E492="Concluído"),IF(COUNTIFS($B$2:$B$5001,B492,$E$2:$E$5001,"Em ajustes",$N$2:$N$5001,"&lt;"&amp;I492)&gt;0,1,0),0))</f>
        <v/>
      </c>
      <c r="L492" s="16" t="str">
        <f aca="false">IF(B492="","",IF(N492=_xlfn.MAXIFS($N$2:$N$5001,$B$2:$B$5001,B492,$I$2:$I$5001,I492),1,0))</f>
        <v/>
      </c>
      <c r="M492" s="16" t="str">
        <f aca="false">IF(B492="","",IF(E492="Em ajustes",IF(N492=_xlfn.MINIFS($N$2:$N$5001,$B$2:$B$5001,B492,$E$2:$E$5001,"Em ajustes"),1,0),0))</f>
        <v/>
      </c>
      <c r="N492" s="17" t="str">
        <f aca="false">IF(A492="","",IF(ISNUMBER(A492),A492,IFERROR(DATE(VALUE(MID(A492,7,4)),VALUE(MID(A492,4,2)),VALUE(MID(A492,1,2)))+TIME(VALUE(MID(A492,12,2)),VALUE(MID(A492,15,2)),VALUE(MID(A492,18,2))),"")))</f>
        <v/>
      </c>
    </row>
    <row r="493" customFormat="false" ht="15" hidden="false" customHeight="false" outlineLevel="0" collapsed="false">
      <c r="I493" s="15" t="str">
        <f aca="false">IF(N493="","",INT(N493))</f>
        <v/>
      </c>
      <c r="J493" s="16" t="str">
        <f aca="false">IF(B493="","",IF(N493=_xlfn.MINIFS($N$2:$N$5001,$B$2:$B$5001,B493),1,0))</f>
        <v/>
      </c>
      <c r="K493" s="16" t="str">
        <f aca="false">IF(B493="","",IF(AND(D493="Formalização",E493="Concluído"),IF(COUNTIFS($B$2:$B$5001,B493,$E$2:$E$5001,"Em ajustes",$N$2:$N$5001,"&lt;"&amp;I493)&gt;0,1,0),0))</f>
        <v/>
      </c>
      <c r="L493" s="16" t="str">
        <f aca="false">IF(B493="","",IF(N493=_xlfn.MAXIFS($N$2:$N$5001,$B$2:$B$5001,B493,$I$2:$I$5001,I493),1,0))</f>
        <v/>
      </c>
      <c r="M493" s="16" t="str">
        <f aca="false">IF(B493="","",IF(E493="Em ajustes",IF(N493=_xlfn.MINIFS($N$2:$N$5001,$B$2:$B$5001,B493,$E$2:$E$5001,"Em ajustes"),1,0),0))</f>
        <v/>
      </c>
      <c r="N493" s="17" t="str">
        <f aca="false">IF(A493="","",IF(ISNUMBER(A493),A493,IFERROR(DATE(VALUE(MID(A493,7,4)),VALUE(MID(A493,4,2)),VALUE(MID(A493,1,2)))+TIME(VALUE(MID(A493,12,2)),VALUE(MID(A493,15,2)),VALUE(MID(A493,18,2))),"")))</f>
        <v/>
      </c>
    </row>
    <row r="494" customFormat="false" ht="15" hidden="false" customHeight="false" outlineLevel="0" collapsed="false">
      <c r="I494" s="15" t="str">
        <f aca="false">IF(N494="","",INT(N494))</f>
        <v/>
      </c>
      <c r="J494" s="16" t="str">
        <f aca="false">IF(B494="","",IF(N494=_xlfn.MINIFS($N$2:$N$5001,$B$2:$B$5001,B494),1,0))</f>
        <v/>
      </c>
      <c r="K494" s="16" t="str">
        <f aca="false">IF(B494="","",IF(AND(D494="Formalização",E494="Concluído"),IF(COUNTIFS($B$2:$B$5001,B494,$E$2:$E$5001,"Em ajustes",$N$2:$N$5001,"&lt;"&amp;I494)&gt;0,1,0),0))</f>
        <v/>
      </c>
      <c r="L494" s="16" t="str">
        <f aca="false">IF(B494="","",IF(N494=_xlfn.MAXIFS($N$2:$N$5001,$B$2:$B$5001,B494,$I$2:$I$5001,I494),1,0))</f>
        <v/>
      </c>
      <c r="M494" s="16" t="str">
        <f aca="false">IF(B494="","",IF(E494="Em ajustes",IF(N494=_xlfn.MINIFS($N$2:$N$5001,$B$2:$B$5001,B494,$E$2:$E$5001,"Em ajustes"),1,0),0))</f>
        <v/>
      </c>
      <c r="N494" s="17" t="str">
        <f aca="false">IF(A494="","",IF(ISNUMBER(A494),A494,IFERROR(DATE(VALUE(MID(A494,7,4)),VALUE(MID(A494,4,2)),VALUE(MID(A494,1,2)))+TIME(VALUE(MID(A494,12,2)),VALUE(MID(A494,15,2)),VALUE(MID(A494,18,2))),"")))</f>
        <v/>
      </c>
    </row>
    <row r="495" customFormat="false" ht="15" hidden="false" customHeight="false" outlineLevel="0" collapsed="false">
      <c r="I495" s="15" t="str">
        <f aca="false">IF(N495="","",INT(N495))</f>
        <v/>
      </c>
      <c r="J495" s="16" t="str">
        <f aca="false">IF(B495="","",IF(N495=_xlfn.MINIFS($N$2:$N$5001,$B$2:$B$5001,B495),1,0))</f>
        <v/>
      </c>
      <c r="K495" s="16" t="str">
        <f aca="false">IF(B495="","",IF(AND(D495="Formalização",E495="Concluído"),IF(COUNTIFS($B$2:$B$5001,B495,$E$2:$E$5001,"Em ajustes",$N$2:$N$5001,"&lt;"&amp;I495)&gt;0,1,0),0))</f>
        <v/>
      </c>
      <c r="L495" s="16" t="str">
        <f aca="false">IF(B495="","",IF(N495=_xlfn.MAXIFS($N$2:$N$5001,$B$2:$B$5001,B495,$I$2:$I$5001,I495),1,0))</f>
        <v/>
      </c>
      <c r="M495" s="16" t="str">
        <f aca="false">IF(B495="","",IF(E495="Em ajustes",IF(N495=_xlfn.MINIFS($N$2:$N$5001,$B$2:$B$5001,B495,$E$2:$E$5001,"Em ajustes"),1,0),0))</f>
        <v/>
      </c>
      <c r="N495" s="17" t="str">
        <f aca="false">IF(A495="","",IF(ISNUMBER(A495),A495,IFERROR(DATE(VALUE(MID(A495,7,4)),VALUE(MID(A495,4,2)),VALUE(MID(A495,1,2)))+TIME(VALUE(MID(A495,12,2)),VALUE(MID(A495,15,2)),VALUE(MID(A495,18,2))),"")))</f>
        <v/>
      </c>
    </row>
    <row r="496" customFormat="false" ht="15" hidden="false" customHeight="false" outlineLevel="0" collapsed="false">
      <c r="I496" s="15" t="str">
        <f aca="false">IF(N496="","",INT(N496))</f>
        <v/>
      </c>
      <c r="J496" s="16" t="str">
        <f aca="false">IF(B496="","",IF(N496=_xlfn.MINIFS($N$2:$N$5001,$B$2:$B$5001,B496),1,0))</f>
        <v/>
      </c>
      <c r="K496" s="16" t="str">
        <f aca="false">IF(B496="","",IF(AND(D496="Formalização",E496="Concluído"),IF(COUNTIFS($B$2:$B$5001,B496,$E$2:$E$5001,"Em ajustes",$N$2:$N$5001,"&lt;"&amp;I496)&gt;0,1,0),0))</f>
        <v/>
      </c>
      <c r="L496" s="16" t="str">
        <f aca="false">IF(B496="","",IF(N496=_xlfn.MAXIFS($N$2:$N$5001,$B$2:$B$5001,B496,$I$2:$I$5001,I496),1,0))</f>
        <v/>
      </c>
      <c r="M496" s="16" t="str">
        <f aca="false">IF(B496="","",IF(E496="Em ajustes",IF(N496=_xlfn.MINIFS($N$2:$N$5001,$B$2:$B$5001,B496,$E$2:$E$5001,"Em ajustes"),1,0),0))</f>
        <v/>
      </c>
      <c r="N496" s="17" t="str">
        <f aca="false">IF(A496="","",IF(ISNUMBER(A496),A496,IFERROR(DATE(VALUE(MID(A496,7,4)),VALUE(MID(A496,4,2)),VALUE(MID(A496,1,2)))+TIME(VALUE(MID(A496,12,2)),VALUE(MID(A496,15,2)),VALUE(MID(A496,18,2))),"")))</f>
        <v/>
      </c>
    </row>
    <row r="497" customFormat="false" ht="15" hidden="false" customHeight="false" outlineLevel="0" collapsed="false">
      <c r="I497" s="15" t="str">
        <f aca="false">IF(N497="","",INT(N497))</f>
        <v/>
      </c>
      <c r="J497" s="16" t="str">
        <f aca="false">IF(B497="","",IF(N497=_xlfn.MINIFS($N$2:$N$5001,$B$2:$B$5001,B497),1,0))</f>
        <v/>
      </c>
      <c r="K497" s="16" t="str">
        <f aca="false">IF(B497="","",IF(AND(D497="Formalização",E497="Concluído"),IF(COUNTIFS($B$2:$B$5001,B497,$E$2:$E$5001,"Em ajustes",$N$2:$N$5001,"&lt;"&amp;I497)&gt;0,1,0),0))</f>
        <v/>
      </c>
      <c r="L497" s="16" t="str">
        <f aca="false">IF(B497="","",IF(N497=_xlfn.MAXIFS($N$2:$N$5001,$B$2:$B$5001,B497,$I$2:$I$5001,I497),1,0))</f>
        <v/>
      </c>
      <c r="M497" s="16" t="str">
        <f aca="false">IF(B497="","",IF(E497="Em ajustes",IF(N497=_xlfn.MINIFS($N$2:$N$5001,$B$2:$B$5001,B497,$E$2:$E$5001,"Em ajustes"),1,0),0))</f>
        <v/>
      </c>
      <c r="N497" s="17" t="str">
        <f aca="false">IF(A497="","",IF(ISNUMBER(A497),A497,IFERROR(DATE(VALUE(MID(A497,7,4)),VALUE(MID(A497,4,2)),VALUE(MID(A497,1,2)))+TIME(VALUE(MID(A497,12,2)),VALUE(MID(A497,15,2)),VALUE(MID(A497,18,2))),"")))</f>
        <v/>
      </c>
    </row>
    <row r="498" customFormat="false" ht="15" hidden="false" customHeight="false" outlineLevel="0" collapsed="false">
      <c r="I498" s="15" t="str">
        <f aca="false">IF(N498="","",INT(N498))</f>
        <v/>
      </c>
      <c r="J498" s="16" t="str">
        <f aca="false">IF(B498="","",IF(N498=_xlfn.MINIFS($N$2:$N$5001,$B$2:$B$5001,B498),1,0))</f>
        <v/>
      </c>
      <c r="K498" s="16" t="str">
        <f aca="false">IF(B498="","",IF(AND(D498="Formalização",E498="Concluído"),IF(COUNTIFS($B$2:$B$5001,B498,$E$2:$E$5001,"Em ajustes",$N$2:$N$5001,"&lt;"&amp;I498)&gt;0,1,0),0))</f>
        <v/>
      </c>
      <c r="L498" s="16" t="str">
        <f aca="false">IF(B498="","",IF(N498=_xlfn.MAXIFS($N$2:$N$5001,$B$2:$B$5001,B498,$I$2:$I$5001,I498),1,0))</f>
        <v/>
      </c>
      <c r="M498" s="16" t="str">
        <f aca="false">IF(B498="","",IF(E498="Em ajustes",IF(N498=_xlfn.MINIFS($N$2:$N$5001,$B$2:$B$5001,B498,$E$2:$E$5001,"Em ajustes"),1,0),0))</f>
        <v/>
      </c>
      <c r="N498" s="17" t="str">
        <f aca="false">IF(A498="","",IF(ISNUMBER(A498),A498,IFERROR(DATE(VALUE(MID(A498,7,4)),VALUE(MID(A498,4,2)),VALUE(MID(A498,1,2)))+TIME(VALUE(MID(A498,12,2)),VALUE(MID(A498,15,2)),VALUE(MID(A498,18,2))),"")))</f>
        <v/>
      </c>
    </row>
    <row r="499" customFormat="false" ht="15" hidden="false" customHeight="false" outlineLevel="0" collapsed="false">
      <c r="I499" s="15" t="str">
        <f aca="false">IF(N499="","",INT(N499))</f>
        <v/>
      </c>
      <c r="J499" s="16" t="str">
        <f aca="false">IF(B499="","",IF(N499=_xlfn.MINIFS($N$2:$N$5001,$B$2:$B$5001,B499),1,0))</f>
        <v/>
      </c>
      <c r="K499" s="16" t="str">
        <f aca="false">IF(B499="","",IF(AND(D499="Formalização",E499="Concluído"),IF(COUNTIFS($B$2:$B$5001,B499,$E$2:$E$5001,"Em ajustes",$N$2:$N$5001,"&lt;"&amp;I499)&gt;0,1,0),0))</f>
        <v/>
      </c>
      <c r="L499" s="16" t="str">
        <f aca="false">IF(B499="","",IF(N499=_xlfn.MAXIFS($N$2:$N$5001,$B$2:$B$5001,B499,$I$2:$I$5001,I499),1,0))</f>
        <v/>
      </c>
      <c r="M499" s="16" t="str">
        <f aca="false">IF(B499="","",IF(E499="Em ajustes",IF(N499=_xlfn.MINIFS($N$2:$N$5001,$B$2:$B$5001,B499,$E$2:$E$5001,"Em ajustes"),1,0),0))</f>
        <v/>
      </c>
      <c r="N499" s="17" t="str">
        <f aca="false">IF(A499="","",IF(ISNUMBER(A499),A499,IFERROR(DATE(VALUE(MID(A499,7,4)),VALUE(MID(A499,4,2)),VALUE(MID(A499,1,2)))+TIME(VALUE(MID(A499,12,2)),VALUE(MID(A499,15,2)),VALUE(MID(A499,18,2))),"")))</f>
        <v/>
      </c>
    </row>
    <row r="500" customFormat="false" ht="15" hidden="false" customHeight="false" outlineLevel="0" collapsed="false">
      <c r="I500" s="15" t="str">
        <f aca="false">IF(N500="","",INT(N500))</f>
        <v/>
      </c>
      <c r="J500" s="16" t="str">
        <f aca="false">IF(B500="","",IF(N500=_xlfn.MINIFS($N$2:$N$5001,$B$2:$B$5001,B500),1,0))</f>
        <v/>
      </c>
      <c r="K500" s="16" t="str">
        <f aca="false">IF(B500="","",IF(AND(D500="Formalização",E500="Concluído"),IF(COUNTIFS($B$2:$B$5001,B500,$E$2:$E$5001,"Em ajustes",$N$2:$N$5001,"&lt;"&amp;I500)&gt;0,1,0),0))</f>
        <v/>
      </c>
      <c r="L500" s="16" t="str">
        <f aca="false">IF(B500="","",IF(N500=_xlfn.MAXIFS($N$2:$N$5001,$B$2:$B$5001,B500,$I$2:$I$5001,I500),1,0))</f>
        <v/>
      </c>
      <c r="M500" s="16" t="str">
        <f aca="false">IF(B500="","",IF(E500="Em ajustes",IF(N500=_xlfn.MINIFS($N$2:$N$5001,$B$2:$B$5001,B500,$E$2:$E$5001,"Em ajustes"),1,0),0))</f>
        <v/>
      </c>
      <c r="N500" s="17" t="str">
        <f aca="false">IF(A500="","",IF(ISNUMBER(A500),A500,IFERROR(DATE(VALUE(MID(A500,7,4)),VALUE(MID(A500,4,2)),VALUE(MID(A500,1,2)))+TIME(VALUE(MID(A500,12,2)),VALUE(MID(A500,15,2)),VALUE(MID(A500,18,2))),"")))</f>
        <v/>
      </c>
    </row>
    <row r="501" customFormat="false" ht="15" hidden="false" customHeight="false" outlineLevel="0" collapsed="false">
      <c r="I501" s="15" t="str">
        <f aca="false">IF(N501="","",INT(N501))</f>
        <v/>
      </c>
      <c r="J501" s="16" t="str">
        <f aca="false">IF(B501="","",IF(N501=_xlfn.MINIFS($N$2:$N$5001,$B$2:$B$5001,B501),1,0))</f>
        <v/>
      </c>
      <c r="K501" s="16" t="str">
        <f aca="false">IF(B501="","",IF(AND(D501="Formalização",E501="Concluído"),IF(COUNTIFS($B$2:$B$5001,B501,$E$2:$E$5001,"Em ajustes",$N$2:$N$5001,"&lt;"&amp;I501)&gt;0,1,0),0))</f>
        <v/>
      </c>
      <c r="L501" s="16" t="str">
        <f aca="false">IF(B501="","",IF(N501=_xlfn.MAXIFS($N$2:$N$5001,$B$2:$B$5001,B501,$I$2:$I$5001,I501),1,0))</f>
        <v/>
      </c>
      <c r="M501" s="16" t="str">
        <f aca="false">IF(B501="","",IF(E501="Em ajustes",IF(N501=_xlfn.MINIFS($N$2:$N$5001,$B$2:$B$5001,B501,$E$2:$E$5001,"Em ajustes"),1,0),0))</f>
        <v/>
      </c>
      <c r="N501" s="17" t="str">
        <f aca="false">IF(A501="","",IF(ISNUMBER(A501),A501,IFERROR(DATE(VALUE(MID(A501,7,4)),VALUE(MID(A501,4,2)),VALUE(MID(A501,1,2)))+TIME(VALUE(MID(A501,12,2)),VALUE(MID(A501,15,2)),VALUE(MID(A501,18,2))),"")))</f>
        <v/>
      </c>
    </row>
    <row r="502" customFormat="false" ht="15" hidden="false" customHeight="false" outlineLevel="0" collapsed="false">
      <c r="I502" s="15" t="str">
        <f aca="false">IF(N502="","",INT(N502))</f>
        <v/>
      </c>
      <c r="J502" s="16" t="str">
        <f aca="false">IF(B502="","",IF(N502=_xlfn.MINIFS($N$2:$N$5001,$B$2:$B$5001,B502),1,0))</f>
        <v/>
      </c>
      <c r="K502" s="16" t="str">
        <f aca="false">IF(B502="","",IF(AND(D502="Formalização",E502="Concluído"),IF(COUNTIFS($B$2:$B$5001,B502,$E$2:$E$5001,"Em ajustes",$N$2:$N$5001,"&lt;"&amp;I502)&gt;0,1,0),0))</f>
        <v/>
      </c>
      <c r="L502" s="16" t="str">
        <f aca="false">IF(B502="","",IF(N502=_xlfn.MAXIFS($N$2:$N$5001,$B$2:$B$5001,B502,$I$2:$I$5001,I502),1,0))</f>
        <v/>
      </c>
      <c r="M502" s="16" t="str">
        <f aca="false">IF(B502="","",IF(E502="Em ajustes",IF(N502=_xlfn.MINIFS($N$2:$N$5001,$B$2:$B$5001,B502,$E$2:$E$5001,"Em ajustes"),1,0),0))</f>
        <v/>
      </c>
      <c r="N502" s="17" t="str">
        <f aca="false">IF(A502="","",IF(ISNUMBER(A502),A502,IFERROR(DATE(VALUE(MID(A502,7,4)),VALUE(MID(A502,4,2)),VALUE(MID(A502,1,2)))+TIME(VALUE(MID(A502,12,2)),VALUE(MID(A502,15,2)),VALUE(MID(A502,18,2))),"")))</f>
        <v/>
      </c>
    </row>
    <row r="503" customFormat="false" ht="15" hidden="false" customHeight="false" outlineLevel="0" collapsed="false">
      <c r="I503" s="15" t="str">
        <f aca="false">IF(N503="","",INT(N503))</f>
        <v/>
      </c>
      <c r="J503" s="16" t="str">
        <f aca="false">IF(B503="","",IF(N503=_xlfn.MINIFS($N$2:$N$5001,$B$2:$B$5001,B503),1,0))</f>
        <v/>
      </c>
      <c r="K503" s="16" t="str">
        <f aca="false">IF(B503="","",IF(AND(D503="Formalização",E503="Concluído"),IF(COUNTIFS($B$2:$B$5001,B503,$E$2:$E$5001,"Em ajustes",$N$2:$N$5001,"&lt;"&amp;I503)&gt;0,1,0),0))</f>
        <v/>
      </c>
      <c r="L503" s="16" t="str">
        <f aca="false">IF(B503="","",IF(N503=_xlfn.MAXIFS($N$2:$N$5001,$B$2:$B$5001,B503,$I$2:$I$5001,I503),1,0))</f>
        <v/>
      </c>
      <c r="M503" s="16" t="str">
        <f aca="false">IF(B503="","",IF(E503="Em ajustes",IF(N503=_xlfn.MINIFS($N$2:$N$5001,$B$2:$B$5001,B503,$E$2:$E$5001,"Em ajustes"),1,0),0))</f>
        <v/>
      </c>
      <c r="N503" s="17" t="str">
        <f aca="false">IF(A503="","",IF(ISNUMBER(A503),A503,IFERROR(DATE(VALUE(MID(A503,7,4)),VALUE(MID(A503,4,2)),VALUE(MID(A503,1,2)))+TIME(VALUE(MID(A503,12,2)),VALUE(MID(A503,15,2)),VALUE(MID(A503,18,2))),"")))</f>
        <v/>
      </c>
    </row>
    <row r="504" customFormat="false" ht="15" hidden="false" customHeight="false" outlineLevel="0" collapsed="false">
      <c r="I504" s="15" t="str">
        <f aca="false">IF(N504="","",INT(N504))</f>
        <v/>
      </c>
      <c r="J504" s="16" t="str">
        <f aca="false">IF(B504="","",IF(N504=_xlfn.MINIFS($N$2:$N$5001,$B$2:$B$5001,B504),1,0))</f>
        <v/>
      </c>
      <c r="K504" s="16" t="str">
        <f aca="false">IF(B504="","",IF(AND(D504="Formalização",E504="Concluído"),IF(COUNTIFS($B$2:$B$5001,B504,$E$2:$E$5001,"Em ajustes",$N$2:$N$5001,"&lt;"&amp;I504)&gt;0,1,0),0))</f>
        <v/>
      </c>
      <c r="L504" s="16" t="str">
        <f aca="false">IF(B504="","",IF(N504=_xlfn.MAXIFS($N$2:$N$5001,$B$2:$B$5001,B504,$I$2:$I$5001,I504),1,0))</f>
        <v/>
      </c>
      <c r="M504" s="16" t="str">
        <f aca="false">IF(B504="","",IF(E504="Em ajustes",IF(N504=_xlfn.MINIFS($N$2:$N$5001,$B$2:$B$5001,B504,$E$2:$E$5001,"Em ajustes"),1,0),0))</f>
        <v/>
      </c>
      <c r="N504" s="17" t="str">
        <f aca="false">IF(A504="","",IF(ISNUMBER(A504),A504,IFERROR(DATE(VALUE(MID(A504,7,4)),VALUE(MID(A504,4,2)),VALUE(MID(A504,1,2)))+TIME(VALUE(MID(A504,12,2)),VALUE(MID(A504,15,2)),VALUE(MID(A504,18,2))),"")))</f>
        <v/>
      </c>
    </row>
    <row r="505" customFormat="false" ht="15" hidden="false" customHeight="false" outlineLevel="0" collapsed="false">
      <c r="I505" s="15" t="str">
        <f aca="false">IF(N505="","",INT(N505))</f>
        <v/>
      </c>
      <c r="J505" s="16" t="str">
        <f aca="false">IF(B505="","",IF(N505=_xlfn.MINIFS($N$2:$N$5001,$B$2:$B$5001,B505),1,0))</f>
        <v/>
      </c>
      <c r="K505" s="16" t="str">
        <f aca="false">IF(B505="","",IF(AND(D505="Formalização",E505="Concluído"),IF(COUNTIFS($B$2:$B$5001,B505,$E$2:$E$5001,"Em ajustes",$N$2:$N$5001,"&lt;"&amp;I505)&gt;0,1,0),0))</f>
        <v/>
      </c>
      <c r="L505" s="16" t="str">
        <f aca="false">IF(B505="","",IF(N505=_xlfn.MAXIFS($N$2:$N$5001,$B$2:$B$5001,B505,$I$2:$I$5001,I505),1,0))</f>
        <v/>
      </c>
      <c r="M505" s="16" t="str">
        <f aca="false">IF(B505="","",IF(E505="Em ajustes",IF(N505=_xlfn.MINIFS($N$2:$N$5001,$B$2:$B$5001,B505,$E$2:$E$5001,"Em ajustes"),1,0),0))</f>
        <v/>
      </c>
      <c r="N505" s="17" t="str">
        <f aca="false">IF(A505="","",IF(ISNUMBER(A505),A505,IFERROR(DATE(VALUE(MID(A505,7,4)),VALUE(MID(A505,4,2)),VALUE(MID(A505,1,2)))+TIME(VALUE(MID(A505,12,2)),VALUE(MID(A505,15,2)),VALUE(MID(A505,18,2))),"")))</f>
        <v/>
      </c>
    </row>
    <row r="506" customFormat="false" ht="15" hidden="false" customHeight="false" outlineLevel="0" collapsed="false">
      <c r="I506" s="15" t="str">
        <f aca="false">IF(N506="","",INT(N506))</f>
        <v/>
      </c>
      <c r="J506" s="16" t="str">
        <f aca="false">IF(B506="","",IF(N506=_xlfn.MINIFS($N$2:$N$5001,$B$2:$B$5001,B506),1,0))</f>
        <v/>
      </c>
      <c r="K506" s="16" t="str">
        <f aca="false">IF(B506="","",IF(AND(D506="Formalização",E506="Concluído"),IF(COUNTIFS($B$2:$B$5001,B506,$E$2:$E$5001,"Em ajustes",$N$2:$N$5001,"&lt;"&amp;I506)&gt;0,1,0),0))</f>
        <v/>
      </c>
      <c r="L506" s="16" t="str">
        <f aca="false">IF(B506="","",IF(N506=_xlfn.MAXIFS($N$2:$N$5001,$B$2:$B$5001,B506,$I$2:$I$5001,I506),1,0))</f>
        <v/>
      </c>
      <c r="M506" s="16" t="str">
        <f aca="false">IF(B506="","",IF(E506="Em ajustes",IF(N506=_xlfn.MINIFS($N$2:$N$5001,$B$2:$B$5001,B506,$E$2:$E$5001,"Em ajustes"),1,0),0))</f>
        <v/>
      </c>
      <c r="N506" s="17" t="str">
        <f aca="false">IF(A506="","",IF(ISNUMBER(A506),A506,IFERROR(DATE(VALUE(MID(A506,7,4)),VALUE(MID(A506,4,2)),VALUE(MID(A506,1,2)))+TIME(VALUE(MID(A506,12,2)),VALUE(MID(A506,15,2)),VALUE(MID(A506,18,2))),"")))</f>
        <v/>
      </c>
    </row>
    <row r="507" customFormat="false" ht="15" hidden="false" customHeight="false" outlineLevel="0" collapsed="false">
      <c r="I507" s="15" t="str">
        <f aca="false">IF(N507="","",INT(N507))</f>
        <v/>
      </c>
      <c r="J507" s="16" t="str">
        <f aca="false">IF(B507="","",IF(N507=_xlfn.MINIFS($N$2:$N$5001,$B$2:$B$5001,B507),1,0))</f>
        <v/>
      </c>
      <c r="K507" s="16" t="str">
        <f aca="false">IF(B507="","",IF(AND(D507="Formalização",E507="Concluído"),IF(COUNTIFS($B$2:$B$5001,B507,$E$2:$E$5001,"Em ajustes",$N$2:$N$5001,"&lt;"&amp;I507)&gt;0,1,0),0))</f>
        <v/>
      </c>
      <c r="L507" s="16" t="str">
        <f aca="false">IF(B507="","",IF(N507=_xlfn.MAXIFS($N$2:$N$5001,$B$2:$B$5001,B507,$I$2:$I$5001,I507),1,0))</f>
        <v/>
      </c>
      <c r="M507" s="16" t="str">
        <f aca="false">IF(B507="","",IF(E507="Em ajustes",IF(N507=_xlfn.MINIFS($N$2:$N$5001,$B$2:$B$5001,B507,$E$2:$E$5001,"Em ajustes"),1,0),0))</f>
        <v/>
      </c>
      <c r="N507" s="17" t="str">
        <f aca="false">IF(A507="","",IF(ISNUMBER(A507),A507,IFERROR(DATE(VALUE(MID(A507,7,4)),VALUE(MID(A507,4,2)),VALUE(MID(A507,1,2)))+TIME(VALUE(MID(A507,12,2)),VALUE(MID(A507,15,2)),VALUE(MID(A507,18,2))),"")))</f>
        <v/>
      </c>
    </row>
    <row r="508" customFormat="false" ht="15" hidden="false" customHeight="false" outlineLevel="0" collapsed="false">
      <c r="I508" s="15" t="str">
        <f aca="false">IF(N508="","",INT(N508))</f>
        <v/>
      </c>
      <c r="J508" s="16" t="str">
        <f aca="false">IF(B508="","",IF(N508=_xlfn.MINIFS($N$2:$N$5001,$B$2:$B$5001,B508),1,0))</f>
        <v/>
      </c>
      <c r="K508" s="16" t="str">
        <f aca="false">IF(B508="","",IF(AND(D508="Formalização",E508="Concluído"),IF(COUNTIFS($B$2:$B$5001,B508,$E$2:$E$5001,"Em ajustes",$N$2:$N$5001,"&lt;"&amp;I508)&gt;0,1,0),0))</f>
        <v/>
      </c>
      <c r="L508" s="16" t="str">
        <f aca="false">IF(B508="","",IF(N508=_xlfn.MAXIFS($N$2:$N$5001,$B$2:$B$5001,B508,$I$2:$I$5001,I508),1,0))</f>
        <v/>
      </c>
      <c r="M508" s="16" t="str">
        <f aca="false">IF(B508="","",IF(E508="Em ajustes",IF(N508=_xlfn.MINIFS($N$2:$N$5001,$B$2:$B$5001,B508,$E$2:$E$5001,"Em ajustes"),1,0),0))</f>
        <v/>
      </c>
      <c r="N508" s="17" t="str">
        <f aca="false">IF(A508="","",IF(ISNUMBER(A508),A508,IFERROR(DATE(VALUE(MID(A508,7,4)),VALUE(MID(A508,4,2)),VALUE(MID(A508,1,2)))+TIME(VALUE(MID(A508,12,2)),VALUE(MID(A508,15,2)),VALUE(MID(A508,18,2))),"")))</f>
        <v/>
      </c>
    </row>
    <row r="509" customFormat="false" ht="15" hidden="false" customHeight="false" outlineLevel="0" collapsed="false">
      <c r="I509" s="15" t="str">
        <f aca="false">IF(N509="","",INT(N509))</f>
        <v/>
      </c>
      <c r="J509" s="16" t="str">
        <f aca="false">IF(B509="","",IF(N509=_xlfn.MINIFS($N$2:$N$5001,$B$2:$B$5001,B509),1,0))</f>
        <v/>
      </c>
      <c r="K509" s="16" t="str">
        <f aca="false">IF(B509="","",IF(AND(D509="Formalização",E509="Concluído"),IF(COUNTIFS($B$2:$B$5001,B509,$E$2:$E$5001,"Em ajustes",$N$2:$N$5001,"&lt;"&amp;I509)&gt;0,1,0),0))</f>
        <v/>
      </c>
      <c r="L509" s="16" t="str">
        <f aca="false">IF(B509="","",IF(N509=_xlfn.MAXIFS($N$2:$N$5001,$B$2:$B$5001,B509,$I$2:$I$5001,I509),1,0))</f>
        <v/>
      </c>
      <c r="M509" s="16" t="str">
        <f aca="false">IF(B509="","",IF(E509="Em ajustes",IF(N509=_xlfn.MINIFS($N$2:$N$5001,$B$2:$B$5001,B509,$E$2:$E$5001,"Em ajustes"),1,0),0))</f>
        <v/>
      </c>
      <c r="N509" s="17" t="str">
        <f aca="false">IF(A509="","",IF(ISNUMBER(A509),A509,IFERROR(DATE(VALUE(MID(A509,7,4)),VALUE(MID(A509,4,2)),VALUE(MID(A509,1,2)))+TIME(VALUE(MID(A509,12,2)),VALUE(MID(A509,15,2)),VALUE(MID(A509,18,2))),"")))</f>
        <v/>
      </c>
    </row>
    <row r="510" customFormat="false" ht="15" hidden="false" customHeight="false" outlineLevel="0" collapsed="false">
      <c r="I510" s="15" t="str">
        <f aca="false">IF(N510="","",INT(N510))</f>
        <v/>
      </c>
      <c r="J510" s="16" t="str">
        <f aca="false">IF(B510="","",IF(N510=_xlfn.MINIFS($N$2:$N$5001,$B$2:$B$5001,B510),1,0))</f>
        <v/>
      </c>
      <c r="K510" s="16" t="str">
        <f aca="false">IF(B510="","",IF(AND(D510="Formalização",E510="Concluído"),IF(COUNTIFS($B$2:$B$5001,B510,$E$2:$E$5001,"Em ajustes",$N$2:$N$5001,"&lt;"&amp;I510)&gt;0,1,0),0))</f>
        <v/>
      </c>
      <c r="L510" s="16" t="str">
        <f aca="false">IF(B510="","",IF(N510=_xlfn.MAXIFS($N$2:$N$5001,$B$2:$B$5001,B510,$I$2:$I$5001,I510),1,0))</f>
        <v/>
      </c>
      <c r="M510" s="16" t="str">
        <f aca="false">IF(B510="","",IF(E510="Em ajustes",IF(N510=_xlfn.MINIFS($N$2:$N$5001,$B$2:$B$5001,B510,$E$2:$E$5001,"Em ajustes"),1,0),0))</f>
        <v/>
      </c>
      <c r="N510" s="17" t="str">
        <f aca="false">IF(A510="","",IF(ISNUMBER(A510),A510,IFERROR(DATE(VALUE(MID(A510,7,4)),VALUE(MID(A510,4,2)),VALUE(MID(A510,1,2)))+TIME(VALUE(MID(A510,12,2)),VALUE(MID(A510,15,2)),VALUE(MID(A510,18,2))),"")))</f>
        <v/>
      </c>
    </row>
    <row r="511" customFormat="false" ht="15" hidden="false" customHeight="false" outlineLevel="0" collapsed="false">
      <c r="I511" s="15" t="str">
        <f aca="false">IF(N511="","",INT(N511))</f>
        <v/>
      </c>
      <c r="J511" s="16" t="str">
        <f aca="false">IF(B511="","",IF(N511=_xlfn.MINIFS($N$2:$N$5001,$B$2:$B$5001,B511),1,0))</f>
        <v/>
      </c>
      <c r="K511" s="16" t="str">
        <f aca="false">IF(B511="","",IF(AND(D511="Formalização",E511="Concluído"),IF(COUNTIFS($B$2:$B$5001,B511,$E$2:$E$5001,"Em ajustes",$N$2:$N$5001,"&lt;"&amp;I511)&gt;0,1,0),0))</f>
        <v/>
      </c>
      <c r="L511" s="16" t="str">
        <f aca="false">IF(B511="","",IF(N511=_xlfn.MAXIFS($N$2:$N$5001,$B$2:$B$5001,B511,$I$2:$I$5001,I511),1,0))</f>
        <v/>
      </c>
      <c r="M511" s="16" t="str">
        <f aca="false">IF(B511="","",IF(E511="Em ajustes",IF(N511=_xlfn.MINIFS($N$2:$N$5001,$B$2:$B$5001,B511,$E$2:$E$5001,"Em ajustes"),1,0),0))</f>
        <v/>
      </c>
      <c r="N511" s="17" t="str">
        <f aca="false">IF(A511="","",IF(ISNUMBER(A511),A511,IFERROR(DATE(VALUE(MID(A511,7,4)),VALUE(MID(A511,4,2)),VALUE(MID(A511,1,2)))+TIME(VALUE(MID(A511,12,2)),VALUE(MID(A511,15,2)),VALUE(MID(A511,18,2))),"")))</f>
        <v/>
      </c>
    </row>
    <row r="512" customFormat="false" ht="15" hidden="false" customHeight="false" outlineLevel="0" collapsed="false">
      <c r="I512" s="15" t="str">
        <f aca="false">IF(N512="","",INT(N512))</f>
        <v/>
      </c>
      <c r="J512" s="16" t="str">
        <f aca="false">IF(B512="","",IF(N512=_xlfn.MINIFS($N$2:$N$5001,$B$2:$B$5001,B512),1,0))</f>
        <v/>
      </c>
      <c r="K512" s="16" t="str">
        <f aca="false">IF(B512="","",IF(AND(D512="Formalização",E512="Concluído"),IF(COUNTIFS($B$2:$B$5001,B512,$E$2:$E$5001,"Em ajustes",$N$2:$N$5001,"&lt;"&amp;I512)&gt;0,1,0),0))</f>
        <v/>
      </c>
      <c r="L512" s="16" t="str">
        <f aca="false">IF(B512="","",IF(N512=_xlfn.MAXIFS($N$2:$N$5001,$B$2:$B$5001,B512,$I$2:$I$5001,I512),1,0))</f>
        <v/>
      </c>
      <c r="M512" s="16" t="str">
        <f aca="false">IF(B512="","",IF(E512="Em ajustes",IF(N512=_xlfn.MINIFS($N$2:$N$5001,$B$2:$B$5001,B512,$E$2:$E$5001,"Em ajustes"),1,0),0))</f>
        <v/>
      </c>
      <c r="N512" s="17" t="str">
        <f aca="false">IF(A512="","",IF(ISNUMBER(A512),A512,IFERROR(DATE(VALUE(MID(A512,7,4)),VALUE(MID(A512,4,2)),VALUE(MID(A512,1,2)))+TIME(VALUE(MID(A512,12,2)),VALUE(MID(A512,15,2)),VALUE(MID(A512,18,2))),"")))</f>
        <v/>
      </c>
    </row>
    <row r="513" customFormat="false" ht="15" hidden="false" customHeight="false" outlineLevel="0" collapsed="false">
      <c r="I513" s="15" t="str">
        <f aca="false">IF(N513="","",INT(N513))</f>
        <v/>
      </c>
      <c r="J513" s="16" t="str">
        <f aca="false">IF(B513="","",IF(N513=_xlfn.MINIFS($N$2:$N$5001,$B$2:$B$5001,B513),1,0))</f>
        <v/>
      </c>
      <c r="K513" s="16" t="str">
        <f aca="false">IF(B513="","",IF(AND(D513="Formalização",E513="Concluído"),IF(COUNTIFS($B$2:$B$5001,B513,$E$2:$E$5001,"Em ajustes",$N$2:$N$5001,"&lt;"&amp;I513)&gt;0,1,0),0))</f>
        <v/>
      </c>
      <c r="L513" s="16" t="str">
        <f aca="false">IF(B513="","",IF(N513=_xlfn.MAXIFS($N$2:$N$5001,$B$2:$B$5001,B513,$I$2:$I$5001,I513),1,0))</f>
        <v/>
      </c>
      <c r="M513" s="16" t="str">
        <f aca="false">IF(B513="","",IF(E513="Em ajustes",IF(N513=_xlfn.MINIFS($N$2:$N$5001,$B$2:$B$5001,B513,$E$2:$E$5001,"Em ajustes"),1,0),0))</f>
        <v/>
      </c>
      <c r="N513" s="17" t="str">
        <f aca="false">IF(A513="","",IF(ISNUMBER(A513),A513,IFERROR(DATE(VALUE(MID(A513,7,4)),VALUE(MID(A513,4,2)),VALUE(MID(A513,1,2)))+TIME(VALUE(MID(A513,12,2)),VALUE(MID(A513,15,2)),VALUE(MID(A513,18,2))),"")))</f>
        <v/>
      </c>
    </row>
    <row r="514" customFormat="false" ht="15" hidden="false" customHeight="false" outlineLevel="0" collapsed="false">
      <c r="I514" s="15" t="str">
        <f aca="false">IF(N514="","",INT(N514))</f>
        <v/>
      </c>
      <c r="J514" s="16" t="str">
        <f aca="false">IF(B514="","",IF(N514=_xlfn.MINIFS($N$2:$N$5001,$B$2:$B$5001,B514),1,0))</f>
        <v/>
      </c>
      <c r="K514" s="16" t="str">
        <f aca="false">IF(B514="","",IF(AND(D514="Formalização",E514="Concluído"),IF(COUNTIFS($B$2:$B$5001,B514,$E$2:$E$5001,"Em ajustes",$N$2:$N$5001,"&lt;"&amp;I514)&gt;0,1,0),0))</f>
        <v/>
      </c>
      <c r="L514" s="16" t="str">
        <f aca="false">IF(B514="","",IF(N514=_xlfn.MAXIFS($N$2:$N$5001,$B$2:$B$5001,B514,$I$2:$I$5001,I514),1,0))</f>
        <v/>
      </c>
      <c r="M514" s="16" t="str">
        <f aca="false">IF(B514="","",IF(E514="Em ajustes",IF(N514=_xlfn.MINIFS($N$2:$N$5001,$B$2:$B$5001,B514,$E$2:$E$5001,"Em ajustes"),1,0),0))</f>
        <v/>
      </c>
      <c r="N514" s="17" t="str">
        <f aca="false">IF(A514="","",IF(ISNUMBER(A514),A514,IFERROR(DATE(VALUE(MID(A514,7,4)),VALUE(MID(A514,4,2)),VALUE(MID(A514,1,2)))+TIME(VALUE(MID(A514,12,2)),VALUE(MID(A514,15,2)),VALUE(MID(A514,18,2))),"")))</f>
        <v/>
      </c>
    </row>
    <row r="515" customFormat="false" ht="15" hidden="false" customHeight="false" outlineLevel="0" collapsed="false">
      <c r="I515" s="15" t="str">
        <f aca="false">IF(N515="","",INT(N515))</f>
        <v/>
      </c>
      <c r="J515" s="16" t="str">
        <f aca="false">IF(B515="","",IF(N515=_xlfn.MINIFS($N$2:$N$5001,$B$2:$B$5001,B515),1,0))</f>
        <v/>
      </c>
      <c r="K515" s="16" t="str">
        <f aca="false">IF(B515="","",IF(AND(D515="Formalização",E515="Concluído"),IF(COUNTIFS($B$2:$B$5001,B515,$E$2:$E$5001,"Em ajustes",$N$2:$N$5001,"&lt;"&amp;I515)&gt;0,1,0),0))</f>
        <v/>
      </c>
      <c r="L515" s="16" t="str">
        <f aca="false">IF(B515="","",IF(N515=_xlfn.MAXIFS($N$2:$N$5001,$B$2:$B$5001,B515,$I$2:$I$5001,I515),1,0))</f>
        <v/>
      </c>
      <c r="M515" s="16" t="str">
        <f aca="false">IF(B515="","",IF(E515="Em ajustes",IF(N515=_xlfn.MINIFS($N$2:$N$5001,$B$2:$B$5001,B515,$E$2:$E$5001,"Em ajustes"),1,0),0))</f>
        <v/>
      </c>
      <c r="N515" s="17" t="str">
        <f aca="false">IF(A515="","",IF(ISNUMBER(A515),A515,IFERROR(DATE(VALUE(MID(A515,7,4)),VALUE(MID(A515,4,2)),VALUE(MID(A515,1,2)))+TIME(VALUE(MID(A515,12,2)),VALUE(MID(A515,15,2)),VALUE(MID(A515,18,2))),"")))</f>
        <v/>
      </c>
    </row>
    <row r="516" customFormat="false" ht="15" hidden="false" customHeight="false" outlineLevel="0" collapsed="false">
      <c r="I516" s="15" t="str">
        <f aca="false">IF(N516="","",INT(N516))</f>
        <v/>
      </c>
      <c r="J516" s="16" t="str">
        <f aca="false">IF(B516="","",IF(N516=_xlfn.MINIFS($N$2:$N$5001,$B$2:$B$5001,B516),1,0))</f>
        <v/>
      </c>
      <c r="K516" s="16" t="str">
        <f aca="false">IF(B516="","",IF(AND(D516="Formalização",E516="Concluído"),IF(COUNTIFS($B$2:$B$5001,B516,$E$2:$E$5001,"Em ajustes",$N$2:$N$5001,"&lt;"&amp;I516)&gt;0,1,0),0))</f>
        <v/>
      </c>
      <c r="L516" s="16" t="str">
        <f aca="false">IF(B516="","",IF(N516=_xlfn.MAXIFS($N$2:$N$5001,$B$2:$B$5001,B516,$I$2:$I$5001,I516),1,0))</f>
        <v/>
      </c>
      <c r="M516" s="16" t="str">
        <f aca="false">IF(B516="","",IF(E516="Em ajustes",IF(N516=_xlfn.MINIFS($N$2:$N$5001,$B$2:$B$5001,B516,$E$2:$E$5001,"Em ajustes"),1,0),0))</f>
        <v/>
      </c>
      <c r="N516" s="17" t="str">
        <f aca="false">IF(A516="","",IF(ISNUMBER(A516),A516,IFERROR(DATE(VALUE(MID(A516,7,4)),VALUE(MID(A516,4,2)),VALUE(MID(A516,1,2)))+TIME(VALUE(MID(A516,12,2)),VALUE(MID(A516,15,2)),VALUE(MID(A516,18,2))),"")))</f>
        <v/>
      </c>
    </row>
    <row r="517" customFormat="false" ht="15" hidden="false" customHeight="false" outlineLevel="0" collapsed="false">
      <c r="I517" s="15" t="str">
        <f aca="false">IF(N517="","",INT(N517))</f>
        <v/>
      </c>
      <c r="J517" s="16" t="str">
        <f aca="false">IF(B517="","",IF(N517=_xlfn.MINIFS($N$2:$N$5001,$B$2:$B$5001,B517),1,0))</f>
        <v/>
      </c>
      <c r="K517" s="16" t="str">
        <f aca="false">IF(B517="","",IF(AND(D517="Formalização",E517="Concluído"),IF(COUNTIFS($B$2:$B$5001,B517,$E$2:$E$5001,"Em ajustes",$N$2:$N$5001,"&lt;"&amp;I517)&gt;0,1,0),0))</f>
        <v/>
      </c>
      <c r="L517" s="16" t="str">
        <f aca="false">IF(B517="","",IF(N517=_xlfn.MAXIFS($N$2:$N$5001,$B$2:$B$5001,B517,$I$2:$I$5001,I517),1,0))</f>
        <v/>
      </c>
      <c r="M517" s="16" t="str">
        <f aca="false">IF(B517="","",IF(E517="Em ajustes",IF(N517=_xlfn.MINIFS($N$2:$N$5001,$B$2:$B$5001,B517,$E$2:$E$5001,"Em ajustes"),1,0),0))</f>
        <v/>
      </c>
      <c r="N517" s="17" t="str">
        <f aca="false">IF(A517="","",IF(ISNUMBER(A517),A517,IFERROR(DATE(VALUE(MID(A517,7,4)),VALUE(MID(A517,4,2)),VALUE(MID(A517,1,2)))+TIME(VALUE(MID(A517,12,2)),VALUE(MID(A517,15,2)),VALUE(MID(A517,18,2))),"")))</f>
        <v/>
      </c>
    </row>
    <row r="518" customFormat="false" ht="15" hidden="false" customHeight="false" outlineLevel="0" collapsed="false">
      <c r="I518" s="15" t="str">
        <f aca="false">IF(N518="","",INT(N518))</f>
        <v/>
      </c>
      <c r="J518" s="16" t="str">
        <f aca="false">IF(B518="","",IF(N518=_xlfn.MINIFS($N$2:$N$5001,$B$2:$B$5001,B518),1,0))</f>
        <v/>
      </c>
      <c r="K518" s="16" t="str">
        <f aca="false">IF(B518="","",IF(AND(D518="Formalização",E518="Concluído"),IF(COUNTIFS($B$2:$B$5001,B518,$E$2:$E$5001,"Em ajustes",$N$2:$N$5001,"&lt;"&amp;I518)&gt;0,1,0),0))</f>
        <v/>
      </c>
      <c r="L518" s="16" t="str">
        <f aca="false">IF(B518="","",IF(N518=_xlfn.MAXIFS($N$2:$N$5001,$B$2:$B$5001,B518,$I$2:$I$5001,I518),1,0))</f>
        <v/>
      </c>
      <c r="M518" s="16" t="str">
        <f aca="false">IF(B518="","",IF(E518="Em ajustes",IF(N518=_xlfn.MINIFS($N$2:$N$5001,$B$2:$B$5001,B518,$E$2:$E$5001,"Em ajustes"),1,0),0))</f>
        <v/>
      </c>
      <c r="N518" s="17" t="str">
        <f aca="false">IF(A518="","",IF(ISNUMBER(A518),A518,IFERROR(DATE(VALUE(MID(A518,7,4)),VALUE(MID(A518,4,2)),VALUE(MID(A518,1,2)))+TIME(VALUE(MID(A518,12,2)),VALUE(MID(A518,15,2)),VALUE(MID(A518,18,2))),"")))</f>
        <v/>
      </c>
    </row>
    <row r="519" customFormat="false" ht="15" hidden="false" customHeight="false" outlineLevel="0" collapsed="false">
      <c r="I519" s="15" t="str">
        <f aca="false">IF(N519="","",INT(N519))</f>
        <v/>
      </c>
      <c r="J519" s="16" t="str">
        <f aca="false">IF(B519="","",IF(N519=_xlfn.MINIFS($N$2:$N$5001,$B$2:$B$5001,B519),1,0))</f>
        <v/>
      </c>
      <c r="K519" s="16" t="str">
        <f aca="false">IF(B519="","",IF(AND(D519="Formalização",E519="Concluído"),IF(COUNTIFS($B$2:$B$5001,B519,$E$2:$E$5001,"Em ajustes",$N$2:$N$5001,"&lt;"&amp;I519)&gt;0,1,0),0))</f>
        <v/>
      </c>
      <c r="L519" s="16" t="str">
        <f aca="false">IF(B519="","",IF(N519=_xlfn.MAXIFS($N$2:$N$5001,$B$2:$B$5001,B519,$I$2:$I$5001,I519),1,0))</f>
        <v/>
      </c>
      <c r="M519" s="16" t="str">
        <f aca="false">IF(B519="","",IF(E519="Em ajustes",IF(N519=_xlfn.MINIFS($N$2:$N$5001,$B$2:$B$5001,B519,$E$2:$E$5001,"Em ajustes"),1,0),0))</f>
        <v/>
      </c>
      <c r="N519" s="17" t="str">
        <f aca="false">IF(A519="","",IF(ISNUMBER(A519),A519,IFERROR(DATE(VALUE(MID(A519,7,4)),VALUE(MID(A519,4,2)),VALUE(MID(A519,1,2)))+TIME(VALUE(MID(A519,12,2)),VALUE(MID(A519,15,2)),VALUE(MID(A519,18,2))),"")))</f>
        <v/>
      </c>
    </row>
    <row r="520" customFormat="false" ht="15" hidden="false" customHeight="false" outlineLevel="0" collapsed="false">
      <c r="I520" s="15" t="str">
        <f aca="false">IF(N520="","",INT(N520))</f>
        <v/>
      </c>
      <c r="J520" s="16" t="str">
        <f aca="false">IF(B520="","",IF(N520=_xlfn.MINIFS($N$2:$N$5001,$B$2:$B$5001,B520),1,0))</f>
        <v/>
      </c>
      <c r="K520" s="16" t="str">
        <f aca="false">IF(B520="","",IF(AND(D520="Formalização",E520="Concluído"),IF(COUNTIFS($B$2:$B$5001,B520,$E$2:$E$5001,"Em ajustes",$N$2:$N$5001,"&lt;"&amp;I520)&gt;0,1,0),0))</f>
        <v/>
      </c>
      <c r="L520" s="16" t="str">
        <f aca="false">IF(B520="","",IF(N520=_xlfn.MAXIFS($N$2:$N$5001,$B$2:$B$5001,B520,$I$2:$I$5001,I520),1,0))</f>
        <v/>
      </c>
      <c r="M520" s="16" t="str">
        <f aca="false">IF(B520="","",IF(E520="Em ajustes",IF(N520=_xlfn.MINIFS($N$2:$N$5001,$B$2:$B$5001,B520,$E$2:$E$5001,"Em ajustes"),1,0),0))</f>
        <v/>
      </c>
      <c r="N520" s="17" t="str">
        <f aca="false">IF(A520="","",IF(ISNUMBER(A520),A520,IFERROR(DATE(VALUE(MID(A520,7,4)),VALUE(MID(A520,4,2)),VALUE(MID(A520,1,2)))+TIME(VALUE(MID(A520,12,2)),VALUE(MID(A520,15,2)),VALUE(MID(A520,18,2))),"")))</f>
        <v/>
      </c>
    </row>
    <row r="521" customFormat="false" ht="15" hidden="false" customHeight="false" outlineLevel="0" collapsed="false">
      <c r="I521" s="15" t="str">
        <f aca="false">IF(N521="","",INT(N521))</f>
        <v/>
      </c>
      <c r="J521" s="16" t="str">
        <f aca="false">IF(B521="","",IF(N521=_xlfn.MINIFS($N$2:$N$5001,$B$2:$B$5001,B521),1,0))</f>
        <v/>
      </c>
      <c r="K521" s="16" t="str">
        <f aca="false">IF(B521="","",IF(AND(D521="Formalização",E521="Concluído"),IF(COUNTIFS($B$2:$B$5001,B521,$E$2:$E$5001,"Em ajustes",$N$2:$N$5001,"&lt;"&amp;I521)&gt;0,1,0),0))</f>
        <v/>
      </c>
      <c r="L521" s="16" t="str">
        <f aca="false">IF(B521="","",IF(N521=_xlfn.MAXIFS($N$2:$N$5001,$B$2:$B$5001,B521,$I$2:$I$5001,I521),1,0))</f>
        <v/>
      </c>
      <c r="M521" s="16" t="str">
        <f aca="false">IF(B521="","",IF(E521="Em ajustes",IF(N521=_xlfn.MINIFS($N$2:$N$5001,$B$2:$B$5001,B521,$E$2:$E$5001,"Em ajustes"),1,0),0))</f>
        <v/>
      </c>
      <c r="N521" s="17" t="str">
        <f aca="false">IF(A521="","",IF(ISNUMBER(A521),A521,IFERROR(DATE(VALUE(MID(A521,7,4)),VALUE(MID(A521,4,2)),VALUE(MID(A521,1,2)))+TIME(VALUE(MID(A521,12,2)),VALUE(MID(A521,15,2)),VALUE(MID(A521,18,2))),"")))</f>
        <v/>
      </c>
    </row>
    <row r="522" customFormat="false" ht="15" hidden="false" customHeight="false" outlineLevel="0" collapsed="false">
      <c r="I522" s="15" t="str">
        <f aca="false">IF(N522="","",INT(N522))</f>
        <v/>
      </c>
      <c r="J522" s="16" t="str">
        <f aca="false">IF(B522="","",IF(N522=_xlfn.MINIFS($N$2:$N$5001,$B$2:$B$5001,B522),1,0))</f>
        <v/>
      </c>
      <c r="K522" s="16" t="str">
        <f aca="false">IF(B522="","",IF(AND(D522="Formalização",E522="Concluído"),IF(COUNTIFS($B$2:$B$5001,B522,$E$2:$E$5001,"Em ajustes",$N$2:$N$5001,"&lt;"&amp;I522)&gt;0,1,0),0))</f>
        <v/>
      </c>
      <c r="L522" s="16" t="str">
        <f aca="false">IF(B522="","",IF(N522=_xlfn.MAXIFS($N$2:$N$5001,$B$2:$B$5001,B522,$I$2:$I$5001,I522),1,0))</f>
        <v/>
      </c>
      <c r="M522" s="16" t="str">
        <f aca="false">IF(B522="","",IF(E522="Em ajustes",IF(N522=_xlfn.MINIFS($N$2:$N$5001,$B$2:$B$5001,B522,$E$2:$E$5001,"Em ajustes"),1,0),0))</f>
        <v/>
      </c>
      <c r="N522" s="17" t="str">
        <f aca="false">IF(A522="","",IF(ISNUMBER(A522),A522,IFERROR(DATE(VALUE(MID(A522,7,4)),VALUE(MID(A522,4,2)),VALUE(MID(A522,1,2)))+TIME(VALUE(MID(A522,12,2)),VALUE(MID(A522,15,2)),VALUE(MID(A522,18,2))),"")))</f>
        <v/>
      </c>
    </row>
    <row r="523" customFormat="false" ht="15" hidden="false" customHeight="false" outlineLevel="0" collapsed="false">
      <c r="I523" s="15" t="str">
        <f aca="false">IF(N523="","",INT(N523))</f>
        <v/>
      </c>
      <c r="J523" s="16" t="str">
        <f aca="false">IF(B523="","",IF(N523=_xlfn.MINIFS($N$2:$N$5001,$B$2:$B$5001,B523),1,0))</f>
        <v/>
      </c>
      <c r="K523" s="16" t="str">
        <f aca="false">IF(B523="","",IF(AND(D523="Formalização",E523="Concluído"),IF(COUNTIFS($B$2:$B$5001,B523,$E$2:$E$5001,"Em ajustes",$N$2:$N$5001,"&lt;"&amp;I523)&gt;0,1,0),0))</f>
        <v/>
      </c>
      <c r="L523" s="16" t="str">
        <f aca="false">IF(B523="","",IF(N523=_xlfn.MAXIFS($N$2:$N$5001,$B$2:$B$5001,B523,$I$2:$I$5001,I523),1,0))</f>
        <v/>
      </c>
      <c r="M523" s="16" t="str">
        <f aca="false">IF(B523="","",IF(E523="Em ajustes",IF(N523=_xlfn.MINIFS($N$2:$N$5001,$B$2:$B$5001,B523,$E$2:$E$5001,"Em ajustes"),1,0),0))</f>
        <v/>
      </c>
      <c r="N523" s="17" t="str">
        <f aca="false">IF(A523="","",IF(ISNUMBER(A523),A523,IFERROR(DATE(VALUE(MID(A523,7,4)),VALUE(MID(A523,4,2)),VALUE(MID(A523,1,2)))+TIME(VALUE(MID(A523,12,2)),VALUE(MID(A523,15,2)),VALUE(MID(A523,18,2))),"")))</f>
        <v/>
      </c>
    </row>
    <row r="524" customFormat="false" ht="15" hidden="false" customHeight="false" outlineLevel="0" collapsed="false">
      <c r="I524" s="15" t="str">
        <f aca="false">IF(N524="","",INT(N524))</f>
        <v/>
      </c>
      <c r="J524" s="16" t="str">
        <f aca="false">IF(B524="","",IF(N524=_xlfn.MINIFS($N$2:$N$5001,$B$2:$B$5001,B524),1,0))</f>
        <v/>
      </c>
      <c r="K524" s="16" t="str">
        <f aca="false">IF(B524="","",IF(AND(D524="Formalização",E524="Concluído"),IF(COUNTIFS($B$2:$B$5001,B524,$E$2:$E$5001,"Em ajustes",$N$2:$N$5001,"&lt;"&amp;I524)&gt;0,1,0),0))</f>
        <v/>
      </c>
      <c r="L524" s="16" t="str">
        <f aca="false">IF(B524="","",IF(N524=_xlfn.MAXIFS($N$2:$N$5001,$B$2:$B$5001,B524,$I$2:$I$5001,I524),1,0))</f>
        <v/>
      </c>
      <c r="M524" s="16" t="str">
        <f aca="false">IF(B524="","",IF(E524="Em ajustes",IF(N524=_xlfn.MINIFS($N$2:$N$5001,$B$2:$B$5001,B524,$E$2:$E$5001,"Em ajustes"),1,0),0))</f>
        <v/>
      </c>
      <c r="N524" s="17" t="str">
        <f aca="false">IF(A524="","",IF(ISNUMBER(A524),A524,IFERROR(DATE(VALUE(MID(A524,7,4)),VALUE(MID(A524,4,2)),VALUE(MID(A524,1,2)))+TIME(VALUE(MID(A524,12,2)),VALUE(MID(A524,15,2)),VALUE(MID(A524,18,2))),"")))</f>
        <v/>
      </c>
    </row>
    <row r="525" customFormat="false" ht="15" hidden="false" customHeight="false" outlineLevel="0" collapsed="false">
      <c r="I525" s="15" t="str">
        <f aca="false">IF(N525="","",INT(N525))</f>
        <v/>
      </c>
      <c r="J525" s="16" t="str">
        <f aca="false">IF(B525="","",IF(N525=_xlfn.MINIFS($N$2:$N$5001,$B$2:$B$5001,B525),1,0))</f>
        <v/>
      </c>
      <c r="K525" s="16" t="str">
        <f aca="false">IF(B525="","",IF(AND(D525="Formalização",E525="Concluído"),IF(COUNTIFS($B$2:$B$5001,B525,$E$2:$E$5001,"Em ajustes",$N$2:$N$5001,"&lt;"&amp;I525)&gt;0,1,0),0))</f>
        <v/>
      </c>
      <c r="L525" s="16" t="str">
        <f aca="false">IF(B525="","",IF(N525=_xlfn.MAXIFS($N$2:$N$5001,$B$2:$B$5001,B525,$I$2:$I$5001,I525),1,0))</f>
        <v/>
      </c>
      <c r="M525" s="16" t="str">
        <f aca="false">IF(B525="","",IF(E525="Em ajustes",IF(N525=_xlfn.MINIFS($N$2:$N$5001,$B$2:$B$5001,B525,$E$2:$E$5001,"Em ajustes"),1,0),0))</f>
        <v/>
      </c>
      <c r="N525" s="17" t="str">
        <f aca="false">IF(A525="","",IF(ISNUMBER(A525),A525,IFERROR(DATE(VALUE(MID(A525,7,4)),VALUE(MID(A525,4,2)),VALUE(MID(A525,1,2)))+TIME(VALUE(MID(A525,12,2)),VALUE(MID(A525,15,2)),VALUE(MID(A525,18,2))),"")))</f>
        <v/>
      </c>
    </row>
    <row r="526" customFormat="false" ht="15" hidden="false" customHeight="false" outlineLevel="0" collapsed="false">
      <c r="I526" s="15" t="str">
        <f aca="false">IF(N526="","",INT(N526))</f>
        <v/>
      </c>
      <c r="J526" s="16" t="str">
        <f aca="false">IF(B526="","",IF(N526=_xlfn.MINIFS($N$2:$N$5001,$B$2:$B$5001,B526),1,0))</f>
        <v/>
      </c>
      <c r="K526" s="16" t="str">
        <f aca="false">IF(B526="","",IF(AND(D526="Formalização",E526="Concluído"),IF(COUNTIFS($B$2:$B$5001,B526,$E$2:$E$5001,"Em ajustes",$N$2:$N$5001,"&lt;"&amp;I526)&gt;0,1,0),0))</f>
        <v/>
      </c>
      <c r="L526" s="16" t="str">
        <f aca="false">IF(B526="","",IF(N526=_xlfn.MAXIFS($N$2:$N$5001,$B$2:$B$5001,B526,$I$2:$I$5001,I526),1,0))</f>
        <v/>
      </c>
      <c r="M526" s="16" t="str">
        <f aca="false">IF(B526="","",IF(E526="Em ajustes",IF(N526=_xlfn.MINIFS($N$2:$N$5001,$B$2:$B$5001,B526,$E$2:$E$5001,"Em ajustes"),1,0),0))</f>
        <v/>
      </c>
      <c r="N526" s="17" t="str">
        <f aca="false">IF(A526="","",IF(ISNUMBER(A526),A526,IFERROR(DATE(VALUE(MID(A526,7,4)),VALUE(MID(A526,4,2)),VALUE(MID(A526,1,2)))+TIME(VALUE(MID(A526,12,2)),VALUE(MID(A526,15,2)),VALUE(MID(A526,18,2))),"")))</f>
        <v/>
      </c>
    </row>
    <row r="527" customFormat="false" ht="15" hidden="false" customHeight="false" outlineLevel="0" collapsed="false">
      <c r="I527" s="15" t="str">
        <f aca="false">IF(N527="","",INT(N527))</f>
        <v/>
      </c>
      <c r="J527" s="16" t="str">
        <f aca="false">IF(B527="","",IF(N527=_xlfn.MINIFS($N$2:$N$5001,$B$2:$B$5001,B527),1,0))</f>
        <v/>
      </c>
      <c r="K527" s="16" t="str">
        <f aca="false">IF(B527="","",IF(AND(D527="Formalização",E527="Concluído"),IF(COUNTIFS($B$2:$B$5001,B527,$E$2:$E$5001,"Em ajustes",$N$2:$N$5001,"&lt;"&amp;I527)&gt;0,1,0),0))</f>
        <v/>
      </c>
      <c r="L527" s="16" t="str">
        <f aca="false">IF(B527="","",IF(N527=_xlfn.MAXIFS($N$2:$N$5001,$B$2:$B$5001,B527,$I$2:$I$5001,I527),1,0))</f>
        <v/>
      </c>
      <c r="M527" s="16" t="str">
        <f aca="false">IF(B527="","",IF(E527="Em ajustes",IF(N527=_xlfn.MINIFS($N$2:$N$5001,$B$2:$B$5001,B527,$E$2:$E$5001,"Em ajustes"),1,0),0))</f>
        <v/>
      </c>
      <c r="N527" s="17" t="str">
        <f aca="false">IF(A527="","",IF(ISNUMBER(A527),A527,IFERROR(DATE(VALUE(MID(A527,7,4)),VALUE(MID(A527,4,2)),VALUE(MID(A527,1,2)))+TIME(VALUE(MID(A527,12,2)),VALUE(MID(A527,15,2)),VALUE(MID(A527,18,2))),"")))</f>
        <v/>
      </c>
    </row>
    <row r="528" customFormat="false" ht="15" hidden="false" customHeight="false" outlineLevel="0" collapsed="false">
      <c r="I528" s="15" t="str">
        <f aca="false">IF(N528="","",INT(N528))</f>
        <v/>
      </c>
      <c r="J528" s="16" t="str">
        <f aca="false">IF(B528="","",IF(N528=_xlfn.MINIFS($N$2:$N$5001,$B$2:$B$5001,B528),1,0))</f>
        <v/>
      </c>
      <c r="K528" s="16" t="str">
        <f aca="false">IF(B528="","",IF(AND(D528="Formalização",E528="Concluído"),IF(COUNTIFS($B$2:$B$5001,B528,$E$2:$E$5001,"Em ajustes",$N$2:$N$5001,"&lt;"&amp;I528)&gt;0,1,0),0))</f>
        <v/>
      </c>
      <c r="L528" s="16" t="str">
        <f aca="false">IF(B528="","",IF(N528=_xlfn.MAXIFS($N$2:$N$5001,$B$2:$B$5001,B528,$I$2:$I$5001,I528),1,0))</f>
        <v/>
      </c>
      <c r="M528" s="16" t="str">
        <f aca="false">IF(B528="","",IF(E528="Em ajustes",IF(N528=_xlfn.MINIFS($N$2:$N$5001,$B$2:$B$5001,B528,$E$2:$E$5001,"Em ajustes"),1,0),0))</f>
        <v/>
      </c>
      <c r="N528" s="17" t="str">
        <f aca="false">IF(A528="","",IF(ISNUMBER(A528),A528,IFERROR(DATE(VALUE(MID(A528,7,4)),VALUE(MID(A528,4,2)),VALUE(MID(A528,1,2)))+TIME(VALUE(MID(A528,12,2)),VALUE(MID(A528,15,2)),VALUE(MID(A528,18,2))),"")))</f>
        <v/>
      </c>
    </row>
    <row r="529" customFormat="false" ht="15" hidden="false" customHeight="false" outlineLevel="0" collapsed="false">
      <c r="I529" s="15" t="str">
        <f aca="false">IF(N529="","",INT(N529))</f>
        <v/>
      </c>
      <c r="J529" s="16" t="str">
        <f aca="false">IF(B529="","",IF(N529=_xlfn.MINIFS($N$2:$N$5001,$B$2:$B$5001,B529),1,0))</f>
        <v/>
      </c>
      <c r="K529" s="16" t="str">
        <f aca="false">IF(B529="","",IF(AND(D529="Formalização",E529="Concluído"),IF(COUNTIFS($B$2:$B$5001,B529,$E$2:$E$5001,"Em ajustes",$N$2:$N$5001,"&lt;"&amp;I529)&gt;0,1,0),0))</f>
        <v/>
      </c>
      <c r="L529" s="16" t="str">
        <f aca="false">IF(B529="","",IF(N529=_xlfn.MAXIFS($N$2:$N$5001,$B$2:$B$5001,B529,$I$2:$I$5001,I529),1,0))</f>
        <v/>
      </c>
      <c r="M529" s="16" t="str">
        <f aca="false">IF(B529="","",IF(E529="Em ajustes",IF(N529=_xlfn.MINIFS($N$2:$N$5001,$B$2:$B$5001,B529,$E$2:$E$5001,"Em ajustes"),1,0),0))</f>
        <v/>
      </c>
      <c r="N529" s="17" t="str">
        <f aca="false">IF(A529="","",IF(ISNUMBER(A529),A529,IFERROR(DATE(VALUE(MID(A529,7,4)),VALUE(MID(A529,4,2)),VALUE(MID(A529,1,2)))+TIME(VALUE(MID(A529,12,2)),VALUE(MID(A529,15,2)),VALUE(MID(A529,18,2))),"")))</f>
        <v/>
      </c>
    </row>
    <row r="530" customFormat="false" ht="15" hidden="false" customHeight="false" outlineLevel="0" collapsed="false">
      <c r="I530" s="15" t="str">
        <f aca="false">IF(N530="","",INT(N530))</f>
        <v/>
      </c>
      <c r="J530" s="16" t="str">
        <f aca="false">IF(B530="","",IF(N530=_xlfn.MINIFS($N$2:$N$5001,$B$2:$B$5001,B530),1,0))</f>
        <v/>
      </c>
      <c r="K530" s="16" t="str">
        <f aca="false">IF(B530="","",IF(AND(D530="Formalização",E530="Concluído"),IF(COUNTIFS($B$2:$B$5001,B530,$E$2:$E$5001,"Em ajustes",$N$2:$N$5001,"&lt;"&amp;I530)&gt;0,1,0),0))</f>
        <v/>
      </c>
      <c r="L530" s="16" t="str">
        <f aca="false">IF(B530="","",IF(N530=_xlfn.MAXIFS($N$2:$N$5001,$B$2:$B$5001,B530,$I$2:$I$5001,I530),1,0))</f>
        <v/>
      </c>
      <c r="M530" s="16" t="str">
        <f aca="false">IF(B530="","",IF(E530="Em ajustes",IF(N530=_xlfn.MINIFS($N$2:$N$5001,$B$2:$B$5001,B530,$E$2:$E$5001,"Em ajustes"),1,0),0))</f>
        <v/>
      </c>
      <c r="N530" s="17" t="str">
        <f aca="false">IF(A530="","",IF(ISNUMBER(A530),A530,IFERROR(DATE(VALUE(MID(A530,7,4)),VALUE(MID(A530,4,2)),VALUE(MID(A530,1,2)))+TIME(VALUE(MID(A530,12,2)),VALUE(MID(A530,15,2)),VALUE(MID(A530,18,2))),"")))</f>
        <v/>
      </c>
    </row>
    <row r="531" customFormat="false" ht="15" hidden="false" customHeight="false" outlineLevel="0" collapsed="false">
      <c r="I531" s="15" t="str">
        <f aca="false">IF(N531="","",INT(N531))</f>
        <v/>
      </c>
      <c r="J531" s="16" t="str">
        <f aca="false">IF(B531="","",IF(N531=_xlfn.MINIFS($N$2:$N$5001,$B$2:$B$5001,B531),1,0))</f>
        <v/>
      </c>
      <c r="K531" s="16" t="str">
        <f aca="false">IF(B531="","",IF(AND(D531="Formalização",E531="Concluído"),IF(COUNTIFS($B$2:$B$5001,B531,$E$2:$E$5001,"Em ajustes",$N$2:$N$5001,"&lt;"&amp;I531)&gt;0,1,0),0))</f>
        <v/>
      </c>
      <c r="L531" s="16" t="str">
        <f aca="false">IF(B531="","",IF(N531=_xlfn.MAXIFS($N$2:$N$5001,$B$2:$B$5001,B531,$I$2:$I$5001,I531),1,0))</f>
        <v/>
      </c>
      <c r="M531" s="16" t="str">
        <f aca="false">IF(B531="","",IF(E531="Em ajustes",IF(N531=_xlfn.MINIFS($N$2:$N$5001,$B$2:$B$5001,B531,$E$2:$E$5001,"Em ajustes"),1,0),0))</f>
        <v/>
      </c>
      <c r="N531" s="17" t="str">
        <f aca="false">IF(A531="","",IF(ISNUMBER(A531),A531,IFERROR(DATE(VALUE(MID(A531,7,4)),VALUE(MID(A531,4,2)),VALUE(MID(A531,1,2)))+TIME(VALUE(MID(A531,12,2)),VALUE(MID(A531,15,2)),VALUE(MID(A531,18,2))),"")))</f>
        <v/>
      </c>
    </row>
    <row r="532" customFormat="false" ht="15" hidden="false" customHeight="false" outlineLevel="0" collapsed="false">
      <c r="I532" s="15" t="str">
        <f aca="false">IF(N532="","",INT(N532))</f>
        <v/>
      </c>
      <c r="J532" s="16" t="str">
        <f aca="false">IF(B532="","",IF(N532=_xlfn.MINIFS($N$2:$N$5001,$B$2:$B$5001,B532),1,0))</f>
        <v/>
      </c>
      <c r="K532" s="16" t="str">
        <f aca="false">IF(B532="","",IF(AND(D532="Formalização",E532="Concluído"),IF(COUNTIFS($B$2:$B$5001,B532,$E$2:$E$5001,"Em ajustes",$N$2:$N$5001,"&lt;"&amp;I532)&gt;0,1,0),0))</f>
        <v/>
      </c>
      <c r="L532" s="16" t="str">
        <f aca="false">IF(B532="","",IF(N532=_xlfn.MAXIFS($N$2:$N$5001,$B$2:$B$5001,B532,$I$2:$I$5001,I532),1,0))</f>
        <v/>
      </c>
      <c r="M532" s="16" t="str">
        <f aca="false">IF(B532="","",IF(E532="Em ajustes",IF(N532=_xlfn.MINIFS($N$2:$N$5001,$B$2:$B$5001,B532,$E$2:$E$5001,"Em ajustes"),1,0),0))</f>
        <v/>
      </c>
      <c r="N532" s="17" t="str">
        <f aca="false">IF(A532="","",IF(ISNUMBER(A532),A532,IFERROR(DATE(VALUE(MID(A532,7,4)),VALUE(MID(A532,4,2)),VALUE(MID(A532,1,2)))+TIME(VALUE(MID(A532,12,2)),VALUE(MID(A532,15,2)),VALUE(MID(A532,18,2))),"")))</f>
        <v/>
      </c>
    </row>
    <row r="533" customFormat="false" ht="15" hidden="false" customHeight="false" outlineLevel="0" collapsed="false">
      <c r="I533" s="15" t="str">
        <f aca="false">IF(N533="","",INT(N533))</f>
        <v/>
      </c>
      <c r="J533" s="16" t="str">
        <f aca="false">IF(B533="","",IF(N533=_xlfn.MINIFS($N$2:$N$5001,$B$2:$B$5001,B533),1,0))</f>
        <v/>
      </c>
      <c r="K533" s="16" t="str">
        <f aca="false">IF(B533="","",IF(AND(D533="Formalização",E533="Concluído"),IF(COUNTIFS($B$2:$B$5001,B533,$E$2:$E$5001,"Em ajustes",$N$2:$N$5001,"&lt;"&amp;I533)&gt;0,1,0),0))</f>
        <v/>
      </c>
      <c r="L533" s="16" t="str">
        <f aca="false">IF(B533="","",IF(N533=_xlfn.MAXIFS($N$2:$N$5001,$B$2:$B$5001,B533,$I$2:$I$5001,I533),1,0))</f>
        <v/>
      </c>
      <c r="M533" s="16" t="str">
        <f aca="false">IF(B533="","",IF(E533="Em ajustes",IF(N533=_xlfn.MINIFS($N$2:$N$5001,$B$2:$B$5001,B533,$E$2:$E$5001,"Em ajustes"),1,0),0))</f>
        <v/>
      </c>
      <c r="N533" s="17" t="str">
        <f aca="false">IF(A533="","",IF(ISNUMBER(A533),A533,IFERROR(DATE(VALUE(MID(A533,7,4)),VALUE(MID(A533,4,2)),VALUE(MID(A533,1,2)))+TIME(VALUE(MID(A533,12,2)),VALUE(MID(A533,15,2)),VALUE(MID(A533,18,2))),"")))</f>
        <v/>
      </c>
    </row>
    <row r="534" customFormat="false" ht="15" hidden="false" customHeight="false" outlineLevel="0" collapsed="false">
      <c r="I534" s="15" t="str">
        <f aca="false">IF(N534="","",INT(N534))</f>
        <v/>
      </c>
      <c r="J534" s="16" t="str">
        <f aca="false">IF(B534="","",IF(N534=_xlfn.MINIFS($N$2:$N$5001,$B$2:$B$5001,B534),1,0))</f>
        <v/>
      </c>
      <c r="K534" s="16" t="str">
        <f aca="false">IF(B534="","",IF(AND(D534="Formalização",E534="Concluído"),IF(COUNTIFS($B$2:$B$5001,B534,$E$2:$E$5001,"Em ajustes",$N$2:$N$5001,"&lt;"&amp;I534)&gt;0,1,0),0))</f>
        <v/>
      </c>
      <c r="L534" s="16" t="str">
        <f aca="false">IF(B534="","",IF(N534=_xlfn.MAXIFS($N$2:$N$5001,$B$2:$B$5001,B534,$I$2:$I$5001,I534),1,0))</f>
        <v/>
      </c>
      <c r="M534" s="16" t="str">
        <f aca="false">IF(B534="","",IF(E534="Em ajustes",IF(N534=_xlfn.MINIFS($N$2:$N$5001,$B$2:$B$5001,B534,$E$2:$E$5001,"Em ajustes"),1,0),0))</f>
        <v/>
      </c>
      <c r="N534" s="17" t="str">
        <f aca="false">IF(A534="","",IF(ISNUMBER(A534),A534,IFERROR(DATE(VALUE(MID(A534,7,4)),VALUE(MID(A534,4,2)),VALUE(MID(A534,1,2)))+TIME(VALUE(MID(A534,12,2)),VALUE(MID(A534,15,2)),VALUE(MID(A534,18,2))),"")))</f>
        <v/>
      </c>
    </row>
    <row r="535" customFormat="false" ht="15" hidden="false" customHeight="false" outlineLevel="0" collapsed="false">
      <c r="I535" s="15" t="str">
        <f aca="false">IF(N535="","",INT(N535))</f>
        <v/>
      </c>
      <c r="J535" s="16" t="str">
        <f aca="false">IF(B535="","",IF(N535=_xlfn.MINIFS($N$2:$N$5001,$B$2:$B$5001,B535),1,0))</f>
        <v/>
      </c>
      <c r="K535" s="16" t="str">
        <f aca="false">IF(B535="","",IF(AND(D535="Formalização",E535="Concluído"),IF(COUNTIFS($B$2:$B$5001,B535,$E$2:$E$5001,"Em ajustes",$N$2:$N$5001,"&lt;"&amp;I535)&gt;0,1,0),0))</f>
        <v/>
      </c>
      <c r="L535" s="16" t="str">
        <f aca="false">IF(B535="","",IF(N535=_xlfn.MAXIFS($N$2:$N$5001,$B$2:$B$5001,B535,$I$2:$I$5001,I535),1,0))</f>
        <v/>
      </c>
      <c r="M535" s="16" t="str">
        <f aca="false">IF(B535="","",IF(E535="Em ajustes",IF(N535=_xlfn.MINIFS($N$2:$N$5001,$B$2:$B$5001,B535,$E$2:$E$5001,"Em ajustes"),1,0),0))</f>
        <v/>
      </c>
      <c r="N535" s="17" t="str">
        <f aca="false">IF(A535="","",IF(ISNUMBER(A535),A535,IFERROR(DATE(VALUE(MID(A535,7,4)),VALUE(MID(A535,4,2)),VALUE(MID(A535,1,2)))+TIME(VALUE(MID(A535,12,2)),VALUE(MID(A535,15,2)),VALUE(MID(A535,18,2))),"")))</f>
        <v/>
      </c>
    </row>
    <row r="536" customFormat="false" ht="15" hidden="false" customHeight="false" outlineLevel="0" collapsed="false">
      <c r="I536" s="15" t="str">
        <f aca="false">IF(N536="","",INT(N536))</f>
        <v/>
      </c>
      <c r="J536" s="16" t="str">
        <f aca="false">IF(B536="","",IF(N536=_xlfn.MINIFS($N$2:$N$5001,$B$2:$B$5001,B536),1,0))</f>
        <v/>
      </c>
      <c r="K536" s="16" t="str">
        <f aca="false">IF(B536="","",IF(AND(D536="Formalização",E536="Concluído"),IF(COUNTIFS($B$2:$B$5001,B536,$E$2:$E$5001,"Em ajustes",$N$2:$N$5001,"&lt;"&amp;I536)&gt;0,1,0),0))</f>
        <v/>
      </c>
      <c r="L536" s="16" t="str">
        <f aca="false">IF(B536="","",IF(N536=_xlfn.MAXIFS($N$2:$N$5001,$B$2:$B$5001,B536,$I$2:$I$5001,I536),1,0))</f>
        <v/>
      </c>
      <c r="M536" s="16" t="str">
        <f aca="false">IF(B536="","",IF(E536="Em ajustes",IF(N536=_xlfn.MINIFS($N$2:$N$5001,$B$2:$B$5001,B536,$E$2:$E$5001,"Em ajustes"),1,0),0))</f>
        <v/>
      </c>
      <c r="N536" s="17" t="str">
        <f aca="false">IF(A536="","",IF(ISNUMBER(A536),A536,IFERROR(DATE(VALUE(MID(A536,7,4)),VALUE(MID(A536,4,2)),VALUE(MID(A536,1,2)))+TIME(VALUE(MID(A536,12,2)),VALUE(MID(A536,15,2)),VALUE(MID(A536,18,2))),"")))</f>
        <v/>
      </c>
    </row>
    <row r="537" customFormat="false" ht="15" hidden="false" customHeight="false" outlineLevel="0" collapsed="false">
      <c r="I537" s="15" t="str">
        <f aca="false">IF(N537="","",INT(N537))</f>
        <v/>
      </c>
      <c r="J537" s="16" t="str">
        <f aca="false">IF(B537="","",IF(N537=_xlfn.MINIFS($N$2:$N$5001,$B$2:$B$5001,B537),1,0))</f>
        <v/>
      </c>
      <c r="K537" s="16" t="str">
        <f aca="false">IF(B537="","",IF(AND(D537="Formalização",E537="Concluído"),IF(COUNTIFS($B$2:$B$5001,B537,$E$2:$E$5001,"Em ajustes",$N$2:$N$5001,"&lt;"&amp;I537)&gt;0,1,0),0))</f>
        <v/>
      </c>
      <c r="L537" s="16" t="str">
        <f aca="false">IF(B537="","",IF(N537=_xlfn.MAXIFS($N$2:$N$5001,$B$2:$B$5001,B537,$I$2:$I$5001,I537),1,0))</f>
        <v/>
      </c>
      <c r="M537" s="16" t="str">
        <f aca="false">IF(B537="","",IF(E537="Em ajustes",IF(N537=_xlfn.MINIFS($N$2:$N$5001,$B$2:$B$5001,B537,$E$2:$E$5001,"Em ajustes"),1,0),0))</f>
        <v/>
      </c>
      <c r="N537" s="17" t="str">
        <f aca="false">IF(A537="","",IF(ISNUMBER(A537),A537,IFERROR(DATE(VALUE(MID(A537,7,4)),VALUE(MID(A537,4,2)),VALUE(MID(A537,1,2)))+TIME(VALUE(MID(A537,12,2)),VALUE(MID(A537,15,2)),VALUE(MID(A537,18,2))),"")))</f>
        <v/>
      </c>
    </row>
    <row r="538" customFormat="false" ht="15" hidden="false" customHeight="false" outlineLevel="0" collapsed="false">
      <c r="I538" s="15" t="str">
        <f aca="false">IF(N538="","",INT(N538))</f>
        <v/>
      </c>
      <c r="J538" s="16" t="str">
        <f aca="false">IF(B538="","",IF(N538=_xlfn.MINIFS($N$2:$N$5001,$B$2:$B$5001,B538),1,0))</f>
        <v/>
      </c>
      <c r="K538" s="16" t="str">
        <f aca="false">IF(B538="","",IF(AND(D538="Formalização",E538="Concluído"),IF(COUNTIFS($B$2:$B$5001,B538,$E$2:$E$5001,"Em ajustes",$N$2:$N$5001,"&lt;"&amp;I538)&gt;0,1,0),0))</f>
        <v/>
      </c>
      <c r="L538" s="16" t="str">
        <f aca="false">IF(B538="","",IF(N538=_xlfn.MAXIFS($N$2:$N$5001,$B$2:$B$5001,B538,$I$2:$I$5001,I538),1,0))</f>
        <v/>
      </c>
      <c r="M538" s="16" t="str">
        <f aca="false">IF(B538="","",IF(E538="Em ajustes",IF(N538=_xlfn.MINIFS($N$2:$N$5001,$B$2:$B$5001,B538,$E$2:$E$5001,"Em ajustes"),1,0),0))</f>
        <v/>
      </c>
      <c r="N538" s="17" t="str">
        <f aca="false">IF(A538="","",IF(ISNUMBER(A538),A538,IFERROR(DATE(VALUE(MID(A538,7,4)),VALUE(MID(A538,4,2)),VALUE(MID(A538,1,2)))+TIME(VALUE(MID(A538,12,2)),VALUE(MID(A538,15,2)),VALUE(MID(A538,18,2))),"")))</f>
        <v/>
      </c>
    </row>
    <row r="539" customFormat="false" ht="15" hidden="false" customHeight="false" outlineLevel="0" collapsed="false">
      <c r="I539" s="15" t="str">
        <f aca="false">IF(N539="","",INT(N539))</f>
        <v/>
      </c>
      <c r="J539" s="16" t="str">
        <f aca="false">IF(B539="","",IF(N539=_xlfn.MINIFS($N$2:$N$5001,$B$2:$B$5001,B539),1,0))</f>
        <v/>
      </c>
      <c r="K539" s="16" t="str">
        <f aca="false">IF(B539="","",IF(AND(D539="Formalização",E539="Concluído"),IF(COUNTIFS($B$2:$B$5001,B539,$E$2:$E$5001,"Em ajustes",$N$2:$N$5001,"&lt;"&amp;I539)&gt;0,1,0),0))</f>
        <v/>
      </c>
      <c r="L539" s="16" t="str">
        <f aca="false">IF(B539="","",IF(N539=_xlfn.MAXIFS($N$2:$N$5001,$B$2:$B$5001,B539,$I$2:$I$5001,I539),1,0))</f>
        <v/>
      </c>
      <c r="M539" s="16" t="str">
        <f aca="false">IF(B539="","",IF(E539="Em ajustes",IF(N539=_xlfn.MINIFS($N$2:$N$5001,$B$2:$B$5001,B539,$E$2:$E$5001,"Em ajustes"),1,0),0))</f>
        <v/>
      </c>
      <c r="N539" s="17" t="str">
        <f aca="false">IF(A539="","",IF(ISNUMBER(A539),A539,IFERROR(DATE(VALUE(MID(A539,7,4)),VALUE(MID(A539,4,2)),VALUE(MID(A539,1,2)))+TIME(VALUE(MID(A539,12,2)),VALUE(MID(A539,15,2)),VALUE(MID(A539,18,2))),"")))</f>
        <v/>
      </c>
    </row>
    <row r="540" customFormat="false" ht="15" hidden="false" customHeight="false" outlineLevel="0" collapsed="false">
      <c r="I540" s="15" t="str">
        <f aca="false">IF(N540="","",INT(N540))</f>
        <v/>
      </c>
      <c r="J540" s="16" t="str">
        <f aca="false">IF(B540="","",IF(N540=_xlfn.MINIFS($N$2:$N$5001,$B$2:$B$5001,B540),1,0))</f>
        <v/>
      </c>
      <c r="K540" s="16" t="str">
        <f aca="false">IF(B540="","",IF(AND(D540="Formalização",E540="Concluído"),IF(COUNTIFS($B$2:$B$5001,B540,$E$2:$E$5001,"Em ajustes",$N$2:$N$5001,"&lt;"&amp;I540)&gt;0,1,0),0))</f>
        <v/>
      </c>
      <c r="L540" s="16" t="str">
        <f aca="false">IF(B540="","",IF(N540=_xlfn.MAXIFS($N$2:$N$5001,$B$2:$B$5001,B540,$I$2:$I$5001,I540),1,0))</f>
        <v/>
      </c>
      <c r="M540" s="16" t="str">
        <f aca="false">IF(B540="","",IF(E540="Em ajustes",IF(N540=_xlfn.MINIFS($N$2:$N$5001,$B$2:$B$5001,B540,$E$2:$E$5001,"Em ajustes"),1,0),0))</f>
        <v/>
      </c>
      <c r="N540" s="17" t="str">
        <f aca="false">IF(A540="","",IF(ISNUMBER(A540),A540,IFERROR(DATE(VALUE(MID(A540,7,4)),VALUE(MID(A540,4,2)),VALUE(MID(A540,1,2)))+TIME(VALUE(MID(A540,12,2)),VALUE(MID(A540,15,2)),VALUE(MID(A540,18,2))),"")))</f>
        <v/>
      </c>
    </row>
    <row r="541" customFormat="false" ht="15" hidden="false" customHeight="false" outlineLevel="0" collapsed="false">
      <c r="I541" s="15" t="str">
        <f aca="false">IF(N541="","",INT(N541))</f>
        <v/>
      </c>
      <c r="J541" s="16" t="str">
        <f aca="false">IF(B541="","",IF(N541=_xlfn.MINIFS($N$2:$N$5001,$B$2:$B$5001,B541),1,0))</f>
        <v/>
      </c>
      <c r="K541" s="16" t="str">
        <f aca="false">IF(B541="","",IF(AND(D541="Formalização",E541="Concluído"),IF(COUNTIFS($B$2:$B$5001,B541,$E$2:$E$5001,"Em ajustes",$N$2:$N$5001,"&lt;"&amp;I541)&gt;0,1,0),0))</f>
        <v/>
      </c>
      <c r="L541" s="16" t="str">
        <f aca="false">IF(B541="","",IF(N541=_xlfn.MAXIFS($N$2:$N$5001,$B$2:$B$5001,B541,$I$2:$I$5001,I541),1,0))</f>
        <v/>
      </c>
      <c r="M541" s="16" t="str">
        <f aca="false">IF(B541="","",IF(E541="Em ajustes",IF(N541=_xlfn.MINIFS($N$2:$N$5001,$B$2:$B$5001,B541,$E$2:$E$5001,"Em ajustes"),1,0),0))</f>
        <v/>
      </c>
      <c r="N541" s="17" t="str">
        <f aca="false">IF(A541="","",IF(ISNUMBER(A541),A541,IFERROR(DATE(VALUE(MID(A541,7,4)),VALUE(MID(A541,4,2)),VALUE(MID(A541,1,2)))+TIME(VALUE(MID(A541,12,2)),VALUE(MID(A541,15,2)),VALUE(MID(A541,18,2))),"")))</f>
        <v/>
      </c>
    </row>
    <row r="542" customFormat="false" ht="15" hidden="false" customHeight="false" outlineLevel="0" collapsed="false">
      <c r="I542" s="15" t="str">
        <f aca="false">IF(N542="","",INT(N542))</f>
        <v/>
      </c>
      <c r="J542" s="16" t="str">
        <f aca="false">IF(B542="","",IF(N542=_xlfn.MINIFS($N$2:$N$5001,$B$2:$B$5001,B542),1,0))</f>
        <v/>
      </c>
      <c r="K542" s="16" t="str">
        <f aca="false">IF(B542="","",IF(AND(D542="Formalização",E542="Concluído"),IF(COUNTIFS($B$2:$B$5001,B542,$E$2:$E$5001,"Em ajustes",$N$2:$N$5001,"&lt;"&amp;I542)&gt;0,1,0),0))</f>
        <v/>
      </c>
      <c r="L542" s="16" t="str">
        <f aca="false">IF(B542="","",IF(N542=_xlfn.MAXIFS($N$2:$N$5001,$B$2:$B$5001,B542,$I$2:$I$5001,I542),1,0))</f>
        <v/>
      </c>
      <c r="M542" s="16" t="str">
        <f aca="false">IF(B542="","",IF(E542="Em ajustes",IF(N542=_xlfn.MINIFS($N$2:$N$5001,$B$2:$B$5001,B542,$E$2:$E$5001,"Em ajustes"),1,0),0))</f>
        <v/>
      </c>
      <c r="N542" s="17" t="str">
        <f aca="false">IF(A542="","",IF(ISNUMBER(A542),A542,IFERROR(DATE(VALUE(MID(A542,7,4)),VALUE(MID(A542,4,2)),VALUE(MID(A542,1,2)))+TIME(VALUE(MID(A542,12,2)),VALUE(MID(A542,15,2)),VALUE(MID(A542,18,2))),"")))</f>
        <v/>
      </c>
    </row>
    <row r="543" customFormat="false" ht="15" hidden="false" customHeight="false" outlineLevel="0" collapsed="false">
      <c r="I543" s="15" t="str">
        <f aca="false">IF(N543="","",INT(N543))</f>
        <v/>
      </c>
      <c r="J543" s="16" t="str">
        <f aca="false">IF(B543="","",IF(N543=_xlfn.MINIFS($N$2:$N$5001,$B$2:$B$5001,B543),1,0))</f>
        <v/>
      </c>
      <c r="K543" s="16" t="str">
        <f aca="false">IF(B543="","",IF(AND(D543="Formalização",E543="Concluído"),IF(COUNTIFS($B$2:$B$5001,B543,$E$2:$E$5001,"Em ajustes",$N$2:$N$5001,"&lt;"&amp;I543)&gt;0,1,0),0))</f>
        <v/>
      </c>
      <c r="L543" s="16" t="str">
        <f aca="false">IF(B543="","",IF(N543=_xlfn.MAXIFS($N$2:$N$5001,$B$2:$B$5001,B543,$I$2:$I$5001,I543),1,0))</f>
        <v/>
      </c>
      <c r="M543" s="16" t="str">
        <f aca="false">IF(B543="","",IF(E543="Em ajustes",IF(N543=_xlfn.MINIFS($N$2:$N$5001,$B$2:$B$5001,B543,$E$2:$E$5001,"Em ajustes"),1,0),0))</f>
        <v/>
      </c>
      <c r="N543" s="17" t="str">
        <f aca="false">IF(A543="","",IF(ISNUMBER(A543),A543,IFERROR(DATE(VALUE(MID(A543,7,4)),VALUE(MID(A543,4,2)),VALUE(MID(A543,1,2)))+TIME(VALUE(MID(A543,12,2)),VALUE(MID(A543,15,2)),VALUE(MID(A543,18,2))),"")))</f>
        <v/>
      </c>
    </row>
    <row r="544" customFormat="false" ht="15" hidden="false" customHeight="false" outlineLevel="0" collapsed="false">
      <c r="I544" s="15" t="str">
        <f aca="false">IF(N544="","",INT(N544))</f>
        <v/>
      </c>
      <c r="J544" s="16" t="str">
        <f aca="false">IF(B544="","",IF(N544=_xlfn.MINIFS($N$2:$N$5001,$B$2:$B$5001,B544),1,0))</f>
        <v/>
      </c>
      <c r="K544" s="16" t="str">
        <f aca="false">IF(B544="","",IF(AND(D544="Formalização",E544="Concluído"),IF(COUNTIFS($B$2:$B$5001,B544,$E$2:$E$5001,"Em ajustes",$N$2:$N$5001,"&lt;"&amp;I544)&gt;0,1,0),0))</f>
        <v/>
      </c>
      <c r="L544" s="16" t="str">
        <f aca="false">IF(B544="","",IF(N544=_xlfn.MAXIFS($N$2:$N$5001,$B$2:$B$5001,B544,$I$2:$I$5001,I544),1,0))</f>
        <v/>
      </c>
      <c r="M544" s="16" t="str">
        <f aca="false">IF(B544="","",IF(E544="Em ajustes",IF(N544=_xlfn.MINIFS($N$2:$N$5001,$B$2:$B$5001,B544,$E$2:$E$5001,"Em ajustes"),1,0),0))</f>
        <v/>
      </c>
      <c r="N544" s="17" t="str">
        <f aca="false">IF(A544="","",IF(ISNUMBER(A544),A544,IFERROR(DATE(VALUE(MID(A544,7,4)),VALUE(MID(A544,4,2)),VALUE(MID(A544,1,2)))+TIME(VALUE(MID(A544,12,2)),VALUE(MID(A544,15,2)),VALUE(MID(A544,18,2))),"")))</f>
        <v/>
      </c>
    </row>
    <row r="545" customFormat="false" ht="15" hidden="false" customHeight="false" outlineLevel="0" collapsed="false">
      <c r="I545" s="15" t="str">
        <f aca="false">IF(N545="","",INT(N545))</f>
        <v/>
      </c>
      <c r="J545" s="16" t="str">
        <f aca="false">IF(B545="","",IF(N545=_xlfn.MINIFS($N$2:$N$5001,$B$2:$B$5001,B545),1,0))</f>
        <v/>
      </c>
      <c r="K545" s="16" t="str">
        <f aca="false">IF(B545="","",IF(AND(D545="Formalização",E545="Concluído"),IF(COUNTIFS($B$2:$B$5001,B545,$E$2:$E$5001,"Em ajustes",$N$2:$N$5001,"&lt;"&amp;I545)&gt;0,1,0),0))</f>
        <v/>
      </c>
      <c r="L545" s="16" t="str">
        <f aca="false">IF(B545="","",IF(N545=_xlfn.MAXIFS($N$2:$N$5001,$B$2:$B$5001,B545,$I$2:$I$5001,I545),1,0))</f>
        <v/>
      </c>
      <c r="M545" s="16" t="str">
        <f aca="false">IF(B545="","",IF(E545="Em ajustes",IF(N545=_xlfn.MINIFS($N$2:$N$5001,$B$2:$B$5001,B545,$E$2:$E$5001,"Em ajustes"),1,0),0))</f>
        <v/>
      </c>
      <c r="N545" s="17" t="str">
        <f aca="false">IF(A545="","",IF(ISNUMBER(A545),A545,IFERROR(DATE(VALUE(MID(A545,7,4)),VALUE(MID(A545,4,2)),VALUE(MID(A545,1,2)))+TIME(VALUE(MID(A545,12,2)),VALUE(MID(A545,15,2)),VALUE(MID(A545,18,2))),"")))</f>
        <v/>
      </c>
    </row>
    <row r="546" customFormat="false" ht="15" hidden="false" customHeight="false" outlineLevel="0" collapsed="false">
      <c r="I546" s="15" t="str">
        <f aca="false">IF(N546="","",INT(N546))</f>
        <v/>
      </c>
      <c r="J546" s="16" t="str">
        <f aca="false">IF(B546="","",IF(N546=_xlfn.MINIFS($N$2:$N$5001,$B$2:$B$5001,B546),1,0))</f>
        <v/>
      </c>
      <c r="K546" s="16" t="str">
        <f aca="false">IF(B546="","",IF(AND(D546="Formalização",E546="Concluído"),IF(COUNTIFS($B$2:$B$5001,B546,$E$2:$E$5001,"Em ajustes",$N$2:$N$5001,"&lt;"&amp;I546)&gt;0,1,0),0))</f>
        <v/>
      </c>
      <c r="L546" s="16" t="str">
        <f aca="false">IF(B546="","",IF(N546=_xlfn.MAXIFS($N$2:$N$5001,$B$2:$B$5001,B546,$I$2:$I$5001,I546),1,0))</f>
        <v/>
      </c>
      <c r="M546" s="16" t="str">
        <f aca="false">IF(B546="","",IF(E546="Em ajustes",IF(N546=_xlfn.MINIFS($N$2:$N$5001,$B$2:$B$5001,B546,$E$2:$E$5001,"Em ajustes"),1,0),0))</f>
        <v/>
      </c>
      <c r="N546" s="17" t="str">
        <f aca="false">IF(A546="","",IF(ISNUMBER(A546),A546,IFERROR(DATE(VALUE(MID(A546,7,4)),VALUE(MID(A546,4,2)),VALUE(MID(A546,1,2)))+TIME(VALUE(MID(A546,12,2)),VALUE(MID(A546,15,2)),VALUE(MID(A546,18,2))),"")))</f>
        <v/>
      </c>
    </row>
    <row r="547" customFormat="false" ht="15" hidden="false" customHeight="false" outlineLevel="0" collapsed="false">
      <c r="I547" s="15" t="str">
        <f aca="false">IF(N547="","",INT(N547))</f>
        <v/>
      </c>
      <c r="J547" s="16" t="str">
        <f aca="false">IF(B547="","",IF(N547=_xlfn.MINIFS($N$2:$N$5001,$B$2:$B$5001,B547),1,0))</f>
        <v/>
      </c>
      <c r="K547" s="16" t="str">
        <f aca="false">IF(B547="","",IF(AND(D547="Formalização",E547="Concluído"),IF(COUNTIFS($B$2:$B$5001,B547,$E$2:$E$5001,"Em ajustes",$N$2:$N$5001,"&lt;"&amp;I547)&gt;0,1,0),0))</f>
        <v/>
      </c>
      <c r="L547" s="16" t="str">
        <f aca="false">IF(B547="","",IF(N547=_xlfn.MAXIFS($N$2:$N$5001,$B$2:$B$5001,B547,$I$2:$I$5001,I547),1,0))</f>
        <v/>
      </c>
      <c r="M547" s="16" t="str">
        <f aca="false">IF(B547="","",IF(E547="Em ajustes",IF(N547=_xlfn.MINIFS($N$2:$N$5001,$B$2:$B$5001,B547,$E$2:$E$5001,"Em ajustes"),1,0),0))</f>
        <v/>
      </c>
      <c r="N547" s="17" t="str">
        <f aca="false">IF(A547="","",IF(ISNUMBER(A547),A547,IFERROR(DATE(VALUE(MID(A547,7,4)),VALUE(MID(A547,4,2)),VALUE(MID(A547,1,2)))+TIME(VALUE(MID(A547,12,2)),VALUE(MID(A547,15,2)),VALUE(MID(A547,18,2))),"")))</f>
        <v/>
      </c>
    </row>
    <row r="548" customFormat="false" ht="15" hidden="false" customHeight="false" outlineLevel="0" collapsed="false">
      <c r="I548" s="15" t="str">
        <f aca="false">IF(N548="","",INT(N548))</f>
        <v/>
      </c>
      <c r="J548" s="16" t="str">
        <f aca="false">IF(B548="","",IF(N548=_xlfn.MINIFS($N$2:$N$5001,$B$2:$B$5001,B548),1,0))</f>
        <v/>
      </c>
      <c r="K548" s="16" t="str">
        <f aca="false">IF(B548="","",IF(AND(D548="Formalização",E548="Concluído"),IF(COUNTIFS($B$2:$B$5001,B548,$E$2:$E$5001,"Em ajustes",$N$2:$N$5001,"&lt;"&amp;I548)&gt;0,1,0),0))</f>
        <v/>
      </c>
      <c r="L548" s="16" t="str">
        <f aca="false">IF(B548="","",IF(N548=_xlfn.MAXIFS($N$2:$N$5001,$B$2:$B$5001,B548,$I$2:$I$5001,I548),1,0))</f>
        <v/>
      </c>
      <c r="M548" s="16" t="str">
        <f aca="false">IF(B548="","",IF(E548="Em ajustes",IF(N548=_xlfn.MINIFS($N$2:$N$5001,$B$2:$B$5001,B548,$E$2:$E$5001,"Em ajustes"),1,0),0))</f>
        <v/>
      </c>
      <c r="N548" s="17" t="str">
        <f aca="false">IF(A548="","",IF(ISNUMBER(A548),A548,IFERROR(DATE(VALUE(MID(A548,7,4)),VALUE(MID(A548,4,2)),VALUE(MID(A548,1,2)))+TIME(VALUE(MID(A548,12,2)),VALUE(MID(A548,15,2)),VALUE(MID(A548,18,2))),"")))</f>
        <v/>
      </c>
    </row>
    <row r="549" customFormat="false" ht="15" hidden="false" customHeight="false" outlineLevel="0" collapsed="false">
      <c r="I549" s="15" t="str">
        <f aca="false">IF(N549="","",INT(N549))</f>
        <v/>
      </c>
      <c r="J549" s="16" t="str">
        <f aca="false">IF(B549="","",IF(N549=_xlfn.MINIFS($N$2:$N$5001,$B$2:$B$5001,B549),1,0))</f>
        <v/>
      </c>
      <c r="K549" s="16" t="str">
        <f aca="false">IF(B549="","",IF(AND(D549="Formalização",E549="Concluído"),IF(COUNTIFS($B$2:$B$5001,B549,$E$2:$E$5001,"Em ajustes",$N$2:$N$5001,"&lt;"&amp;I549)&gt;0,1,0),0))</f>
        <v/>
      </c>
      <c r="L549" s="16" t="str">
        <f aca="false">IF(B549="","",IF(N549=_xlfn.MAXIFS($N$2:$N$5001,$B$2:$B$5001,B549,$I$2:$I$5001,I549),1,0))</f>
        <v/>
      </c>
      <c r="M549" s="16" t="str">
        <f aca="false">IF(B549="","",IF(E549="Em ajustes",IF(N549=_xlfn.MINIFS($N$2:$N$5001,$B$2:$B$5001,B549,$E$2:$E$5001,"Em ajustes"),1,0),0))</f>
        <v/>
      </c>
      <c r="N549" s="17" t="str">
        <f aca="false">IF(A549="","",IF(ISNUMBER(A549),A549,IFERROR(DATE(VALUE(MID(A549,7,4)),VALUE(MID(A549,4,2)),VALUE(MID(A549,1,2)))+TIME(VALUE(MID(A549,12,2)),VALUE(MID(A549,15,2)),VALUE(MID(A549,18,2))),"")))</f>
        <v/>
      </c>
    </row>
    <row r="550" customFormat="false" ht="15" hidden="false" customHeight="false" outlineLevel="0" collapsed="false">
      <c r="I550" s="15" t="str">
        <f aca="false">IF(N550="","",INT(N550))</f>
        <v/>
      </c>
      <c r="J550" s="16" t="str">
        <f aca="false">IF(B550="","",IF(N550=_xlfn.MINIFS($N$2:$N$5001,$B$2:$B$5001,B550),1,0))</f>
        <v/>
      </c>
      <c r="K550" s="16" t="str">
        <f aca="false">IF(B550="","",IF(AND(D550="Formalização",E550="Concluído"),IF(COUNTIFS($B$2:$B$5001,B550,$E$2:$E$5001,"Em ajustes",$N$2:$N$5001,"&lt;"&amp;I550)&gt;0,1,0),0))</f>
        <v/>
      </c>
      <c r="L550" s="16" t="str">
        <f aca="false">IF(B550="","",IF(N550=_xlfn.MAXIFS($N$2:$N$5001,$B$2:$B$5001,B550,$I$2:$I$5001,I550),1,0))</f>
        <v/>
      </c>
      <c r="M550" s="16" t="str">
        <f aca="false">IF(B550="","",IF(E550="Em ajustes",IF(N550=_xlfn.MINIFS($N$2:$N$5001,$B$2:$B$5001,B550,$E$2:$E$5001,"Em ajustes"),1,0),0))</f>
        <v/>
      </c>
      <c r="N550" s="17" t="str">
        <f aca="false">IF(A550="","",IF(ISNUMBER(A550),A550,IFERROR(DATE(VALUE(MID(A550,7,4)),VALUE(MID(A550,4,2)),VALUE(MID(A550,1,2)))+TIME(VALUE(MID(A550,12,2)),VALUE(MID(A550,15,2)),VALUE(MID(A550,18,2))),"")))</f>
        <v/>
      </c>
    </row>
    <row r="551" customFormat="false" ht="15" hidden="false" customHeight="false" outlineLevel="0" collapsed="false">
      <c r="I551" s="15" t="str">
        <f aca="false">IF(N551="","",INT(N551))</f>
        <v/>
      </c>
      <c r="J551" s="16" t="str">
        <f aca="false">IF(B551="","",IF(N551=_xlfn.MINIFS($N$2:$N$5001,$B$2:$B$5001,B551),1,0))</f>
        <v/>
      </c>
      <c r="K551" s="16" t="str">
        <f aca="false">IF(B551="","",IF(AND(D551="Formalização",E551="Concluído"),IF(COUNTIFS($B$2:$B$5001,B551,$E$2:$E$5001,"Em ajustes",$N$2:$N$5001,"&lt;"&amp;I551)&gt;0,1,0),0))</f>
        <v/>
      </c>
      <c r="L551" s="16" t="str">
        <f aca="false">IF(B551="","",IF(N551=_xlfn.MAXIFS($N$2:$N$5001,$B$2:$B$5001,B551,$I$2:$I$5001,I551),1,0))</f>
        <v/>
      </c>
      <c r="M551" s="16" t="str">
        <f aca="false">IF(B551="","",IF(E551="Em ajustes",IF(N551=_xlfn.MINIFS($N$2:$N$5001,$B$2:$B$5001,B551,$E$2:$E$5001,"Em ajustes"),1,0),0))</f>
        <v/>
      </c>
      <c r="N551" s="17" t="str">
        <f aca="false">IF(A551="","",IF(ISNUMBER(A551),A551,IFERROR(DATE(VALUE(MID(A551,7,4)),VALUE(MID(A551,4,2)),VALUE(MID(A551,1,2)))+TIME(VALUE(MID(A551,12,2)),VALUE(MID(A551,15,2)),VALUE(MID(A551,18,2))),"")))</f>
        <v/>
      </c>
    </row>
    <row r="552" customFormat="false" ht="15" hidden="false" customHeight="false" outlineLevel="0" collapsed="false">
      <c r="I552" s="15" t="str">
        <f aca="false">IF(N552="","",INT(N552))</f>
        <v/>
      </c>
      <c r="J552" s="16" t="str">
        <f aca="false">IF(B552="","",IF(N552=_xlfn.MINIFS($N$2:$N$5001,$B$2:$B$5001,B552),1,0))</f>
        <v/>
      </c>
      <c r="K552" s="16" t="str">
        <f aca="false">IF(B552="","",IF(AND(D552="Formalização",E552="Concluído"),IF(COUNTIFS($B$2:$B$5001,B552,$E$2:$E$5001,"Em ajustes",$N$2:$N$5001,"&lt;"&amp;I552)&gt;0,1,0),0))</f>
        <v/>
      </c>
      <c r="L552" s="16" t="str">
        <f aca="false">IF(B552="","",IF(N552=_xlfn.MAXIFS($N$2:$N$5001,$B$2:$B$5001,B552,$I$2:$I$5001,I552),1,0))</f>
        <v/>
      </c>
      <c r="M552" s="16" t="str">
        <f aca="false">IF(B552="","",IF(E552="Em ajustes",IF(N552=_xlfn.MINIFS($N$2:$N$5001,$B$2:$B$5001,B552,$E$2:$E$5001,"Em ajustes"),1,0),0))</f>
        <v/>
      </c>
      <c r="N552" s="17" t="str">
        <f aca="false">IF(A552="","",IF(ISNUMBER(A552),A552,IFERROR(DATE(VALUE(MID(A552,7,4)),VALUE(MID(A552,4,2)),VALUE(MID(A552,1,2)))+TIME(VALUE(MID(A552,12,2)),VALUE(MID(A552,15,2)),VALUE(MID(A552,18,2))),"")))</f>
        <v/>
      </c>
    </row>
    <row r="553" customFormat="false" ht="15" hidden="false" customHeight="false" outlineLevel="0" collapsed="false">
      <c r="I553" s="15" t="str">
        <f aca="false">IF(N553="","",INT(N553))</f>
        <v/>
      </c>
      <c r="J553" s="16" t="str">
        <f aca="false">IF(B553="","",IF(N553=_xlfn.MINIFS($N$2:$N$5001,$B$2:$B$5001,B553),1,0))</f>
        <v/>
      </c>
      <c r="K553" s="16" t="str">
        <f aca="false">IF(B553="","",IF(AND(D553="Formalização",E553="Concluído"),IF(COUNTIFS($B$2:$B$5001,B553,$E$2:$E$5001,"Em ajustes",$N$2:$N$5001,"&lt;"&amp;I553)&gt;0,1,0),0))</f>
        <v/>
      </c>
      <c r="L553" s="16" t="str">
        <f aca="false">IF(B553="","",IF(N553=_xlfn.MAXIFS($N$2:$N$5001,$B$2:$B$5001,B553,$I$2:$I$5001,I553),1,0))</f>
        <v/>
      </c>
      <c r="M553" s="16" t="str">
        <f aca="false">IF(B553="","",IF(E553="Em ajustes",IF(N553=_xlfn.MINIFS($N$2:$N$5001,$B$2:$B$5001,B553,$E$2:$E$5001,"Em ajustes"),1,0),0))</f>
        <v/>
      </c>
      <c r="N553" s="17" t="str">
        <f aca="false">IF(A553="","",IF(ISNUMBER(A553),A553,IFERROR(DATE(VALUE(MID(A553,7,4)),VALUE(MID(A553,4,2)),VALUE(MID(A553,1,2)))+TIME(VALUE(MID(A553,12,2)),VALUE(MID(A553,15,2)),VALUE(MID(A553,18,2))),"")))</f>
        <v/>
      </c>
    </row>
    <row r="554" customFormat="false" ht="15" hidden="false" customHeight="false" outlineLevel="0" collapsed="false">
      <c r="I554" s="15" t="str">
        <f aca="false">IF(N554="","",INT(N554))</f>
        <v/>
      </c>
      <c r="J554" s="16" t="str">
        <f aca="false">IF(B554="","",IF(N554=_xlfn.MINIFS($N$2:$N$5001,$B$2:$B$5001,B554),1,0))</f>
        <v/>
      </c>
      <c r="K554" s="16" t="str">
        <f aca="false">IF(B554="","",IF(AND(D554="Formalização",E554="Concluído"),IF(COUNTIFS($B$2:$B$5001,B554,$E$2:$E$5001,"Em ajustes",$N$2:$N$5001,"&lt;"&amp;I554)&gt;0,1,0),0))</f>
        <v/>
      </c>
      <c r="L554" s="16" t="str">
        <f aca="false">IF(B554="","",IF(N554=_xlfn.MAXIFS($N$2:$N$5001,$B$2:$B$5001,B554,$I$2:$I$5001,I554),1,0))</f>
        <v/>
      </c>
      <c r="M554" s="16" t="str">
        <f aca="false">IF(B554="","",IF(E554="Em ajustes",IF(N554=_xlfn.MINIFS($N$2:$N$5001,$B$2:$B$5001,B554,$E$2:$E$5001,"Em ajustes"),1,0),0))</f>
        <v/>
      </c>
      <c r="N554" s="17" t="str">
        <f aca="false">IF(A554="","",IF(ISNUMBER(A554),A554,IFERROR(DATE(VALUE(MID(A554,7,4)),VALUE(MID(A554,4,2)),VALUE(MID(A554,1,2)))+TIME(VALUE(MID(A554,12,2)),VALUE(MID(A554,15,2)),VALUE(MID(A554,18,2))),"")))</f>
        <v/>
      </c>
    </row>
    <row r="555" customFormat="false" ht="15" hidden="false" customHeight="false" outlineLevel="0" collapsed="false">
      <c r="I555" s="15" t="str">
        <f aca="false">IF(N555="","",INT(N555))</f>
        <v/>
      </c>
      <c r="J555" s="16" t="str">
        <f aca="false">IF(B555="","",IF(N555=_xlfn.MINIFS($N$2:$N$5001,$B$2:$B$5001,B555),1,0))</f>
        <v/>
      </c>
      <c r="K555" s="16" t="str">
        <f aca="false">IF(B555="","",IF(AND(D555="Formalização",E555="Concluído"),IF(COUNTIFS($B$2:$B$5001,B555,$E$2:$E$5001,"Em ajustes",$N$2:$N$5001,"&lt;"&amp;I555)&gt;0,1,0),0))</f>
        <v/>
      </c>
      <c r="L555" s="16" t="str">
        <f aca="false">IF(B555="","",IF(N555=_xlfn.MAXIFS($N$2:$N$5001,$B$2:$B$5001,B555,$I$2:$I$5001,I555),1,0))</f>
        <v/>
      </c>
      <c r="M555" s="16" t="str">
        <f aca="false">IF(B555="","",IF(E555="Em ajustes",IF(N555=_xlfn.MINIFS($N$2:$N$5001,$B$2:$B$5001,B555,$E$2:$E$5001,"Em ajustes"),1,0),0))</f>
        <v/>
      </c>
      <c r="N555" s="17" t="str">
        <f aca="false">IF(A555="","",IF(ISNUMBER(A555),A555,IFERROR(DATE(VALUE(MID(A555,7,4)),VALUE(MID(A555,4,2)),VALUE(MID(A555,1,2)))+TIME(VALUE(MID(A555,12,2)),VALUE(MID(A555,15,2)),VALUE(MID(A555,18,2))),"")))</f>
        <v/>
      </c>
    </row>
    <row r="556" customFormat="false" ht="15" hidden="false" customHeight="false" outlineLevel="0" collapsed="false">
      <c r="I556" s="15" t="str">
        <f aca="false">IF(N556="","",INT(N556))</f>
        <v/>
      </c>
      <c r="J556" s="16" t="str">
        <f aca="false">IF(B556="","",IF(N556=_xlfn.MINIFS($N$2:$N$5001,$B$2:$B$5001,B556),1,0))</f>
        <v/>
      </c>
      <c r="K556" s="16" t="str">
        <f aca="false">IF(B556="","",IF(AND(D556="Formalização",E556="Concluído"),IF(COUNTIFS($B$2:$B$5001,B556,$E$2:$E$5001,"Em ajustes",$N$2:$N$5001,"&lt;"&amp;I556)&gt;0,1,0),0))</f>
        <v/>
      </c>
      <c r="L556" s="16" t="str">
        <f aca="false">IF(B556="","",IF(N556=_xlfn.MAXIFS($N$2:$N$5001,$B$2:$B$5001,B556,$I$2:$I$5001,I556),1,0))</f>
        <v/>
      </c>
      <c r="M556" s="16" t="str">
        <f aca="false">IF(B556="","",IF(E556="Em ajustes",IF(N556=_xlfn.MINIFS($N$2:$N$5001,$B$2:$B$5001,B556,$E$2:$E$5001,"Em ajustes"),1,0),0))</f>
        <v/>
      </c>
      <c r="N556" s="17" t="str">
        <f aca="false">IF(A556="","",IF(ISNUMBER(A556),A556,IFERROR(DATE(VALUE(MID(A556,7,4)),VALUE(MID(A556,4,2)),VALUE(MID(A556,1,2)))+TIME(VALUE(MID(A556,12,2)),VALUE(MID(A556,15,2)),VALUE(MID(A556,18,2))),"")))</f>
        <v/>
      </c>
    </row>
    <row r="557" customFormat="false" ht="15" hidden="false" customHeight="false" outlineLevel="0" collapsed="false">
      <c r="I557" s="15" t="str">
        <f aca="false">IF(N557="","",INT(N557))</f>
        <v/>
      </c>
      <c r="J557" s="16" t="str">
        <f aca="false">IF(B557="","",IF(N557=_xlfn.MINIFS($N$2:$N$5001,$B$2:$B$5001,B557),1,0))</f>
        <v/>
      </c>
      <c r="K557" s="16" t="str">
        <f aca="false">IF(B557="","",IF(AND(D557="Formalização",E557="Concluído"),IF(COUNTIFS($B$2:$B$5001,B557,$E$2:$E$5001,"Em ajustes",$N$2:$N$5001,"&lt;"&amp;I557)&gt;0,1,0),0))</f>
        <v/>
      </c>
      <c r="L557" s="16" t="str">
        <f aca="false">IF(B557="","",IF(N557=_xlfn.MAXIFS($N$2:$N$5001,$B$2:$B$5001,B557,$I$2:$I$5001,I557),1,0))</f>
        <v/>
      </c>
      <c r="M557" s="16" t="str">
        <f aca="false">IF(B557="","",IF(E557="Em ajustes",IF(N557=_xlfn.MINIFS($N$2:$N$5001,$B$2:$B$5001,B557,$E$2:$E$5001,"Em ajustes"),1,0),0))</f>
        <v/>
      </c>
      <c r="N557" s="17" t="str">
        <f aca="false">IF(A557="","",IF(ISNUMBER(A557),A557,IFERROR(DATE(VALUE(MID(A557,7,4)),VALUE(MID(A557,4,2)),VALUE(MID(A557,1,2)))+TIME(VALUE(MID(A557,12,2)),VALUE(MID(A557,15,2)),VALUE(MID(A557,18,2))),"")))</f>
        <v/>
      </c>
    </row>
    <row r="558" customFormat="false" ht="15" hidden="false" customHeight="false" outlineLevel="0" collapsed="false">
      <c r="I558" s="15" t="str">
        <f aca="false">IF(N558="","",INT(N558))</f>
        <v/>
      </c>
      <c r="J558" s="16" t="str">
        <f aca="false">IF(B558="","",IF(N558=_xlfn.MINIFS($N$2:$N$5001,$B$2:$B$5001,B558),1,0))</f>
        <v/>
      </c>
      <c r="K558" s="16" t="str">
        <f aca="false">IF(B558="","",IF(AND(D558="Formalização",E558="Concluído"),IF(COUNTIFS($B$2:$B$5001,B558,$E$2:$E$5001,"Em ajustes",$N$2:$N$5001,"&lt;"&amp;I558)&gt;0,1,0),0))</f>
        <v/>
      </c>
      <c r="L558" s="16" t="str">
        <f aca="false">IF(B558="","",IF(N558=_xlfn.MAXIFS($N$2:$N$5001,$B$2:$B$5001,B558,$I$2:$I$5001,I558),1,0))</f>
        <v/>
      </c>
      <c r="M558" s="16" t="str">
        <f aca="false">IF(B558="","",IF(E558="Em ajustes",IF(N558=_xlfn.MINIFS($N$2:$N$5001,$B$2:$B$5001,B558,$E$2:$E$5001,"Em ajustes"),1,0),0))</f>
        <v/>
      </c>
      <c r="N558" s="17" t="str">
        <f aca="false">IF(A558="","",IF(ISNUMBER(A558),A558,IFERROR(DATE(VALUE(MID(A558,7,4)),VALUE(MID(A558,4,2)),VALUE(MID(A558,1,2)))+TIME(VALUE(MID(A558,12,2)),VALUE(MID(A558,15,2)),VALUE(MID(A558,18,2))),"")))</f>
        <v/>
      </c>
    </row>
    <row r="559" customFormat="false" ht="15" hidden="false" customHeight="false" outlineLevel="0" collapsed="false">
      <c r="I559" s="15" t="str">
        <f aca="false">IF(N559="","",INT(N559))</f>
        <v/>
      </c>
      <c r="J559" s="16" t="str">
        <f aca="false">IF(B559="","",IF(N559=_xlfn.MINIFS($N$2:$N$5001,$B$2:$B$5001,B559),1,0))</f>
        <v/>
      </c>
      <c r="K559" s="16" t="str">
        <f aca="false">IF(B559="","",IF(AND(D559="Formalização",E559="Concluído"),IF(COUNTIFS($B$2:$B$5001,B559,$E$2:$E$5001,"Em ajustes",$N$2:$N$5001,"&lt;"&amp;I559)&gt;0,1,0),0))</f>
        <v/>
      </c>
      <c r="L559" s="16" t="str">
        <f aca="false">IF(B559="","",IF(N559=_xlfn.MAXIFS($N$2:$N$5001,$B$2:$B$5001,B559,$I$2:$I$5001,I559),1,0))</f>
        <v/>
      </c>
      <c r="M559" s="16" t="str">
        <f aca="false">IF(B559="","",IF(E559="Em ajustes",IF(N559=_xlfn.MINIFS($N$2:$N$5001,$B$2:$B$5001,B559,$E$2:$E$5001,"Em ajustes"),1,0),0))</f>
        <v/>
      </c>
      <c r="N559" s="17" t="str">
        <f aca="false">IF(A559="","",IF(ISNUMBER(A559),A559,IFERROR(DATE(VALUE(MID(A559,7,4)),VALUE(MID(A559,4,2)),VALUE(MID(A559,1,2)))+TIME(VALUE(MID(A559,12,2)),VALUE(MID(A559,15,2)),VALUE(MID(A559,18,2))),"")))</f>
        <v/>
      </c>
    </row>
    <row r="560" customFormat="false" ht="15" hidden="false" customHeight="false" outlineLevel="0" collapsed="false">
      <c r="I560" s="15" t="str">
        <f aca="false">IF(N560="","",INT(N560))</f>
        <v/>
      </c>
      <c r="J560" s="16" t="str">
        <f aca="false">IF(B560="","",IF(N560=_xlfn.MINIFS($N$2:$N$5001,$B$2:$B$5001,B560),1,0))</f>
        <v/>
      </c>
      <c r="K560" s="16" t="str">
        <f aca="false">IF(B560="","",IF(AND(D560="Formalização",E560="Concluído"),IF(COUNTIFS($B$2:$B$5001,B560,$E$2:$E$5001,"Em ajustes",$N$2:$N$5001,"&lt;"&amp;I560)&gt;0,1,0),0))</f>
        <v/>
      </c>
      <c r="L560" s="16" t="str">
        <f aca="false">IF(B560="","",IF(N560=_xlfn.MAXIFS($N$2:$N$5001,$B$2:$B$5001,B560,$I$2:$I$5001,I560),1,0))</f>
        <v/>
      </c>
      <c r="M560" s="16" t="str">
        <f aca="false">IF(B560="","",IF(E560="Em ajustes",IF(N560=_xlfn.MINIFS($N$2:$N$5001,$B$2:$B$5001,B560,$E$2:$E$5001,"Em ajustes"),1,0),0))</f>
        <v/>
      </c>
      <c r="N560" s="17" t="str">
        <f aca="false">IF(A560="","",IF(ISNUMBER(A560),A560,IFERROR(DATE(VALUE(MID(A560,7,4)),VALUE(MID(A560,4,2)),VALUE(MID(A560,1,2)))+TIME(VALUE(MID(A560,12,2)),VALUE(MID(A560,15,2)),VALUE(MID(A560,18,2))),"")))</f>
        <v/>
      </c>
    </row>
    <row r="561" customFormat="false" ht="15" hidden="false" customHeight="false" outlineLevel="0" collapsed="false">
      <c r="I561" s="15" t="str">
        <f aca="false">IF(N561="","",INT(N561))</f>
        <v/>
      </c>
      <c r="J561" s="16" t="str">
        <f aca="false">IF(B561="","",IF(N561=_xlfn.MINIFS($N$2:$N$5001,$B$2:$B$5001,B561),1,0))</f>
        <v/>
      </c>
      <c r="K561" s="16" t="str">
        <f aca="false">IF(B561="","",IF(AND(D561="Formalização",E561="Concluído"),IF(COUNTIFS($B$2:$B$5001,B561,$E$2:$E$5001,"Em ajustes",$N$2:$N$5001,"&lt;"&amp;I561)&gt;0,1,0),0))</f>
        <v/>
      </c>
      <c r="L561" s="16" t="str">
        <f aca="false">IF(B561="","",IF(N561=_xlfn.MAXIFS($N$2:$N$5001,$B$2:$B$5001,B561,$I$2:$I$5001,I561),1,0))</f>
        <v/>
      </c>
      <c r="M561" s="16" t="str">
        <f aca="false">IF(B561="","",IF(E561="Em ajustes",IF(N561=_xlfn.MINIFS($N$2:$N$5001,$B$2:$B$5001,B561,$E$2:$E$5001,"Em ajustes"),1,0),0))</f>
        <v/>
      </c>
      <c r="N561" s="17" t="str">
        <f aca="false">IF(A561="","",IF(ISNUMBER(A561),A561,IFERROR(DATE(VALUE(MID(A561,7,4)),VALUE(MID(A561,4,2)),VALUE(MID(A561,1,2)))+TIME(VALUE(MID(A561,12,2)),VALUE(MID(A561,15,2)),VALUE(MID(A561,18,2))),"")))</f>
        <v/>
      </c>
    </row>
    <row r="562" customFormat="false" ht="15" hidden="false" customHeight="false" outlineLevel="0" collapsed="false">
      <c r="I562" s="15" t="str">
        <f aca="false">IF(N562="","",INT(N562))</f>
        <v/>
      </c>
      <c r="J562" s="16" t="str">
        <f aca="false">IF(B562="","",IF(N562=_xlfn.MINIFS($N$2:$N$5001,$B$2:$B$5001,B562),1,0))</f>
        <v/>
      </c>
      <c r="K562" s="16" t="str">
        <f aca="false">IF(B562="","",IF(AND(D562="Formalização",E562="Concluído"),IF(COUNTIFS($B$2:$B$5001,B562,$E$2:$E$5001,"Em ajustes",$N$2:$N$5001,"&lt;"&amp;I562)&gt;0,1,0),0))</f>
        <v/>
      </c>
      <c r="L562" s="16" t="str">
        <f aca="false">IF(B562="","",IF(N562=_xlfn.MAXIFS($N$2:$N$5001,$B$2:$B$5001,B562,$I$2:$I$5001,I562),1,0))</f>
        <v/>
      </c>
      <c r="M562" s="16" t="str">
        <f aca="false">IF(B562="","",IF(E562="Em ajustes",IF(N562=_xlfn.MINIFS($N$2:$N$5001,$B$2:$B$5001,B562,$E$2:$E$5001,"Em ajustes"),1,0),0))</f>
        <v/>
      </c>
      <c r="N562" s="17" t="str">
        <f aca="false">IF(A562="","",IF(ISNUMBER(A562),A562,IFERROR(DATE(VALUE(MID(A562,7,4)),VALUE(MID(A562,4,2)),VALUE(MID(A562,1,2)))+TIME(VALUE(MID(A562,12,2)),VALUE(MID(A562,15,2)),VALUE(MID(A562,18,2))),"")))</f>
        <v/>
      </c>
    </row>
    <row r="563" customFormat="false" ht="15" hidden="false" customHeight="false" outlineLevel="0" collapsed="false">
      <c r="I563" s="15" t="str">
        <f aca="false">IF(N563="","",INT(N563))</f>
        <v/>
      </c>
      <c r="J563" s="16" t="str">
        <f aca="false">IF(B563="","",IF(N563=_xlfn.MINIFS($N$2:$N$5001,$B$2:$B$5001,B563),1,0))</f>
        <v/>
      </c>
      <c r="K563" s="16" t="str">
        <f aca="false">IF(B563="","",IF(AND(D563="Formalização",E563="Concluído"),IF(COUNTIFS($B$2:$B$5001,B563,$E$2:$E$5001,"Em ajustes",$N$2:$N$5001,"&lt;"&amp;I563)&gt;0,1,0),0))</f>
        <v/>
      </c>
      <c r="L563" s="16" t="str">
        <f aca="false">IF(B563="","",IF(N563=_xlfn.MAXIFS($N$2:$N$5001,$B$2:$B$5001,B563,$I$2:$I$5001,I563),1,0))</f>
        <v/>
      </c>
      <c r="M563" s="16" t="str">
        <f aca="false">IF(B563="","",IF(E563="Em ajustes",IF(N563=_xlfn.MINIFS($N$2:$N$5001,$B$2:$B$5001,B563,$E$2:$E$5001,"Em ajustes"),1,0),0))</f>
        <v/>
      </c>
      <c r="N563" s="17" t="str">
        <f aca="false">IF(A563="","",IF(ISNUMBER(A563),A563,IFERROR(DATE(VALUE(MID(A563,7,4)),VALUE(MID(A563,4,2)),VALUE(MID(A563,1,2)))+TIME(VALUE(MID(A563,12,2)),VALUE(MID(A563,15,2)),VALUE(MID(A563,18,2))),"")))</f>
        <v/>
      </c>
    </row>
    <row r="564" customFormat="false" ht="15" hidden="false" customHeight="false" outlineLevel="0" collapsed="false">
      <c r="I564" s="15" t="str">
        <f aca="false">IF(N564="","",INT(N564))</f>
        <v/>
      </c>
      <c r="J564" s="16" t="str">
        <f aca="false">IF(B564="","",IF(N564=_xlfn.MINIFS($N$2:$N$5001,$B$2:$B$5001,B564),1,0))</f>
        <v/>
      </c>
      <c r="K564" s="16" t="str">
        <f aca="false">IF(B564="","",IF(AND(D564="Formalização",E564="Concluído"),IF(COUNTIFS($B$2:$B$5001,B564,$E$2:$E$5001,"Em ajustes",$N$2:$N$5001,"&lt;"&amp;I564)&gt;0,1,0),0))</f>
        <v/>
      </c>
      <c r="L564" s="16" t="str">
        <f aca="false">IF(B564="","",IF(N564=_xlfn.MAXIFS($N$2:$N$5001,$B$2:$B$5001,B564,$I$2:$I$5001,I564),1,0))</f>
        <v/>
      </c>
      <c r="M564" s="16" t="str">
        <f aca="false">IF(B564="","",IF(E564="Em ajustes",IF(N564=_xlfn.MINIFS($N$2:$N$5001,$B$2:$B$5001,B564,$E$2:$E$5001,"Em ajustes"),1,0),0))</f>
        <v/>
      </c>
      <c r="N564" s="17" t="str">
        <f aca="false">IF(A564="","",IF(ISNUMBER(A564),A564,IFERROR(DATE(VALUE(MID(A564,7,4)),VALUE(MID(A564,4,2)),VALUE(MID(A564,1,2)))+TIME(VALUE(MID(A564,12,2)),VALUE(MID(A564,15,2)),VALUE(MID(A564,18,2))),"")))</f>
        <v/>
      </c>
    </row>
    <row r="565" customFormat="false" ht="15" hidden="false" customHeight="false" outlineLevel="0" collapsed="false">
      <c r="I565" s="15" t="str">
        <f aca="false">IF(N565="","",INT(N565))</f>
        <v/>
      </c>
      <c r="J565" s="16" t="str">
        <f aca="false">IF(B565="","",IF(N565=_xlfn.MINIFS($N$2:$N$5001,$B$2:$B$5001,B565),1,0))</f>
        <v/>
      </c>
      <c r="K565" s="16" t="str">
        <f aca="false">IF(B565="","",IF(AND(D565="Formalização",E565="Concluído"),IF(COUNTIFS($B$2:$B$5001,B565,$E$2:$E$5001,"Em ajustes",$N$2:$N$5001,"&lt;"&amp;I565)&gt;0,1,0),0))</f>
        <v/>
      </c>
      <c r="L565" s="16" t="str">
        <f aca="false">IF(B565="","",IF(N565=_xlfn.MAXIFS($N$2:$N$5001,$B$2:$B$5001,B565,$I$2:$I$5001,I565),1,0))</f>
        <v/>
      </c>
      <c r="M565" s="16" t="str">
        <f aca="false">IF(B565="","",IF(E565="Em ajustes",IF(N565=_xlfn.MINIFS($N$2:$N$5001,$B$2:$B$5001,B565,$E$2:$E$5001,"Em ajustes"),1,0),0))</f>
        <v/>
      </c>
      <c r="N565" s="17" t="str">
        <f aca="false">IF(A565="","",IF(ISNUMBER(A565),A565,IFERROR(DATE(VALUE(MID(A565,7,4)),VALUE(MID(A565,4,2)),VALUE(MID(A565,1,2)))+TIME(VALUE(MID(A565,12,2)),VALUE(MID(A565,15,2)),VALUE(MID(A565,18,2))),"")))</f>
        <v/>
      </c>
    </row>
    <row r="566" customFormat="false" ht="15" hidden="false" customHeight="false" outlineLevel="0" collapsed="false">
      <c r="I566" s="15" t="str">
        <f aca="false">IF(N566="","",INT(N566))</f>
        <v/>
      </c>
      <c r="J566" s="16" t="str">
        <f aca="false">IF(B566="","",IF(N566=_xlfn.MINIFS($N$2:$N$5001,$B$2:$B$5001,B566),1,0))</f>
        <v/>
      </c>
      <c r="K566" s="16" t="str">
        <f aca="false">IF(B566="","",IF(AND(D566="Formalização",E566="Concluído"),IF(COUNTIFS($B$2:$B$5001,B566,$E$2:$E$5001,"Em ajustes",$N$2:$N$5001,"&lt;"&amp;I566)&gt;0,1,0),0))</f>
        <v/>
      </c>
      <c r="L566" s="16" t="str">
        <f aca="false">IF(B566="","",IF(N566=_xlfn.MAXIFS($N$2:$N$5001,$B$2:$B$5001,B566,$I$2:$I$5001,I566),1,0))</f>
        <v/>
      </c>
      <c r="M566" s="16" t="str">
        <f aca="false">IF(B566="","",IF(E566="Em ajustes",IF(N566=_xlfn.MINIFS($N$2:$N$5001,$B$2:$B$5001,B566,$E$2:$E$5001,"Em ajustes"),1,0),0))</f>
        <v/>
      </c>
      <c r="N566" s="17" t="str">
        <f aca="false">IF(A566="","",IF(ISNUMBER(A566),A566,IFERROR(DATE(VALUE(MID(A566,7,4)),VALUE(MID(A566,4,2)),VALUE(MID(A566,1,2)))+TIME(VALUE(MID(A566,12,2)),VALUE(MID(A566,15,2)),VALUE(MID(A566,18,2))),"")))</f>
        <v/>
      </c>
    </row>
    <row r="567" customFormat="false" ht="15" hidden="false" customHeight="false" outlineLevel="0" collapsed="false">
      <c r="I567" s="15" t="str">
        <f aca="false">IF(N567="","",INT(N567))</f>
        <v/>
      </c>
      <c r="J567" s="16" t="str">
        <f aca="false">IF(B567="","",IF(N567=_xlfn.MINIFS($N$2:$N$5001,$B$2:$B$5001,B567),1,0))</f>
        <v/>
      </c>
      <c r="K567" s="16" t="str">
        <f aca="false">IF(B567="","",IF(AND(D567="Formalização",E567="Concluído"),IF(COUNTIFS($B$2:$B$5001,B567,$E$2:$E$5001,"Em ajustes",$N$2:$N$5001,"&lt;"&amp;I567)&gt;0,1,0),0))</f>
        <v/>
      </c>
      <c r="L567" s="16" t="str">
        <f aca="false">IF(B567="","",IF(N567=_xlfn.MAXIFS($N$2:$N$5001,$B$2:$B$5001,B567,$I$2:$I$5001,I567),1,0))</f>
        <v/>
      </c>
      <c r="M567" s="16" t="str">
        <f aca="false">IF(B567="","",IF(E567="Em ajustes",IF(N567=_xlfn.MINIFS($N$2:$N$5001,$B$2:$B$5001,B567,$E$2:$E$5001,"Em ajustes"),1,0),0))</f>
        <v/>
      </c>
      <c r="N567" s="17" t="str">
        <f aca="false">IF(A567="","",IF(ISNUMBER(A567),A567,IFERROR(DATE(VALUE(MID(A567,7,4)),VALUE(MID(A567,4,2)),VALUE(MID(A567,1,2)))+TIME(VALUE(MID(A567,12,2)),VALUE(MID(A567,15,2)),VALUE(MID(A567,18,2))),"")))</f>
        <v/>
      </c>
    </row>
    <row r="568" customFormat="false" ht="15" hidden="false" customHeight="false" outlineLevel="0" collapsed="false">
      <c r="I568" s="15" t="str">
        <f aca="false">IF(N568="","",INT(N568))</f>
        <v/>
      </c>
      <c r="J568" s="16" t="str">
        <f aca="false">IF(B568="","",IF(N568=_xlfn.MINIFS($N$2:$N$5001,$B$2:$B$5001,B568),1,0))</f>
        <v/>
      </c>
      <c r="K568" s="16" t="str">
        <f aca="false">IF(B568="","",IF(AND(D568="Formalização",E568="Concluído"),IF(COUNTIFS($B$2:$B$5001,B568,$E$2:$E$5001,"Em ajustes",$N$2:$N$5001,"&lt;"&amp;I568)&gt;0,1,0),0))</f>
        <v/>
      </c>
      <c r="L568" s="16" t="str">
        <f aca="false">IF(B568="","",IF(N568=_xlfn.MAXIFS($N$2:$N$5001,$B$2:$B$5001,B568,$I$2:$I$5001,I568),1,0))</f>
        <v/>
      </c>
      <c r="M568" s="16" t="str">
        <f aca="false">IF(B568="","",IF(E568="Em ajustes",IF(N568=_xlfn.MINIFS($N$2:$N$5001,$B$2:$B$5001,B568,$E$2:$E$5001,"Em ajustes"),1,0),0))</f>
        <v/>
      </c>
      <c r="N568" s="17" t="str">
        <f aca="false">IF(A568="","",IF(ISNUMBER(A568),A568,IFERROR(DATE(VALUE(MID(A568,7,4)),VALUE(MID(A568,4,2)),VALUE(MID(A568,1,2)))+TIME(VALUE(MID(A568,12,2)),VALUE(MID(A568,15,2)),VALUE(MID(A568,18,2))),"")))</f>
        <v/>
      </c>
    </row>
    <row r="569" customFormat="false" ht="15" hidden="false" customHeight="false" outlineLevel="0" collapsed="false">
      <c r="I569" s="15" t="str">
        <f aca="false">IF(N569="","",INT(N569))</f>
        <v/>
      </c>
      <c r="J569" s="16" t="str">
        <f aca="false">IF(B569="","",IF(N569=_xlfn.MINIFS($N$2:$N$5001,$B$2:$B$5001,B569),1,0))</f>
        <v/>
      </c>
      <c r="K569" s="16" t="str">
        <f aca="false">IF(B569="","",IF(AND(D569="Formalização",E569="Concluído"),IF(COUNTIFS($B$2:$B$5001,B569,$E$2:$E$5001,"Em ajustes",$N$2:$N$5001,"&lt;"&amp;I569)&gt;0,1,0),0))</f>
        <v/>
      </c>
      <c r="L569" s="16" t="str">
        <f aca="false">IF(B569="","",IF(N569=_xlfn.MAXIFS($N$2:$N$5001,$B$2:$B$5001,B569,$I$2:$I$5001,I569),1,0))</f>
        <v/>
      </c>
      <c r="M569" s="16" t="str">
        <f aca="false">IF(B569="","",IF(E569="Em ajustes",IF(N569=_xlfn.MINIFS($N$2:$N$5001,$B$2:$B$5001,B569,$E$2:$E$5001,"Em ajustes"),1,0),0))</f>
        <v/>
      </c>
      <c r="N569" s="17" t="str">
        <f aca="false">IF(A569="","",IF(ISNUMBER(A569),A569,IFERROR(DATE(VALUE(MID(A569,7,4)),VALUE(MID(A569,4,2)),VALUE(MID(A569,1,2)))+TIME(VALUE(MID(A569,12,2)),VALUE(MID(A569,15,2)),VALUE(MID(A569,18,2))),"")))</f>
        <v/>
      </c>
    </row>
    <row r="570" customFormat="false" ht="15" hidden="false" customHeight="false" outlineLevel="0" collapsed="false">
      <c r="I570" s="15" t="str">
        <f aca="false">IF(N570="","",INT(N570))</f>
        <v/>
      </c>
      <c r="J570" s="16" t="str">
        <f aca="false">IF(B570="","",IF(N570=_xlfn.MINIFS($N$2:$N$5001,$B$2:$B$5001,B570),1,0))</f>
        <v/>
      </c>
      <c r="K570" s="16" t="str">
        <f aca="false">IF(B570="","",IF(AND(D570="Formalização",E570="Concluído"),IF(COUNTIFS($B$2:$B$5001,B570,$E$2:$E$5001,"Em ajustes",$N$2:$N$5001,"&lt;"&amp;I570)&gt;0,1,0),0))</f>
        <v/>
      </c>
      <c r="L570" s="16" t="str">
        <f aca="false">IF(B570="","",IF(N570=_xlfn.MAXIFS($N$2:$N$5001,$B$2:$B$5001,B570,$I$2:$I$5001,I570),1,0))</f>
        <v/>
      </c>
      <c r="M570" s="16" t="str">
        <f aca="false">IF(B570="","",IF(E570="Em ajustes",IF(N570=_xlfn.MINIFS($N$2:$N$5001,$B$2:$B$5001,B570,$E$2:$E$5001,"Em ajustes"),1,0),0))</f>
        <v/>
      </c>
      <c r="N570" s="17" t="str">
        <f aca="false">IF(A570="","",IF(ISNUMBER(A570),A570,IFERROR(DATE(VALUE(MID(A570,7,4)),VALUE(MID(A570,4,2)),VALUE(MID(A570,1,2)))+TIME(VALUE(MID(A570,12,2)),VALUE(MID(A570,15,2)),VALUE(MID(A570,18,2))),"")))</f>
        <v/>
      </c>
    </row>
    <row r="571" customFormat="false" ht="15" hidden="false" customHeight="false" outlineLevel="0" collapsed="false">
      <c r="I571" s="15" t="str">
        <f aca="false">IF(N571="","",INT(N571))</f>
        <v/>
      </c>
      <c r="J571" s="16" t="str">
        <f aca="false">IF(B571="","",IF(N571=_xlfn.MINIFS($N$2:$N$5001,$B$2:$B$5001,B571),1,0))</f>
        <v/>
      </c>
      <c r="K571" s="16" t="str">
        <f aca="false">IF(B571="","",IF(AND(D571="Formalização",E571="Concluído"),IF(COUNTIFS($B$2:$B$5001,B571,$E$2:$E$5001,"Em ajustes",$N$2:$N$5001,"&lt;"&amp;I571)&gt;0,1,0),0))</f>
        <v/>
      </c>
      <c r="L571" s="16" t="str">
        <f aca="false">IF(B571="","",IF(N571=_xlfn.MAXIFS($N$2:$N$5001,$B$2:$B$5001,B571,$I$2:$I$5001,I571),1,0))</f>
        <v/>
      </c>
      <c r="M571" s="16" t="str">
        <f aca="false">IF(B571="","",IF(E571="Em ajustes",IF(N571=_xlfn.MINIFS($N$2:$N$5001,$B$2:$B$5001,B571,$E$2:$E$5001,"Em ajustes"),1,0),0))</f>
        <v/>
      </c>
      <c r="N571" s="17" t="str">
        <f aca="false">IF(A571="","",IF(ISNUMBER(A571),A571,IFERROR(DATE(VALUE(MID(A571,7,4)),VALUE(MID(A571,4,2)),VALUE(MID(A571,1,2)))+TIME(VALUE(MID(A571,12,2)),VALUE(MID(A571,15,2)),VALUE(MID(A571,18,2))),"")))</f>
        <v/>
      </c>
    </row>
    <row r="572" customFormat="false" ht="15" hidden="false" customHeight="false" outlineLevel="0" collapsed="false">
      <c r="I572" s="15" t="str">
        <f aca="false">IF(N572="","",INT(N572))</f>
        <v/>
      </c>
      <c r="J572" s="16" t="str">
        <f aca="false">IF(B572="","",IF(N572=_xlfn.MINIFS($N$2:$N$5001,$B$2:$B$5001,B572),1,0))</f>
        <v/>
      </c>
      <c r="K572" s="16" t="str">
        <f aca="false">IF(B572="","",IF(AND(D572="Formalização",E572="Concluído"),IF(COUNTIFS($B$2:$B$5001,B572,$E$2:$E$5001,"Em ajustes",$N$2:$N$5001,"&lt;"&amp;I572)&gt;0,1,0),0))</f>
        <v/>
      </c>
      <c r="L572" s="16" t="str">
        <f aca="false">IF(B572="","",IF(N572=_xlfn.MAXIFS($N$2:$N$5001,$B$2:$B$5001,B572,$I$2:$I$5001,I572),1,0))</f>
        <v/>
      </c>
      <c r="M572" s="16" t="str">
        <f aca="false">IF(B572="","",IF(E572="Em ajustes",IF(N572=_xlfn.MINIFS($N$2:$N$5001,$B$2:$B$5001,B572,$E$2:$E$5001,"Em ajustes"),1,0),0))</f>
        <v/>
      </c>
      <c r="N572" s="17" t="str">
        <f aca="false">IF(A572="","",IF(ISNUMBER(A572),A572,IFERROR(DATE(VALUE(MID(A572,7,4)),VALUE(MID(A572,4,2)),VALUE(MID(A572,1,2)))+TIME(VALUE(MID(A572,12,2)),VALUE(MID(A572,15,2)),VALUE(MID(A572,18,2))),"")))</f>
        <v/>
      </c>
    </row>
    <row r="573" customFormat="false" ht="15" hidden="false" customHeight="false" outlineLevel="0" collapsed="false">
      <c r="I573" s="15" t="str">
        <f aca="false">IF(N573="","",INT(N573))</f>
        <v/>
      </c>
      <c r="J573" s="16" t="str">
        <f aca="false">IF(B573="","",IF(N573=_xlfn.MINIFS($N$2:$N$5001,$B$2:$B$5001,B573),1,0))</f>
        <v/>
      </c>
      <c r="K573" s="16" t="str">
        <f aca="false">IF(B573="","",IF(AND(D573="Formalização",E573="Concluído"),IF(COUNTIFS($B$2:$B$5001,B573,$E$2:$E$5001,"Em ajustes",$N$2:$N$5001,"&lt;"&amp;I573)&gt;0,1,0),0))</f>
        <v/>
      </c>
      <c r="L573" s="16" t="str">
        <f aca="false">IF(B573="","",IF(N573=_xlfn.MAXIFS($N$2:$N$5001,$B$2:$B$5001,B573,$I$2:$I$5001,I573),1,0))</f>
        <v/>
      </c>
      <c r="M573" s="16" t="str">
        <f aca="false">IF(B573="","",IF(E573="Em ajustes",IF(N573=_xlfn.MINIFS($N$2:$N$5001,$B$2:$B$5001,B573,$E$2:$E$5001,"Em ajustes"),1,0),0))</f>
        <v/>
      </c>
      <c r="N573" s="17" t="str">
        <f aca="false">IF(A573="","",IF(ISNUMBER(A573),A573,IFERROR(DATE(VALUE(MID(A573,7,4)),VALUE(MID(A573,4,2)),VALUE(MID(A573,1,2)))+TIME(VALUE(MID(A573,12,2)),VALUE(MID(A573,15,2)),VALUE(MID(A573,18,2))),"")))</f>
        <v/>
      </c>
    </row>
    <row r="574" customFormat="false" ht="15" hidden="false" customHeight="false" outlineLevel="0" collapsed="false">
      <c r="I574" s="15" t="str">
        <f aca="false">IF(N574="","",INT(N574))</f>
        <v/>
      </c>
      <c r="J574" s="16" t="str">
        <f aca="false">IF(B574="","",IF(N574=_xlfn.MINIFS($N$2:$N$5001,$B$2:$B$5001,B574),1,0))</f>
        <v/>
      </c>
      <c r="K574" s="16" t="str">
        <f aca="false">IF(B574="","",IF(AND(D574="Formalização",E574="Concluído"),IF(COUNTIFS($B$2:$B$5001,B574,$E$2:$E$5001,"Em ajustes",$N$2:$N$5001,"&lt;"&amp;I574)&gt;0,1,0),0))</f>
        <v/>
      </c>
      <c r="L574" s="16" t="str">
        <f aca="false">IF(B574="","",IF(N574=_xlfn.MAXIFS($N$2:$N$5001,$B$2:$B$5001,B574,$I$2:$I$5001,I574),1,0))</f>
        <v/>
      </c>
      <c r="M574" s="16" t="str">
        <f aca="false">IF(B574="","",IF(E574="Em ajustes",IF(N574=_xlfn.MINIFS($N$2:$N$5001,$B$2:$B$5001,B574,$E$2:$E$5001,"Em ajustes"),1,0),0))</f>
        <v/>
      </c>
      <c r="N574" s="17" t="str">
        <f aca="false">IF(A574="","",IF(ISNUMBER(A574),A574,IFERROR(DATE(VALUE(MID(A574,7,4)),VALUE(MID(A574,4,2)),VALUE(MID(A574,1,2)))+TIME(VALUE(MID(A574,12,2)),VALUE(MID(A574,15,2)),VALUE(MID(A574,18,2))),"")))</f>
        <v/>
      </c>
    </row>
    <row r="575" customFormat="false" ht="15" hidden="false" customHeight="false" outlineLevel="0" collapsed="false">
      <c r="I575" s="15" t="str">
        <f aca="false">IF(N575="","",INT(N575))</f>
        <v/>
      </c>
      <c r="J575" s="16" t="str">
        <f aca="false">IF(B575="","",IF(N575=_xlfn.MINIFS($N$2:$N$5001,$B$2:$B$5001,B575),1,0))</f>
        <v/>
      </c>
      <c r="K575" s="16" t="str">
        <f aca="false">IF(B575="","",IF(AND(D575="Formalização",E575="Concluído"),IF(COUNTIFS($B$2:$B$5001,B575,$E$2:$E$5001,"Em ajustes",$N$2:$N$5001,"&lt;"&amp;I575)&gt;0,1,0),0))</f>
        <v/>
      </c>
      <c r="L575" s="16" t="str">
        <f aca="false">IF(B575="","",IF(N575=_xlfn.MAXIFS($N$2:$N$5001,$B$2:$B$5001,B575,$I$2:$I$5001,I575),1,0))</f>
        <v/>
      </c>
      <c r="M575" s="16" t="str">
        <f aca="false">IF(B575="","",IF(E575="Em ajustes",IF(N575=_xlfn.MINIFS($N$2:$N$5001,$B$2:$B$5001,B575,$E$2:$E$5001,"Em ajustes"),1,0),0))</f>
        <v/>
      </c>
      <c r="N575" s="17" t="str">
        <f aca="false">IF(A575="","",IF(ISNUMBER(A575),A575,IFERROR(DATE(VALUE(MID(A575,7,4)),VALUE(MID(A575,4,2)),VALUE(MID(A575,1,2)))+TIME(VALUE(MID(A575,12,2)),VALUE(MID(A575,15,2)),VALUE(MID(A575,18,2))),"")))</f>
        <v/>
      </c>
    </row>
    <row r="576" customFormat="false" ht="15" hidden="false" customHeight="false" outlineLevel="0" collapsed="false">
      <c r="I576" s="15" t="str">
        <f aca="false">IF(N576="","",INT(N576))</f>
        <v/>
      </c>
      <c r="J576" s="16" t="str">
        <f aca="false">IF(B576="","",IF(N576=_xlfn.MINIFS($N$2:$N$5001,$B$2:$B$5001,B576),1,0))</f>
        <v/>
      </c>
      <c r="K576" s="16" t="str">
        <f aca="false">IF(B576="","",IF(AND(D576="Formalização",E576="Concluído"),IF(COUNTIFS($B$2:$B$5001,B576,$E$2:$E$5001,"Em ajustes",$N$2:$N$5001,"&lt;"&amp;I576)&gt;0,1,0),0))</f>
        <v/>
      </c>
      <c r="L576" s="16" t="str">
        <f aca="false">IF(B576="","",IF(N576=_xlfn.MAXIFS($N$2:$N$5001,$B$2:$B$5001,B576,$I$2:$I$5001,I576),1,0))</f>
        <v/>
      </c>
      <c r="M576" s="16" t="str">
        <f aca="false">IF(B576="","",IF(E576="Em ajustes",IF(N576=_xlfn.MINIFS($N$2:$N$5001,$B$2:$B$5001,B576,$E$2:$E$5001,"Em ajustes"),1,0),0))</f>
        <v/>
      </c>
      <c r="N576" s="17" t="str">
        <f aca="false">IF(A576="","",IF(ISNUMBER(A576),A576,IFERROR(DATE(VALUE(MID(A576,7,4)),VALUE(MID(A576,4,2)),VALUE(MID(A576,1,2)))+TIME(VALUE(MID(A576,12,2)),VALUE(MID(A576,15,2)),VALUE(MID(A576,18,2))),"")))</f>
        <v/>
      </c>
    </row>
    <row r="577" customFormat="false" ht="15" hidden="false" customHeight="false" outlineLevel="0" collapsed="false">
      <c r="I577" s="15" t="str">
        <f aca="false">IF(N577="","",INT(N577))</f>
        <v/>
      </c>
      <c r="J577" s="16" t="str">
        <f aca="false">IF(B577="","",IF(N577=_xlfn.MINIFS($N$2:$N$5001,$B$2:$B$5001,B577),1,0))</f>
        <v/>
      </c>
      <c r="K577" s="16" t="str">
        <f aca="false">IF(B577="","",IF(AND(D577="Formalização",E577="Concluído"),IF(COUNTIFS($B$2:$B$5001,B577,$E$2:$E$5001,"Em ajustes",$N$2:$N$5001,"&lt;"&amp;I577)&gt;0,1,0),0))</f>
        <v/>
      </c>
      <c r="L577" s="16" t="str">
        <f aca="false">IF(B577="","",IF(N577=_xlfn.MAXIFS($N$2:$N$5001,$B$2:$B$5001,B577,$I$2:$I$5001,I577),1,0))</f>
        <v/>
      </c>
      <c r="M577" s="16" t="str">
        <f aca="false">IF(B577="","",IF(E577="Em ajustes",IF(N577=_xlfn.MINIFS($N$2:$N$5001,$B$2:$B$5001,B577,$E$2:$E$5001,"Em ajustes"),1,0),0))</f>
        <v/>
      </c>
      <c r="N577" s="17" t="str">
        <f aca="false">IF(A577="","",IF(ISNUMBER(A577),A577,IFERROR(DATE(VALUE(MID(A577,7,4)),VALUE(MID(A577,4,2)),VALUE(MID(A577,1,2)))+TIME(VALUE(MID(A577,12,2)),VALUE(MID(A577,15,2)),VALUE(MID(A577,18,2))),"")))</f>
        <v/>
      </c>
    </row>
    <row r="578" customFormat="false" ht="15" hidden="false" customHeight="false" outlineLevel="0" collapsed="false">
      <c r="I578" s="15" t="str">
        <f aca="false">IF(N578="","",INT(N578))</f>
        <v/>
      </c>
      <c r="J578" s="16" t="str">
        <f aca="false">IF(B578="","",IF(N578=_xlfn.MINIFS($N$2:$N$5001,$B$2:$B$5001,B578),1,0))</f>
        <v/>
      </c>
      <c r="K578" s="16" t="str">
        <f aca="false">IF(B578="","",IF(AND(D578="Formalização",E578="Concluído"),IF(COUNTIFS($B$2:$B$5001,B578,$E$2:$E$5001,"Em ajustes",$N$2:$N$5001,"&lt;"&amp;I578)&gt;0,1,0),0))</f>
        <v/>
      </c>
      <c r="L578" s="16" t="str">
        <f aca="false">IF(B578="","",IF(N578=_xlfn.MAXIFS($N$2:$N$5001,$B$2:$B$5001,B578,$I$2:$I$5001,I578),1,0))</f>
        <v/>
      </c>
      <c r="M578" s="16" t="str">
        <f aca="false">IF(B578="","",IF(E578="Em ajustes",IF(N578=_xlfn.MINIFS($N$2:$N$5001,$B$2:$B$5001,B578,$E$2:$E$5001,"Em ajustes"),1,0),0))</f>
        <v/>
      </c>
      <c r="N578" s="17" t="str">
        <f aca="false">IF(A578="","",IF(ISNUMBER(A578),A578,IFERROR(DATE(VALUE(MID(A578,7,4)),VALUE(MID(A578,4,2)),VALUE(MID(A578,1,2)))+TIME(VALUE(MID(A578,12,2)),VALUE(MID(A578,15,2)),VALUE(MID(A578,18,2))),"")))</f>
        <v/>
      </c>
    </row>
    <row r="579" customFormat="false" ht="15" hidden="false" customHeight="false" outlineLevel="0" collapsed="false">
      <c r="I579" s="15" t="str">
        <f aca="false">IF(N579="","",INT(N579))</f>
        <v/>
      </c>
      <c r="J579" s="16" t="str">
        <f aca="false">IF(B579="","",IF(N579=_xlfn.MINIFS($N$2:$N$5001,$B$2:$B$5001,B579),1,0))</f>
        <v/>
      </c>
      <c r="K579" s="16" t="str">
        <f aca="false">IF(B579="","",IF(AND(D579="Formalização",E579="Concluído"),IF(COUNTIFS($B$2:$B$5001,B579,$E$2:$E$5001,"Em ajustes",$N$2:$N$5001,"&lt;"&amp;I579)&gt;0,1,0),0))</f>
        <v/>
      </c>
      <c r="L579" s="16" t="str">
        <f aca="false">IF(B579="","",IF(N579=_xlfn.MAXIFS($N$2:$N$5001,$B$2:$B$5001,B579,$I$2:$I$5001,I579),1,0))</f>
        <v/>
      </c>
      <c r="M579" s="16" t="str">
        <f aca="false">IF(B579="","",IF(E579="Em ajustes",IF(N579=_xlfn.MINIFS($N$2:$N$5001,$B$2:$B$5001,B579,$E$2:$E$5001,"Em ajustes"),1,0),0))</f>
        <v/>
      </c>
      <c r="N579" s="17" t="str">
        <f aca="false">IF(A579="","",IF(ISNUMBER(A579),A579,IFERROR(DATE(VALUE(MID(A579,7,4)),VALUE(MID(A579,4,2)),VALUE(MID(A579,1,2)))+TIME(VALUE(MID(A579,12,2)),VALUE(MID(A579,15,2)),VALUE(MID(A579,18,2))),"")))</f>
        <v/>
      </c>
    </row>
    <row r="580" customFormat="false" ht="15" hidden="false" customHeight="false" outlineLevel="0" collapsed="false">
      <c r="I580" s="15" t="str">
        <f aca="false">IF(N580="","",INT(N580))</f>
        <v/>
      </c>
      <c r="J580" s="16" t="str">
        <f aca="false">IF(B580="","",IF(N580=_xlfn.MINIFS($N$2:$N$5001,$B$2:$B$5001,B580),1,0))</f>
        <v/>
      </c>
      <c r="K580" s="16" t="str">
        <f aca="false">IF(B580="","",IF(AND(D580="Formalização",E580="Concluído"),IF(COUNTIFS($B$2:$B$5001,B580,$E$2:$E$5001,"Em ajustes",$N$2:$N$5001,"&lt;"&amp;I580)&gt;0,1,0),0))</f>
        <v/>
      </c>
      <c r="L580" s="16" t="str">
        <f aca="false">IF(B580="","",IF(N580=_xlfn.MAXIFS($N$2:$N$5001,$B$2:$B$5001,B580,$I$2:$I$5001,I580),1,0))</f>
        <v/>
      </c>
      <c r="M580" s="16" t="str">
        <f aca="false">IF(B580="","",IF(E580="Em ajustes",IF(N580=_xlfn.MINIFS($N$2:$N$5001,$B$2:$B$5001,B580,$E$2:$E$5001,"Em ajustes"),1,0),0))</f>
        <v/>
      </c>
      <c r="N580" s="17" t="str">
        <f aca="false">IF(A580="","",IF(ISNUMBER(A580),A580,IFERROR(DATE(VALUE(MID(A580,7,4)),VALUE(MID(A580,4,2)),VALUE(MID(A580,1,2)))+TIME(VALUE(MID(A580,12,2)),VALUE(MID(A580,15,2)),VALUE(MID(A580,18,2))),"")))</f>
        <v/>
      </c>
    </row>
    <row r="581" customFormat="false" ht="15" hidden="false" customHeight="false" outlineLevel="0" collapsed="false">
      <c r="I581" s="15" t="str">
        <f aca="false">IF(N581="","",INT(N581))</f>
        <v/>
      </c>
      <c r="J581" s="16" t="str">
        <f aca="false">IF(B581="","",IF(N581=_xlfn.MINIFS($N$2:$N$5001,$B$2:$B$5001,B581),1,0))</f>
        <v/>
      </c>
      <c r="K581" s="16" t="str">
        <f aca="false">IF(B581="","",IF(AND(D581="Formalização",E581="Concluído"),IF(COUNTIFS($B$2:$B$5001,B581,$E$2:$E$5001,"Em ajustes",$N$2:$N$5001,"&lt;"&amp;I581)&gt;0,1,0),0))</f>
        <v/>
      </c>
      <c r="L581" s="16" t="str">
        <f aca="false">IF(B581="","",IF(N581=_xlfn.MAXIFS($N$2:$N$5001,$B$2:$B$5001,B581,$I$2:$I$5001,I581),1,0))</f>
        <v/>
      </c>
      <c r="M581" s="16" t="str">
        <f aca="false">IF(B581="","",IF(E581="Em ajustes",IF(N581=_xlfn.MINIFS($N$2:$N$5001,$B$2:$B$5001,B581,$E$2:$E$5001,"Em ajustes"),1,0),0))</f>
        <v/>
      </c>
      <c r="N581" s="17" t="str">
        <f aca="false">IF(A581="","",IF(ISNUMBER(A581),A581,IFERROR(DATE(VALUE(MID(A581,7,4)),VALUE(MID(A581,4,2)),VALUE(MID(A581,1,2)))+TIME(VALUE(MID(A581,12,2)),VALUE(MID(A581,15,2)),VALUE(MID(A581,18,2))),"")))</f>
        <v/>
      </c>
    </row>
    <row r="582" customFormat="false" ht="15" hidden="false" customHeight="false" outlineLevel="0" collapsed="false">
      <c r="I582" s="15" t="str">
        <f aca="false">IF(N582="","",INT(N582))</f>
        <v/>
      </c>
      <c r="J582" s="16" t="str">
        <f aca="false">IF(B582="","",IF(N582=_xlfn.MINIFS($N$2:$N$5001,$B$2:$B$5001,B582),1,0))</f>
        <v/>
      </c>
      <c r="K582" s="16" t="str">
        <f aca="false">IF(B582="","",IF(AND(D582="Formalização",E582="Concluído"),IF(COUNTIFS($B$2:$B$5001,B582,$E$2:$E$5001,"Em ajustes",$N$2:$N$5001,"&lt;"&amp;I582)&gt;0,1,0),0))</f>
        <v/>
      </c>
      <c r="L582" s="16" t="str">
        <f aca="false">IF(B582="","",IF(N582=_xlfn.MAXIFS($N$2:$N$5001,$B$2:$B$5001,B582,$I$2:$I$5001,I582),1,0))</f>
        <v/>
      </c>
      <c r="M582" s="16" t="str">
        <f aca="false">IF(B582="","",IF(E582="Em ajustes",IF(N582=_xlfn.MINIFS($N$2:$N$5001,$B$2:$B$5001,B582,$E$2:$E$5001,"Em ajustes"),1,0),0))</f>
        <v/>
      </c>
      <c r="N582" s="17" t="str">
        <f aca="false">IF(A582="","",IF(ISNUMBER(A582),A582,IFERROR(DATE(VALUE(MID(A582,7,4)),VALUE(MID(A582,4,2)),VALUE(MID(A582,1,2)))+TIME(VALUE(MID(A582,12,2)),VALUE(MID(A582,15,2)),VALUE(MID(A582,18,2))),"")))</f>
        <v/>
      </c>
    </row>
    <row r="583" customFormat="false" ht="15" hidden="false" customHeight="false" outlineLevel="0" collapsed="false">
      <c r="I583" s="15" t="str">
        <f aca="false">IF(N583="","",INT(N583))</f>
        <v/>
      </c>
      <c r="J583" s="16" t="str">
        <f aca="false">IF(B583="","",IF(N583=_xlfn.MINIFS($N$2:$N$5001,$B$2:$B$5001,B583),1,0))</f>
        <v/>
      </c>
      <c r="K583" s="16" t="str">
        <f aca="false">IF(B583="","",IF(AND(D583="Formalização",E583="Concluído"),IF(COUNTIFS($B$2:$B$5001,B583,$E$2:$E$5001,"Em ajustes",$N$2:$N$5001,"&lt;"&amp;I583)&gt;0,1,0),0))</f>
        <v/>
      </c>
      <c r="L583" s="16" t="str">
        <f aca="false">IF(B583="","",IF(N583=_xlfn.MAXIFS($N$2:$N$5001,$B$2:$B$5001,B583,$I$2:$I$5001,I583),1,0))</f>
        <v/>
      </c>
      <c r="M583" s="16" t="str">
        <f aca="false">IF(B583="","",IF(E583="Em ajustes",IF(N583=_xlfn.MINIFS($N$2:$N$5001,$B$2:$B$5001,B583,$E$2:$E$5001,"Em ajustes"),1,0),0))</f>
        <v/>
      </c>
      <c r="N583" s="17" t="str">
        <f aca="false">IF(A583="","",IF(ISNUMBER(A583),A583,IFERROR(DATE(VALUE(MID(A583,7,4)),VALUE(MID(A583,4,2)),VALUE(MID(A583,1,2)))+TIME(VALUE(MID(A583,12,2)),VALUE(MID(A583,15,2)),VALUE(MID(A583,18,2))),"")))</f>
        <v/>
      </c>
    </row>
    <row r="584" customFormat="false" ht="15" hidden="false" customHeight="false" outlineLevel="0" collapsed="false">
      <c r="I584" s="15" t="str">
        <f aca="false">IF(N584="","",INT(N584))</f>
        <v/>
      </c>
      <c r="J584" s="16" t="str">
        <f aca="false">IF(B584="","",IF(N584=_xlfn.MINIFS($N$2:$N$5001,$B$2:$B$5001,B584),1,0))</f>
        <v/>
      </c>
      <c r="K584" s="16" t="str">
        <f aca="false">IF(B584="","",IF(AND(D584="Formalização",E584="Concluído"),IF(COUNTIFS($B$2:$B$5001,B584,$E$2:$E$5001,"Em ajustes",$N$2:$N$5001,"&lt;"&amp;I584)&gt;0,1,0),0))</f>
        <v/>
      </c>
      <c r="L584" s="16" t="str">
        <f aca="false">IF(B584="","",IF(N584=_xlfn.MAXIFS($N$2:$N$5001,$B$2:$B$5001,B584,$I$2:$I$5001,I584),1,0))</f>
        <v/>
      </c>
      <c r="M584" s="16" t="str">
        <f aca="false">IF(B584="","",IF(E584="Em ajustes",IF(N584=_xlfn.MINIFS($N$2:$N$5001,$B$2:$B$5001,B584,$E$2:$E$5001,"Em ajustes"),1,0),0))</f>
        <v/>
      </c>
      <c r="N584" s="17" t="str">
        <f aca="false">IF(A584="","",IF(ISNUMBER(A584),A584,IFERROR(DATE(VALUE(MID(A584,7,4)),VALUE(MID(A584,4,2)),VALUE(MID(A584,1,2)))+TIME(VALUE(MID(A584,12,2)),VALUE(MID(A584,15,2)),VALUE(MID(A584,18,2))),"")))</f>
        <v/>
      </c>
    </row>
    <row r="585" customFormat="false" ht="15" hidden="false" customHeight="false" outlineLevel="0" collapsed="false">
      <c r="I585" s="15" t="str">
        <f aca="false">IF(N585="","",INT(N585))</f>
        <v/>
      </c>
      <c r="J585" s="16" t="str">
        <f aca="false">IF(B585="","",IF(N585=_xlfn.MINIFS($N$2:$N$5001,$B$2:$B$5001,B585),1,0))</f>
        <v/>
      </c>
      <c r="K585" s="16" t="str">
        <f aca="false">IF(B585="","",IF(AND(D585="Formalização",E585="Concluído"),IF(COUNTIFS($B$2:$B$5001,B585,$E$2:$E$5001,"Em ajustes",$N$2:$N$5001,"&lt;"&amp;I585)&gt;0,1,0),0))</f>
        <v/>
      </c>
      <c r="L585" s="16" t="str">
        <f aca="false">IF(B585="","",IF(N585=_xlfn.MAXIFS($N$2:$N$5001,$B$2:$B$5001,B585,$I$2:$I$5001,I585),1,0))</f>
        <v/>
      </c>
      <c r="M585" s="16" t="str">
        <f aca="false">IF(B585="","",IF(E585="Em ajustes",IF(N585=_xlfn.MINIFS($N$2:$N$5001,$B$2:$B$5001,B585,$E$2:$E$5001,"Em ajustes"),1,0),0))</f>
        <v/>
      </c>
      <c r="N585" s="17" t="str">
        <f aca="false">IF(A585="","",IF(ISNUMBER(A585),A585,IFERROR(DATE(VALUE(MID(A585,7,4)),VALUE(MID(A585,4,2)),VALUE(MID(A585,1,2)))+TIME(VALUE(MID(A585,12,2)),VALUE(MID(A585,15,2)),VALUE(MID(A585,18,2))),"")))</f>
        <v/>
      </c>
    </row>
    <row r="586" customFormat="false" ht="15" hidden="false" customHeight="false" outlineLevel="0" collapsed="false">
      <c r="I586" s="15" t="str">
        <f aca="false">IF(N586="","",INT(N586))</f>
        <v/>
      </c>
      <c r="J586" s="16" t="str">
        <f aca="false">IF(B586="","",IF(N586=_xlfn.MINIFS($N$2:$N$5001,$B$2:$B$5001,B586),1,0))</f>
        <v/>
      </c>
      <c r="K586" s="16" t="str">
        <f aca="false">IF(B586="","",IF(AND(D586="Formalização",E586="Concluído"),IF(COUNTIFS($B$2:$B$5001,B586,$E$2:$E$5001,"Em ajustes",$N$2:$N$5001,"&lt;"&amp;I586)&gt;0,1,0),0))</f>
        <v/>
      </c>
      <c r="L586" s="16" t="str">
        <f aca="false">IF(B586="","",IF(N586=_xlfn.MAXIFS($N$2:$N$5001,$B$2:$B$5001,B586,$I$2:$I$5001,I586),1,0))</f>
        <v/>
      </c>
      <c r="M586" s="16" t="str">
        <f aca="false">IF(B586="","",IF(E586="Em ajustes",IF(N586=_xlfn.MINIFS($N$2:$N$5001,$B$2:$B$5001,B586,$E$2:$E$5001,"Em ajustes"),1,0),0))</f>
        <v/>
      </c>
      <c r="N586" s="17" t="str">
        <f aca="false">IF(A586="","",IF(ISNUMBER(A586),A586,IFERROR(DATE(VALUE(MID(A586,7,4)),VALUE(MID(A586,4,2)),VALUE(MID(A586,1,2)))+TIME(VALUE(MID(A586,12,2)),VALUE(MID(A586,15,2)),VALUE(MID(A586,18,2))),"")))</f>
        <v/>
      </c>
    </row>
    <row r="587" customFormat="false" ht="15" hidden="false" customHeight="false" outlineLevel="0" collapsed="false">
      <c r="I587" s="15" t="str">
        <f aca="false">IF(N587="","",INT(N587))</f>
        <v/>
      </c>
      <c r="J587" s="16" t="str">
        <f aca="false">IF(B587="","",IF(N587=_xlfn.MINIFS($N$2:$N$5001,$B$2:$B$5001,B587),1,0))</f>
        <v/>
      </c>
      <c r="K587" s="16" t="str">
        <f aca="false">IF(B587="","",IF(AND(D587="Formalização",E587="Concluído"),IF(COUNTIFS($B$2:$B$5001,B587,$E$2:$E$5001,"Em ajustes",$N$2:$N$5001,"&lt;"&amp;I587)&gt;0,1,0),0))</f>
        <v/>
      </c>
      <c r="L587" s="16" t="str">
        <f aca="false">IF(B587="","",IF(N587=_xlfn.MAXIFS($N$2:$N$5001,$B$2:$B$5001,B587,$I$2:$I$5001,I587),1,0))</f>
        <v/>
      </c>
      <c r="M587" s="16" t="str">
        <f aca="false">IF(B587="","",IF(E587="Em ajustes",IF(N587=_xlfn.MINIFS($N$2:$N$5001,$B$2:$B$5001,B587,$E$2:$E$5001,"Em ajustes"),1,0),0))</f>
        <v/>
      </c>
      <c r="N587" s="17" t="str">
        <f aca="false">IF(A587="","",IF(ISNUMBER(A587),A587,IFERROR(DATE(VALUE(MID(A587,7,4)),VALUE(MID(A587,4,2)),VALUE(MID(A587,1,2)))+TIME(VALUE(MID(A587,12,2)),VALUE(MID(A587,15,2)),VALUE(MID(A587,18,2))),"")))</f>
        <v/>
      </c>
    </row>
    <row r="588" customFormat="false" ht="15" hidden="false" customHeight="false" outlineLevel="0" collapsed="false">
      <c r="I588" s="15" t="str">
        <f aca="false">IF(N588="","",INT(N588))</f>
        <v/>
      </c>
      <c r="J588" s="16" t="str">
        <f aca="false">IF(B588="","",IF(N588=_xlfn.MINIFS($N$2:$N$5001,$B$2:$B$5001,B588),1,0))</f>
        <v/>
      </c>
      <c r="K588" s="16" t="str">
        <f aca="false">IF(B588="","",IF(AND(D588="Formalização",E588="Concluído"),IF(COUNTIFS($B$2:$B$5001,B588,$E$2:$E$5001,"Em ajustes",$N$2:$N$5001,"&lt;"&amp;I588)&gt;0,1,0),0))</f>
        <v/>
      </c>
      <c r="L588" s="16" t="str">
        <f aca="false">IF(B588="","",IF(N588=_xlfn.MAXIFS($N$2:$N$5001,$B$2:$B$5001,B588,$I$2:$I$5001,I588),1,0))</f>
        <v/>
      </c>
      <c r="M588" s="16" t="str">
        <f aca="false">IF(B588="","",IF(E588="Em ajustes",IF(N588=_xlfn.MINIFS($N$2:$N$5001,$B$2:$B$5001,B588,$E$2:$E$5001,"Em ajustes"),1,0),0))</f>
        <v/>
      </c>
      <c r="N588" s="17" t="str">
        <f aca="false">IF(A588="","",IF(ISNUMBER(A588),A588,IFERROR(DATE(VALUE(MID(A588,7,4)),VALUE(MID(A588,4,2)),VALUE(MID(A588,1,2)))+TIME(VALUE(MID(A588,12,2)),VALUE(MID(A588,15,2)),VALUE(MID(A588,18,2))),"")))</f>
        <v/>
      </c>
    </row>
    <row r="589" customFormat="false" ht="15" hidden="false" customHeight="false" outlineLevel="0" collapsed="false">
      <c r="I589" s="15" t="str">
        <f aca="false">IF(N589="","",INT(N589))</f>
        <v/>
      </c>
      <c r="J589" s="16" t="str">
        <f aca="false">IF(B589="","",IF(N589=_xlfn.MINIFS($N$2:$N$5001,$B$2:$B$5001,B589),1,0))</f>
        <v/>
      </c>
      <c r="K589" s="16" t="str">
        <f aca="false">IF(B589="","",IF(AND(D589="Formalização",E589="Concluído"),IF(COUNTIFS($B$2:$B$5001,B589,$E$2:$E$5001,"Em ajustes",$N$2:$N$5001,"&lt;"&amp;I589)&gt;0,1,0),0))</f>
        <v/>
      </c>
      <c r="L589" s="16" t="str">
        <f aca="false">IF(B589="","",IF(N589=_xlfn.MAXIFS($N$2:$N$5001,$B$2:$B$5001,B589,$I$2:$I$5001,I589),1,0))</f>
        <v/>
      </c>
      <c r="M589" s="16" t="str">
        <f aca="false">IF(B589="","",IF(E589="Em ajustes",IF(N589=_xlfn.MINIFS($N$2:$N$5001,$B$2:$B$5001,B589,$E$2:$E$5001,"Em ajustes"),1,0),0))</f>
        <v/>
      </c>
      <c r="N589" s="17" t="str">
        <f aca="false">IF(A589="","",IF(ISNUMBER(A589),A589,IFERROR(DATE(VALUE(MID(A589,7,4)),VALUE(MID(A589,4,2)),VALUE(MID(A589,1,2)))+TIME(VALUE(MID(A589,12,2)),VALUE(MID(A589,15,2)),VALUE(MID(A589,18,2))),"")))</f>
        <v/>
      </c>
    </row>
    <row r="590" customFormat="false" ht="15" hidden="false" customHeight="false" outlineLevel="0" collapsed="false">
      <c r="I590" s="15" t="str">
        <f aca="false">IF(N590="","",INT(N590))</f>
        <v/>
      </c>
      <c r="J590" s="16" t="str">
        <f aca="false">IF(B590="","",IF(N590=_xlfn.MINIFS($N$2:$N$5001,$B$2:$B$5001,B590),1,0))</f>
        <v/>
      </c>
      <c r="K590" s="16" t="str">
        <f aca="false">IF(B590="","",IF(AND(D590="Formalização",E590="Concluído"),IF(COUNTIFS($B$2:$B$5001,B590,$E$2:$E$5001,"Em ajustes",$N$2:$N$5001,"&lt;"&amp;I590)&gt;0,1,0),0))</f>
        <v/>
      </c>
      <c r="L590" s="16" t="str">
        <f aca="false">IF(B590="","",IF(N590=_xlfn.MAXIFS($N$2:$N$5001,$B$2:$B$5001,B590,$I$2:$I$5001,I590),1,0))</f>
        <v/>
      </c>
      <c r="M590" s="16" t="str">
        <f aca="false">IF(B590="","",IF(E590="Em ajustes",IF(N590=_xlfn.MINIFS($N$2:$N$5001,$B$2:$B$5001,B590,$E$2:$E$5001,"Em ajustes"),1,0),0))</f>
        <v/>
      </c>
      <c r="N590" s="17" t="str">
        <f aca="false">IF(A590="","",IF(ISNUMBER(A590),A590,IFERROR(DATE(VALUE(MID(A590,7,4)),VALUE(MID(A590,4,2)),VALUE(MID(A590,1,2)))+TIME(VALUE(MID(A590,12,2)),VALUE(MID(A590,15,2)),VALUE(MID(A590,18,2))),"")))</f>
        <v/>
      </c>
    </row>
    <row r="591" customFormat="false" ht="15" hidden="false" customHeight="false" outlineLevel="0" collapsed="false">
      <c r="I591" s="15" t="str">
        <f aca="false">IF(N591="","",INT(N591))</f>
        <v/>
      </c>
      <c r="J591" s="16" t="str">
        <f aca="false">IF(B591="","",IF(N591=_xlfn.MINIFS($N$2:$N$5001,$B$2:$B$5001,B591),1,0))</f>
        <v/>
      </c>
      <c r="K591" s="16" t="str">
        <f aca="false">IF(B591="","",IF(AND(D591="Formalização",E591="Concluído"),IF(COUNTIFS($B$2:$B$5001,B591,$E$2:$E$5001,"Em ajustes",$N$2:$N$5001,"&lt;"&amp;I591)&gt;0,1,0),0))</f>
        <v/>
      </c>
      <c r="L591" s="16" t="str">
        <f aca="false">IF(B591="","",IF(N591=_xlfn.MAXIFS($N$2:$N$5001,$B$2:$B$5001,B591,$I$2:$I$5001,I591),1,0))</f>
        <v/>
      </c>
      <c r="M591" s="16" t="str">
        <f aca="false">IF(B591="","",IF(E591="Em ajustes",IF(N591=_xlfn.MINIFS($N$2:$N$5001,$B$2:$B$5001,B591,$E$2:$E$5001,"Em ajustes"),1,0),0))</f>
        <v/>
      </c>
      <c r="N591" s="17" t="str">
        <f aca="false">IF(A591="","",IF(ISNUMBER(A591),A591,IFERROR(DATE(VALUE(MID(A591,7,4)),VALUE(MID(A591,4,2)),VALUE(MID(A591,1,2)))+TIME(VALUE(MID(A591,12,2)),VALUE(MID(A591,15,2)),VALUE(MID(A591,18,2))),"")))</f>
        <v/>
      </c>
    </row>
    <row r="592" customFormat="false" ht="15" hidden="false" customHeight="false" outlineLevel="0" collapsed="false">
      <c r="I592" s="15" t="str">
        <f aca="false">IF(N592="","",INT(N592))</f>
        <v/>
      </c>
      <c r="J592" s="16" t="str">
        <f aca="false">IF(B592="","",IF(N592=_xlfn.MINIFS($N$2:$N$5001,$B$2:$B$5001,B592),1,0))</f>
        <v/>
      </c>
      <c r="K592" s="16" t="str">
        <f aca="false">IF(B592="","",IF(AND(D592="Formalização",E592="Concluído"),IF(COUNTIFS($B$2:$B$5001,B592,$E$2:$E$5001,"Em ajustes",$N$2:$N$5001,"&lt;"&amp;I592)&gt;0,1,0),0))</f>
        <v/>
      </c>
      <c r="L592" s="16" t="str">
        <f aca="false">IF(B592="","",IF(N592=_xlfn.MAXIFS($N$2:$N$5001,$B$2:$B$5001,B592,$I$2:$I$5001,I592),1,0))</f>
        <v/>
      </c>
      <c r="M592" s="16" t="str">
        <f aca="false">IF(B592="","",IF(E592="Em ajustes",IF(N592=_xlfn.MINIFS($N$2:$N$5001,$B$2:$B$5001,B592,$E$2:$E$5001,"Em ajustes"),1,0),0))</f>
        <v/>
      </c>
      <c r="N592" s="17" t="str">
        <f aca="false">IF(A592="","",IF(ISNUMBER(A592),A592,IFERROR(DATE(VALUE(MID(A592,7,4)),VALUE(MID(A592,4,2)),VALUE(MID(A592,1,2)))+TIME(VALUE(MID(A592,12,2)),VALUE(MID(A592,15,2)),VALUE(MID(A592,18,2))),"")))</f>
        <v/>
      </c>
    </row>
    <row r="593" customFormat="false" ht="15" hidden="false" customHeight="false" outlineLevel="0" collapsed="false">
      <c r="I593" s="15" t="str">
        <f aca="false">IF(N593="","",INT(N593))</f>
        <v/>
      </c>
      <c r="J593" s="16" t="str">
        <f aca="false">IF(B593="","",IF(N593=_xlfn.MINIFS($N$2:$N$5001,$B$2:$B$5001,B593),1,0))</f>
        <v/>
      </c>
      <c r="K593" s="16" t="str">
        <f aca="false">IF(B593="","",IF(AND(D593="Formalização",E593="Concluído"),IF(COUNTIFS($B$2:$B$5001,B593,$E$2:$E$5001,"Em ajustes",$N$2:$N$5001,"&lt;"&amp;I593)&gt;0,1,0),0))</f>
        <v/>
      </c>
      <c r="L593" s="16" t="str">
        <f aca="false">IF(B593="","",IF(N593=_xlfn.MAXIFS($N$2:$N$5001,$B$2:$B$5001,B593,$I$2:$I$5001,I593),1,0))</f>
        <v/>
      </c>
      <c r="M593" s="16" t="str">
        <f aca="false">IF(B593="","",IF(E593="Em ajustes",IF(N593=_xlfn.MINIFS($N$2:$N$5001,$B$2:$B$5001,B593,$E$2:$E$5001,"Em ajustes"),1,0),0))</f>
        <v/>
      </c>
      <c r="N593" s="17" t="str">
        <f aca="false">IF(A593="","",IF(ISNUMBER(A593),A593,IFERROR(DATE(VALUE(MID(A593,7,4)),VALUE(MID(A593,4,2)),VALUE(MID(A593,1,2)))+TIME(VALUE(MID(A593,12,2)),VALUE(MID(A593,15,2)),VALUE(MID(A593,18,2))),"")))</f>
        <v/>
      </c>
    </row>
    <row r="594" customFormat="false" ht="15" hidden="false" customHeight="false" outlineLevel="0" collapsed="false">
      <c r="I594" s="15" t="str">
        <f aca="false">IF(N594="","",INT(N594))</f>
        <v/>
      </c>
      <c r="J594" s="16" t="str">
        <f aca="false">IF(B594="","",IF(N594=_xlfn.MINIFS($N$2:$N$5001,$B$2:$B$5001,B594),1,0))</f>
        <v/>
      </c>
      <c r="K594" s="16" t="str">
        <f aca="false">IF(B594="","",IF(AND(D594="Formalização",E594="Concluído"),IF(COUNTIFS($B$2:$B$5001,B594,$E$2:$E$5001,"Em ajustes",$N$2:$N$5001,"&lt;"&amp;I594)&gt;0,1,0),0))</f>
        <v/>
      </c>
      <c r="L594" s="16" t="str">
        <f aca="false">IF(B594="","",IF(N594=_xlfn.MAXIFS($N$2:$N$5001,$B$2:$B$5001,B594,$I$2:$I$5001,I594),1,0))</f>
        <v/>
      </c>
      <c r="M594" s="16" t="str">
        <f aca="false">IF(B594="","",IF(E594="Em ajustes",IF(N594=_xlfn.MINIFS($N$2:$N$5001,$B$2:$B$5001,B594,$E$2:$E$5001,"Em ajustes"),1,0),0))</f>
        <v/>
      </c>
      <c r="N594" s="17" t="str">
        <f aca="false">IF(A594="","",IF(ISNUMBER(A594),A594,IFERROR(DATE(VALUE(MID(A594,7,4)),VALUE(MID(A594,4,2)),VALUE(MID(A594,1,2)))+TIME(VALUE(MID(A594,12,2)),VALUE(MID(A594,15,2)),VALUE(MID(A594,18,2))),"")))</f>
        <v/>
      </c>
    </row>
    <row r="595" customFormat="false" ht="15" hidden="false" customHeight="false" outlineLevel="0" collapsed="false">
      <c r="I595" s="15" t="str">
        <f aca="false">IF(N595="","",INT(N595))</f>
        <v/>
      </c>
      <c r="J595" s="16" t="str">
        <f aca="false">IF(B595="","",IF(N595=_xlfn.MINIFS($N$2:$N$5001,$B$2:$B$5001,B595),1,0))</f>
        <v/>
      </c>
      <c r="K595" s="16" t="str">
        <f aca="false">IF(B595="","",IF(AND(D595="Formalização",E595="Concluído"),IF(COUNTIFS($B$2:$B$5001,B595,$E$2:$E$5001,"Em ajustes",$N$2:$N$5001,"&lt;"&amp;I595)&gt;0,1,0),0))</f>
        <v/>
      </c>
      <c r="L595" s="16" t="str">
        <f aca="false">IF(B595="","",IF(N595=_xlfn.MAXIFS($N$2:$N$5001,$B$2:$B$5001,B595,$I$2:$I$5001,I595),1,0))</f>
        <v/>
      </c>
      <c r="M595" s="16" t="str">
        <f aca="false">IF(B595="","",IF(E595="Em ajustes",IF(N595=_xlfn.MINIFS($N$2:$N$5001,$B$2:$B$5001,B595,$E$2:$E$5001,"Em ajustes"),1,0),0))</f>
        <v/>
      </c>
      <c r="N595" s="17" t="str">
        <f aca="false">IF(A595="","",IF(ISNUMBER(A595),A595,IFERROR(DATE(VALUE(MID(A595,7,4)),VALUE(MID(A595,4,2)),VALUE(MID(A595,1,2)))+TIME(VALUE(MID(A595,12,2)),VALUE(MID(A595,15,2)),VALUE(MID(A595,18,2))),"")))</f>
        <v/>
      </c>
    </row>
    <row r="596" customFormat="false" ht="15" hidden="false" customHeight="false" outlineLevel="0" collapsed="false">
      <c r="I596" s="15" t="str">
        <f aca="false">IF(N596="","",INT(N596))</f>
        <v/>
      </c>
      <c r="J596" s="16" t="str">
        <f aca="false">IF(B596="","",IF(N596=_xlfn.MINIFS($N$2:$N$5001,$B$2:$B$5001,B596),1,0))</f>
        <v/>
      </c>
      <c r="K596" s="16" t="str">
        <f aca="false">IF(B596="","",IF(AND(D596="Formalização",E596="Concluído"),IF(COUNTIFS($B$2:$B$5001,B596,$E$2:$E$5001,"Em ajustes",$N$2:$N$5001,"&lt;"&amp;I596)&gt;0,1,0),0))</f>
        <v/>
      </c>
      <c r="L596" s="16" t="str">
        <f aca="false">IF(B596="","",IF(N596=_xlfn.MAXIFS($N$2:$N$5001,$B$2:$B$5001,B596,$I$2:$I$5001,I596),1,0))</f>
        <v/>
      </c>
      <c r="M596" s="16" t="str">
        <f aca="false">IF(B596="","",IF(E596="Em ajustes",IF(N596=_xlfn.MINIFS($N$2:$N$5001,$B$2:$B$5001,B596,$E$2:$E$5001,"Em ajustes"),1,0),0))</f>
        <v/>
      </c>
      <c r="N596" s="17" t="str">
        <f aca="false">IF(A596="","",IF(ISNUMBER(A596),A596,IFERROR(DATE(VALUE(MID(A596,7,4)),VALUE(MID(A596,4,2)),VALUE(MID(A596,1,2)))+TIME(VALUE(MID(A596,12,2)),VALUE(MID(A596,15,2)),VALUE(MID(A596,18,2))),"")))</f>
        <v/>
      </c>
    </row>
    <row r="597" customFormat="false" ht="15" hidden="false" customHeight="false" outlineLevel="0" collapsed="false">
      <c r="I597" s="15" t="str">
        <f aca="false">IF(N597="","",INT(N597))</f>
        <v/>
      </c>
      <c r="J597" s="16" t="str">
        <f aca="false">IF(B597="","",IF(N597=_xlfn.MINIFS($N$2:$N$5001,$B$2:$B$5001,B597),1,0))</f>
        <v/>
      </c>
      <c r="K597" s="16" t="str">
        <f aca="false">IF(B597="","",IF(AND(D597="Formalização",E597="Concluído"),IF(COUNTIFS($B$2:$B$5001,B597,$E$2:$E$5001,"Em ajustes",$N$2:$N$5001,"&lt;"&amp;I597)&gt;0,1,0),0))</f>
        <v/>
      </c>
      <c r="L597" s="16" t="str">
        <f aca="false">IF(B597="","",IF(N597=_xlfn.MAXIFS($N$2:$N$5001,$B$2:$B$5001,B597,$I$2:$I$5001,I597),1,0))</f>
        <v/>
      </c>
      <c r="M597" s="16" t="str">
        <f aca="false">IF(B597="","",IF(E597="Em ajustes",IF(N597=_xlfn.MINIFS($N$2:$N$5001,$B$2:$B$5001,B597,$E$2:$E$5001,"Em ajustes"),1,0),0))</f>
        <v/>
      </c>
      <c r="N597" s="17" t="str">
        <f aca="false">IF(A597="","",IF(ISNUMBER(A597),A597,IFERROR(DATE(VALUE(MID(A597,7,4)),VALUE(MID(A597,4,2)),VALUE(MID(A597,1,2)))+TIME(VALUE(MID(A597,12,2)),VALUE(MID(A597,15,2)),VALUE(MID(A597,18,2))),"")))</f>
        <v/>
      </c>
    </row>
    <row r="598" customFormat="false" ht="15" hidden="false" customHeight="false" outlineLevel="0" collapsed="false">
      <c r="I598" s="15" t="str">
        <f aca="false">IF(N598="","",INT(N598))</f>
        <v/>
      </c>
      <c r="J598" s="16" t="str">
        <f aca="false">IF(B598="","",IF(N598=_xlfn.MINIFS($N$2:$N$5001,$B$2:$B$5001,B598),1,0))</f>
        <v/>
      </c>
      <c r="K598" s="16" t="str">
        <f aca="false">IF(B598="","",IF(AND(D598="Formalização",E598="Concluído"),IF(COUNTIFS($B$2:$B$5001,B598,$E$2:$E$5001,"Em ajustes",$N$2:$N$5001,"&lt;"&amp;I598)&gt;0,1,0),0))</f>
        <v/>
      </c>
      <c r="L598" s="16" t="str">
        <f aca="false">IF(B598="","",IF(N598=_xlfn.MAXIFS($N$2:$N$5001,$B$2:$B$5001,B598,$I$2:$I$5001,I598),1,0))</f>
        <v/>
      </c>
      <c r="M598" s="16" t="str">
        <f aca="false">IF(B598="","",IF(E598="Em ajustes",IF(N598=_xlfn.MINIFS($N$2:$N$5001,$B$2:$B$5001,B598,$E$2:$E$5001,"Em ajustes"),1,0),0))</f>
        <v/>
      </c>
      <c r="N598" s="17" t="str">
        <f aca="false">IF(A598="","",IF(ISNUMBER(A598),A598,IFERROR(DATE(VALUE(MID(A598,7,4)),VALUE(MID(A598,4,2)),VALUE(MID(A598,1,2)))+TIME(VALUE(MID(A598,12,2)),VALUE(MID(A598,15,2)),VALUE(MID(A598,18,2))),"")))</f>
        <v/>
      </c>
    </row>
    <row r="599" customFormat="false" ht="15" hidden="false" customHeight="false" outlineLevel="0" collapsed="false">
      <c r="I599" s="15" t="str">
        <f aca="false">IF(N599="","",INT(N599))</f>
        <v/>
      </c>
      <c r="J599" s="16" t="str">
        <f aca="false">IF(B599="","",IF(N599=_xlfn.MINIFS($N$2:$N$5001,$B$2:$B$5001,B599),1,0))</f>
        <v/>
      </c>
      <c r="K599" s="16" t="str">
        <f aca="false">IF(B599="","",IF(AND(D599="Formalização",E599="Concluído"),IF(COUNTIFS($B$2:$B$5001,B599,$E$2:$E$5001,"Em ajustes",$N$2:$N$5001,"&lt;"&amp;I599)&gt;0,1,0),0))</f>
        <v/>
      </c>
      <c r="L599" s="16" t="str">
        <f aca="false">IF(B599="","",IF(N599=_xlfn.MAXIFS($N$2:$N$5001,$B$2:$B$5001,B599,$I$2:$I$5001,I599),1,0))</f>
        <v/>
      </c>
      <c r="M599" s="16" t="str">
        <f aca="false">IF(B599="","",IF(E599="Em ajustes",IF(N599=_xlfn.MINIFS($N$2:$N$5001,$B$2:$B$5001,B599,$E$2:$E$5001,"Em ajustes"),1,0),0))</f>
        <v/>
      </c>
      <c r="N599" s="17" t="str">
        <f aca="false">IF(A599="","",IF(ISNUMBER(A599),A599,IFERROR(DATE(VALUE(MID(A599,7,4)),VALUE(MID(A599,4,2)),VALUE(MID(A599,1,2)))+TIME(VALUE(MID(A599,12,2)),VALUE(MID(A599,15,2)),VALUE(MID(A599,18,2))),"")))</f>
        <v/>
      </c>
    </row>
    <row r="600" customFormat="false" ht="15" hidden="false" customHeight="false" outlineLevel="0" collapsed="false">
      <c r="I600" s="15" t="str">
        <f aca="false">IF(N600="","",INT(N600))</f>
        <v/>
      </c>
      <c r="J600" s="16" t="str">
        <f aca="false">IF(B600="","",IF(N600=_xlfn.MINIFS($N$2:$N$5001,$B$2:$B$5001,B600),1,0))</f>
        <v/>
      </c>
      <c r="K600" s="16" t="str">
        <f aca="false">IF(B600="","",IF(AND(D600="Formalização",E600="Concluído"),IF(COUNTIFS($B$2:$B$5001,B600,$E$2:$E$5001,"Em ajustes",$N$2:$N$5001,"&lt;"&amp;I600)&gt;0,1,0),0))</f>
        <v/>
      </c>
      <c r="L600" s="16" t="str">
        <f aca="false">IF(B600="","",IF(N600=_xlfn.MAXIFS($N$2:$N$5001,$B$2:$B$5001,B600,$I$2:$I$5001,I600),1,0))</f>
        <v/>
      </c>
      <c r="M600" s="16" t="str">
        <f aca="false">IF(B600="","",IF(E600="Em ajustes",IF(N600=_xlfn.MINIFS($N$2:$N$5001,$B$2:$B$5001,B600,$E$2:$E$5001,"Em ajustes"),1,0),0))</f>
        <v/>
      </c>
      <c r="N600" s="17" t="str">
        <f aca="false">IF(A600="","",IF(ISNUMBER(A600),A600,IFERROR(DATE(VALUE(MID(A600,7,4)),VALUE(MID(A600,4,2)),VALUE(MID(A600,1,2)))+TIME(VALUE(MID(A600,12,2)),VALUE(MID(A600,15,2)),VALUE(MID(A600,18,2))),"")))</f>
        <v/>
      </c>
    </row>
    <row r="601" customFormat="false" ht="15" hidden="false" customHeight="false" outlineLevel="0" collapsed="false">
      <c r="I601" s="15" t="str">
        <f aca="false">IF(N601="","",INT(N601))</f>
        <v/>
      </c>
      <c r="J601" s="16" t="str">
        <f aca="false">IF(B601="","",IF(N601=_xlfn.MINIFS($N$2:$N$5001,$B$2:$B$5001,B601),1,0))</f>
        <v/>
      </c>
      <c r="K601" s="16" t="str">
        <f aca="false">IF(B601="","",IF(AND(D601="Formalização",E601="Concluído"),IF(COUNTIFS($B$2:$B$5001,B601,$E$2:$E$5001,"Em ajustes",$N$2:$N$5001,"&lt;"&amp;I601)&gt;0,1,0),0))</f>
        <v/>
      </c>
      <c r="L601" s="16" t="str">
        <f aca="false">IF(B601="","",IF(N601=_xlfn.MAXIFS($N$2:$N$5001,$B$2:$B$5001,B601,$I$2:$I$5001,I601),1,0))</f>
        <v/>
      </c>
      <c r="M601" s="16" t="str">
        <f aca="false">IF(B601="","",IF(E601="Em ajustes",IF(N601=_xlfn.MINIFS($N$2:$N$5001,$B$2:$B$5001,B601,$E$2:$E$5001,"Em ajustes"),1,0),0))</f>
        <v/>
      </c>
      <c r="N601" s="17" t="str">
        <f aca="false">IF(A601="","",IF(ISNUMBER(A601),A601,IFERROR(DATE(VALUE(MID(A601,7,4)),VALUE(MID(A601,4,2)),VALUE(MID(A601,1,2)))+TIME(VALUE(MID(A601,12,2)),VALUE(MID(A601,15,2)),VALUE(MID(A601,18,2))),"")))</f>
        <v/>
      </c>
    </row>
    <row r="602" customFormat="false" ht="15" hidden="false" customHeight="false" outlineLevel="0" collapsed="false">
      <c r="I602" s="15" t="str">
        <f aca="false">IF(N602="","",INT(N602))</f>
        <v/>
      </c>
      <c r="J602" s="16" t="str">
        <f aca="false">IF(B602="","",IF(N602=_xlfn.MINIFS($N$2:$N$5001,$B$2:$B$5001,B602),1,0))</f>
        <v/>
      </c>
      <c r="K602" s="16" t="str">
        <f aca="false">IF(B602="","",IF(AND(D602="Formalização",E602="Concluído"),IF(COUNTIFS($B$2:$B$5001,B602,$E$2:$E$5001,"Em ajustes",$N$2:$N$5001,"&lt;"&amp;I602)&gt;0,1,0),0))</f>
        <v/>
      </c>
      <c r="L602" s="16" t="str">
        <f aca="false">IF(B602="","",IF(N602=_xlfn.MAXIFS($N$2:$N$5001,$B$2:$B$5001,B602,$I$2:$I$5001,I602),1,0))</f>
        <v/>
      </c>
      <c r="M602" s="16" t="str">
        <f aca="false">IF(B602="","",IF(E602="Em ajustes",IF(N602=_xlfn.MINIFS($N$2:$N$5001,$B$2:$B$5001,B602,$E$2:$E$5001,"Em ajustes"),1,0),0))</f>
        <v/>
      </c>
      <c r="N602" s="17" t="str">
        <f aca="false">IF(A602="","",IF(ISNUMBER(A602),A602,IFERROR(DATE(VALUE(MID(A602,7,4)),VALUE(MID(A602,4,2)),VALUE(MID(A602,1,2)))+TIME(VALUE(MID(A602,12,2)),VALUE(MID(A602,15,2)),VALUE(MID(A602,18,2))),"")))</f>
        <v/>
      </c>
    </row>
    <row r="603" customFormat="false" ht="15" hidden="false" customHeight="false" outlineLevel="0" collapsed="false">
      <c r="I603" s="15" t="str">
        <f aca="false">IF(N603="","",INT(N603))</f>
        <v/>
      </c>
      <c r="J603" s="16" t="str">
        <f aca="false">IF(B603="","",IF(N603=_xlfn.MINIFS($N$2:$N$5001,$B$2:$B$5001,B603),1,0))</f>
        <v/>
      </c>
      <c r="K603" s="16" t="str">
        <f aca="false">IF(B603="","",IF(AND(D603="Formalização",E603="Concluído"),IF(COUNTIFS($B$2:$B$5001,B603,$E$2:$E$5001,"Em ajustes",$N$2:$N$5001,"&lt;"&amp;I603)&gt;0,1,0),0))</f>
        <v/>
      </c>
      <c r="L603" s="16" t="str">
        <f aca="false">IF(B603="","",IF(N603=_xlfn.MAXIFS($N$2:$N$5001,$B$2:$B$5001,B603,$I$2:$I$5001,I603),1,0))</f>
        <v/>
      </c>
      <c r="M603" s="16" t="str">
        <f aca="false">IF(B603="","",IF(E603="Em ajustes",IF(N603=_xlfn.MINIFS($N$2:$N$5001,$B$2:$B$5001,B603,$E$2:$E$5001,"Em ajustes"),1,0),0))</f>
        <v/>
      </c>
      <c r="N603" s="17" t="str">
        <f aca="false">IF(A603="","",IF(ISNUMBER(A603),A603,IFERROR(DATE(VALUE(MID(A603,7,4)),VALUE(MID(A603,4,2)),VALUE(MID(A603,1,2)))+TIME(VALUE(MID(A603,12,2)),VALUE(MID(A603,15,2)),VALUE(MID(A603,18,2))),"")))</f>
        <v/>
      </c>
    </row>
    <row r="604" customFormat="false" ht="15" hidden="false" customHeight="false" outlineLevel="0" collapsed="false">
      <c r="I604" s="15" t="str">
        <f aca="false">IF(N604="","",INT(N604))</f>
        <v/>
      </c>
      <c r="J604" s="16" t="str">
        <f aca="false">IF(B604="","",IF(N604=_xlfn.MINIFS($N$2:$N$5001,$B$2:$B$5001,B604),1,0))</f>
        <v/>
      </c>
      <c r="K604" s="16" t="str">
        <f aca="false">IF(B604="","",IF(AND(D604="Formalização",E604="Concluído"),IF(COUNTIFS($B$2:$B$5001,B604,$E$2:$E$5001,"Em ajustes",$N$2:$N$5001,"&lt;"&amp;I604)&gt;0,1,0),0))</f>
        <v/>
      </c>
      <c r="L604" s="16" t="str">
        <f aca="false">IF(B604="","",IF(N604=_xlfn.MAXIFS($N$2:$N$5001,$B$2:$B$5001,B604,$I$2:$I$5001,I604),1,0))</f>
        <v/>
      </c>
      <c r="M604" s="16" t="str">
        <f aca="false">IF(B604="","",IF(E604="Em ajustes",IF(N604=_xlfn.MINIFS($N$2:$N$5001,$B$2:$B$5001,B604,$E$2:$E$5001,"Em ajustes"),1,0),0))</f>
        <v/>
      </c>
      <c r="N604" s="17" t="str">
        <f aca="false">IF(A604="","",IF(ISNUMBER(A604),A604,IFERROR(DATE(VALUE(MID(A604,7,4)),VALUE(MID(A604,4,2)),VALUE(MID(A604,1,2)))+TIME(VALUE(MID(A604,12,2)),VALUE(MID(A604,15,2)),VALUE(MID(A604,18,2))),"")))</f>
        <v/>
      </c>
    </row>
    <row r="605" customFormat="false" ht="15" hidden="false" customHeight="false" outlineLevel="0" collapsed="false">
      <c r="I605" s="15" t="str">
        <f aca="false">IF(N605="","",INT(N605))</f>
        <v/>
      </c>
      <c r="J605" s="16" t="str">
        <f aca="false">IF(B605="","",IF(N605=_xlfn.MINIFS($N$2:$N$5001,$B$2:$B$5001,B605),1,0))</f>
        <v/>
      </c>
      <c r="K605" s="16" t="str">
        <f aca="false">IF(B605="","",IF(AND(D605="Formalização",E605="Concluído"),IF(COUNTIFS($B$2:$B$5001,B605,$E$2:$E$5001,"Em ajustes",$N$2:$N$5001,"&lt;"&amp;I605)&gt;0,1,0),0))</f>
        <v/>
      </c>
      <c r="L605" s="16" t="str">
        <f aca="false">IF(B605="","",IF(N605=_xlfn.MAXIFS($N$2:$N$5001,$B$2:$B$5001,B605,$I$2:$I$5001,I605),1,0))</f>
        <v/>
      </c>
      <c r="M605" s="16" t="str">
        <f aca="false">IF(B605="","",IF(E605="Em ajustes",IF(N605=_xlfn.MINIFS($N$2:$N$5001,$B$2:$B$5001,B605,$E$2:$E$5001,"Em ajustes"),1,0),0))</f>
        <v/>
      </c>
      <c r="N605" s="17" t="str">
        <f aca="false">IF(A605="","",IF(ISNUMBER(A605),A605,IFERROR(DATE(VALUE(MID(A605,7,4)),VALUE(MID(A605,4,2)),VALUE(MID(A605,1,2)))+TIME(VALUE(MID(A605,12,2)),VALUE(MID(A605,15,2)),VALUE(MID(A605,18,2))),"")))</f>
        <v/>
      </c>
    </row>
    <row r="606" customFormat="false" ht="15" hidden="false" customHeight="false" outlineLevel="0" collapsed="false">
      <c r="I606" s="15" t="str">
        <f aca="false">IF(N606="","",INT(N606))</f>
        <v/>
      </c>
      <c r="J606" s="16" t="str">
        <f aca="false">IF(B606="","",IF(N606=_xlfn.MINIFS($N$2:$N$5001,$B$2:$B$5001,B606),1,0))</f>
        <v/>
      </c>
      <c r="K606" s="16" t="str">
        <f aca="false">IF(B606="","",IF(AND(D606="Formalização",E606="Concluído"),IF(COUNTIFS($B$2:$B$5001,B606,$E$2:$E$5001,"Em ajustes",$N$2:$N$5001,"&lt;"&amp;I606)&gt;0,1,0),0))</f>
        <v/>
      </c>
      <c r="L606" s="16" t="str">
        <f aca="false">IF(B606="","",IF(N606=_xlfn.MAXIFS($N$2:$N$5001,$B$2:$B$5001,B606,$I$2:$I$5001,I606),1,0))</f>
        <v/>
      </c>
      <c r="M606" s="16" t="str">
        <f aca="false">IF(B606="","",IF(E606="Em ajustes",IF(N606=_xlfn.MINIFS($N$2:$N$5001,$B$2:$B$5001,B606,$E$2:$E$5001,"Em ajustes"),1,0),0))</f>
        <v/>
      </c>
      <c r="N606" s="17" t="str">
        <f aca="false">IF(A606="","",IF(ISNUMBER(A606),A606,IFERROR(DATE(VALUE(MID(A606,7,4)),VALUE(MID(A606,4,2)),VALUE(MID(A606,1,2)))+TIME(VALUE(MID(A606,12,2)),VALUE(MID(A606,15,2)),VALUE(MID(A606,18,2))),"")))</f>
        <v/>
      </c>
    </row>
    <row r="607" customFormat="false" ht="15" hidden="false" customHeight="false" outlineLevel="0" collapsed="false">
      <c r="I607" s="15" t="str">
        <f aca="false">IF(N607="","",INT(N607))</f>
        <v/>
      </c>
      <c r="J607" s="16" t="str">
        <f aca="false">IF(B607="","",IF(N607=_xlfn.MINIFS($N$2:$N$5001,$B$2:$B$5001,B607),1,0))</f>
        <v/>
      </c>
      <c r="K607" s="16" t="str">
        <f aca="false">IF(B607="","",IF(AND(D607="Formalização",E607="Concluído"),IF(COUNTIFS($B$2:$B$5001,B607,$E$2:$E$5001,"Em ajustes",$N$2:$N$5001,"&lt;"&amp;I607)&gt;0,1,0),0))</f>
        <v/>
      </c>
      <c r="L607" s="16" t="str">
        <f aca="false">IF(B607="","",IF(N607=_xlfn.MAXIFS($N$2:$N$5001,$B$2:$B$5001,B607,$I$2:$I$5001,I607),1,0))</f>
        <v/>
      </c>
      <c r="M607" s="16" t="str">
        <f aca="false">IF(B607="","",IF(E607="Em ajustes",IF(N607=_xlfn.MINIFS($N$2:$N$5001,$B$2:$B$5001,B607,$E$2:$E$5001,"Em ajustes"),1,0),0))</f>
        <v/>
      </c>
      <c r="N607" s="17" t="str">
        <f aca="false">IF(A607="","",IF(ISNUMBER(A607),A607,IFERROR(DATE(VALUE(MID(A607,7,4)),VALUE(MID(A607,4,2)),VALUE(MID(A607,1,2)))+TIME(VALUE(MID(A607,12,2)),VALUE(MID(A607,15,2)),VALUE(MID(A607,18,2))),"")))</f>
        <v/>
      </c>
    </row>
    <row r="608" customFormat="false" ht="15" hidden="false" customHeight="false" outlineLevel="0" collapsed="false">
      <c r="I608" s="15" t="str">
        <f aca="false">IF(N608="","",INT(N608))</f>
        <v/>
      </c>
      <c r="J608" s="16" t="str">
        <f aca="false">IF(B608="","",IF(N608=_xlfn.MINIFS($N$2:$N$5001,$B$2:$B$5001,B608),1,0))</f>
        <v/>
      </c>
      <c r="K608" s="16" t="str">
        <f aca="false">IF(B608="","",IF(AND(D608="Formalização",E608="Concluído"),IF(COUNTIFS($B$2:$B$5001,B608,$E$2:$E$5001,"Em ajustes",$N$2:$N$5001,"&lt;"&amp;I608)&gt;0,1,0),0))</f>
        <v/>
      </c>
      <c r="L608" s="16" t="str">
        <f aca="false">IF(B608="","",IF(N608=_xlfn.MAXIFS($N$2:$N$5001,$B$2:$B$5001,B608,$I$2:$I$5001,I608),1,0))</f>
        <v/>
      </c>
      <c r="M608" s="16" t="str">
        <f aca="false">IF(B608="","",IF(E608="Em ajustes",IF(N608=_xlfn.MINIFS($N$2:$N$5001,$B$2:$B$5001,B608,$E$2:$E$5001,"Em ajustes"),1,0),0))</f>
        <v/>
      </c>
      <c r="N608" s="17" t="str">
        <f aca="false">IF(A608="","",IF(ISNUMBER(A608),A608,IFERROR(DATE(VALUE(MID(A608,7,4)),VALUE(MID(A608,4,2)),VALUE(MID(A608,1,2)))+TIME(VALUE(MID(A608,12,2)),VALUE(MID(A608,15,2)),VALUE(MID(A608,18,2))),"")))</f>
        <v/>
      </c>
    </row>
    <row r="609" customFormat="false" ht="15" hidden="false" customHeight="false" outlineLevel="0" collapsed="false">
      <c r="I609" s="15" t="str">
        <f aca="false">IF(N609="","",INT(N609))</f>
        <v/>
      </c>
      <c r="J609" s="16" t="str">
        <f aca="false">IF(B609="","",IF(N609=_xlfn.MINIFS($N$2:$N$5001,$B$2:$B$5001,B609),1,0))</f>
        <v/>
      </c>
      <c r="K609" s="16" t="str">
        <f aca="false">IF(B609="","",IF(AND(D609="Formalização",E609="Concluído"),IF(COUNTIFS($B$2:$B$5001,B609,$E$2:$E$5001,"Em ajustes",$N$2:$N$5001,"&lt;"&amp;I609)&gt;0,1,0),0))</f>
        <v/>
      </c>
      <c r="L609" s="16" t="str">
        <f aca="false">IF(B609="","",IF(N609=_xlfn.MAXIFS($N$2:$N$5001,$B$2:$B$5001,B609,$I$2:$I$5001,I609),1,0))</f>
        <v/>
      </c>
      <c r="M609" s="16" t="str">
        <f aca="false">IF(B609="","",IF(E609="Em ajustes",IF(N609=_xlfn.MINIFS($N$2:$N$5001,$B$2:$B$5001,B609,$E$2:$E$5001,"Em ajustes"),1,0),0))</f>
        <v/>
      </c>
      <c r="N609" s="17" t="str">
        <f aca="false">IF(A609="","",IF(ISNUMBER(A609),A609,IFERROR(DATE(VALUE(MID(A609,7,4)),VALUE(MID(A609,4,2)),VALUE(MID(A609,1,2)))+TIME(VALUE(MID(A609,12,2)),VALUE(MID(A609,15,2)),VALUE(MID(A609,18,2))),"")))</f>
        <v/>
      </c>
    </row>
    <row r="610" customFormat="false" ht="15" hidden="false" customHeight="false" outlineLevel="0" collapsed="false">
      <c r="I610" s="15" t="str">
        <f aca="false">IF(N610="","",INT(N610))</f>
        <v/>
      </c>
      <c r="J610" s="16" t="str">
        <f aca="false">IF(B610="","",IF(N610=_xlfn.MINIFS($N$2:$N$5001,$B$2:$B$5001,B610),1,0))</f>
        <v/>
      </c>
      <c r="K610" s="16" t="str">
        <f aca="false">IF(B610="","",IF(AND(D610="Formalização",E610="Concluído"),IF(COUNTIFS($B$2:$B$5001,B610,$E$2:$E$5001,"Em ajustes",$N$2:$N$5001,"&lt;"&amp;I610)&gt;0,1,0),0))</f>
        <v/>
      </c>
      <c r="L610" s="16" t="str">
        <f aca="false">IF(B610="","",IF(N610=_xlfn.MAXIFS($N$2:$N$5001,$B$2:$B$5001,B610,$I$2:$I$5001,I610),1,0))</f>
        <v/>
      </c>
      <c r="M610" s="16" t="str">
        <f aca="false">IF(B610="","",IF(E610="Em ajustes",IF(N610=_xlfn.MINIFS($N$2:$N$5001,$B$2:$B$5001,B610,$E$2:$E$5001,"Em ajustes"),1,0),0))</f>
        <v/>
      </c>
      <c r="N610" s="17" t="str">
        <f aca="false">IF(A610="","",IF(ISNUMBER(A610),A610,IFERROR(DATE(VALUE(MID(A610,7,4)),VALUE(MID(A610,4,2)),VALUE(MID(A610,1,2)))+TIME(VALUE(MID(A610,12,2)),VALUE(MID(A610,15,2)),VALUE(MID(A610,18,2))),"")))</f>
        <v/>
      </c>
    </row>
    <row r="611" customFormat="false" ht="15" hidden="false" customHeight="false" outlineLevel="0" collapsed="false">
      <c r="I611" s="15" t="str">
        <f aca="false">IF(N611="","",INT(N611))</f>
        <v/>
      </c>
      <c r="J611" s="16" t="str">
        <f aca="false">IF(B611="","",IF(N611=_xlfn.MINIFS($N$2:$N$5001,$B$2:$B$5001,B611),1,0))</f>
        <v/>
      </c>
      <c r="K611" s="16" t="str">
        <f aca="false">IF(B611="","",IF(AND(D611="Formalização",E611="Concluído"),IF(COUNTIFS($B$2:$B$5001,B611,$E$2:$E$5001,"Em ajustes",$N$2:$N$5001,"&lt;"&amp;I611)&gt;0,1,0),0))</f>
        <v/>
      </c>
      <c r="L611" s="16" t="str">
        <f aca="false">IF(B611="","",IF(N611=_xlfn.MAXIFS($N$2:$N$5001,$B$2:$B$5001,B611,$I$2:$I$5001,I611),1,0))</f>
        <v/>
      </c>
      <c r="M611" s="16" t="str">
        <f aca="false">IF(B611="","",IF(E611="Em ajustes",IF(N611=_xlfn.MINIFS($N$2:$N$5001,$B$2:$B$5001,B611,$E$2:$E$5001,"Em ajustes"),1,0),0))</f>
        <v/>
      </c>
      <c r="N611" s="17" t="str">
        <f aca="false">IF(A611="","",IF(ISNUMBER(A611),A611,IFERROR(DATE(VALUE(MID(A611,7,4)),VALUE(MID(A611,4,2)),VALUE(MID(A611,1,2)))+TIME(VALUE(MID(A611,12,2)),VALUE(MID(A611,15,2)),VALUE(MID(A611,18,2))),"")))</f>
        <v/>
      </c>
    </row>
    <row r="612" customFormat="false" ht="15" hidden="false" customHeight="false" outlineLevel="0" collapsed="false">
      <c r="I612" s="15" t="str">
        <f aca="false">IF(N612="","",INT(N612))</f>
        <v/>
      </c>
      <c r="J612" s="16" t="str">
        <f aca="false">IF(B612="","",IF(N612=_xlfn.MINIFS($N$2:$N$5001,$B$2:$B$5001,B612),1,0))</f>
        <v/>
      </c>
      <c r="K612" s="16" t="str">
        <f aca="false">IF(B612="","",IF(AND(D612="Formalização",E612="Concluído"),IF(COUNTIFS($B$2:$B$5001,B612,$E$2:$E$5001,"Em ajustes",$N$2:$N$5001,"&lt;"&amp;I612)&gt;0,1,0),0))</f>
        <v/>
      </c>
      <c r="L612" s="16" t="str">
        <f aca="false">IF(B612="","",IF(N612=_xlfn.MAXIFS($N$2:$N$5001,$B$2:$B$5001,B612,$I$2:$I$5001,I612),1,0))</f>
        <v/>
      </c>
      <c r="M612" s="16" t="str">
        <f aca="false">IF(B612="","",IF(E612="Em ajustes",IF(N612=_xlfn.MINIFS($N$2:$N$5001,$B$2:$B$5001,B612,$E$2:$E$5001,"Em ajustes"),1,0),0))</f>
        <v/>
      </c>
      <c r="N612" s="17" t="str">
        <f aca="false">IF(A612="","",IF(ISNUMBER(A612),A612,IFERROR(DATE(VALUE(MID(A612,7,4)),VALUE(MID(A612,4,2)),VALUE(MID(A612,1,2)))+TIME(VALUE(MID(A612,12,2)),VALUE(MID(A612,15,2)),VALUE(MID(A612,18,2))),"")))</f>
        <v/>
      </c>
    </row>
    <row r="613" customFormat="false" ht="15" hidden="false" customHeight="false" outlineLevel="0" collapsed="false">
      <c r="I613" s="15" t="str">
        <f aca="false">IF(N613="","",INT(N613))</f>
        <v/>
      </c>
      <c r="J613" s="16" t="str">
        <f aca="false">IF(B613="","",IF(N613=_xlfn.MINIFS($N$2:$N$5001,$B$2:$B$5001,B613),1,0))</f>
        <v/>
      </c>
      <c r="K613" s="16" t="str">
        <f aca="false">IF(B613="","",IF(AND(D613="Formalização",E613="Concluído"),IF(COUNTIFS($B$2:$B$5001,B613,$E$2:$E$5001,"Em ajustes",$N$2:$N$5001,"&lt;"&amp;I613)&gt;0,1,0),0))</f>
        <v/>
      </c>
      <c r="L613" s="16" t="str">
        <f aca="false">IF(B613="","",IF(N613=_xlfn.MAXIFS($N$2:$N$5001,$B$2:$B$5001,B613,$I$2:$I$5001,I613),1,0))</f>
        <v/>
      </c>
      <c r="M613" s="16" t="str">
        <f aca="false">IF(B613="","",IF(E613="Em ajustes",IF(N613=_xlfn.MINIFS($N$2:$N$5001,$B$2:$B$5001,B613,$E$2:$E$5001,"Em ajustes"),1,0),0))</f>
        <v/>
      </c>
      <c r="N613" s="17" t="str">
        <f aca="false">IF(A613="","",IF(ISNUMBER(A613),A613,IFERROR(DATE(VALUE(MID(A613,7,4)),VALUE(MID(A613,4,2)),VALUE(MID(A613,1,2)))+TIME(VALUE(MID(A613,12,2)),VALUE(MID(A613,15,2)),VALUE(MID(A613,18,2))),"")))</f>
        <v/>
      </c>
    </row>
    <row r="614" customFormat="false" ht="15" hidden="false" customHeight="false" outlineLevel="0" collapsed="false">
      <c r="I614" s="15" t="str">
        <f aca="false">IF(N614="","",INT(N614))</f>
        <v/>
      </c>
      <c r="J614" s="16" t="str">
        <f aca="false">IF(B614="","",IF(N614=_xlfn.MINIFS($N$2:$N$5001,$B$2:$B$5001,B614),1,0))</f>
        <v/>
      </c>
      <c r="K614" s="16" t="str">
        <f aca="false">IF(B614="","",IF(AND(D614="Formalização",E614="Concluído"),IF(COUNTIFS($B$2:$B$5001,B614,$E$2:$E$5001,"Em ajustes",$N$2:$N$5001,"&lt;"&amp;I614)&gt;0,1,0),0))</f>
        <v/>
      </c>
      <c r="L614" s="16" t="str">
        <f aca="false">IF(B614="","",IF(N614=_xlfn.MAXIFS($N$2:$N$5001,$B$2:$B$5001,B614,$I$2:$I$5001,I614),1,0))</f>
        <v/>
      </c>
      <c r="M614" s="16" t="str">
        <f aca="false">IF(B614="","",IF(E614="Em ajustes",IF(N614=_xlfn.MINIFS($N$2:$N$5001,$B$2:$B$5001,B614,$E$2:$E$5001,"Em ajustes"),1,0),0))</f>
        <v/>
      </c>
      <c r="N614" s="17" t="str">
        <f aca="false">IF(A614="","",IF(ISNUMBER(A614),A614,IFERROR(DATE(VALUE(MID(A614,7,4)),VALUE(MID(A614,4,2)),VALUE(MID(A614,1,2)))+TIME(VALUE(MID(A614,12,2)),VALUE(MID(A614,15,2)),VALUE(MID(A614,18,2))),"")))</f>
        <v/>
      </c>
    </row>
    <row r="615" customFormat="false" ht="15" hidden="false" customHeight="false" outlineLevel="0" collapsed="false">
      <c r="I615" s="15" t="str">
        <f aca="false">IF(N615="","",INT(N615))</f>
        <v/>
      </c>
      <c r="J615" s="16" t="str">
        <f aca="false">IF(B615="","",IF(N615=_xlfn.MINIFS($N$2:$N$5001,$B$2:$B$5001,B615),1,0))</f>
        <v/>
      </c>
      <c r="K615" s="16" t="str">
        <f aca="false">IF(B615="","",IF(AND(D615="Formalização",E615="Concluído"),IF(COUNTIFS($B$2:$B$5001,B615,$E$2:$E$5001,"Em ajustes",$N$2:$N$5001,"&lt;"&amp;I615)&gt;0,1,0),0))</f>
        <v/>
      </c>
      <c r="L615" s="16" t="str">
        <f aca="false">IF(B615="","",IF(N615=_xlfn.MAXIFS($N$2:$N$5001,$B$2:$B$5001,B615,$I$2:$I$5001,I615),1,0))</f>
        <v/>
      </c>
      <c r="M615" s="16" t="str">
        <f aca="false">IF(B615="","",IF(E615="Em ajustes",IF(N615=_xlfn.MINIFS($N$2:$N$5001,$B$2:$B$5001,B615,$E$2:$E$5001,"Em ajustes"),1,0),0))</f>
        <v/>
      </c>
      <c r="N615" s="17" t="str">
        <f aca="false">IF(A615="","",IF(ISNUMBER(A615),A615,IFERROR(DATE(VALUE(MID(A615,7,4)),VALUE(MID(A615,4,2)),VALUE(MID(A615,1,2)))+TIME(VALUE(MID(A615,12,2)),VALUE(MID(A615,15,2)),VALUE(MID(A615,18,2))),"")))</f>
        <v/>
      </c>
    </row>
    <row r="616" customFormat="false" ht="15" hidden="false" customHeight="false" outlineLevel="0" collapsed="false">
      <c r="I616" s="15" t="str">
        <f aca="false">IF(N616="","",INT(N616))</f>
        <v/>
      </c>
      <c r="J616" s="16" t="str">
        <f aca="false">IF(B616="","",IF(N616=_xlfn.MINIFS($N$2:$N$5001,$B$2:$B$5001,B616),1,0))</f>
        <v/>
      </c>
      <c r="K616" s="16" t="str">
        <f aca="false">IF(B616="","",IF(AND(D616="Formalização",E616="Concluído"),IF(COUNTIFS($B$2:$B$5001,B616,$E$2:$E$5001,"Em ajustes",$N$2:$N$5001,"&lt;"&amp;I616)&gt;0,1,0),0))</f>
        <v/>
      </c>
      <c r="L616" s="16" t="str">
        <f aca="false">IF(B616="","",IF(N616=_xlfn.MAXIFS($N$2:$N$5001,$B$2:$B$5001,B616,$I$2:$I$5001,I616),1,0))</f>
        <v/>
      </c>
      <c r="M616" s="16" t="str">
        <f aca="false">IF(B616="","",IF(E616="Em ajustes",IF(N616=_xlfn.MINIFS($N$2:$N$5001,$B$2:$B$5001,B616,$E$2:$E$5001,"Em ajustes"),1,0),0))</f>
        <v/>
      </c>
      <c r="N616" s="17" t="str">
        <f aca="false">IF(A616="","",IF(ISNUMBER(A616),A616,IFERROR(DATE(VALUE(MID(A616,7,4)),VALUE(MID(A616,4,2)),VALUE(MID(A616,1,2)))+TIME(VALUE(MID(A616,12,2)),VALUE(MID(A616,15,2)),VALUE(MID(A616,18,2))),"")))</f>
        <v/>
      </c>
    </row>
    <row r="617" customFormat="false" ht="15" hidden="false" customHeight="false" outlineLevel="0" collapsed="false">
      <c r="I617" s="15" t="str">
        <f aca="false">IF(N617="","",INT(N617))</f>
        <v/>
      </c>
      <c r="J617" s="16" t="str">
        <f aca="false">IF(B617="","",IF(N617=_xlfn.MINIFS($N$2:$N$5001,$B$2:$B$5001,B617),1,0))</f>
        <v/>
      </c>
      <c r="K617" s="16" t="str">
        <f aca="false">IF(B617="","",IF(AND(D617="Formalização",E617="Concluído"),IF(COUNTIFS($B$2:$B$5001,B617,$E$2:$E$5001,"Em ajustes",$N$2:$N$5001,"&lt;"&amp;I617)&gt;0,1,0),0))</f>
        <v/>
      </c>
      <c r="L617" s="16" t="str">
        <f aca="false">IF(B617="","",IF(N617=_xlfn.MAXIFS($N$2:$N$5001,$B$2:$B$5001,B617,$I$2:$I$5001,I617),1,0))</f>
        <v/>
      </c>
      <c r="M617" s="16" t="str">
        <f aca="false">IF(B617="","",IF(E617="Em ajustes",IF(N617=_xlfn.MINIFS($N$2:$N$5001,$B$2:$B$5001,B617,$E$2:$E$5001,"Em ajustes"),1,0),0))</f>
        <v/>
      </c>
      <c r="N617" s="17" t="str">
        <f aca="false">IF(A617="","",IF(ISNUMBER(A617),A617,IFERROR(DATE(VALUE(MID(A617,7,4)),VALUE(MID(A617,4,2)),VALUE(MID(A617,1,2)))+TIME(VALUE(MID(A617,12,2)),VALUE(MID(A617,15,2)),VALUE(MID(A617,18,2))),"")))</f>
        <v/>
      </c>
    </row>
    <row r="618" customFormat="false" ht="15" hidden="false" customHeight="false" outlineLevel="0" collapsed="false">
      <c r="I618" s="15" t="str">
        <f aca="false">IF(N618="","",INT(N618))</f>
        <v/>
      </c>
      <c r="J618" s="16" t="str">
        <f aca="false">IF(B618="","",IF(N618=_xlfn.MINIFS($N$2:$N$5001,$B$2:$B$5001,B618),1,0))</f>
        <v/>
      </c>
      <c r="K618" s="16" t="str">
        <f aca="false">IF(B618="","",IF(AND(D618="Formalização",E618="Concluído"),IF(COUNTIFS($B$2:$B$5001,B618,$E$2:$E$5001,"Em ajustes",$N$2:$N$5001,"&lt;"&amp;I618)&gt;0,1,0),0))</f>
        <v/>
      </c>
      <c r="L618" s="16" t="str">
        <f aca="false">IF(B618="","",IF(N618=_xlfn.MAXIFS($N$2:$N$5001,$B$2:$B$5001,B618,$I$2:$I$5001,I618),1,0))</f>
        <v/>
      </c>
      <c r="M618" s="16" t="str">
        <f aca="false">IF(B618="","",IF(E618="Em ajustes",IF(N618=_xlfn.MINIFS($N$2:$N$5001,$B$2:$B$5001,B618,$E$2:$E$5001,"Em ajustes"),1,0),0))</f>
        <v/>
      </c>
      <c r="N618" s="17" t="str">
        <f aca="false">IF(A618="","",IF(ISNUMBER(A618),A618,IFERROR(DATE(VALUE(MID(A618,7,4)),VALUE(MID(A618,4,2)),VALUE(MID(A618,1,2)))+TIME(VALUE(MID(A618,12,2)),VALUE(MID(A618,15,2)),VALUE(MID(A618,18,2))),"")))</f>
        <v/>
      </c>
    </row>
    <row r="619" customFormat="false" ht="15" hidden="false" customHeight="false" outlineLevel="0" collapsed="false">
      <c r="I619" s="15" t="str">
        <f aca="false">IF(N619="","",INT(N619))</f>
        <v/>
      </c>
      <c r="J619" s="16" t="str">
        <f aca="false">IF(B619="","",IF(N619=_xlfn.MINIFS($N$2:$N$5001,$B$2:$B$5001,B619),1,0))</f>
        <v/>
      </c>
      <c r="K619" s="16" t="str">
        <f aca="false">IF(B619="","",IF(AND(D619="Formalização",E619="Concluído"),IF(COUNTIFS($B$2:$B$5001,B619,$E$2:$E$5001,"Em ajustes",$N$2:$N$5001,"&lt;"&amp;I619)&gt;0,1,0),0))</f>
        <v/>
      </c>
      <c r="L619" s="16" t="str">
        <f aca="false">IF(B619="","",IF(N619=_xlfn.MAXIFS($N$2:$N$5001,$B$2:$B$5001,B619,$I$2:$I$5001,I619),1,0))</f>
        <v/>
      </c>
      <c r="M619" s="16" t="str">
        <f aca="false">IF(B619="","",IF(E619="Em ajustes",IF(N619=_xlfn.MINIFS($N$2:$N$5001,$B$2:$B$5001,B619,$E$2:$E$5001,"Em ajustes"),1,0),0))</f>
        <v/>
      </c>
      <c r="N619" s="17" t="str">
        <f aca="false">IF(A619="","",IF(ISNUMBER(A619),A619,IFERROR(DATE(VALUE(MID(A619,7,4)),VALUE(MID(A619,4,2)),VALUE(MID(A619,1,2)))+TIME(VALUE(MID(A619,12,2)),VALUE(MID(A619,15,2)),VALUE(MID(A619,18,2))),"")))</f>
        <v/>
      </c>
    </row>
    <row r="620" customFormat="false" ht="15" hidden="false" customHeight="false" outlineLevel="0" collapsed="false">
      <c r="I620" s="15" t="str">
        <f aca="false">IF(N620="","",INT(N620))</f>
        <v/>
      </c>
      <c r="J620" s="16" t="str">
        <f aca="false">IF(B620="","",IF(N620=_xlfn.MINIFS($N$2:$N$5001,$B$2:$B$5001,B620),1,0))</f>
        <v/>
      </c>
      <c r="K620" s="16" t="str">
        <f aca="false">IF(B620="","",IF(AND(D620="Formalização",E620="Concluído"),IF(COUNTIFS($B$2:$B$5001,B620,$E$2:$E$5001,"Em ajustes",$N$2:$N$5001,"&lt;"&amp;I620)&gt;0,1,0),0))</f>
        <v/>
      </c>
      <c r="L620" s="16" t="str">
        <f aca="false">IF(B620="","",IF(N620=_xlfn.MAXIFS($N$2:$N$5001,$B$2:$B$5001,B620,$I$2:$I$5001,I620),1,0))</f>
        <v/>
      </c>
      <c r="M620" s="16" t="str">
        <f aca="false">IF(B620="","",IF(E620="Em ajustes",IF(N620=_xlfn.MINIFS($N$2:$N$5001,$B$2:$B$5001,B620,$E$2:$E$5001,"Em ajustes"),1,0),0))</f>
        <v/>
      </c>
      <c r="N620" s="17" t="str">
        <f aca="false">IF(A620="","",IF(ISNUMBER(A620),A620,IFERROR(DATE(VALUE(MID(A620,7,4)),VALUE(MID(A620,4,2)),VALUE(MID(A620,1,2)))+TIME(VALUE(MID(A620,12,2)),VALUE(MID(A620,15,2)),VALUE(MID(A620,18,2))),"")))</f>
        <v/>
      </c>
    </row>
    <row r="621" customFormat="false" ht="15" hidden="false" customHeight="false" outlineLevel="0" collapsed="false">
      <c r="I621" s="15" t="str">
        <f aca="false">IF(N621="","",INT(N621))</f>
        <v/>
      </c>
      <c r="J621" s="16" t="str">
        <f aca="false">IF(B621="","",IF(N621=_xlfn.MINIFS($N$2:$N$5001,$B$2:$B$5001,B621),1,0))</f>
        <v/>
      </c>
      <c r="K621" s="16" t="str">
        <f aca="false">IF(B621="","",IF(AND(D621="Formalização",E621="Concluído"),IF(COUNTIFS($B$2:$B$5001,B621,$E$2:$E$5001,"Em ajustes",$N$2:$N$5001,"&lt;"&amp;I621)&gt;0,1,0),0))</f>
        <v/>
      </c>
      <c r="L621" s="16" t="str">
        <f aca="false">IF(B621="","",IF(N621=_xlfn.MAXIFS($N$2:$N$5001,$B$2:$B$5001,B621,$I$2:$I$5001,I621),1,0))</f>
        <v/>
      </c>
      <c r="M621" s="16" t="str">
        <f aca="false">IF(B621="","",IF(E621="Em ajustes",IF(N621=_xlfn.MINIFS($N$2:$N$5001,$B$2:$B$5001,B621,$E$2:$E$5001,"Em ajustes"),1,0),0))</f>
        <v/>
      </c>
      <c r="N621" s="17" t="str">
        <f aca="false">IF(A621="","",IF(ISNUMBER(A621),A621,IFERROR(DATE(VALUE(MID(A621,7,4)),VALUE(MID(A621,4,2)),VALUE(MID(A621,1,2)))+TIME(VALUE(MID(A621,12,2)),VALUE(MID(A621,15,2)),VALUE(MID(A621,18,2))),"")))</f>
        <v/>
      </c>
    </row>
    <row r="622" customFormat="false" ht="15" hidden="false" customHeight="false" outlineLevel="0" collapsed="false">
      <c r="I622" s="15" t="str">
        <f aca="false">IF(N622="","",INT(N622))</f>
        <v/>
      </c>
      <c r="J622" s="16" t="str">
        <f aca="false">IF(B622="","",IF(N622=_xlfn.MINIFS($N$2:$N$5001,$B$2:$B$5001,B622),1,0))</f>
        <v/>
      </c>
      <c r="K622" s="16" t="str">
        <f aca="false">IF(B622="","",IF(AND(D622="Formalização",E622="Concluído"),IF(COUNTIFS($B$2:$B$5001,B622,$E$2:$E$5001,"Em ajustes",$N$2:$N$5001,"&lt;"&amp;I622)&gt;0,1,0),0))</f>
        <v/>
      </c>
      <c r="L622" s="16" t="str">
        <f aca="false">IF(B622="","",IF(N622=_xlfn.MAXIFS($N$2:$N$5001,$B$2:$B$5001,B622,$I$2:$I$5001,I622),1,0))</f>
        <v/>
      </c>
      <c r="M622" s="16" t="str">
        <f aca="false">IF(B622="","",IF(E622="Em ajustes",IF(N622=_xlfn.MINIFS($N$2:$N$5001,$B$2:$B$5001,B622,$E$2:$E$5001,"Em ajustes"),1,0),0))</f>
        <v/>
      </c>
      <c r="N622" s="17" t="str">
        <f aca="false">IF(A622="","",IF(ISNUMBER(A622),A622,IFERROR(DATE(VALUE(MID(A622,7,4)),VALUE(MID(A622,4,2)),VALUE(MID(A622,1,2)))+TIME(VALUE(MID(A622,12,2)),VALUE(MID(A622,15,2)),VALUE(MID(A622,18,2))),"")))</f>
        <v/>
      </c>
    </row>
    <row r="623" customFormat="false" ht="15" hidden="false" customHeight="false" outlineLevel="0" collapsed="false">
      <c r="I623" s="15" t="str">
        <f aca="false">IF(N623="","",INT(N623))</f>
        <v/>
      </c>
      <c r="J623" s="16" t="str">
        <f aca="false">IF(B623="","",IF(N623=_xlfn.MINIFS($N$2:$N$5001,$B$2:$B$5001,B623),1,0))</f>
        <v/>
      </c>
      <c r="K623" s="16" t="str">
        <f aca="false">IF(B623="","",IF(AND(D623="Formalização",E623="Concluído"),IF(COUNTIFS($B$2:$B$5001,B623,$E$2:$E$5001,"Em ajustes",$N$2:$N$5001,"&lt;"&amp;I623)&gt;0,1,0),0))</f>
        <v/>
      </c>
      <c r="L623" s="16" t="str">
        <f aca="false">IF(B623="","",IF(N623=_xlfn.MAXIFS($N$2:$N$5001,$B$2:$B$5001,B623,$I$2:$I$5001,I623),1,0))</f>
        <v/>
      </c>
      <c r="M623" s="16" t="str">
        <f aca="false">IF(B623="","",IF(E623="Em ajustes",IF(N623=_xlfn.MINIFS($N$2:$N$5001,$B$2:$B$5001,B623,$E$2:$E$5001,"Em ajustes"),1,0),0))</f>
        <v/>
      </c>
      <c r="N623" s="17" t="str">
        <f aca="false">IF(A623="","",IF(ISNUMBER(A623),A623,IFERROR(DATE(VALUE(MID(A623,7,4)),VALUE(MID(A623,4,2)),VALUE(MID(A623,1,2)))+TIME(VALUE(MID(A623,12,2)),VALUE(MID(A623,15,2)),VALUE(MID(A623,18,2))),"")))</f>
        <v/>
      </c>
    </row>
    <row r="624" customFormat="false" ht="15" hidden="false" customHeight="false" outlineLevel="0" collapsed="false">
      <c r="I624" s="15" t="str">
        <f aca="false">IF(N624="","",INT(N624))</f>
        <v/>
      </c>
      <c r="J624" s="16" t="str">
        <f aca="false">IF(B624="","",IF(N624=_xlfn.MINIFS($N$2:$N$5001,$B$2:$B$5001,B624),1,0))</f>
        <v/>
      </c>
      <c r="K624" s="16" t="str">
        <f aca="false">IF(B624="","",IF(AND(D624="Formalização",E624="Concluído"),IF(COUNTIFS($B$2:$B$5001,B624,$E$2:$E$5001,"Em ajustes",$N$2:$N$5001,"&lt;"&amp;I624)&gt;0,1,0),0))</f>
        <v/>
      </c>
      <c r="L624" s="16" t="str">
        <f aca="false">IF(B624="","",IF(N624=_xlfn.MAXIFS($N$2:$N$5001,$B$2:$B$5001,B624,$I$2:$I$5001,I624),1,0))</f>
        <v/>
      </c>
      <c r="M624" s="16" t="str">
        <f aca="false">IF(B624="","",IF(E624="Em ajustes",IF(N624=_xlfn.MINIFS($N$2:$N$5001,$B$2:$B$5001,B624,$E$2:$E$5001,"Em ajustes"),1,0),0))</f>
        <v/>
      </c>
      <c r="N624" s="17" t="str">
        <f aca="false">IF(A624="","",IF(ISNUMBER(A624),A624,IFERROR(DATE(VALUE(MID(A624,7,4)),VALUE(MID(A624,4,2)),VALUE(MID(A624,1,2)))+TIME(VALUE(MID(A624,12,2)),VALUE(MID(A624,15,2)),VALUE(MID(A624,18,2))),"")))</f>
        <v/>
      </c>
    </row>
    <row r="625" customFormat="false" ht="15" hidden="false" customHeight="false" outlineLevel="0" collapsed="false">
      <c r="I625" s="15" t="str">
        <f aca="false">IF(N625="","",INT(N625))</f>
        <v/>
      </c>
      <c r="J625" s="16" t="str">
        <f aca="false">IF(B625="","",IF(N625=_xlfn.MINIFS($N$2:$N$5001,$B$2:$B$5001,B625),1,0))</f>
        <v/>
      </c>
      <c r="K625" s="16" t="str">
        <f aca="false">IF(B625="","",IF(AND(D625="Formalização",E625="Concluído"),IF(COUNTIFS($B$2:$B$5001,B625,$E$2:$E$5001,"Em ajustes",$N$2:$N$5001,"&lt;"&amp;I625)&gt;0,1,0),0))</f>
        <v/>
      </c>
      <c r="L625" s="16" t="str">
        <f aca="false">IF(B625="","",IF(N625=_xlfn.MAXIFS($N$2:$N$5001,$B$2:$B$5001,B625,$I$2:$I$5001,I625),1,0))</f>
        <v/>
      </c>
      <c r="M625" s="16" t="str">
        <f aca="false">IF(B625="","",IF(E625="Em ajustes",IF(N625=_xlfn.MINIFS($N$2:$N$5001,$B$2:$B$5001,B625,$E$2:$E$5001,"Em ajustes"),1,0),0))</f>
        <v/>
      </c>
      <c r="N625" s="17" t="str">
        <f aca="false">IF(A625="","",IF(ISNUMBER(A625),A625,IFERROR(DATE(VALUE(MID(A625,7,4)),VALUE(MID(A625,4,2)),VALUE(MID(A625,1,2)))+TIME(VALUE(MID(A625,12,2)),VALUE(MID(A625,15,2)),VALUE(MID(A625,18,2))),"")))</f>
        <v/>
      </c>
    </row>
    <row r="626" customFormat="false" ht="15" hidden="false" customHeight="false" outlineLevel="0" collapsed="false">
      <c r="I626" s="15" t="str">
        <f aca="false">IF(N626="","",INT(N626))</f>
        <v/>
      </c>
      <c r="J626" s="16" t="str">
        <f aca="false">IF(B626="","",IF(N626=_xlfn.MINIFS($N$2:$N$5001,$B$2:$B$5001,B626),1,0))</f>
        <v/>
      </c>
      <c r="K626" s="16" t="str">
        <f aca="false">IF(B626="","",IF(AND(D626="Formalização",E626="Concluído"),IF(COUNTIFS($B$2:$B$5001,B626,$E$2:$E$5001,"Em ajustes",$N$2:$N$5001,"&lt;"&amp;I626)&gt;0,1,0),0))</f>
        <v/>
      </c>
      <c r="L626" s="16" t="str">
        <f aca="false">IF(B626="","",IF(N626=_xlfn.MAXIFS($N$2:$N$5001,$B$2:$B$5001,B626,$I$2:$I$5001,I626),1,0))</f>
        <v/>
      </c>
      <c r="M626" s="16" t="str">
        <f aca="false">IF(B626="","",IF(E626="Em ajustes",IF(N626=_xlfn.MINIFS($N$2:$N$5001,$B$2:$B$5001,B626,$E$2:$E$5001,"Em ajustes"),1,0),0))</f>
        <v/>
      </c>
      <c r="N626" s="17" t="str">
        <f aca="false">IF(A626="","",IF(ISNUMBER(A626),A626,IFERROR(DATE(VALUE(MID(A626,7,4)),VALUE(MID(A626,4,2)),VALUE(MID(A626,1,2)))+TIME(VALUE(MID(A626,12,2)),VALUE(MID(A626,15,2)),VALUE(MID(A626,18,2))),"")))</f>
        <v/>
      </c>
    </row>
    <row r="627" customFormat="false" ht="15" hidden="false" customHeight="false" outlineLevel="0" collapsed="false">
      <c r="I627" s="15" t="str">
        <f aca="false">IF(N627="","",INT(N627))</f>
        <v/>
      </c>
      <c r="J627" s="16" t="str">
        <f aca="false">IF(B627="","",IF(N627=_xlfn.MINIFS($N$2:$N$5001,$B$2:$B$5001,B627),1,0))</f>
        <v/>
      </c>
      <c r="K627" s="16" t="str">
        <f aca="false">IF(B627="","",IF(AND(D627="Formalização",E627="Concluído"),IF(COUNTIFS($B$2:$B$5001,B627,$E$2:$E$5001,"Em ajustes",$N$2:$N$5001,"&lt;"&amp;I627)&gt;0,1,0),0))</f>
        <v/>
      </c>
      <c r="L627" s="16" t="str">
        <f aca="false">IF(B627="","",IF(N627=_xlfn.MAXIFS($N$2:$N$5001,$B$2:$B$5001,B627,$I$2:$I$5001,I627),1,0))</f>
        <v/>
      </c>
      <c r="M627" s="16" t="str">
        <f aca="false">IF(B627="","",IF(E627="Em ajustes",IF(N627=_xlfn.MINIFS($N$2:$N$5001,$B$2:$B$5001,B627,$E$2:$E$5001,"Em ajustes"),1,0),0))</f>
        <v/>
      </c>
      <c r="N627" s="17" t="str">
        <f aca="false">IF(A627="","",IF(ISNUMBER(A627),A627,IFERROR(DATE(VALUE(MID(A627,7,4)),VALUE(MID(A627,4,2)),VALUE(MID(A627,1,2)))+TIME(VALUE(MID(A627,12,2)),VALUE(MID(A627,15,2)),VALUE(MID(A627,18,2))),"")))</f>
        <v/>
      </c>
    </row>
    <row r="628" customFormat="false" ht="15" hidden="false" customHeight="false" outlineLevel="0" collapsed="false">
      <c r="I628" s="15" t="str">
        <f aca="false">IF(N628="","",INT(N628))</f>
        <v/>
      </c>
      <c r="J628" s="16" t="str">
        <f aca="false">IF(B628="","",IF(N628=_xlfn.MINIFS($N$2:$N$5001,$B$2:$B$5001,B628),1,0))</f>
        <v/>
      </c>
      <c r="K628" s="16" t="str">
        <f aca="false">IF(B628="","",IF(AND(D628="Formalização",E628="Concluído"),IF(COUNTIFS($B$2:$B$5001,B628,$E$2:$E$5001,"Em ajustes",$N$2:$N$5001,"&lt;"&amp;I628)&gt;0,1,0),0))</f>
        <v/>
      </c>
      <c r="L628" s="16" t="str">
        <f aca="false">IF(B628="","",IF(N628=_xlfn.MAXIFS($N$2:$N$5001,$B$2:$B$5001,B628,$I$2:$I$5001,I628),1,0))</f>
        <v/>
      </c>
      <c r="M628" s="16" t="str">
        <f aca="false">IF(B628="","",IF(E628="Em ajustes",IF(N628=_xlfn.MINIFS($N$2:$N$5001,$B$2:$B$5001,B628,$E$2:$E$5001,"Em ajustes"),1,0),0))</f>
        <v/>
      </c>
      <c r="N628" s="17" t="str">
        <f aca="false">IF(A628="","",IF(ISNUMBER(A628),A628,IFERROR(DATE(VALUE(MID(A628,7,4)),VALUE(MID(A628,4,2)),VALUE(MID(A628,1,2)))+TIME(VALUE(MID(A628,12,2)),VALUE(MID(A628,15,2)),VALUE(MID(A628,18,2))),"")))</f>
        <v/>
      </c>
    </row>
    <row r="629" customFormat="false" ht="15" hidden="false" customHeight="false" outlineLevel="0" collapsed="false">
      <c r="I629" s="15" t="str">
        <f aca="false">IF(N629="","",INT(N629))</f>
        <v/>
      </c>
      <c r="J629" s="16" t="str">
        <f aca="false">IF(B629="","",IF(N629=_xlfn.MINIFS($N$2:$N$5001,$B$2:$B$5001,B629),1,0))</f>
        <v/>
      </c>
      <c r="K629" s="16" t="str">
        <f aca="false">IF(B629="","",IF(AND(D629="Formalização",E629="Concluído"),IF(COUNTIFS($B$2:$B$5001,B629,$E$2:$E$5001,"Em ajustes",$N$2:$N$5001,"&lt;"&amp;I629)&gt;0,1,0),0))</f>
        <v/>
      </c>
      <c r="L629" s="16" t="str">
        <f aca="false">IF(B629="","",IF(N629=_xlfn.MAXIFS($N$2:$N$5001,$B$2:$B$5001,B629,$I$2:$I$5001,I629),1,0))</f>
        <v/>
      </c>
      <c r="M629" s="16" t="str">
        <f aca="false">IF(B629="","",IF(E629="Em ajustes",IF(N629=_xlfn.MINIFS($N$2:$N$5001,$B$2:$B$5001,B629,$E$2:$E$5001,"Em ajustes"),1,0),0))</f>
        <v/>
      </c>
      <c r="N629" s="17" t="str">
        <f aca="false">IF(A629="","",IF(ISNUMBER(A629),A629,IFERROR(DATE(VALUE(MID(A629,7,4)),VALUE(MID(A629,4,2)),VALUE(MID(A629,1,2)))+TIME(VALUE(MID(A629,12,2)),VALUE(MID(A629,15,2)),VALUE(MID(A629,18,2))),"")))</f>
        <v/>
      </c>
    </row>
    <row r="630" customFormat="false" ht="15" hidden="false" customHeight="false" outlineLevel="0" collapsed="false">
      <c r="I630" s="15" t="str">
        <f aca="false">IF(N630="","",INT(N630))</f>
        <v/>
      </c>
      <c r="J630" s="16" t="str">
        <f aca="false">IF(B630="","",IF(N630=_xlfn.MINIFS($N$2:$N$5001,$B$2:$B$5001,B630),1,0))</f>
        <v/>
      </c>
      <c r="K630" s="16" t="str">
        <f aca="false">IF(B630="","",IF(AND(D630="Formalização",E630="Concluído"),IF(COUNTIFS($B$2:$B$5001,B630,$E$2:$E$5001,"Em ajustes",$N$2:$N$5001,"&lt;"&amp;I630)&gt;0,1,0),0))</f>
        <v/>
      </c>
      <c r="L630" s="16" t="str">
        <f aca="false">IF(B630="","",IF(N630=_xlfn.MAXIFS($N$2:$N$5001,$B$2:$B$5001,B630,$I$2:$I$5001,I630),1,0))</f>
        <v/>
      </c>
      <c r="M630" s="16" t="str">
        <f aca="false">IF(B630="","",IF(E630="Em ajustes",IF(N630=_xlfn.MINIFS($N$2:$N$5001,$B$2:$B$5001,B630,$E$2:$E$5001,"Em ajustes"),1,0),0))</f>
        <v/>
      </c>
      <c r="N630" s="17" t="str">
        <f aca="false">IF(A630="","",IF(ISNUMBER(A630),A630,IFERROR(DATE(VALUE(MID(A630,7,4)),VALUE(MID(A630,4,2)),VALUE(MID(A630,1,2)))+TIME(VALUE(MID(A630,12,2)),VALUE(MID(A630,15,2)),VALUE(MID(A630,18,2))),"")))</f>
        <v/>
      </c>
    </row>
    <row r="631" customFormat="false" ht="15" hidden="false" customHeight="false" outlineLevel="0" collapsed="false">
      <c r="I631" s="15" t="str">
        <f aca="false">IF(N631="","",INT(N631))</f>
        <v/>
      </c>
      <c r="J631" s="16" t="str">
        <f aca="false">IF(B631="","",IF(N631=_xlfn.MINIFS($N$2:$N$5001,$B$2:$B$5001,B631),1,0))</f>
        <v/>
      </c>
      <c r="K631" s="16" t="str">
        <f aca="false">IF(B631="","",IF(AND(D631="Formalização",E631="Concluído"),IF(COUNTIFS($B$2:$B$5001,B631,$E$2:$E$5001,"Em ajustes",$N$2:$N$5001,"&lt;"&amp;I631)&gt;0,1,0),0))</f>
        <v/>
      </c>
      <c r="L631" s="16" t="str">
        <f aca="false">IF(B631="","",IF(N631=_xlfn.MAXIFS($N$2:$N$5001,$B$2:$B$5001,B631,$I$2:$I$5001,I631),1,0))</f>
        <v/>
      </c>
      <c r="M631" s="16" t="str">
        <f aca="false">IF(B631="","",IF(E631="Em ajustes",IF(N631=_xlfn.MINIFS($N$2:$N$5001,$B$2:$B$5001,B631,$E$2:$E$5001,"Em ajustes"),1,0),0))</f>
        <v/>
      </c>
      <c r="N631" s="17" t="str">
        <f aca="false">IF(A631="","",IF(ISNUMBER(A631),A631,IFERROR(DATE(VALUE(MID(A631,7,4)),VALUE(MID(A631,4,2)),VALUE(MID(A631,1,2)))+TIME(VALUE(MID(A631,12,2)),VALUE(MID(A631,15,2)),VALUE(MID(A631,18,2))),"")))</f>
        <v/>
      </c>
    </row>
    <row r="632" customFormat="false" ht="15" hidden="false" customHeight="false" outlineLevel="0" collapsed="false">
      <c r="I632" s="15" t="str">
        <f aca="false">IF(N632="","",INT(N632))</f>
        <v/>
      </c>
      <c r="J632" s="16" t="str">
        <f aca="false">IF(B632="","",IF(N632=_xlfn.MINIFS($N$2:$N$5001,$B$2:$B$5001,B632),1,0))</f>
        <v/>
      </c>
      <c r="K632" s="16" t="str">
        <f aca="false">IF(B632="","",IF(AND(D632="Formalização",E632="Concluído"),IF(COUNTIFS($B$2:$B$5001,B632,$E$2:$E$5001,"Em ajustes",$N$2:$N$5001,"&lt;"&amp;I632)&gt;0,1,0),0))</f>
        <v/>
      </c>
      <c r="L632" s="16" t="str">
        <f aca="false">IF(B632="","",IF(N632=_xlfn.MAXIFS($N$2:$N$5001,$B$2:$B$5001,B632,$I$2:$I$5001,I632),1,0))</f>
        <v/>
      </c>
      <c r="M632" s="16" t="str">
        <f aca="false">IF(B632="","",IF(E632="Em ajustes",IF(N632=_xlfn.MINIFS($N$2:$N$5001,$B$2:$B$5001,B632,$E$2:$E$5001,"Em ajustes"),1,0),0))</f>
        <v/>
      </c>
      <c r="N632" s="17" t="str">
        <f aca="false">IF(A632="","",IF(ISNUMBER(A632),A632,IFERROR(DATE(VALUE(MID(A632,7,4)),VALUE(MID(A632,4,2)),VALUE(MID(A632,1,2)))+TIME(VALUE(MID(A632,12,2)),VALUE(MID(A632,15,2)),VALUE(MID(A632,18,2))),"")))</f>
        <v/>
      </c>
    </row>
    <row r="633" customFormat="false" ht="15" hidden="false" customHeight="false" outlineLevel="0" collapsed="false">
      <c r="I633" s="15" t="str">
        <f aca="false">IF(N633="","",INT(N633))</f>
        <v/>
      </c>
      <c r="J633" s="16" t="str">
        <f aca="false">IF(B633="","",IF(N633=_xlfn.MINIFS($N$2:$N$5001,$B$2:$B$5001,B633),1,0))</f>
        <v/>
      </c>
      <c r="K633" s="16" t="str">
        <f aca="false">IF(B633="","",IF(AND(D633="Formalização",E633="Concluído"),IF(COUNTIFS($B$2:$B$5001,B633,$E$2:$E$5001,"Em ajustes",$N$2:$N$5001,"&lt;"&amp;I633)&gt;0,1,0),0))</f>
        <v/>
      </c>
      <c r="L633" s="16" t="str">
        <f aca="false">IF(B633="","",IF(N633=_xlfn.MAXIFS($N$2:$N$5001,$B$2:$B$5001,B633,$I$2:$I$5001,I633),1,0))</f>
        <v/>
      </c>
      <c r="M633" s="16" t="str">
        <f aca="false">IF(B633="","",IF(E633="Em ajustes",IF(N633=_xlfn.MINIFS($N$2:$N$5001,$B$2:$B$5001,B633,$E$2:$E$5001,"Em ajustes"),1,0),0))</f>
        <v/>
      </c>
      <c r="N633" s="17" t="str">
        <f aca="false">IF(A633="","",IF(ISNUMBER(A633),A633,IFERROR(DATE(VALUE(MID(A633,7,4)),VALUE(MID(A633,4,2)),VALUE(MID(A633,1,2)))+TIME(VALUE(MID(A633,12,2)),VALUE(MID(A633,15,2)),VALUE(MID(A633,18,2))),"")))</f>
        <v/>
      </c>
    </row>
    <row r="634" customFormat="false" ht="15" hidden="false" customHeight="false" outlineLevel="0" collapsed="false">
      <c r="I634" s="15" t="str">
        <f aca="false">IF(N634="","",INT(N634))</f>
        <v/>
      </c>
      <c r="J634" s="16" t="str">
        <f aca="false">IF(B634="","",IF(N634=_xlfn.MINIFS($N$2:$N$5001,$B$2:$B$5001,B634),1,0))</f>
        <v/>
      </c>
      <c r="K634" s="16" t="str">
        <f aca="false">IF(B634="","",IF(AND(D634="Formalização",E634="Concluído"),IF(COUNTIFS($B$2:$B$5001,B634,$E$2:$E$5001,"Em ajustes",$N$2:$N$5001,"&lt;"&amp;I634)&gt;0,1,0),0))</f>
        <v/>
      </c>
      <c r="L634" s="16" t="str">
        <f aca="false">IF(B634="","",IF(N634=_xlfn.MAXIFS($N$2:$N$5001,$B$2:$B$5001,B634,$I$2:$I$5001,I634),1,0))</f>
        <v/>
      </c>
      <c r="M634" s="16" t="str">
        <f aca="false">IF(B634="","",IF(E634="Em ajustes",IF(N634=_xlfn.MINIFS($N$2:$N$5001,$B$2:$B$5001,B634,$E$2:$E$5001,"Em ajustes"),1,0),0))</f>
        <v/>
      </c>
      <c r="N634" s="17" t="str">
        <f aca="false">IF(A634="","",IF(ISNUMBER(A634),A634,IFERROR(DATE(VALUE(MID(A634,7,4)),VALUE(MID(A634,4,2)),VALUE(MID(A634,1,2)))+TIME(VALUE(MID(A634,12,2)),VALUE(MID(A634,15,2)),VALUE(MID(A634,18,2))),"")))</f>
        <v/>
      </c>
    </row>
    <row r="635" customFormat="false" ht="15" hidden="false" customHeight="false" outlineLevel="0" collapsed="false">
      <c r="I635" s="15" t="str">
        <f aca="false">IF(N635="","",INT(N635))</f>
        <v/>
      </c>
      <c r="J635" s="16" t="str">
        <f aca="false">IF(B635="","",IF(N635=_xlfn.MINIFS($N$2:$N$5001,$B$2:$B$5001,B635),1,0))</f>
        <v/>
      </c>
      <c r="K635" s="16" t="str">
        <f aca="false">IF(B635="","",IF(AND(D635="Formalização",E635="Concluído"),IF(COUNTIFS($B$2:$B$5001,B635,$E$2:$E$5001,"Em ajustes",$N$2:$N$5001,"&lt;"&amp;I635)&gt;0,1,0),0))</f>
        <v/>
      </c>
      <c r="L635" s="16" t="str">
        <f aca="false">IF(B635="","",IF(N635=_xlfn.MAXIFS($N$2:$N$5001,$B$2:$B$5001,B635,$I$2:$I$5001,I635),1,0))</f>
        <v/>
      </c>
      <c r="M635" s="16" t="str">
        <f aca="false">IF(B635="","",IF(E635="Em ajustes",IF(N635=_xlfn.MINIFS($N$2:$N$5001,$B$2:$B$5001,B635,$E$2:$E$5001,"Em ajustes"),1,0),0))</f>
        <v/>
      </c>
      <c r="N635" s="17" t="str">
        <f aca="false">IF(A635="","",IF(ISNUMBER(A635),A635,IFERROR(DATE(VALUE(MID(A635,7,4)),VALUE(MID(A635,4,2)),VALUE(MID(A635,1,2)))+TIME(VALUE(MID(A635,12,2)),VALUE(MID(A635,15,2)),VALUE(MID(A635,18,2))),"")))</f>
        <v/>
      </c>
    </row>
    <row r="636" customFormat="false" ht="15" hidden="false" customHeight="false" outlineLevel="0" collapsed="false">
      <c r="I636" s="15" t="str">
        <f aca="false">IF(N636="","",INT(N636))</f>
        <v/>
      </c>
      <c r="J636" s="16" t="str">
        <f aca="false">IF(B636="","",IF(N636=_xlfn.MINIFS($N$2:$N$5001,$B$2:$B$5001,B636),1,0))</f>
        <v/>
      </c>
      <c r="K636" s="16" t="str">
        <f aca="false">IF(B636="","",IF(AND(D636="Formalização",E636="Concluído"),IF(COUNTIFS($B$2:$B$5001,B636,$E$2:$E$5001,"Em ajustes",$N$2:$N$5001,"&lt;"&amp;I636)&gt;0,1,0),0))</f>
        <v/>
      </c>
      <c r="L636" s="16" t="str">
        <f aca="false">IF(B636="","",IF(N636=_xlfn.MAXIFS($N$2:$N$5001,$B$2:$B$5001,B636,$I$2:$I$5001,I636),1,0))</f>
        <v/>
      </c>
      <c r="M636" s="16" t="str">
        <f aca="false">IF(B636="","",IF(E636="Em ajustes",IF(N636=_xlfn.MINIFS($N$2:$N$5001,$B$2:$B$5001,B636,$E$2:$E$5001,"Em ajustes"),1,0),0))</f>
        <v/>
      </c>
      <c r="N636" s="17" t="str">
        <f aca="false">IF(A636="","",IF(ISNUMBER(A636),A636,IFERROR(DATE(VALUE(MID(A636,7,4)),VALUE(MID(A636,4,2)),VALUE(MID(A636,1,2)))+TIME(VALUE(MID(A636,12,2)),VALUE(MID(A636,15,2)),VALUE(MID(A636,18,2))),"")))</f>
        <v/>
      </c>
    </row>
    <row r="637" customFormat="false" ht="15" hidden="false" customHeight="false" outlineLevel="0" collapsed="false">
      <c r="I637" s="15" t="str">
        <f aca="false">IF(N637="","",INT(N637))</f>
        <v/>
      </c>
      <c r="J637" s="16" t="str">
        <f aca="false">IF(B637="","",IF(N637=_xlfn.MINIFS($N$2:$N$5001,$B$2:$B$5001,B637),1,0))</f>
        <v/>
      </c>
      <c r="K637" s="16" t="str">
        <f aca="false">IF(B637="","",IF(AND(D637="Formalização",E637="Concluído"),IF(COUNTIFS($B$2:$B$5001,B637,$E$2:$E$5001,"Em ajustes",$N$2:$N$5001,"&lt;"&amp;I637)&gt;0,1,0),0))</f>
        <v/>
      </c>
      <c r="L637" s="16" t="str">
        <f aca="false">IF(B637="","",IF(N637=_xlfn.MAXIFS($N$2:$N$5001,$B$2:$B$5001,B637,$I$2:$I$5001,I637),1,0))</f>
        <v/>
      </c>
      <c r="M637" s="16" t="str">
        <f aca="false">IF(B637="","",IF(E637="Em ajustes",IF(N637=_xlfn.MINIFS($N$2:$N$5001,$B$2:$B$5001,B637,$E$2:$E$5001,"Em ajustes"),1,0),0))</f>
        <v/>
      </c>
      <c r="N637" s="17" t="str">
        <f aca="false">IF(A637="","",IF(ISNUMBER(A637),A637,IFERROR(DATE(VALUE(MID(A637,7,4)),VALUE(MID(A637,4,2)),VALUE(MID(A637,1,2)))+TIME(VALUE(MID(A637,12,2)),VALUE(MID(A637,15,2)),VALUE(MID(A637,18,2))),"")))</f>
        <v/>
      </c>
    </row>
    <row r="638" customFormat="false" ht="15" hidden="false" customHeight="false" outlineLevel="0" collapsed="false">
      <c r="I638" s="15" t="str">
        <f aca="false">IF(N638="","",INT(N638))</f>
        <v/>
      </c>
      <c r="J638" s="16" t="str">
        <f aca="false">IF(B638="","",IF(N638=_xlfn.MINIFS($N$2:$N$5001,$B$2:$B$5001,B638),1,0))</f>
        <v/>
      </c>
      <c r="K638" s="16" t="str">
        <f aca="false">IF(B638="","",IF(AND(D638="Formalização",E638="Concluído"),IF(COUNTIFS($B$2:$B$5001,B638,$E$2:$E$5001,"Em ajustes",$N$2:$N$5001,"&lt;"&amp;I638)&gt;0,1,0),0))</f>
        <v/>
      </c>
      <c r="L638" s="16" t="str">
        <f aca="false">IF(B638="","",IF(N638=_xlfn.MAXIFS($N$2:$N$5001,$B$2:$B$5001,B638,$I$2:$I$5001,I638),1,0))</f>
        <v/>
      </c>
      <c r="M638" s="16" t="str">
        <f aca="false">IF(B638="","",IF(E638="Em ajustes",IF(N638=_xlfn.MINIFS($N$2:$N$5001,$B$2:$B$5001,B638,$E$2:$E$5001,"Em ajustes"),1,0),0))</f>
        <v/>
      </c>
      <c r="N638" s="17" t="str">
        <f aca="false">IF(A638="","",IF(ISNUMBER(A638),A638,IFERROR(DATE(VALUE(MID(A638,7,4)),VALUE(MID(A638,4,2)),VALUE(MID(A638,1,2)))+TIME(VALUE(MID(A638,12,2)),VALUE(MID(A638,15,2)),VALUE(MID(A638,18,2))),"")))</f>
        <v/>
      </c>
    </row>
    <row r="639" customFormat="false" ht="15" hidden="false" customHeight="false" outlineLevel="0" collapsed="false">
      <c r="I639" s="15" t="str">
        <f aca="false">IF(N639="","",INT(N639))</f>
        <v/>
      </c>
      <c r="J639" s="16" t="str">
        <f aca="false">IF(B639="","",IF(N639=_xlfn.MINIFS($N$2:$N$5001,$B$2:$B$5001,B639),1,0))</f>
        <v/>
      </c>
      <c r="K639" s="16" t="str">
        <f aca="false">IF(B639="","",IF(AND(D639="Formalização",E639="Concluído"),IF(COUNTIFS($B$2:$B$5001,B639,$E$2:$E$5001,"Em ajustes",$N$2:$N$5001,"&lt;"&amp;I639)&gt;0,1,0),0))</f>
        <v/>
      </c>
      <c r="L639" s="16" t="str">
        <f aca="false">IF(B639="","",IF(N639=_xlfn.MAXIFS($N$2:$N$5001,$B$2:$B$5001,B639,$I$2:$I$5001,I639),1,0))</f>
        <v/>
      </c>
      <c r="M639" s="16" t="str">
        <f aca="false">IF(B639="","",IF(E639="Em ajustes",IF(N639=_xlfn.MINIFS($N$2:$N$5001,$B$2:$B$5001,B639,$E$2:$E$5001,"Em ajustes"),1,0),0))</f>
        <v/>
      </c>
      <c r="N639" s="17" t="str">
        <f aca="false">IF(A639="","",IF(ISNUMBER(A639),A639,IFERROR(DATE(VALUE(MID(A639,7,4)),VALUE(MID(A639,4,2)),VALUE(MID(A639,1,2)))+TIME(VALUE(MID(A639,12,2)),VALUE(MID(A639,15,2)),VALUE(MID(A639,18,2))),"")))</f>
        <v/>
      </c>
    </row>
    <row r="640" customFormat="false" ht="15" hidden="false" customHeight="false" outlineLevel="0" collapsed="false">
      <c r="I640" s="15" t="str">
        <f aca="false">IF(N640="","",INT(N640))</f>
        <v/>
      </c>
      <c r="J640" s="16" t="str">
        <f aca="false">IF(B640="","",IF(N640=_xlfn.MINIFS($N$2:$N$5001,$B$2:$B$5001,B640),1,0))</f>
        <v/>
      </c>
      <c r="K640" s="16" t="str">
        <f aca="false">IF(B640="","",IF(AND(D640="Formalização",E640="Concluído"),IF(COUNTIFS($B$2:$B$5001,B640,$E$2:$E$5001,"Em ajustes",$N$2:$N$5001,"&lt;"&amp;I640)&gt;0,1,0),0))</f>
        <v/>
      </c>
      <c r="L640" s="16" t="str">
        <f aca="false">IF(B640="","",IF(N640=_xlfn.MAXIFS($N$2:$N$5001,$B$2:$B$5001,B640,$I$2:$I$5001,I640),1,0))</f>
        <v/>
      </c>
      <c r="M640" s="16" t="str">
        <f aca="false">IF(B640="","",IF(E640="Em ajustes",IF(N640=_xlfn.MINIFS($N$2:$N$5001,$B$2:$B$5001,B640,$E$2:$E$5001,"Em ajustes"),1,0),0))</f>
        <v/>
      </c>
      <c r="N640" s="17" t="str">
        <f aca="false">IF(A640="","",IF(ISNUMBER(A640),A640,IFERROR(DATE(VALUE(MID(A640,7,4)),VALUE(MID(A640,4,2)),VALUE(MID(A640,1,2)))+TIME(VALUE(MID(A640,12,2)),VALUE(MID(A640,15,2)),VALUE(MID(A640,18,2))),"")))</f>
        <v/>
      </c>
    </row>
    <row r="641" customFormat="false" ht="15" hidden="false" customHeight="false" outlineLevel="0" collapsed="false">
      <c r="I641" s="15" t="str">
        <f aca="false">IF(N641="","",INT(N641))</f>
        <v/>
      </c>
      <c r="J641" s="16" t="str">
        <f aca="false">IF(B641="","",IF(N641=_xlfn.MINIFS($N$2:$N$5001,$B$2:$B$5001,B641),1,0))</f>
        <v/>
      </c>
      <c r="K641" s="16" t="str">
        <f aca="false">IF(B641="","",IF(AND(D641="Formalização",E641="Concluído"),IF(COUNTIFS($B$2:$B$5001,B641,$E$2:$E$5001,"Em ajustes",$N$2:$N$5001,"&lt;"&amp;I641)&gt;0,1,0),0))</f>
        <v/>
      </c>
      <c r="L641" s="16" t="str">
        <f aca="false">IF(B641="","",IF(N641=_xlfn.MAXIFS($N$2:$N$5001,$B$2:$B$5001,B641,$I$2:$I$5001,I641),1,0))</f>
        <v/>
      </c>
      <c r="M641" s="16" t="str">
        <f aca="false">IF(B641="","",IF(E641="Em ajustes",IF(N641=_xlfn.MINIFS($N$2:$N$5001,$B$2:$B$5001,B641,$E$2:$E$5001,"Em ajustes"),1,0),0))</f>
        <v/>
      </c>
      <c r="N641" s="17" t="str">
        <f aca="false">IF(A641="","",IF(ISNUMBER(A641),A641,IFERROR(DATE(VALUE(MID(A641,7,4)),VALUE(MID(A641,4,2)),VALUE(MID(A641,1,2)))+TIME(VALUE(MID(A641,12,2)),VALUE(MID(A641,15,2)),VALUE(MID(A641,18,2))),"")))</f>
        <v/>
      </c>
    </row>
    <row r="642" customFormat="false" ht="15" hidden="false" customHeight="false" outlineLevel="0" collapsed="false">
      <c r="I642" s="15" t="str">
        <f aca="false">IF(N642="","",INT(N642))</f>
        <v/>
      </c>
      <c r="J642" s="16" t="str">
        <f aca="false">IF(B642="","",IF(N642=_xlfn.MINIFS($N$2:$N$5001,$B$2:$B$5001,B642),1,0))</f>
        <v/>
      </c>
      <c r="K642" s="16" t="str">
        <f aca="false">IF(B642="","",IF(AND(D642="Formalização",E642="Concluído"),IF(COUNTIFS($B$2:$B$5001,B642,$E$2:$E$5001,"Em ajustes",$N$2:$N$5001,"&lt;"&amp;I642)&gt;0,1,0),0))</f>
        <v/>
      </c>
      <c r="L642" s="16" t="str">
        <f aca="false">IF(B642="","",IF(N642=_xlfn.MAXIFS($N$2:$N$5001,$B$2:$B$5001,B642,$I$2:$I$5001,I642),1,0))</f>
        <v/>
      </c>
      <c r="M642" s="16" t="str">
        <f aca="false">IF(B642="","",IF(E642="Em ajustes",IF(N642=_xlfn.MINIFS($N$2:$N$5001,$B$2:$B$5001,B642,$E$2:$E$5001,"Em ajustes"),1,0),0))</f>
        <v/>
      </c>
      <c r="N642" s="17" t="str">
        <f aca="false">IF(A642="","",IF(ISNUMBER(A642),A642,IFERROR(DATE(VALUE(MID(A642,7,4)),VALUE(MID(A642,4,2)),VALUE(MID(A642,1,2)))+TIME(VALUE(MID(A642,12,2)),VALUE(MID(A642,15,2)),VALUE(MID(A642,18,2))),"")))</f>
        <v/>
      </c>
    </row>
    <row r="643" customFormat="false" ht="15" hidden="false" customHeight="false" outlineLevel="0" collapsed="false">
      <c r="I643" s="15" t="str">
        <f aca="false">IF(N643="","",INT(N643))</f>
        <v/>
      </c>
      <c r="J643" s="16" t="str">
        <f aca="false">IF(B643="","",IF(N643=_xlfn.MINIFS($N$2:$N$5001,$B$2:$B$5001,B643),1,0))</f>
        <v/>
      </c>
      <c r="K643" s="16" t="str">
        <f aca="false">IF(B643="","",IF(AND(D643="Formalização",E643="Concluído"),IF(COUNTIFS($B$2:$B$5001,B643,$E$2:$E$5001,"Em ajustes",$N$2:$N$5001,"&lt;"&amp;I643)&gt;0,1,0),0))</f>
        <v/>
      </c>
      <c r="L643" s="16" t="str">
        <f aca="false">IF(B643="","",IF(N643=_xlfn.MAXIFS($N$2:$N$5001,$B$2:$B$5001,B643,$I$2:$I$5001,I643),1,0))</f>
        <v/>
      </c>
      <c r="M643" s="16" t="str">
        <f aca="false">IF(B643="","",IF(E643="Em ajustes",IF(N643=_xlfn.MINIFS($N$2:$N$5001,$B$2:$B$5001,B643,$E$2:$E$5001,"Em ajustes"),1,0),0))</f>
        <v/>
      </c>
      <c r="N643" s="17" t="str">
        <f aca="false">IF(A643="","",IF(ISNUMBER(A643),A643,IFERROR(DATE(VALUE(MID(A643,7,4)),VALUE(MID(A643,4,2)),VALUE(MID(A643,1,2)))+TIME(VALUE(MID(A643,12,2)),VALUE(MID(A643,15,2)),VALUE(MID(A643,18,2))),"")))</f>
        <v/>
      </c>
    </row>
    <row r="644" customFormat="false" ht="15" hidden="false" customHeight="false" outlineLevel="0" collapsed="false">
      <c r="I644" s="15" t="str">
        <f aca="false">IF(N644="","",INT(N644))</f>
        <v/>
      </c>
      <c r="J644" s="16" t="str">
        <f aca="false">IF(B644="","",IF(N644=_xlfn.MINIFS($N$2:$N$5001,$B$2:$B$5001,B644),1,0))</f>
        <v/>
      </c>
      <c r="K644" s="16" t="str">
        <f aca="false">IF(B644="","",IF(AND(D644="Formalização",E644="Concluído"),IF(COUNTIFS($B$2:$B$5001,B644,$E$2:$E$5001,"Em ajustes",$N$2:$N$5001,"&lt;"&amp;I644)&gt;0,1,0),0))</f>
        <v/>
      </c>
      <c r="L644" s="16" t="str">
        <f aca="false">IF(B644="","",IF(N644=_xlfn.MAXIFS($N$2:$N$5001,$B$2:$B$5001,B644,$I$2:$I$5001,I644),1,0))</f>
        <v/>
      </c>
      <c r="M644" s="16" t="str">
        <f aca="false">IF(B644="","",IF(E644="Em ajustes",IF(N644=_xlfn.MINIFS($N$2:$N$5001,$B$2:$B$5001,B644,$E$2:$E$5001,"Em ajustes"),1,0),0))</f>
        <v/>
      </c>
      <c r="N644" s="17" t="str">
        <f aca="false">IF(A644="","",IF(ISNUMBER(A644),A644,IFERROR(DATE(VALUE(MID(A644,7,4)),VALUE(MID(A644,4,2)),VALUE(MID(A644,1,2)))+TIME(VALUE(MID(A644,12,2)),VALUE(MID(A644,15,2)),VALUE(MID(A644,18,2))),"")))</f>
        <v/>
      </c>
    </row>
    <row r="645" customFormat="false" ht="15" hidden="false" customHeight="false" outlineLevel="0" collapsed="false">
      <c r="I645" s="15" t="str">
        <f aca="false">IF(N645="","",INT(N645))</f>
        <v/>
      </c>
      <c r="J645" s="16" t="str">
        <f aca="false">IF(B645="","",IF(N645=_xlfn.MINIFS($N$2:$N$5001,$B$2:$B$5001,B645),1,0))</f>
        <v/>
      </c>
      <c r="K645" s="16" t="str">
        <f aca="false">IF(B645="","",IF(AND(D645="Formalização",E645="Concluído"),IF(COUNTIFS($B$2:$B$5001,B645,$E$2:$E$5001,"Em ajustes",$N$2:$N$5001,"&lt;"&amp;I645)&gt;0,1,0),0))</f>
        <v/>
      </c>
      <c r="L645" s="16" t="str">
        <f aca="false">IF(B645="","",IF(N645=_xlfn.MAXIFS($N$2:$N$5001,$B$2:$B$5001,B645,$I$2:$I$5001,I645),1,0))</f>
        <v/>
      </c>
      <c r="M645" s="16" t="str">
        <f aca="false">IF(B645="","",IF(E645="Em ajustes",IF(N645=_xlfn.MINIFS($N$2:$N$5001,$B$2:$B$5001,B645,$E$2:$E$5001,"Em ajustes"),1,0),0))</f>
        <v/>
      </c>
      <c r="N645" s="17" t="str">
        <f aca="false">IF(A645="","",IF(ISNUMBER(A645),A645,IFERROR(DATE(VALUE(MID(A645,7,4)),VALUE(MID(A645,4,2)),VALUE(MID(A645,1,2)))+TIME(VALUE(MID(A645,12,2)),VALUE(MID(A645,15,2)),VALUE(MID(A645,18,2))),"")))</f>
        <v/>
      </c>
    </row>
    <row r="646" customFormat="false" ht="15" hidden="false" customHeight="false" outlineLevel="0" collapsed="false">
      <c r="I646" s="15" t="str">
        <f aca="false">IF(N646="","",INT(N646))</f>
        <v/>
      </c>
      <c r="J646" s="16" t="str">
        <f aca="false">IF(B646="","",IF(N646=_xlfn.MINIFS($N$2:$N$5001,$B$2:$B$5001,B646),1,0))</f>
        <v/>
      </c>
      <c r="K646" s="16" t="str">
        <f aca="false">IF(B646="","",IF(AND(D646="Formalização",E646="Concluído"),IF(COUNTIFS($B$2:$B$5001,B646,$E$2:$E$5001,"Em ajustes",$N$2:$N$5001,"&lt;"&amp;I646)&gt;0,1,0),0))</f>
        <v/>
      </c>
      <c r="L646" s="16" t="str">
        <f aca="false">IF(B646="","",IF(N646=_xlfn.MAXIFS($N$2:$N$5001,$B$2:$B$5001,B646,$I$2:$I$5001,I646),1,0))</f>
        <v/>
      </c>
      <c r="M646" s="16" t="str">
        <f aca="false">IF(B646="","",IF(E646="Em ajustes",IF(N646=_xlfn.MINIFS($N$2:$N$5001,$B$2:$B$5001,B646,$E$2:$E$5001,"Em ajustes"),1,0),0))</f>
        <v/>
      </c>
      <c r="N646" s="17" t="str">
        <f aca="false">IF(A646="","",IF(ISNUMBER(A646),A646,IFERROR(DATE(VALUE(MID(A646,7,4)),VALUE(MID(A646,4,2)),VALUE(MID(A646,1,2)))+TIME(VALUE(MID(A646,12,2)),VALUE(MID(A646,15,2)),VALUE(MID(A646,18,2))),"")))</f>
        <v/>
      </c>
    </row>
    <row r="647" customFormat="false" ht="15" hidden="false" customHeight="false" outlineLevel="0" collapsed="false">
      <c r="I647" s="15" t="str">
        <f aca="false">IF(N647="","",INT(N647))</f>
        <v/>
      </c>
      <c r="J647" s="16" t="str">
        <f aca="false">IF(B647="","",IF(N647=_xlfn.MINIFS($N$2:$N$5001,$B$2:$B$5001,B647),1,0))</f>
        <v/>
      </c>
      <c r="K647" s="16" t="str">
        <f aca="false">IF(B647="","",IF(AND(D647="Formalização",E647="Concluído"),IF(COUNTIFS($B$2:$B$5001,B647,$E$2:$E$5001,"Em ajustes",$N$2:$N$5001,"&lt;"&amp;I647)&gt;0,1,0),0))</f>
        <v/>
      </c>
      <c r="L647" s="16" t="str">
        <f aca="false">IF(B647="","",IF(N647=_xlfn.MAXIFS($N$2:$N$5001,$B$2:$B$5001,B647,$I$2:$I$5001,I647),1,0))</f>
        <v/>
      </c>
      <c r="M647" s="16" t="str">
        <f aca="false">IF(B647="","",IF(E647="Em ajustes",IF(N647=_xlfn.MINIFS($N$2:$N$5001,$B$2:$B$5001,B647,$E$2:$E$5001,"Em ajustes"),1,0),0))</f>
        <v/>
      </c>
      <c r="N647" s="17" t="str">
        <f aca="false">IF(A647="","",IF(ISNUMBER(A647),A647,IFERROR(DATE(VALUE(MID(A647,7,4)),VALUE(MID(A647,4,2)),VALUE(MID(A647,1,2)))+TIME(VALUE(MID(A647,12,2)),VALUE(MID(A647,15,2)),VALUE(MID(A647,18,2))),"")))</f>
        <v/>
      </c>
    </row>
    <row r="648" customFormat="false" ht="15" hidden="false" customHeight="false" outlineLevel="0" collapsed="false">
      <c r="I648" s="15" t="str">
        <f aca="false">IF(N648="","",INT(N648))</f>
        <v/>
      </c>
      <c r="J648" s="16" t="str">
        <f aca="false">IF(B648="","",IF(N648=_xlfn.MINIFS($N$2:$N$5001,$B$2:$B$5001,B648),1,0))</f>
        <v/>
      </c>
      <c r="K648" s="16" t="str">
        <f aca="false">IF(B648="","",IF(AND(D648="Formalização",E648="Concluído"),IF(COUNTIFS($B$2:$B$5001,B648,$E$2:$E$5001,"Em ajustes",$N$2:$N$5001,"&lt;"&amp;I648)&gt;0,1,0),0))</f>
        <v/>
      </c>
      <c r="L648" s="16" t="str">
        <f aca="false">IF(B648="","",IF(N648=_xlfn.MAXIFS($N$2:$N$5001,$B$2:$B$5001,B648,$I$2:$I$5001,I648),1,0))</f>
        <v/>
      </c>
      <c r="M648" s="16" t="str">
        <f aca="false">IF(B648="","",IF(E648="Em ajustes",IF(N648=_xlfn.MINIFS($N$2:$N$5001,$B$2:$B$5001,B648,$E$2:$E$5001,"Em ajustes"),1,0),0))</f>
        <v/>
      </c>
      <c r="N648" s="17" t="str">
        <f aca="false">IF(A648="","",IF(ISNUMBER(A648),A648,IFERROR(DATE(VALUE(MID(A648,7,4)),VALUE(MID(A648,4,2)),VALUE(MID(A648,1,2)))+TIME(VALUE(MID(A648,12,2)),VALUE(MID(A648,15,2)),VALUE(MID(A648,18,2))),"")))</f>
        <v/>
      </c>
    </row>
    <row r="649" customFormat="false" ht="15" hidden="false" customHeight="false" outlineLevel="0" collapsed="false">
      <c r="I649" s="15" t="str">
        <f aca="false">IF(N649="","",INT(N649))</f>
        <v/>
      </c>
      <c r="J649" s="16" t="str">
        <f aca="false">IF(B649="","",IF(N649=_xlfn.MINIFS($N$2:$N$5001,$B$2:$B$5001,B649),1,0))</f>
        <v/>
      </c>
      <c r="K649" s="16" t="str">
        <f aca="false">IF(B649="","",IF(AND(D649="Formalização",E649="Concluído"),IF(COUNTIFS($B$2:$B$5001,B649,$E$2:$E$5001,"Em ajustes",$N$2:$N$5001,"&lt;"&amp;I649)&gt;0,1,0),0))</f>
        <v/>
      </c>
      <c r="L649" s="16" t="str">
        <f aca="false">IF(B649="","",IF(N649=_xlfn.MAXIFS($N$2:$N$5001,$B$2:$B$5001,B649,$I$2:$I$5001,I649),1,0))</f>
        <v/>
      </c>
      <c r="M649" s="16" t="str">
        <f aca="false">IF(B649="","",IF(E649="Em ajustes",IF(N649=_xlfn.MINIFS($N$2:$N$5001,$B$2:$B$5001,B649,$E$2:$E$5001,"Em ajustes"),1,0),0))</f>
        <v/>
      </c>
      <c r="N649" s="17" t="str">
        <f aca="false">IF(A649="","",IF(ISNUMBER(A649),A649,IFERROR(DATE(VALUE(MID(A649,7,4)),VALUE(MID(A649,4,2)),VALUE(MID(A649,1,2)))+TIME(VALUE(MID(A649,12,2)),VALUE(MID(A649,15,2)),VALUE(MID(A649,18,2))),"")))</f>
        <v/>
      </c>
    </row>
    <row r="650" customFormat="false" ht="15" hidden="false" customHeight="false" outlineLevel="0" collapsed="false">
      <c r="I650" s="15" t="str">
        <f aca="false">IF(N650="","",INT(N650))</f>
        <v/>
      </c>
      <c r="J650" s="16" t="str">
        <f aca="false">IF(B650="","",IF(N650=_xlfn.MINIFS($N$2:$N$5001,$B$2:$B$5001,B650),1,0))</f>
        <v/>
      </c>
      <c r="K650" s="16" t="str">
        <f aca="false">IF(B650="","",IF(AND(D650="Formalização",E650="Concluído"),IF(COUNTIFS($B$2:$B$5001,B650,$E$2:$E$5001,"Em ajustes",$N$2:$N$5001,"&lt;"&amp;I650)&gt;0,1,0),0))</f>
        <v/>
      </c>
      <c r="L650" s="16" t="str">
        <f aca="false">IF(B650="","",IF(N650=_xlfn.MAXIFS($N$2:$N$5001,$B$2:$B$5001,B650,$I$2:$I$5001,I650),1,0))</f>
        <v/>
      </c>
      <c r="M650" s="16" t="str">
        <f aca="false">IF(B650="","",IF(E650="Em ajustes",IF(N650=_xlfn.MINIFS($N$2:$N$5001,$B$2:$B$5001,B650,$E$2:$E$5001,"Em ajustes"),1,0),0))</f>
        <v/>
      </c>
      <c r="N650" s="17" t="str">
        <f aca="false">IF(A650="","",IF(ISNUMBER(A650),A650,IFERROR(DATE(VALUE(MID(A650,7,4)),VALUE(MID(A650,4,2)),VALUE(MID(A650,1,2)))+TIME(VALUE(MID(A650,12,2)),VALUE(MID(A650,15,2)),VALUE(MID(A650,18,2))),"")))</f>
        <v/>
      </c>
    </row>
    <row r="651" customFormat="false" ht="15" hidden="false" customHeight="false" outlineLevel="0" collapsed="false">
      <c r="I651" s="15" t="str">
        <f aca="false">IF(N651="","",INT(N651))</f>
        <v/>
      </c>
      <c r="J651" s="16" t="str">
        <f aca="false">IF(B651="","",IF(N651=_xlfn.MINIFS($N$2:$N$5001,$B$2:$B$5001,B651),1,0))</f>
        <v/>
      </c>
      <c r="K651" s="16" t="str">
        <f aca="false">IF(B651="","",IF(AND(D651="Formalização",E651="Concluído"),IF(COUNTIFS($B$2:$B$5001,B651,$E$2:$E$5001,"Em ajustes",$N$2:$N$5001,"&lt;"&amp;I651)&gt;0,1,0),0))</f>
        <v/>
      </c>
      <c r="L651" s="16" t="str">
        <f aca="false">IF(B651="","",IF(N651=_xlfn.MAXIFS($N$2:$N$5001,$B$2:$B$5001,B651,$I$2:$I$5001,I651),1,0))</f>
        <v/>
      </c>
      <c r="M651" s="16" t="str">
        <f aca="false">IF(B651="","",IF(E651="Em ajustes",IF(N651=_xlfn.MINIFS($N$2:$N$5001,$B$2:$B$5001,B651,$E$2:$E$5001,"Em ajustes"),1,0),0))</f>
        <v/>
      </c>
      <c r="N651" s="17" t="str">
        <f aca="false">IF(A651="","",IF(ISNUMBER(A651),A651,IFERROR(DATE(VALUE(MID(A651,7,4)),VALUE(MID(A651,4,2)),VALUE(MID(A651,1,2)))+TIME(VALUE(MID(A651,12,2)),VALUE(MID(A651,15,2)),VALUE(MID(A651,18,2))),"")))</f>
        <v/>
      </c>
    </row>
    <row r="652" customFormat="false" ht="15" hidden="false" customHeight="false" outlineLevel="0" collapsed="false">
      <c r="I652" s="15" t="str">
        <f aca="false">IF(N652="","",INT(N652))</f>
        <v/>
      </c>
      <c r="J652" s="16" t="str">
        <f aca="false">IF(B652="","",IF(N652=_xlfn.MINIFS($N$2:$N$5001,$B$2:$B$5001,B652),1,0))</f>
        <v/>
      </c>
      <c r="K652" s="16" t="str">
        <f aca="false">IF(B652="","",IF(AND(D652="Formalização",E652="Concluído"),IF(COUNTIFS($B$2:$B$5001,B652,$E$2:$E$5001,"Em ajustes",$N$2:$N$5001,"&lt;"&amp;I652)&gt;0,1,0),0))</f>
        <v/>
      </c>
      <c r="L652" s="16" t="str">
        <f aca="false">IF(B652="","",IF(N652=_xlfn.MAXIFS($N$2:$N$5001,$B$2:$B$5001,B652,$I$2:$I$5001,I652),1,0))</f>
        <v/>
      </c>
      <c r="M652" s="16" t="str">
        <f aca="false">IF(B652="","",IF(E652="Em ajustes",IF(N652=_xlfn.MINIFS($N$2:$N$5001,$B$2:$B$5001,B652,$E$2:$E$5001,"Em ajustes"),1,0),0))</f>
        <v/>
      </c>
      <c r="N652" s="17" t="str">
        <f aca="false">IF(A652="","",IF(ISNUMBER(A652),A652,IFERROR(DATE(VALUE(MID(A652,7,4)),VALUE(MID(A652,4,2)),VALUE(MID(A652,1,2)))+TIME(VALUE(MID(A652,12,2)),VALUE(MID(A652,15,2)),VALUE(MID(A652,18,2))),"")))</f>
        <v/>
      </c>
    </row>
    <row r="653" customFormat="false" ht="15" hidden="false" customHeight="false" outlineLevel="0" collapsed="false">
      <c r="I653" s="15" t="str">
        <f aca="false">IF(N653="","",INT(N653))</f>
        <v/>
      </c>
      <c r="J653" s="16" t="str">
        <f aca="false">IF(B653="","",IF(N653=_xlfn.MINIFS($N$2:$N$5001,$B$2:$B$5001,B653),1,0))</f>
        <v/>
      </c>
      <c r="K653" s="16" t="str">
        <f aca="false">IF(B653="","",IF(AND(D653="Formalização",E653="Concluído"),IF(COUNTIFS($B$2:$B$5001,B653,$E$2:$E$5001,"Em ajustes",$N$2:$N$5001,"&lt;"&amp;I653)&gt;0,1,0),0))</f>
        <v/>
      </c>
      <c r="L653" s="16" t="str">
        <f aca="false">IF(B653="","",IF(N653=_xlfn.MAXIFS($N$2:$N$5001,$B$2:$B$5001,B653,$I$2:$I$5001,I653),1,0))</f>
        <v/>
      </c>
      <c r="M653" s="16" t="str">
        <f aca="false">IF(B653="","",IF(E653="Em ajustes",IF(N653=_xlfn.MINIFS($N$2:$N$5001,$B$2:$B$5001,B653,$E$2:$E$5001,"Em ajustes"),1,0),0))</f>
        <v/>
      </c>
      <c r="N653" s="17" t="str">
        <f aca="false">IF(A653="","",IF(ISNUMBER(A653),A653,IFERROR(DATE(VALUE(MID(A653,7,4)),VALUE(MID(A653,4,2)),VALUE(MID(A653,1,2)))+TIME(VALUE(MID(A653,12,2)),VALUE(MID(A653,15,2)),VALUE(MID(A653,18,2))),"")))</f>
        <v/>
      </c>
    </row>
    <row r="654" customFormat="false" ht="15" hidden="false" customHeight="false" outlineLevel="0" collapsed="false">
      <c r="I654" s="15" t="str">
        <f aca="false">IF(N654="","",INT(N654))</f>
        <v/>
      </c>
      <c r="J654" s="16" t="str">
        <f aca="false">IF(B654="","",IF(N654=_xlfn.MINIFS($N$2:$N$5001,$B$2:$B$5001,B654),1,0))</f>
        <v/>
      </c>
      <c r="K654" s="16" t="str">
        <f aca="false">IF(B654="","",IF(AND(D654="Formalização",E654="Concluído"),IF(COUNTIFS($B$2:$B$5001,B654,$E$2:$E$5001,"Em ajustes",$N$2:$N$5001,"&lt;"&amp;I654)&gt;0,1,0),0))</f>
        <v/>
      </c>
      <c r="L654" s="16" t="str">
        <f aca="false">IF(B654="","",IF(N654=_xlfn.MAXIFS($N$2:$N$5001,$B$2:$B$5001,B654,$I$2:$I$5001,I654),1,0))</f>
        <v/>
      </c>
      <c r="M654" s="16" t="str">
        <f aca="false">IF(B654="","",IF(E654="Em ajustes",IF(N654=_xlfn.MINIFS($N$2:$N$5001,$B$2:$B$5001,B654,$E$2:$E$5001,"Em ajustes"),1,0),0))</f>
        <v/>
      </c>
      <c r="N654" s="17" t="str">
        <f aca="false">IF(A654="","",IF(ISNUMBER(A654),A654,IFERROR(DATE(VALUE(MID(A654,7,4)),VALUE(MID(A654,4,2)),VALUE(MID(A654,1,2)))+TIME(VALUE(MID(A654,12,2)),VALUE(MID(A654,15,2)),VALUE(MID(A654,18,2))),"")))</f>
        <v/>
      </c>
    </row>
    <row r="655" customFormat="false" ht="15" hidden="false" customHeight="false" outlineLevel="0" collapsed="false">
      <c r="I655" s="15" t="str">
        <f aca="false">IF(N655="","",INT(N655))</f>
        <v/>
      </c>
      <c r="J655" s="16" t="str">
        <f aca="false">IF(B655="","",IF(N655=_xlfn.MINIFS($N$2:$N$5001,$B$2:$B$5001,B655),1,0))</f>
        <v/>
      </c>
      <c r="K655" s="16" t="str">
        <f aca="false">IF(B655="","",IF(AND(D655="Formalização",E655="Concluído"),IF(COUNTIFS($B$2:$B$5001,B655,$E$2:$E$5001,"Em ajustes",$N$2:$N$5001,"&lt;"&amp;I655)&gt;0,1,0),0))</f>
        <v/>
      </c>
      <c r="L655" s="16" t="str">
        <f aca="false">IF(B655="","",IF(N655=_xlfn.MAXIFS($N$2:$N$5001,$B$2:$B$5001,B655,$I$2:$I$5001,I655),1,0))</f>
        <v/>
      </c>
      <c r="M655" s="16" t="str">
        <f aca="false">IF(B655="","",IF(E655="Em ajustes",IF(N655=_xlfn.MINIFS($N$2:$N$5001,$B$2:$B$5001,B655,$E$2:$E$5001,"Em ajustes"),1,0),0))</f>
        <v/>
      </c>
      <c r="N655" s="17" t="str">
        <f aca="false">IF(A655="","",IF(ISNUMBER(A655),A655,IFERROR(DATE(VALUE(MID(A655,7,4)),VALUE(MID(A655,4,2)),VALUE(MID(A655,1,2)))+TIME(VALUE(MID(A655,12,2)),VALUE(MID(A655,15,2)),VALUE(MID(A655,18,2))),"")))</f>
        <v/>
      </c>
    </row>
    <row r="656" customFormat="false" ht="15" hidden="false" customHeight="false" outlineLevel="0" collapsed="false">
      <c r="I656" s="15" t="str">
        <f aca="false">IF(N656="","",INT(N656))</f>
        <v/>
      </c>
      <c r="J656" s="16" t="str">
        <f aca="false">IF(B656="","",IF(N656=_xlfn.MINIFS($N$2:$N$5001,$B$2:$B$5001,B656),1,0))</f>
        <v/>
      </c>
      <c r="K656" s="16" t="str">
        <f aca="false">IF(B656="","",IF(AND(D656="Formalização",E656="Concluído"),IF(COUNTIFS($B$2:$B$5001,B656,$E$2:$E$5001,"Em ajustes",$N$2:$N$5001,"&lt;"&amp;I656)&gt;0,1,0),0))</f>
        <v/>
      </c>
      <c r="L656" s="16" t="str">
        <f aca="false">IF(B656="","",IF(N656=_xlfn.MAXIFS($N$2:$N$5001,$B$2:$B$5001,B656,$I$2:$I$5001,I656),1,0))</f>
        <v/>
      </c>
      <c r="M656" s="16" t="str">
        <f aca="false">IF(B656="","",IF(E656="Em ajustes",IF(N656=_xlfn.MINIFS($N$2:$N$5001,$B$2:$B$5001,B656,$E$2:$E$5001,"Em ajustes"),1,0),0))</f>
        <v/>
      </c>
      <c r="N656" s="17" t="str">
        <f aca="false">IF(A656="","",IF(ISNUMBER(A656),A656,IFERROR(DATE(VALUE(MID(A656,7,4)),VALUE(MID(A656,4,2)),VALUE(MID(A656,1,2)))+TIME(VALUE(MID(A656,12,2)),VALUE(MID(A656,15,2)),VALUE(MID(A656,18,2))),"")))</f>
        <v/>
      </c>
    </row>
    <row r="657" customFormat="false" ht="15" hidden="false" customHeight="false" outlineLevel="0" collapsed="false">
      <c r="I657" s="15" t="str">
        <f aca="false">IF(N657="","",INT(N657))</f>
        <v/>
      </c>
      <c r="J657" s="16" t="str">
        <f aca="false">IF(B657="","",IF(N657=_xlfn.MINIFS($N$2:$N$5001,$B$2:$B$5001,B657),1,0))</f>
        <v/>
      </c>
      <c r="K657" s="16" t="str">
        <f aca="false">IF(B657="","",IF(AND(D657="Formalização",E657="Concluído"),IF(COUNTIFS($B$2:$B$5001,B657,$E$2:$E$5001,"Em ajustes",$N$2:$N$5001,"&lt;"&amp;I657)&gt;0,1,0),0))</f>
        <v/>
      </c>
      <c r="L657" s="16" t="str">
        <f aca="false">IF(B657="","",IF(N657=_xlfn.MAXIFS($N$2:$N$5001,$B$2:$B$5001,B657,$I$2:$I$5001,I657),1,0))</f>
        <v/>
      </c>
      <c r="M657" s="16" t="str">
        <f aca="false">IF(B657="","",IF(E657="Em ajustes",IF(N657=_xlfn.MINIFS($N$2:$N$5001,$B$2:$B$5001,B657,$E$2:$E$5001,"Em ajustes"),1,0),0))</f>
        <v/>
      </c>
      <c r="N657" s="17" t="str">
        <f aca="false">IF(A657="","",IF(ISNUMBER(A657),A657,IFERROR(DATE(VALUE(MID(A657,7,4)),VALUE(MID(A657,4,2)),VALUE(MID(A657,1,2)))+TIME(VALUE(MID(A657,12,2)),VALUE(MID(A657,15,2)),VALUE(MID(A657,18,2))),"")))</f>
        <v/>
      </c>
    </row>
    <row r="658" customFormat="false" ht="15" hidden="false" customHeight="false" outlineLevel="0" collapsed="false">
      <c r="I658" s="15" t="str">
        <f aca="false">IF(N658="","",INT(N658))</f>
        <v/>
      </c>
      <c r="J658" s="16" t="str">
        <f aca="false">IF(B658="","",IF(N658=_xlfn.MINIFS($N$2:$N$5001,$B$2:$B$5001,B658),1,0))</f>
        <v/>
      </c>
      <c r="K658" s="16" t="str">
        <f aca="false">IF(B658="","",IF(AND(D658="Formalização",E658="Concluído"),IF(COUNTIFS($B$2:$B$5001,B658,$E$2:$E$5001,"Em ajustes",$N$2:$N$5001,"&lt;"&amp;I658)&gt;0,1,0),0))</f>
        <v/>
      </c>
      <c r="L658" s="16" t="str">
        <f aca="false">IF(B658="","",IF(N658=_xlfn.MAXIFS($N$2:$N$5001,$B$2:$B$5001,B658,$I$2:$I$5001,I658),1,0))</f>
        <v/>
      </c>
      <c r="M658" s="16" t="str">
        <f aca="false">IF(B658="","",IF(E658="Em ajustes",IF(N658=_xlfn.MINIFS($N$2:$N$5001,$B$2:$B$5001,B658,$E$2:$E$5001,"Em ajustes"),1,0),0))</f>
        <v/>
      </c>
      <c r="N658" s="17" t="str">
        <f aca="false">IF(A658="","",IF(ISNUMBER(A658),A658,IFERROR(DATE(VALUE(MID(A658,7,4)),VALUE(MID(A658,4,2)),VALUE(MID(A658,1,2)))+TIME(VALUE(MID(A658,12,2)),VALUE(MID(A658,15,2)),VALUE(MID(A658,18,2))),"")))</f>
        <v/>
      </c>
    </row>
    <row r="659" customFormat="false" ht="15" hidden="false" customHeight="false" outlineLevel="0" collapsed="false">
      <c r="I659" s="15" t="str">
        <f aca="false">IF(N659="","",INT(N659))</f>
        <v/>
      </c>
      <c r="J659" s="16" t="str">
        <f aca="false">IF(B659="","",IF(N659=_xlfn.MINIFS($N$2:$N$5001,$B$2:$B$5001,B659),1,0))</f>
        <v/>
      </c>
      <c r="K659" s="16" t="str">
        <f aca="false">IF(B659="","",IF(AND(D659="Formalização",E659="Concluído"),IF(COUNTIFS($B$2:$B$5001,B659,$E$2:$E$5001,"Em ajustes",$N$2:$N$5001,"&lt;"&amp;I659)&gt;0,1,0),0))</f>
        <v/>
      </c>
      <c r="L659" s="16" t="str">
        <f aca="false">IF(B659="","",IF(N659=_xlfn.MAXIFS($N$2:$N$5001,$B$2:$B$5001,B659,$I$2:$I$5001,I659),1,0))</f>
        <v/>
      </c>
      <c r="M659" s="16" t="str">
        <f aca="false">IF(B659="","",IF(E659="Em ajustes",IF(N659=_xlfn.MINIFS($N$2:$N$5001,$B$2:$B$5001,B659,$E$2:$E$5001,"Em ajustes"),1,0),0))</f>
        <v/>
      </c>
      <c r="N659" s="17" t="str">
        <f aca="false">IF(A659="","",IF(ISNUMBER(A659),A659,IFERROR(DATE(VALUE(MID(A659,7,4)),VALUE(MID(A659,4,2)),VALUE(MID(A659,1,2)))+TIME(VALUE(MID(A659,12,2)),VALUE(MID(A659,15,2)),VALUE(MID(A659,18,2))),"")))</f>
        <v/>
      </c>
    </row>
    <row r="660" customFormat="false" ht="15" hidden="false" customHeight="false" outlineLevel="0" collapsed="false">
      <c r="I660" s="15" t="str">
        <f aca="false">IF(N660="","",INT(N660))</f>
        <v/>
      </c>
      <c r="J660" s="16" t="str">
        <f aca="false">IF(B660="","",IF(N660=_xlfn.MINIFS($N$2:$N$5001,$B$2:$B$5001,B660),1,0))</f>
        <v/>
      </c>
      <c r="K660" s="16" t="str">
        <f aca="false">IF(B660="","",IF(AND(D660="Formalização",E660="Concluído"),IF(COUNTIFS($B$2:$B$5001,B660,$E$2:$E$5001,"Em ajustes",$N$2:$N$5001,"&lt;"&amp;I660)&gt;0,1,0),0))</f>
        <v/>
      </c>
      <c r="L660" s="16" t="str">
        <f aca="false">IF(B660="","",IF(N660=_xlfn.MAXIFS($N$2:$N$5001,$B$2:$B$5001,B660,$I$2:$I$5001,I660),1,0))</f>
        <v/>
      </c>
      <c r="M660" s="16" t="str">
        <f aca="false">IF(B660="","",IF(E660="Em ajustes",IF(N660=_xlfn.MINIFS($N$2:$N$5001,$B$2:$B$5001,B660,$E$2:$E$5001,"Em ajustes"),1,0),0))</f>
        <v/>
      </c>
      <c r="N660" s="17" t="str">
        <f aca="false">IF(A660="","",IF(ISNUMBER(A660),A660,IFERROR(DATE(VALUE(MID(A660,7,4)),VALUE(MID(A660,4,2)),VALUE(MID(A660,1,2)))+TIME(VALUE(MID(A660,12,2)),VALUE(MID(A660,15,2)),VALUE(MID(A660,18,2))),"")))</f>
        <v/>
      </c>
    </row>
    <row r="661" customFormat="false" ht="15" hidden="false" customHeight="false" outlineLevel="0" collapsed="false">
      <c r="I661" s="15" t="str">
        <f aca="false">IF(N661="","",INT(N661))</f>
        <v/>
      </c>
      <c r="J661" s="16" t="str">
        <f aca="false">IF(B661="","",IF(N661=_xlfn.MINIFS($N$2:$N$5001,$B$2:$B$5001,B661),1,0))</f>
        <v/>
      </c>
      <c r="K661" s="16" t="str">
        <f aca="false">IF(B661="","",IF(AND(D661="Formalização",E661="Concluído"),IF(COUNTIFS($B$2:$B$5001,B661,$E$2:$E$5001,"Em ajustes",$N$2:$N$5001,"&lt;"&amp;I661)&gt;0,1,0),0))</f>
        <v/>
      </c>
      <c r="L661" s="16" t="str">
        <f aca="false">IF(B661="","",IF(N661=_xlfn.MAXIFS($N$2:$N$5001,$B$2:$B$5001,B661,$I$2:$I$5001,I661),1,0))</f>
        <v/>
      </c>
      <c r="M661" s="16" t="str">
        <f aca="false">IF(B661="","",IF(E661="Em ajustes",IF(N661=_xlfn.MINIFS($N$2:$N$5001,$B$2:$B$5001,B661,$E$2:$E$5001,"Em ajustes"),1,0),0))</f>
        <v/>
      </c>
      <c r="N661" s="17" t="str">
        <f aca="false">IF(A661="","",IF(ISNUMBER(A661),A661,IFERROR(DATE(VALUE(MID(A661,7,4)),VALUE(MID(A661,4,2)),VALUE(MID(A661,1,2)))+TIME(VALUE(MID(A661,12,2)),VALUE(MID(A661,15,2)),VALUE(MID(A661,18,2))),"")))</f>
        <v/>
      </c>
    </row>
    <row r="662" customFormat="false" ht="15" hidden="false" customHeight="false" outlineLevel="0" collapsed="false">
      <c r="I662" s="15" t="str">
        <f aca="false">IF(N662="","",INT(N662))</f>
        <v/>
      </c>
      <c r="J662" s="16" t="str">
        <f aca="false">IF(B662="","",IF(N662=_xlfn.MINIFS($N$2:$N$5001,$B$2:$B$5001,B662),1,0))</f>
        <v/>
      </c>
      <c r="K662" s="16" t="str">
        <f aca="false">IF(B662="","",IF(AND(D662="Formalização",E662="Concluído"),IF(COUNTIFS($B$2:$B$5001,B662,$E$2:$E$5001,"Em ajustes",$N$2:$N$5001,"&lt;"&amp;I662)&gt;0,1,0),0))</f>
        <v/>
      </c>
      <c r="L662" s="16" t="str">
        <f aca="false">IF(B662="","",IF(N662=_xlfn.MAXIFS($N$2:$N$5001,$B$2:$B$5001,B662,$I$2:$I$5001,I662),1,0))</f>
        <v/>
      </c>
      <c r="M662" s="16" t="str">
        <f aca="false">IF(B662="","",IF(E662="Em ajustes",IF(N662=_xlfn.MINIFS($N$2:$N$5001,$B$2:$B$5001,B662,$E$2:$E$5001,"Em ajustes"),1,0),0))</f>
        <v/>
      </c>
      <c r="N662" s="17" t="str">
        <f aca="false">IF(A662="","",IF(ISNUMBER(A662),A662,IFERROR(DATE(VALUE(MID(A662,7,4)),VALUE(MID(A662,4,2)),VALUE(MID(A662,1,2)))+TIME(VALUE(MID(A662,12,2)),VALUE(MID(A662,15,2)),VALUE(MID(A662,18,2))),"")))</f>
        <v/>
      </c>
    </row>
    <row r="663" customFormat="false" ht="15" hidden="false" customHeight="false" outlineLevel="0" collapsed="false">
      <c r="I663" s="15" t="str">
        <f aca="false">IF(N663="","",INT(N663))</f>
        <v/>
      </c>
      <c r="J663" s="16" t="str">
        <f aca="false">IF(B663="","",IF(N663=_xlfn.MINIFS($N$2:$N$5001,$B$2:$B$5001,B663),1,0))</f>
        <v/>
      </c>
      <c r="K663" s="16" t="str">
        <f aca="false">IF(B663="","",IF(AND(D663="Formalização",E663="Concluído"),IF(COUNTIFS($B$2:$B$5001,B663,$E$2:$E$5001,"Em ajustes",$N$2:$N$5001,"&lt;"&amp;I663)&gt;0,1,0),0))</f>
        <v/>
      </c>
      <c r="L663" s="16" t="str">
        <f aca="false">IF(B663="","",IF(N663=_xlfn.MAXIFS($N$2:$N$5001,$B$2:$B$5001,B663,$I$2:$I$5001,I663),1,0))</f>
        <v/>
      </c>
      <c r="M663" s="16" t="str">
        <f aca="false">IF(B663="","",IF(E663="Em ajustes",IF(N663=_xlfn.MINIFS($N$2:$N$5001,$B$2:$B$5001,B663,$E$2:$E$5001,"Em ajustes"),1,0),0))</f>
        <v/>
      </c>
      <c r="N663" s="17" t="str">
        <f aca="false">IF(A663="","",IF(ISNUMBER(A663),A663,IFERROR(DATE(VALUE(MID(A663,7,4)),VALUE(MID(A663,4,2)),VALUE(MID(A663,1,2)))+TIME(VALUE(MID(A663,12,2)),VALUE(MID(A663,15,2)),VALUE(MID(A663,18,2))),"")))</f>
        <v/>
      </c>
    </row>
    <row r="664" customFormat="false" ht="15" hidden="false" customHeight="false" outlineLevel="0" collapsed="false">
      <c r="I664" s="15" t="str">
        <f aca="false">IF(N664="","",INT(N664))</f>
        <v/>
      </c>
      <c r="J664" s="16" t="str">
        <f aca="false">IF(B664="","",IF(N664=_xlfn.MINIFS($N$2:$N$5001,$B$2:$B$5001,B664),1,0))</f>
        <v/>
      </c>
      <c r="K664" s="16" t="str">
        <f aca="false">IF(B664="","",IF(AND(D664="Formalização",E664="Concluído"),IF(COUNTIFS($B$2:$B$5001,B664,$E$2:$E$5001,"Em ajustes",$N$2:$N$5001,"&lt;"&amp;I664)&gt;0,1,0),0))</f>
        <v/>
      </c>
      <c r="L664" s="16" t="str">
        <f aca="false">IF(B664="","",IF(N664=_xlfn.MAXIFS($N$2:$N$5001,$B$2:$B$5001,B664,$I$2:$I$5001,I664),1,0))</f>
        <v/>
      </c>
      <c r="M664" s="16" t="str">
        <f aca="false">IF(B664="","",IF(E664="Em ajustes",IF(N664=_xlfn.MINIFS($N$2:$N$5001,$B$2:$B$5001,B664,$E$2:$E$5001,"Em ajustes"),1,0),0))</f>
        <v/>
      </c>
      <c r="N664" s="17" t="str">
        <f aca="false">IF(A664="","",IF(ISNUMBER(A664),A664,IFERROR(DATE(VALUE(MID(A664,7,4)),VALUE(MID(A664,4,2)),VALUE(MID(A664,1,2)))+TIME(VALUE(MID(A664,12,2)),VALUE(MID(A664,15,2)),VALUE(MID(A664,18,2))),"")))</f>
        <v/>
      </c>
    </row>
    <row r="665" customFormat="false" ht="15" hidden="false" customHeight="false" outlineLevel="0" collapsed="false">
      <c r="I665" s="15" t="str">
        <f aca="false">IF(N665="","",INT(N665))</f>
        <v/>
      </c>
      <c r="J665" s="16" t="str">
        <f aca="false">IF(B665="","",IF(N665=_xlfn.MINIFS($N$2:$N$5001,$B$2:$B$5001,B665),1,0))</f>
        <v/>
      </c>
      <c r="K665" s="16" t="str">
        <f aca="false">IF(B665="","",IF(AND(D665="Formalização",E665="Concluído"),IF(COUNTIFS($B$2:$B$5001,B665,$E$2:$E$5001,"Em ajustes",$N$2:$N$5001,"&lt;"&amp;I665)&gt;0,1,0),0))</f>
        <v/>
      </c>
      <c r="L665" s="16" t="str">
        <f aca="false">IF(B665="","",IF(N665=_xlfn.MAXIFS($N$2:$N$5001,$B$2:$B$5001,B665,$I$2:$I$5001,I665),1,0))</f>
        <v/>
      </c>
      <c r="M665" s="16" t="str">
        <f aca="false">IF(B665="","",IF(E665="Em ajustes",IF(N665=_xlfn.MINIFS($N$2:$N$5001,$B$2:$B$5001,B665,$E$2:$E$5001,"Em ajustes"),1,0),0))</f>
        <v/>
      </c>
      <c r="N665" s="17" t="str">
        <f aca="false">IF(A665="","",IF(ISNUMBER(A665),A665,IFERROR(DATE(VALUE(MID(A665,7,4)),VALUE(MID(A665,4,2)),VALUE(MID(A665,1,2)))+TIME(VALUE(MID(A665,12,2)),VALUE(MID(A665,15,2)),VALUE(MID(A665,18,2))),"")))</f>
        <v/>
      </c>
    </row>
    <row r="666" customFormat="false" ht="15" hidden="false" customHeight="false" outlineLevel="0" collapsed="false">
      <c r="I666" s="15" t="str">
        <f aca="false">IF(N666="","",INT(N666))</f>
        <v/>
      </c>
      <c r="J666" s="16" t="str">
        <f aca="false">IF(B666="","",IF(N666=_xlfn.MINIFS($N$2:$N$5001,$B$2:$B$5001,B666),1,0))</f>
        <v/>
      </c>
      <c r="K666" s="16" t="str">
        <f aca="false">IF(B666="","",IF(AND(D666="Formalização",E666="Concluído"),IF(COUNTIFS($B$2:$B$5001,B666,$E$2:$E$5001,"Em ajustes",$N$2:$N$5001,"&lt;"&amp;I666)&gt;0,1,0),0))</f>
        <v/>
      </c>
      <c r="L666" s="16" t="str">
        <f aca="false">IF(B666="","",IF(N666=_xlfn.MAXIFS($N$2:$N$5001,$B$2:$B$5001,B666,$I$2:$I$5001,I666),1,0))</f>
        <v/>
      </c>
      <c r="M666" s="16" t="str">
        <f aca="false">IF(B666="","",IF(E666="Em ajustes",IF(N666=_xlfn.MINIFS($N$2:$N$5001,$B$2:$B$5001,B666,$E$2:$E$5001,"Em ajustes"),1,0),0))</f>
        <v/>
      </c>
      <c r="N666" s="17" t="str">
        <f aca="false">IF(A666="","",IF(ISNUMBER(A666),A666,IFERROR(DATE(VALUE(MID(A666,7,4)),VALUE(MID(A666,4,2)),VALUE(MID(A666,1,2)))+TIME(VALUE(MID(A666,12,2)),VALUE(MID(A666,15,2)),VALUE(MID(A666,18,2))),"")))</f>
        <v/>
      </c>
    </row>
    <row r="667" customFormat="false" ht="15" hidden="false" customHeight="false" outlineLevel="0" collapsed="false">
      <c r="I667" s="15" t="str">
        <f aca="false">IF(N667="","",INT(N667))</f>
        <v/>
      </c>
      <c r="J667" s="16" t="str">
        <f aca="false">IF(B667="","",IF(N667=_xlfn.MINIFS($N$2:$N$5001,$B$2:$B$5001,B667),1,0))</f>
        <v/>
      </c>
      <c r="K667" s="16" t="str">
        <f aca="false">IF(B667="","",IF(AND(D667="Formalização",E667="Concluído"),IF(COUNTIFS($B$2:$B$5001,B667,$E$2:$E$5001,"Em ajustes",$N$2:$N$5001,"&lt;"&amp;I667)&gt;0,1,0),0))</f>
        <v/>
      </c>
      <c r="L667" s="16" t="str">
        <f aca="false">IF(B667="","",IF(N667=_xlfn.MAXIFS($N$2:$N$5001,$B$2:$B$5001,B667,$I$2:$I$5001,I667),1,0))</f>
        <v/>
      </c>
      <c r="M667" s="16" t="str">
        <f aca="false">IF(B667="","",IF(E667="Em ajustes",IF(N667=_xlfn.MINIFS($N$2:$N$5001,$B$2:$B$5001,B667,$E$2:$E$5001,"Em ajustes"),1,0),0))</f>
        <v/>
      </c>
      <c r="N667" s="17" t="str">
        <f aca="false">IF(A667="","",IF(ISNUMBER(A667),A667,IFERROR(DATE(VALUE(MID(A667,7,4)),VALUE(MID(A667,4,2)),VALUE(MID(A667,1,2)))+TIME(VALUE(MID(A667,12,2)),VALUE(MID(A667,15,2)),VALUE(MID(A667,18,2))),"")))</f>
        <v/>
      </c>
    </row>
    <row r="668" customFormat="false" ht="15" hidden="false" customHeight="false" outlineLevel="0" collapsed="false">
      <c r="I668" s="15" t="str">
        <f aca="false">IF(N668="","",INT(N668))</f>
        <v/>
      </c>
      <c r="J668" s="16" t="str">
        <f aca="false">IF(B668="","",IF(N668=_xlfn.MINIFS($N$2:$N$5001,$B$2:$B$5001,B668),1,0))</f>
        <v/>
      </c>
      <c r="K668" s="16" t="str">
        <f aca="false">IF(B668="","",IF(AND(D668="Formalização",E668="Concluído"),IF(COUNTIFS($B$2:$B$5001,B668,$E$2:$E$5001,"Em ajustes",$N$2:$N$5001,"&lt;"&amp;I668)&gt;0,1,0),0))</f>
        <v/>
      </c>
      <c r="L668" s="16" t="str">
        <f aca="false">IF(B668="","",IF(N668=_xlfn.MAXIFS($N$2:$N$5001,$B$2:$B$5001,B668,$I$2:$I$5001,I668),1,0))</f>
        <v/>
      </c>
      <c r="M668" s="16" t="str">
        <f aca="false">IF(B668="","",IF(E668="Em ajustes",IF(N668=_xlfn.MINIFS($N$2:$N$5001,$B$2:$B$5001,B668,$E$2:$E$5001,"Em ajustes"),1,0),0))</f>
        <v/>
      </c>
      <c r="N668" s="17" t="str">
        <f aca="false">IF(A668="","",IF(ISNUMBER(A668),A668,IFERROR(DATE(VALUE(MID(A668,7,4)),VALUE(MID(A668,4,2)),VALUE(MID(A668,1,2)))+TIME(VALUE(MID(A668,12,2)),VALUE(MID(A668,15,2)),VALUE(MID(A668,18,2))),"")))</f>
        <v/>
      </c>
    </row>
    <row r="669" customFormat="false" ht="15" hidden="false" customHeight="false" outlineLevel="0" collapsed="false">
      <c r="I669" s="15" t="str">
        <f aca="false">IF(N669="","",INT(N669))</f>
        <v/>
      </c>
      <c r="J669" s="16" t="str">
        <f aca="false">IF(B669="","",IF(N669=_xlfn.MINIFS($N$2:$N$5001,$B$2:$B$5001,B669),1,0))</f>
        <v/>
      </c>
      <c r="K669" s="16" t="str">
        <f aca="false">IF(B669="","",IF(AND(D669="Formalização",E669="Concluído"),IF(COUNTIFS($B$2:$B$5001,B669,$E$2:$E$5001,"Em ajustes",$N$2:$N$5001,"&lt;"&amp;I669)&gt;0,1,0),0))</f>
        <v/>
      </c>
      <c r="L669" s="16" t="str">
        <f aca="false">IF(B669="","",IF(N669=_xlfn.MAXIFS($N$2:$N$5001,$B$2:$B$5001,B669,$I$2:$I$5001,I669),1,0))</f>
        <v/>
      </c>
      <c r="M669" s="16" t="str">
        <f aca="false">IF(B669="","",IF(E669="Em ajustes",IF(N669=_xlfn.MINIFS($N$2:$N$5001,$B$2:$B$5001,B669,$E$2:$E$5001,"Em ajustes"),1,0),0))</f>
        <v/>
      </c>
      <c r="N669" s="17" t="str">
        <f aca="false">IF(A669="","",IF(ISNUMBER(A669),A669,IFERROR(DATE(VALUE(MID(A669,7,4)),VALUE(MID(A669,4,2)),VALUE(MID(A669,1,2)))+TIME(VALUE(MID(A669,12,2)),VALUE(MID(A669,15,2)),VALUE(MID(A669,18,2))),"")))</f>
        <v/>
      </c>
    </row>
    <row r="670" customFormat="false" ht="15" hidden="false" customHeight="false" outlineLevel="0" collapsed="false">
      <c r="I670" s="15" t="str">
        <f aca="false">IF(N670="","",INT(N670))</f>
        <v/>
      </c>
      <c r="J670" s="16" t="str">
        <f aca="false">IF(B670="","",IF(N670=_xlfn.MINIFS($N$2:$N$5001,$B$2:$B$5001,B670),1,0))</f>
        <v/>
      </c>
      <c r="K670" s="16" t="str">
        <f aca="false">IF(B670="","",IF(AND(D670="Formalização",E670="Concluído"),IF(COUNTIFS($B$2:$B$5001,B670,$E$2:$E$5001,"Em ajustes",$N$2:$N$5001,"&lt;"&amp;I670)&gt;0,1,0),0))</f>
        <v/>
      </c>
      <c r="L670" s="16" t="str">
        <f aca="false">IF(B670="","",IF(N670=_xlfn.MAXIFS($N$2:$N$5001,$B$2:$B$5001,B670,$I$2:$I$5001,I670),1,0))</f>
        <v/>
      </c>
      <c r="M670" s="16" t="str">
        <f aca="false">IF(B670="","",IF(E670="Em ajustes",IF(N670=_xlfn.MINIFS($N$2:$N$5001,$B$2:$B$5001,B670,$E$2:$E$5001,"Em ajustes"),1,0),0))</f>
        <v/>
      </c>
      <c r="N670" s="17" t="str">
        <f aca="false">IF(A670="","",IF(ISNUMBER(A670),A670,IFERROR(DATE(VALUE(MID(A670,7,4)),VALUE(MID(A670,4,2)),VALUE(MID(A670,1,2)))+TIME(VALUE(MID(A670,12,2)),VALUE(MID(A670,15,2)),VALUE(MID(A670,18,2))),"")))</f>
        <v/>
      </c>
    </row>
    <row r="671" customFormat="false" ht="15" hidden="false" customHeight="false" outlineLevel="0" collapsed="false">
      <c r="I671" s="15" t="str">
        <f aca="false">IF(N671="","",INT(N671))</f>
        <v/>
      </c>
      <c r="J671" s="16" t="str">
        <f aca="false">IF(B671="","",IF(N671=_xlfn.MINIFS($N$2:$N$5001,$B$2:$B$5001,B671),1,0))</f>
        <v/>
      </c>
      <c r="K671" s="16" t="str">
        <f aca="false">IF(B671="","",IF(AND(D671="Formalização",E671="Concluído"),IF(COUNTIFS($B$2:$B$5001,B671,$E$2:$E$5001,"Em ajustes",$N$2:$N$5001,"&lt;"&amp;I671)&gt;0,1,0),0))</f>
        <v/>
      </c>
      <c r="L671" s="16" t="str">
        <f aca="false">IF(B671="","",IF(N671=_xlfn.MAXIFS($N$2:$N$5001,$B$2:$B$5001,B671,$I$2:$I$5001,I671),1,0))</f>
        <v/>
      </c>
      <c r="M671" s="16" t="str">
        <f aca="false">IF(B671="","",IF(E671="Em ajustes",IF(N671=_xlfn.MINIFS($N$2:$N$5001,$B$2:$B$5001,B671,$E$2:$E$5001,"Em ajustes"),1,0),0))</f>
        <v/>
      </c>
      <c r="N671" s="17" t="str">
        <f aca="false">IF(A671="","",IF(ISNUMBER(A671),A671,IFERROR(DATE(VALUE(MID(A671,7,4)),VALUE(MID(A671,4,2)),VALUE(MID(A671,1,2)))+TIME(VALUE(MID(A671,12,2)),VALUE(MID(A671,15,2)),VALUE(MID(A671,18,2))),"")))</f>
        <v/>
      </c>
    </row>
    <row r="672" customFormat="false" ht="15" hidden="false" customHeight="false" outlineLevel="0" collapsed="false">
      <c r="I672" s="15" t="str">
        <f aca="false">IF(N672="","",INT(N672))</f>
        <v/>
      </c>
      <c r="J672" s="16" t="str">
        <f aca="false">IF(B672="","",IF(N672=_xlfn.MINIFS($N$2:$N$5001,$B$2:$B$5001,B672),1,0))</f>
        <v/>
      </c>
      <c r="K672" s="16" t="str">
        <f aca="false">IF(B672="","",IF(AND(D672="Formalização",E672="Concluído"),IF(COUNTIFS($B$2:$B$5001,B672,$E$2:$E$5001,"Em ajustes",$N$2:$N$5001,"&lt;"&amp;I672)&gt;0,1,0),0))</f>
        <v/>
      </c>
      <c r="L672" s="16" t="str">
        <f aca="false">IF(B672="","",IF(N672=_xlfn.MAXIFS($N$2:$N$5001,$B$2:$B$5001,B672,$I$2:$I$5001,I672),1,0))</f>
        <v/>
      </c>
      <c r="M672" s="16" t="str">
        <f aca="false">IF(B672="","",IF(E672="Em ajustes",IF(N672=_xlfn.MINIFS($N$2:$N$5001,$B$2:$B$5001,B672,$E$2:$E$5001,"Em ajustes"),1,0),0))</f>
        <v/>
      </c>
      <c r="N672" s="17" t="str">
        <f aca="false">IF(A672="","",IF(ISNUMBER(A672),A672,IFERROR(DATE(VALUE(MID(A672,7,4)),VALUE(MID(A672,4,2)),VALUE(MID(A672,1,2)))+TIME(VALUE(MID(A672,12,2)),VALUE(MID(A672,15,2)),VALUE(MID(A672,18,2))),"")))</f>
        <v/>
      </c>
    </row>
    <row r="673" customFormat="false" ht="15" hidden="false" customHeight="false" outlineLevel="0" collapsed="false">
      <c r="I673" s="15" t="str">
        <f aca="false">IF(N673="","",INT(N673))</f>
        <v/>
      </c>
      <c r="J673" s="16" t="str">
        <f aca="false">IF(B673="","",IF(N673=_xlfn.MINIFS($N$2:$N$5001,$B$2:$B$5001,B673),1,0))</f>
        <v/>
      </c>
      <c r="K673" s="16" t="str">
        <f aca="false">IF(B673="","",IF(AND(D673="Formalização",E673="Concluído"),IF(COUNTIFS($B$2:$B$5001,B673,$E$2:$E$5001,"Em ajustes",$N$2:$N$5001,"&lt;"&amp;I673)&gt;0,1,0),0))</f>
        <v/>
      </c>
      <c r="L673" s="16" t="str">
        <f aca="false">IF(B673="","",IF(N673=_xlfn.MAXIFS($N$2:$N$5001,$B$2:$B$5001,B673,$I$2:$I$5001,I673),1,0))</f>
        <v/>
      </c>
      <c r="M673" s="16" t="str">
        <f aca="false">IF(B673="","",IF(E673="Em ajustes",IF(N673=_xlfn.MINIFS($N$2:$N$5001,$B$2:$B$5001,B673,$E$2:$E$5001,"Em ajustes"),1,0),0))</f>
        <v/>
      </c>
      <c r="N673" s="17" t="str">
        <f aca="false">IF(A673="","",IF(ISNUMBER(A673),A673,IFERROR(DATE(VALUE(MID(A673,7,4)),VALUE(MID(A673,4,2)),VALUE(MID(A673,1,2)))+TIME(VALUE(MID(A673,12,2)),VALUE(MID(A673,15,2)),VALUE(MID(A673,18,2))),"")))</f>
        <v/>
      </c>
    </row>
    <row r="674" customFormat="false" ht="15" hidden="false" customHeight="false" outlineLevel="0" collapsed="false">
      <c r="I674" s="15" t="str">
        <f aca="false">IF(N674="","",INT(N674))</f>
        <v/>
      </c>
      <c r="J674" s="16" t="str">
        <f aca="false">IF(B674="","",IF(N674=_xlfn.MINIFS($N$2:$N$5001,$B$2:$B$5001,B674),1,0))</f>
        <v/>
      </c>
      <c r="K674" s="16" t="str">
        <f aca="false">IF(B674="","",IF(AND(D674="Formalização",E674="Concluído"),IF(COUNTIFS($B$2:$B$5001,B674,$E$2:$E$5001,"Em ajustes",$N$2:$N$5001,"&lt;"&amp;I674)&gt;0,1,0),0))</f>
        <v/>
      </c>
      <c r="L674" s="16" t="str">
        <f aca="false">IF(B674="","",IF(N674=_xlfn.MAXIFS($N$2:$N$5001,$B$2:$B$5001,B674,$I$2:$I$5001,I674),1,0))</f>
        <v/>
      </c>
      <c r="M674" s="16" t="str">
        <f aca="false">IF(B674="","",IF(E674="Em ajustes",IF(N674=_xlfn.MINIFS($N$2:$N$5001,$B$2:$B$5001,B674,$E$2:$E$5001,"Em ajustes"),1,0),0))</f>
        <v/>
      </c>
      <c r="N674" s="17" t="str">
        <f aca="false">IF(A674="","",IF(ISNUMBER(A674),A674,IFERROR(DATE(VALUE(MID(A674,7,4)),VALUE(MID(A674,4,2)),VALUE(MID(A674,1,2)))+TIME(VALUE(MID(A674,12,2)),VALUE(MID(A674,15,2)),VALUE(MID(A674,18,2))),"")))</f>
        <v/>
      </c>
    </row>
    <row r="675" customFormat="false" ht="15" hidden="false" customHeight="false" outlineLevel="0" collapsed="false">
      <c r="I675" s="15" t="str">
        <f aca="false">IF(N675="","",INT(N675))</f>
        <v/>
      </c>
      <c r="J675" s="16" t="str">
        <f aca="false">IF(B675="","",IF(N675=_xlfn.MINIFS($N$2:$N$5001,$B$2:$B$5001,B675),1,0))</f>
        <v/>
      </c>
      <c r="K675" s="16" t="str">
        <f aca="false">IF(B675="","",IF(AND(D675="Formalização",E675="Concluído"),IF(COUNTIFS($B$2:$B$5001,B675,$E$2:$E$5001,"Em ajustes",$N$2:$N$5001,"&lt;"&amp;I675)&gt;0,1,0),0))</f>
        <v/>
      </c>
      <c r="L675" s="16" t="str">
        <f aca="false">IF(B675="","",IF(N675=_xlfn.MAXIFS($N$2:$N$5001,$B$2:$B$5001,B675,$I$2:$I$5001,I675),1,0))</f>
        <v/>
      </c>
      <c r="M675" s="16" t="str">
        <f aca="false">IF(B675="","",IF(E675="Em ajustes",IF(N675=_xlfn.MINIFS($N$2:$N$5001,$B$2:$B$5001,B675,$E$2:$E$5001,"Em ajustes"),1,0),0))</f>
        <v/>
      </c>
      <c r="N675" s="17" t="str">
        <f aca="false">IF(A675="","",IF(ISNUMBER(A675),A675,IFERROR(DATE(VALUE(MID(A675,7,4)),VALUE(MID(A675,4,2)),VALUE(MID(A675,1,2)))+TIME(VALUE(MID(A675,12,2)),VALUE(MID(A675,15,2)),VALUE(MID(A675,18,2))),"")))</f>
        <v/>
      </c>
    </row>
    <row r="676" customFormat="false" ht="15" hidden="false" customHeight="false" outlineLevel="0" collapsed="false">
      <c r="I676" s="15" t="str">
        <f aca="false">IF(N676="","",INT(N676))</f>
        <v/>
      </c>
      <c r="J676" s="16" t="str">
        <f aca="false">IF(B676="","",IF(N676=_xlfn.MINIFS($N$2:$N$5001,$B$2:$B$5001,B676),1,0))</f>
        <v/>
      </c>
      <c r="K676" s="16" t="str">
        <f aca="false">IF(B676="","",IF(AND(D676="Formalização",E676="Concluído"),IF(COUNTIFS($B$2:$B$5001,B676,$E$2:$E$5001,"Em ajustes",$N$2:$N$5001,"&lt;"&amp;I676)&gt;0,1,0),0))</f>
        <v/>
      </c>
      <c r="L676" s="16" t="str">
        <f aca="false">IF(B676="","",IF(N676=_xlfn.MAXIFS($N$2:$N$5001,$B$2:$B$5001,B676,$I$2:$I$5001,I676),1,0))</f>
        <v/>
      </c>
      <c r="M676" s="16" t="str">
        <f aca="false">IF(B676="","",IF(E676="Em ajustes",IF(N676=_xlfn.MINIFS($N$2:$N$5001,$B$2:$B$5001,B676,$E$2:$E$5001,"Em ajustes"),1,0),0))</f>
        <v/>
      </c>
      <c r="N676" s="17" t="str">
        <f aca="false">IF(A676="","",IF(ISNUMBER(A676),A676,IFERROR(DATE(VALUE(MID(A676,7,4)),VALUE(MID(A676,4,2)),VALUE(MID(A676,1,2)))+TIME(VALUE(MID(A676,12,2)),VALUE(MID(A676,15,2)),VALUE(MID(A676,18,2))),"")))</f>
        <v/>
      </c>
    </row>
    <row r="677" customFormat="false" ht="15" hidden="false" customHeight="false" outlineLevel="0" collapsed="false">
      <c r="I677" s="15" t="str">
        <f aca="false">IF(N677="","",INT(N677))</f>
        <v/>
      </c>
      <c r="J677" s="16" t="str">
        <f aca="false">IF(B677="","",IF(N677=_xlfn.MINIFS($N$2:$N$5001,$B$2:$B$5001,B677),1,0))</f>
        <v/>
      </c>
      <c r="K677" s="16" t="str">
        <f aca="false">IF(B677="","",IF(AND(D677="Formalização",E677="Concluído"),IF(COUNTIFS($B$2:$B$5001,B677,$E$2:$E$5001,"Em ajustes",$N$2:$N$5001,"&lt;"&amp;I677)&gt;0,1,0),0))</f>
        <v/>
      </c>
      <c r="L677" s="16" t="str">
        <f aca="false">IF(B677="","",IF(N677=_xlfn.MAXIFS($N$2:$N$5001,$B$2:$B$5001,B677,$I$2:$I$5001,I677),1,0))</f>
        <v/>
      </c>
      <c r="M677" s="16" t="str">
        <f aca="false">IF(B677="","",IF(E677="Em ajustes",IF(N677=_xlfn.MINIFS($N$2:$N$5001,$B$2:$B$5001,B677,$E$2:$E$5001,"Em ajustes"),1,0),0))</f>
        <v/>
      </c>
      <c r="N677" s="17" t="str">
        <f aca="false">IF(A677="","",IF(ISNUMBER(A677),A677,IFERROR(DATE(VALUE(MID(A677,7,4)),VALUE(MID(A677,4,2)),VALUE(MID(A677,1,2)))+TIME(VALUE(MID(A677,12,2)),VALUE(MID(A677,15,2)),VALUE(MID(A677,18,2))),"")))</f>
        <v/>
      </c>
    </row>
    <row r="678" customFormat="false" ht="15" hidden="false" customHeight="false" outlineLevel="0" collapsed="false">
      <c r="I678" s="15" t="str">
        <f aca="false">IF(N678="","",INT(N678))</f>
        <v/>
      </c>
      <c r="J678" s="16" t="str">
        <f aca="false">IF(B678="","",IF(N678=_xlfn.MINIFS($N$2:$N$5001,$B$2:$B$5001,B678),1,0))</f>
        <v/>
      </c>
      <c r="K678" s="16" t="str">
        <f aca="false">IF(B678="","",IF(AND(D678="Formalização",E678="Concluído"),IF(COUNTIFS($B$2:$B$5001,B678,$E$2:$E$5001,"Em ajustes",$N$2:$N$5001,"&lt;"&amp;I678)&gt;0,1,0),0))</f>
        <v/>
      </c>
      <c r="L678" s="16" t="str">
        <f aca="false">IF(B678="","",IF(N678=_xlfn.MAXIFS($N$2:$N$5001,$B$2:$B$5001,B678,$I$2:$I$5001,I678),1,0))</f>
        <v/>
      </c>
      <c r="M678" s="16" t="str">
        <f aca="false">IF(B678="","",IF(E678="Em ajustes",IF(N678=_xlfn.MINIFS($N$2:$N$5001,$B$2:$B$5001,B678,$E$2:$E$5001,"Em ajustes"),1,0),0))</f>
        <v/>
      </c>
      <c r="N678" s="17" t="str">
        <f aca="false">IF(A678="","",IF(ISNUMBER(A678),A678,IFERROR(DATE(VALUE(MID(A678,7,4)),VALUE(MID(A678,4,2)),VALUE(MID(A678,1,2)))+TIME(VALUE(MID(A678,12,2)),VALUE(MID(A678,15,2)),VALUE(MID(A678,18,2))),"")))</f>
        <v/>
      </c>
    </row>
    <row r="679" customFormat="false" ht="15" hidden="false" customHeight="false" outlineLevel="0" collapsed="false">
      <c r="I679" s="15" t="str">
        <f aca="false">IF(N679="","",INT(N679))</f>
        <v/>
      </c>
      <c r="J679" s="16" t="str">
        <f aca="false">IF(B679="","",IF(N679=_xlfn.MINIFS($N$2:$N$5001,$B$2:$B$5001,B679),1,0))</f>
        <v/>
      </c>
      <c r="K679" s="16" t="str">
        <f aca="false">IF(B679="","",IF(AND(D679="Formalização",E679="Concluído"),IF(COUNTIFS($B$2:$B$5001,B679,$E$2:$E$5001,"Em ajustes",$N$2:$N$5001,"&lt;"&amp;I679)&gt;0,1,0),0))</f>
        <v/>
      </c>
      <c r="L679" s="16" t="str">
        <f aca="false">IF(B679="","",IF(N679=_xlfn.MAXIFS($N$2:$N$5001,$B$2:$B$5001,B679,$I$2:$I$5001,I679),1,0))</f>
        <v/>
      </c>
      <c r="M679" s="16" t="str">
        <f aca="false">IF(B679="","",IF(E679="Em ajustes",IF(N679=_xlfn.MINIFS($N$2:$N$5001,$B$2:$B$5001,B679,$E$2:$E$5001,"Em ajustes"),1,0),0))</f>
        <v/>
      </c>
      <c r="N679" s="17" t="str">
        <f aca="false">IF(A679="","",IF(ISNUMBER(A679),A679,IFERROR(DATE(VALUE(MID(A679,7,4)),VALUE(MID(A679,4,2)),VALUE(MID(A679,1,2)))+TIME(VALUE(MID(A679,12,2)),VALUE(MID(A679,15,2)),VALUE(MID(A679,18,2))),"")))</f>
        <v/>
      </c>
    </row>
    <row r="680" customFormat="false" ht="15" hidden="false" customHeight="false" outlineLevel="0" collapsed="false">
      <c r="I680" s="15" t="str">
        <f aca="false">IF(N680="","",INT(N680))</f>
        <v/>
      </c>
      <c r="J680" s="16" t="str">
        <f aca="false">IF(B680="","",IF(N680=_xlfn.MINIFS($N$2:$N$5001,$B$2:$B$5001,B680),1,0))</f>
        <v/>
      </c>
      <c r="K680" s="16" t="str">
        <f aca="false">IF(B680="","",IF(AND(D680="Formalização",E680="Concluído"),IF(COUNTIFS($B$2:$B$5001,B680,$E$2:$E$5001,"Em ajustes",$N$2:$N$5001,"&lt;"&amp;I680)&gt;0,1,0),0))</f>
        <v/>
      </c>
      <c r="L680" s="16" t="str">
        <f aca="false">IF(B680="","",IF(N680=_xlfn.MAXIFS($N$2:$N$5001,$B$2:$B$5001,B680,$I$2:$I$5001,I680),1,0))</f>
        <v/>
      </c>
      <c r="M680" s="16" t="str">
        <f aca="false">IF(B680="","",IF(E680="Em ajustes",IF(N680=_xlfn.MINIFS($N$2:$N$5001,$B$2:$B$5001,B680,$E$2:$E$5001,"Em ajustes"),1,0),0))</f>
        <v/>
      </c>
      <c r="N680" s="17" t="str">
        <f aca="false">IF(A680="","",IF(ISNUMBER(A680),A680,IFERROR(DATE(VALUE(MID(A680,7,4)),VALUE(MID(A680,4,2)),VALUE(MID(A680,1,2)))+TIME(VALUE(MID(A680,12,2)),VALUE(MID(A680,15,2)),VALUE(MID(A680,18,2))),"")))</f>
        <v/>
      </c>
    </row>
    <row r="681" customFormat="false" ht="15" hidden="false" customHeight="false" outlineLevel="0" collapsed="false">
      <c r="I681" s="15" t="str">
        <f aca="false">IF(N681="","",INT(N681))</f>
        <v/>
      </c>
      <c r="J681" s="16" t="str">
        <f aca="false">IF(B681="","",IF(N681=_xlfn.MINIFS($N$2:$N$5001,$B$2:$B$5001,B681),1,0))</f>
        <v/>
      </c>
      <c r="K681" s="16" t="str">
        <f aca="false">IF(B681="","",IF(AND(D681="Formalização",E681="Concluído"),IF(COUNTIFS($B$2:$B$5001,B681,$E$2:$E$5001,"Em ajustes",$N$2:$N$5001,"&lt;"&amp;I681)&gt;0,1,0),0))</f>
        <v/>
      </c>
      <c r="L681" s="16" t="str">
        <f aca="false">IF(B681="","",IF(N681=_xlfn.MAXIFS($N$2:$N$5001,$B$2:$B$5001,B681,$I$2:$I$5001,I681),1,0))</f>
        <v/>
      </c>
      <c r="M681" s="16" t="str">
        <f aca="false">IF(B681="","",IF(E681="Em ajustes",IF(N681=_xlfn.MINIFS($N$2:$N$5001,$B$2:$B$5001,B681,$E$2:$E$5001,"Em ajustes"),1,0),0))</f>
        <v/>
      </c>
      <c r="N681" s="17" t="str">
        <f aca="false">IF(A681="","",IF(ISNUMBER(A681),A681,IFERROR(DATE(VALUE(MID(A681,7,4)),VALUE(MID(A681,4,2)),VALUE(MID(A681,1,2)))+TIME(VALUE(MID(A681,12,2)),VALUE(MID(A681,15,2)),VALUE(MID(A681,18,2))),"")))</f>
        <v/>
      </c>
    </row>
    <row r="682" customFormat="false" ht="15" hidden="false" customHeight="false" outlineLevel="0" collapsed="false">
      <c r="I682" s="15" t="str">
        <f aca="false">IF(N682="","",INT(N682))</f>
        <v/>
      </c>
      <c r="J682" s="16" t="str">
        <f aca="false">IF(B682="","",IF(N682=_xlfn.MINIFS($N$2:$N$5001,$B$2:$B$5001,B682),1,0))</f>
        <v/>
      </c>
      <c r="K682" s="16" t="str">
        <f aca="false">IF(B682="","",IF(AND(D682="Formalização",E682="Concluído"),IF(COUNTIFS($B$2:$B$5001,B682,$E$2:$E$5001,"Em ajustes",$N$2:$N$5001,"&lt;"&amp;I682)&gt;0,1,0),0))</f>
        <v/>
      </c>
      <c r="L682" s="16" t="str">
        <f aca="false">IF(B682="","",IF(N682=_xlfn.MAXIFS($N$2:$N$5001,$B$2:$B$5001,B682,$I$2:$I$5001,I682),1,0))</f>
        <v/>
      </c>
      <c r="M682" s="16" t="str">
        <f aca="false">IF(B682="","",IF(E682="Em ajustes",IF(N682=_xlfn.MINIFS($N$2:$N$5001,$B$2:$B$5001,B682,$E$2:$E$5001,"Em ajustes"),1,0),0))</f>
        <v/>
      </c>
      <c r="N682" s="17" t="str">
        <f aca="false">IF(A682="","",IF(ISNUMBER(A682),A682,IFERROR(DATE(VALUE(MID(A682,7,4)),VALUE(MID(A682,4,2)),VALUE(MID(A682,1,2)))+TIME(VALUE(MID(A682,12,2)),VALUE(MID(A682,15,2)),VALUE(MID(A682,18,2))),"")))</f>
        <v/>
      </c>
    </row>
    <row r="683" customFormat="false" ht="15" hidden="false" customHeight="false" outlineLevel="0" collapsed="false">
      <c r="I683" s="15" t="str">
        <f aca="false">IF(N683="","",INT(N683))</f>
        <v/>
      </c>
      <c r="J683" s="16" t="str">
        <f aca="false">IF(B683="","",IF(N683=_xlfn.MINIFS($N$2:$N$5001,$B$2:$B$5001,B683),1,0))</f>
        <v/>
      </c>
      <c r="K683" s="16" t="str">
        <f aca="false">IF(B683="","",IF(AND(D683="Formalização",E683="Concluído"),IF(COUNTIFS($B$2:$B$5001,B683,$E$2:$E$5001,"Em ajustes",$N$2:$N$5001,"&lt;"&amp;I683)&gt;0,1,0),0))</f>
        <v/>
      </c>
      <c r="L683" s="16" t="str">
        <f aca="false">IF(B683="","",IF(N683=_xlfn.MAXIFS($N$2:$N$5001,$B$2:$B$5001,B683,$I$2:$I$5001,I683),1,0))</f>
        <v/>
      </c>
      <c r="M683" s="16" t="str">
        <f aca="false">IF(B683="","",IF(E683="Em ajustes",IF(N683=_xlfn.MINIFS($N$2:$N$5001,$B$2:$B$5001,B683,$E$2:$E$5001,"Em ajustes"),1,0),0))</f>
        <v/>
      </c>
      <c r="N683" s="17" t="str">
        <f aca="false">IF(A683="","",IF(ISNUMBER(A683),A683,IFERROR(DATE(VALUE(MID(A683,7,4)),VALUE(MID(A683,4,2)),VALUE(MID(A683,1,2)))+TIME(VALUE(MID(A683,12,2)),VALUE(MID(A683,15,2)),VALUE(MID(A683,18,2))),"")))</f>
        <v/>
      </c>
    </row>
    <row r="684" customFormat="false" ht="15" hidden="false" customHeight="false" outlineLevel="0" collapsed="false">
      <c r="I684" s="15" t="str">
        <f aca="false">IF(N684="","",INT(N684))</f>
        <v/>
      </c>
      <c r="J684" s="16" t="str">
        <f aca="false">IF(B684="","",IF(N684=_xlfn.MINIFS($N$2:$N$5001,$B$2:$B$5001,B684),1,0))</f>
        <v/>
      </c>
      <c r="K684" s="16" t="str">
        <f aca="false">IF(B684="","",IF(AND(D684="Formalização",E684="Concluído"),IF(COUNTIFS($B$2:$B$5001,B684,$E$2:$E$5001,"Em ajustes",$N$2:$N$5001,"&lt;"&amp;I684)&gt;0,1,0),0))</f>
        <v/>
      </c>
      <c r="L684" s="16" t="str">
        <f aca="false">IF(B684="","",IF(N684=_xlfn.MAXIFS($N$2:$N$5001,$B$2:$B$5001,B684,$I$2:$I$5001,I684),1,0))</f>
        <v/>
      </c>
      <c r="M684" s="16" t="str">
        <f aca="false">IF(B684="","",IF(E684="Em ajustes",IF(N684=_xlfn.MINIFS($N$2:$N$5001,$B$2:$B$5001,B684,$E$2:$E$5001,"Em ajustes"),1,0),0))</f>
        <v/>
      </c>
      <c r="N684" s="17" t="str">
        <f aca="false">IF(A684="","",IF(ISNUMBER(A684),A684,IFERROR(DATE(VALUE(MID(A684,7,4)),VALUE(MID(A684,4,2)),VALUE(MID(A684,1,2)))+TIME(VALUE(MID(A684,12,2)),VALUE(MID(A684,15,2)),VALUE(MID(A684,18,2))),"")))</f>
        <v/>
      </c>
    </row>
    <row r="685" customFormat="false" ht="15" hidden="false" customHeight="false" outlineLevel="0" collapsed="false">
      <c r="I685" s="15" t="str">
        <f aca="false">IF(N685="","",INT(N685))</f>
        <v/>
      </c>
      <c r="J685" s="16" t="str">
        <f aca="false">IF(B685="","",IF(N685=_xlfn.MINIFS($N$2:$N$5001,$B$2:$B$5001,B685),1,0))</f>
        <v/>
      </c>
      <c r="K685" s="16" t="str">
        <f aca="false">IF(B685="","",IF(AND(D685="Formalização",E685="Concluído"),IF(COUNTIFS($B$2:$B$5001,B685,$E$2:$E$5001,"Em ajustes",$N$2:$N$5001,"&lt;"&amp;I685)&gt;0,1,0),0))</f>
        <v/>
      </c>
      <c r="L685" s="16" t="str">
        <f aca="false">IF(B685="","",IF(N685=_xlfn.MAXIFS($N$2:$N$5001,$B$2:$B$5001,B685,$I$2:$I$5001,I685),1,0))</f>
        <v/>
      </c>
      <c r="M685" s="16" t="str">
        <f aca="false">IF(B685="","",IF(E685="Em ajustes",IF(N685=_xlfn.MINIFS($N$2:$N$5001,$B$2:$B$5001,B685,$E$2:$E$5001,"Em ajustes"),1,0),0))</f>
        <v/>
      </c>
      <c r="N685" s="17" t="str">
        <f aca="false">IF(A685="","",IF(ISNUMBER(A685),A685,IFERROR(DATE(VALUE(MID(A685,7,4)),VALUE(MID(A685,4,2)),VALUE(MID(A685,1,2)))+TIME(VALUE(MID(A685,12,2)),VALUE(MID(A685,15,2)),VALUE(MID(A685,18,2))),"")))</f>
        <v/>
      </c>
    </row>
    <row r="686" customFormat="false" ht="15" hidden="false" customHeight="false" outlineLevel="0" collapsed="false">
      <c r="I686" s="15" t="str">
        <f aca="false">IF(N686="","",INT(N686))</f>
        <v/>
      </c>
      <c r="J686" s="16" t="str">
        <f aca="false">IF(B686="","",IF(N686=_xlfn.MINIFS($N$2:$N$5001,$B$2:$B$5001,B686),1,0))</f>
        <v/>
      </c>
      <c r="K686" s="16" t="str">
        <f aca="false">IF(B686="","",IF(AND(D686="Formalização",E686="Concluído"),IF(COUNTIFS($B$2:$B$5001,B686,$E$2:$E$5001,"Em ajustes",$N$2:$N$5001,"&lt;"&amp;I686)&gt;0,1,0),0))</f>
        <v/>
      </c>
      <c r="L686" s="16" t="str">
        <f aca="false">IF(B686="","",IF(N686=_xlfn.MAXIFS($N$2:$N$5001,$B$2:$B$5001,B686,$I$2:$I$5001,I686),1,0))</f>
        <v/>
      </c>
      <c r="M686" s="16" t="str">
        <f aca="false">IF(B686="","",IF(E686="Em ajustes",IF(N686=_xlfn.MINIFS($N$2:$N$5001,$B$2:$B$5001,B686,$E$2:$E$5001,"Em ajustes"),1,0),0))</f>
        <v/>
      </c>
      <c r="N686" s="17" t="str">
        <f aca="false">IF(A686="","",IF(ISNUMBER(A686),A686,IFERROR(DATE(VALUE(MID(A686,7,4)),VALUE(MID(A686,4,2)),VALUE(MID(A686,1,2)))+TIME(VALUE(MID(A686,12,2)),VALUE(MID(A686,15,2)),VALUE(MID(A686,18,2))),"")))</f>
        <v/>
      </c>
    </row>
    <row r="687" customFormat="false" ht="15" hidden="false" customHeight="false" outlineLevel="0" collapsed="false">
      <c r="I687" s="15" t="str">
        <f aca="false">IF(N687="","",INT(N687))</f>
        <v/>
      </c>
      <c r="J687" s="16" t="str">
        <f aca="false">IF(B687="","",IF(N687=_xlfn.MINIFS($N$2:$N$5001,$B$2:$B$5001,B687),1,0))</f>
        <v/>
      </c>
      <c r="K687" s="16" t="str">
        <f aca="false">IF(B687="","",IF(AND(D687="Formalização",E687="Concluído"),IF(COUNTIFS($B$2:$B$5001,B687,$E$2:$E$5001,"Em ajustes",$N$2:$N$5001,"&lt;"&amp;I687)&gt;0,1,0),0))</f>
        <v/>
      </c>
      <c r="L687" s="16" t="str">
        <f aca="false">IF(B687="","",IF(N687=_xlfn.MAXIFS($N$2:$N$5001,$B$2:$B$5001,B687,$I$2:$I$5001,I687),1,0))</f>
        <v/>
      </c>
      <c r="M687" s="16" t="str">
        <f aca="false">IF(B687="","",IF(E687="Em ajustes",IF(N687=_xlfn.MINIFS($N$2:$N$5001,$B$2:$B$5001,B687,$E$2:$E$5001,"Em ajustes"),1,0),0))</f>
        <v/>
      </c>
      <c r="N687" s="17" t="str">
        <f aca="false">IF(A687="","",IF(ISNUMBER(A687),A687,IFERROR(DATE(VALUE(MID(A687,7,4)),VALUE(MID(A687,4,2)),VALUE(MID(A687,1,2)))+TIME(VALUE(MID(A687,12,2)),VALUE(MID(A687,15,2)),VALUE(MID(A687,18,2))),"")))</f>
        <v/>
      </c>
    </row>
    <row r="688" customFormat="false" ht="15" hidden="false" customHeight="false" outlineLevel="0" collapsed="false">
      <c r="I688" s="15" t="str">
        <f aca="false">IF(N688="","",INT(N688))</f>
        <v/>
      </c>
      <c r="J688" s="16" t="str">
        <f aca="false">IF(B688="","",IF(N688=_xlfn.MINIFS($N$2:$N$5001,$B$2:$B$5001,B688),1,0))</f>
        <v/>
      </c>
      <c r="K688" s="16" t="str">
        <f aca="false">IF(B688="","",IF(AND(D688="Formalização",E688="Concluído"),IF(COUNTIFS($B$2:$B$5001,B688,$E$2:$E$5001,"Em ajustes",$N$2:$N$5001,"&lt;"&amp;I688)&gt;0,1,0),0))</f>
        <v/>
      </c>
      <c r="L688" s="16" t="str">
        <f aca="false">IF(B688="","",IF(N688=_xlfn.MAXIFS($N$2:$N$5001,$B$2:$B$5001,B688,$I$2:$I$5001,I688),1,0))</f>
        <v/>
      </c>
      <c r="M688" s="16" t="str">
        <f aca="false">IF(B688="","",IF(E688="Em ajustes",IF(N688=_xlfn.MINIFS($N$2:$N$5001,$B$2:$B$5001,B688,$E$2:$E$5001,"Em ajustes"),1,0),0))</f>
        <v/>
      </c>
      <c r="N688" s="17" t="str">
        <f aca="false">IF(A688="","",IF(ISNUMBER(A688),A688,IFERROR(DATE(VALUE(MID(A688,7,4)),VALUE(MID(A688,4,2)),VALUE(MID(A688,1,2)))+TIME(VALUE(MID(A688,12,2)),VALUE(MID(A688,15,2)),VALUE(MID(A688,18,2))),"")))</f>
        <v/>
      </c>
    </row>
    <row r="689" customFormat="false" ht="15" hidden="false" customHeight="false" outlineLevel="0" collapsed="false">
      <c r="I689" s="15" t="str">
        <f aca="false">IF(N689="","",INT(N689))</f>
        <v/>
      </c>
      <c r="J689" s="16" t="str">
        <f aca="false">IF(B689="","",IF(N689=_xlfn.MINIFS($N$2:$N$5001,$B$2:$B$5001,B689),1,0))</f>
        <v/>
      </c>
      <c r="K689" s="16" t="str">
        <f aca="false">IF(B689="","",IF(AND(D689="Formalização",E689="Concluído"),IF(COUNTIFS($B$2:$B$5001,B689,$E$2:$E$5001,"Em ajustes",$N$2:$N$5001,"&lt;"&amp;I689)&gt;0,1,0),0))</f>
        <v/>
      </c>
      <c r="L689" s="16" t="str">
        <f aca="false">IF(B689="","",IF(N689=_xlfn.MAXIFS($N$2:$N$5001,$B$2:$B$5001,B689,$I$2:$I$5001,I689),1,0))</f>
        <v/>
      </c>
      <c r="M689" s="16" t="str">
        <f aca="false">IF(B689="","",IF(E689="Em ajustes",IF(N689=_xlfn.MINIFS($N$2:$N$5001,$B$2:$B$5001,B689,$E$2:$E$5001,"Em ajustes"),1,0),0))</f>
        <v/>
      </c>
      <c r="N689" s="17" t="str">
        <f aca="false">IF(A689="","",IF(ISNUMBER(A689),A689,IFERROR(DATE(VALUE(MID(A689,7,4)),VALUE(MID(A689,4,2)),VALUE(MID(A689,1,2)))+TIME(VALUE(MID(A689,12,2)),VALUE(MID(A689,15,2)),VALUE(MID(A689,18,2))),"")))</f>
        <v/>
      </c>
    </row>
    <row r="690" customFormat="false" ht="15" hidden="false" customHeight="false" outlineLevel="0" collapsed="false">
      <c r="I690" s="15" t="str">
        <f aca="false">IF(N690="","",INT(N690))</f>
        <v/>
      </c>
      <c r="J690" s="16" t="str">
        <f aca="false">IF(B690="","",IF(N690=_xlfn.MINIFS($N$2:$N$5001,$B$2:$B$5001,B690),1,0))</f>
        <v/>
      </c>
      <c r="K690" s="16" t="str">
        <f aca="false">IF(B690="","",IF(AND(D690="Formalização",E690="Concluído"),IF(COUNTIFS($B$2:$B$5001,B690,$E$2:$E$5001,"Em ajustes",$N$2:$N$5001,"&lt;"&amp;I690)&gt;0,1,0),0))</f>
        <v/>
      </c>
      <c r="L690" s="16" t="str">
        <f aca="false">IF(B690="","",IF(N690=_xlfn.MAXIFS($N$2:$N$5001,$B$2:$B$5001,B690,$I$2:$I$5001,I690),1,0))</f>
        <v/>
      </c>
      <c r="M690" s="16" t="str">
        <f aca="false">IF(B690="","",IF(E690="Em ajustes",IF(N690=_xlfn.MINIFS($N$2:$N$5001,$B$2:$B$5001,B690,$E$2:$E$5001,"Em ajustes"),1,0),0))</f>
        <v/>
      </c>
      <c r="N690" s="17" t="str">
        <f aca="false">IF(A690="","",IF(ISNUMBER(A690),A690,IFERROR(DATE(VALUE(MID(A690,7,4)),VALUE(MID(A690,4,2)),VALUE(MID(A690,1,2)))+TIME(VALUE(MID(A690,12,2)),VALUE(MID(A690,15,2)),VALUE(MID(A690,18,2))),"")))</f>
        <v/>
      </c>
    </row>
    <row r="691" customFormat="false" ht="15" hidden="false" customHeight="false" outlineLevel="0" collapsed="false">
      <c r="I691" s="15" t="str">
        <f aca="false">IF(N691="","",INT(N691))</f>
        <v/>
      </c>
      <c r="J691" s="16" t="str">
        <f aca="false">IF(B691="","",IF(N691=_xlfn.MINIFS($N$2:$N$5001,$B$2:$B$5001,B691),1,0))</f>
        <v/>
      </c>
      <c r="K691" s="16" t="str">
        <f aca="false">IF(B691="","",IF(AND(D691="Formalização",E691="Concluído"),IF(COUNTIFS($B$2:$B$5001,B691,$E$2:$E$5001,"Em ajustes",$N$2:$N$5001,"&lt;"&amp;I691)&gt;0,1,0),0))</f>
        <v/>
      </c>
      <c r="L691" s="16" t="str">
        <f aca="false">IF(B691="","",IF(N691=_xlfn.MAXIFS($N$2:$N$5001,$B$2:$B$5001,B691,$I$2:$I$5001,I691),1,0))</f>
        <v/>
      </c>
      <c r="M691" s="16" t="str">
        <f aca="false">IF(B691="","",IF(E691="Em ajustes",IF(N691=_xlfn.MINIFS($N$2:$N$5001,$B$2:$B$5001,B691,$E$2:$E$5001,"Em ajustes"),1,0),0))</f>
        <v/>
      </c>
      <c r="N691" s="17" t="str">
        <f aca="false">IF(A691="","",IF(ISNUMBER(A691),A691,IFERROR(DATE(VALUE(MID(A691,7,4)),VALUE(MID(A691,4,2)),VALUE(MID(A691,1,2)))+TIME(VALUE(MID(A691,12,2)),VALUE(MID(A691,15,2)),VALUE(MID(A691,18,2))),"")))</f>
        <v/>
      </c>
    </row>
    <row r="692" customFormat="false" ht="15" hidden="false" customHeight="false" outlineLevel="0" collapsed="false">
      <c r="I692" s="15" t="str">
        <f aca="false">IF(N692="","",INT(N692))</f>
        <v/>
      </c>
      <c r="J692" s="16" t="str">
        <f aca="false">IF(B692="","",IF(N692=_xlfn.MINIFS($N$2:$N$5001,$B$2:$B$5001,B692),1,0))</f>
        <v/>
      </c>
      <c r="K692" s="16" t="str">
        <f aca="false">IF(B692="","",IF(AND(D692="Formalização",E692="Concluído"),IF(COUNTIFS($B$2:$B$5001,B692,$E$2:$E$5001,"Em ajustes",$N$2:$N$5001,"&lt;"&amp;I692)&gt;0,1,0),0))</f>
        <v/>
      </c>
      <c r="L692" s="16" t="str">
        <f aca="false">IF(B692="","",IF(N692=_xlfn.MAXIFS($N$2:$N$5001,$B$2:$B$5001,B692,$I$2:$I$5001,I692),1,0))</f>
        <v/>
      </c>
      <c r="M692" s="16" t="str">
        <f aca="false">IF(B692="","",IF(E692="Em ajustes",IF(N692=_xlfn.MINIFS($N$2:$N$5001,$B$2:$B$5001,B692,$E$2:$E$5001,"Em ajustes"),1,0),0))</f>
        <v/>
      </c>
      <c r="N692" s="17" t="str">
        <f aca="false">IF(A692="","",IF(ISNUMBER(A692),A692,IFERROR(DATE(VALUE(MID(A692,7,4)),VALUE(MID(A692,4,2)),VALUE(MID(A692,1,2)))+TIME(VALUE(MID(A692,12,2)),VALUE(MID(A692,15,2)),VALUE(MID(A692,18,2))),"")))</f>
        <v/>
      </c>
    </row>
    <row r="693" customFormat="false" ht="15" hidden="false" customHeight="false" outlineLevel="0" collapsed="false">
      <c r="I693" s="15" t="str">
        <f aca="false">IF(N693="","",INT(N693))</f>
        <v/>
      </c>
      <c r="J693" s="16" t="str">
        <f aca="false">IF(B693="","",IF(N693=_xlfn.MINIFS($N$2:$N$5001,$B$2:$B$5001,B693),1,0))</f>
        <v/>
      </c>
      <c r="K693" s="16" t="str">
        <f aca="false">IF(B693="","",IF(AND(D693="Formalização",E693="Concluído"),IF(COUNTIFS($B$2:$B$5001,B693,$E$2:$E$5001,"Em ajustes",$N$2:$N$5001,"&lt;"&amp;I693)&gt;0,1,0),0))</f>
        <v/>
      </c>
      <c r="L693" s="16" t="str">
        <f aca="false">IF(B693="","",IF(N693=_xlfn.MAXIFS($N$2:$N$5001,$B$2:$B$5001,B693,$I$2:$I$5001,I693),1,0))</f>
        <v/>
      </c>
      <c r="M693" s="16" t="str">
        <f aca="false">IF(B693="","",IF(E693="Em ajustes",IF(N693=_xlfn.MINIFS($N$2:$N$5001,$B$2:$B$5001,B693,$E$2:$E$5001,"Em ajustes"),1,0),0))</f>
        <v/>
      </c>
      <c r="N693" s="17" t="str">
        <f aca="false">IF(A693="","",IF(ISNUMBER(A693),A693,IFERROR(DATE(VALUE(MID(A693,7,4)),VALUE(MID(A693,4,2)),VALUE(MID(A693,1,2)))+TIME(VALUE(MID(A693,12,2)),VALUE(MID(A693,15,2)),VALUE(MID(A693,18,2))),"")))</f>
        <v/>
      </c>
    </row>
    <row r="694" customFormat="false" ht="15" hidden="false" customHeight="false" outlineLevel="0" collapsed="false">
      <c r="I694" s="15" t="str">
        <f aca="false">IF(N694="","",INT(N694))</f>
        <v/>
      </c>
      <c r="J694" s="16" t="str">
        <f aca="false">IF(B694="","",IF(N694=_xlfn.MINIFS($N$2:$N$5001,$B$2:$B$5001,B694),1,0))</f>
        <v/>
      </c>
      <c r="K694" s="16" t="str">
        <f aca="false">IF(B694="","",IF(AND(D694="Formalização",E694="Concluído"),IF(COUNTIFS($B$2:$B$5001,B694,$E$2:$E$5001,"Em ajustes",$N$2:$N$5001,"&lt;"&amp;I694)&gt;0,1,0),0))</f>
        <v/>
      </c>
      <c r="L694" s="16" t="str">
        <f aca="false">IF(B694="","",IF(N694=_xlfn.MAXIFS($N$2:$N$5001,$B$2:$B$5001,B694,$I$2:$I$5001,I694),1,0))</f>
        <v/>
      </c>
      <c r="M694" s="16" t="str">
        <f aca="false">IF(B694="","",IF(E694="Em ajustes",IF(N694=_xlfn.MINIFS($N$2:$N$5001,$B$2:$B$5001,B694,$E$2:$E$5001,"Em ajustes"),1,0),0))</f>
        <v/>
      </c>
      <c r="N694" s="17" t="str">
        <f aca="false">IF(A694="","",IF(ISNUMBER(A694),A694,IFERROR(DATE(VALUE(MID(A694,7,4)),VALUE(MID(A694,4,2)),VALUE(MID(A694,1,2)))+TIME(VALUE(MID(A694,12,2)),VALUE(MID(A694,15,2)),VALUE(MID(A694,18,2))),"")))</f>
        <v/>
      </c>
    </row>
    <row r="695" customFormat="false" ht="15" hidden="false" customHeight="false" outlineLevel="0" collapsed="false">
      <c r="I695" s="15" t="str">
        <f aca="false">IF(N695="","",INT(N695))</f>
        <v/>
      </c>
      <c r="J695" s="16" t="str">
        <f aca="false">IF(B695="","",IF(N695=_xlfn.MINIFS($N$2:$N$5001,$B$2:$B$5001,B695),1,0))</f>
        <v/>
      </c>
      <c r="K695" s="16" t="str">
        <f aca="false">IF(B695="","",IF(AND(D695="Formalização",E695="Concluído"),IF(COUNTIFS($B$2:$B$5001,B695,$E$2:$E$5001,"Em ajustes",$N$2:$N$5001,"&lt;"&amp;I695)&gt;0,1,0),0))</f>
        <v/>
      </c>
      <c r="L695" s="16" t="str">
        <f aca="false">IF(B695="","",IF(N695=_xlfn.MAXIFS($N$2:$N$5001,$B$2:$B$5001,B695,$I$2:$I$5001,I695),1,0))</f>
        <v/>
      </c>
      <c r="M695" s="16" t="str">
        <f aca="false">IF(B695="","",IF(E695="Em ajustes",IF(N695=_xlfn.MINIFS($N$2:$N$5001,$B$2:$B$5001,B695,$E$2:$E$5001,"Em ajustes"),1,0),0))</f>
        <v/>
      </c>
      <c r="N695" s="17" t="str">
        <f aca="false">IF(A695="","",IF(ISNUMBER(A695),A695,IFERROR(DATE(VALUE(MID(A695,7,4)),VALUE(MID(A695,4,2)),VALUE(MID(A695,1,2)))+TIME(VALUE(MID(A695,12,2)),VALUE(MID(A695,15,2)),VALUE(MID(A695,18,2))),"")))</f>
        <v/>
      </c>
    </row>
    <row r="696" customFormat="false" ht="15" hidden="false" customHeight="false" outlineLevel="0" collapsed="false">
      <c r="I696" s="15" t="str">
        <f aca="false">IF(N696="","",INT(N696))</f>
        <v/>
      </c>
      <c r="J696" s="16" t="str">
        <f aca="false">IF(B696="","",IF(N696=_xlfn.MINIFS($N$2:$N$5001,$B$2:$B$5001,B696),1,0))</f>
        <v/>
      </c>
      <c r="K696" s="16" t="str">
        <f aca="false">IF(B696="","",IF(AND(D696="Formalização",E696="Concluído"),IF(COUNTIFS($B$2:$B$5001,B696,$E$2:$E$5001,"Em ajustes",$N$2:$N$5001,"&lt;"&amp;I696)&gt;0,1,0),0))</f>
        <v/>
      </c>
      <c r="L696" s="16" t="str">
        <f aca="false">IF(B696="","",IF(N696=_xlfn.MAXIFS($N$2:$N$5001,$B$2:$B$5001,B696,$I$2:$I$5001,I696),1,0))</f>
        <v/>
      </c>
      <c r="M696" s="16" t="str">
        <f aca="false">IF(B696="","",IF(E696="Em ajustes",IF(N696=_xlfn.MINIFS($N$2:$N$5001,$B$2:$B$5001,B696,$E$2:$E$5001,"Em ajustes"),1,0),0))</f>
        <v/>
      </c>
      <c r="N696" s="17" t="str">
        <f aca="false">IF(A696="","",IF(ISNUMBER(A696),A696,IFERROR(DATE(VALUE(MID(A696,7,4)),VALUE(MID(A696,4,2)),VALUE(MID(A696,1,2)))+TIME(VALUE(MID(A696,12,2)),VALUE(MID(A696,15,2)),VALUE(MID(A696,18,2))),"")))</f>
        <v/>
      </c>
    </row>
    <row r="697" customFormat="false" ht="15" hidden="false" customHeight="false" outlineLevel="0" collapsed="false">
      <c r="I697" s="15" t="str">
        <f aca="false">IF(N697="","",INT(N697))</f>
        <v/>
      </c>
      <c r="J697" s="16" t="str">
        <f aca="false">IF(B697="","",IF(N697=_xlfn.MINIFS($N$2:$N$5001,$B$2:$B$5001,B697),1,0))</f>
        <v/>
      </c>
      <c r="K697" s="16" t="str">
        <f aca="false">IF(B697="","",IF(AND(D697="Formalização",E697="Concluído"),IF(COUNTIFS($B$2:$B$5001,B697,$E$2:$E$5001,"Em ajustes",$N$2:$N$5001,"&lt;"&amp;I697)&gt;0,1,0),0))</f>
        <v/>
      </c>
      <c r="L697" s="16" t="str">
        <f aca="false">IF(B697="","",IF(N697=_xlfn.MAXIFS($N$2:$N$5001,$B$2:$B$5001,B697,$I$2:$I$5001,I697),1,0))</f>
        <v/>
      </c>
      <c r="M697" s="16" t="str">
        <f aca="false">IF(B697="","",IF(E697="Em ajustes",IF(N697=_xlfn.MINIFS($N$2:$N$5001,$B$2:$B$5001,B697,$E$2:$E$5001,"Em ajustes"),1,0),0))</f>
        <v/>
      </c>
      <c r="N697" s="17" t="str">
        <f aca="false">IF(A697="","",IF(ISNUMBER(A697),A697,IFERROR(DATE(VALUE(MID(A697,7,4)),VALUE(MID(A697,4,2)),VALUE(MID(A697,1,2)))+TIME(VALUE(MID(A697,12,2)),VALUE(MID(A697,15,2)),VALUE(MID(A697,18,2))),"")))</f>
        <v/>
      </c>
    </row>
    <row r="698" customFormat="false" ht="15" hidden="false" customHeight="false" outlineLevel="0" collapsed="false">
      <c r="I698" s="15" t="str">
        <f aca="false">IF(N698="","",INT(N698))</f>
        <v/>
      </c>
      <c r="J698" s="16" t="str">
        <f aca="false">IF(B698="","",IF(N698=_xlfn.MINIFS($N$2:$N$5001,$B$2:$B$5001,B698),1,0))</f>
        <v/>
      </c>
      <c r="K698" s="16" t="str">
        <f aca="false">IF(B698="","",IF(AND(D698="Formalização",E698="Concluído"),IF(COUNTIFS($B$2:$B$5001,B698,$E$2:$E$5001,"Em ajustes",$N$2:$N$5001,"&lt;"&amp;I698)&gt;0,1,0),0))</f>
        <v/>
      </c>
      <c r="L698" s="16" t="str">
        <f aca="false">IF(B698="","",IF(N698=_xlfn.MAXIFS($N$2:$N$5001,$B$2:$B$5001,B698,$I$2:$I$5001,I698),1,0))</f>
        <v/>
      </c>
      <c r="M698" s="16" t="str">
        <f aca="false">IF(B698="","",IF(E698="Em ajustes",IF(N698=_xlfn.MINIFS($N$2:$N$5001,$B$2:$B$5001,B698,$E$2:$E$5001,"Em ajustes"),1,0),0))</f>
        <v/>
      </c>
      <c r="N698" s="17" t="str">
        <f aca="false">IF(A698="","",IF(ISNUMBER(A698),A698,IFERROR(DATE(VALUE(MID(A698,7,4)),VALUE(MID(A698,4,2)),VALUE(MID(A698,1,2)))+TIME(VALUE(MID(A698,12,2)),VALUE(MID(A698,15,2)),VALUE(MID(A698,18,2))),"")))</f>
        <v/>
      </c>
    </row>
    <row r="699" customFormat="false" ht="15" hidden="false" customHeight="false" outlineLevel="0" collapsed="false">
      <c r="I699" s="15" t="str">
        <f aca="false">IF(N699="","",INT(N699))</f>
        <v/>
      </c>
      <c r="J699" s="16" t="str">
        <f aca="false">IF(B699="","",IF(N699=_xlfn.MINIFS($N$2:$N$5001,$B$2:$B$5001,B699),1,0))</f>
        <v/>
      </c>
      <c r="K699" s="16" t="str">
        <f aca="false">IF(B699="","",IF(AND(D699="Formalização",E699="Concluído"),IF(COUNTIFS($B$2:$B$5001,B699,$E$2:$E$5001,"Em ajustes",$N$2:$N$5001,"&lt;"&amp;I699)&gt;0,1,0),0))</f>
        <v/>
      </c>
      <c r="L699" s="16" t="str">
        <f aca="false">IF(B699="","",IF(N699=_xlfn.MAXIFS($N$2:$N$5001,$B$2:$B$5001,B699,$I$2:$I$5001,I699),1,0))</f>
        <v/>
      </c>
      <c r="M699" s="16" t="str">
        <f aca="false">IF(B699="","",IF(E699="Em ajustes",IF(N699=_xlfn.MINIFS($N$2:$N$5001,$B$2:$B$5001,B699,$E$2:$E$5001,"Em ajustes"),1,0),0))</f>
        <v/>
      </c>
      <c r="N699" s="17" t="str">
        <f aca="false">IF(A699="","",IF(ISNUMBER(A699),A699,IFERROR(DATE(VALUE(MID(A699,7,4)),VALUE(MID(A699,4,2)),VALUE(MID(A699,1,2)))+TIME(VALUE(MID(A699,12,2)),VALUE(MID(A699,15,2)),VALUE(MID(A699,18,2))),"")))</f>
        <v/>
      </c>
    </row>
    <row r="700" customFormat="false" ht="15" hidden="false" customHeight="false" outlineLevel="0" collapsed="false">
      <c r="I700" s="15" t="str">
        <f aca="false">IF(N700="","",INT(N700))</f>
        <v/>
      </c>
      <c r="J700" s="16" t="str">
        <f aca="false">IF(B700="","",IF(N700=_xlfn.MINIFS($N$2:$N$5001,$B$2:$B$5001,B700),1,0))</f>
        <v/>
      </c>
      <c r="K700" s="16" t="str">
        <f aca="false">IF(B700="","",IF(AND(D700="Formalização",E700="Concluído"),IF(COUNTIFS($B$2:$B$5001,B700,$E$2:$E$5001,"Em ajustes",$N$2:$N$5001,"&lt;"&amp;I700)&gt;0,1,0),0))</f>
        <v/>
      </c>
      <c r="L700" s="16" t="str">
        <f aca="false">IF(B700="","",IF(N700=_xlfn.MAXIFS($N$2:$N$5001,$B$2:$B$5001,B700,$I$2:$I$5001,I700),1,0))</f>
        <v/>
      </c>
      <c r="M700" s="16" t="str">
        <f aca="false">IF(B700="","",IF(E700="Em ajustes",IF(N700=_xlfn.MINIFS($N$2:$N$5001,$B$2:$B$5001,B700,$E$2:$E$5001,"Em ajustes"),1,0),0))</f>
        <v/>
      </c>
      <c r="N700" s="17" t="str">
        <f aca="false">IF(A700="","",IF(ISNUMBER(A700),A700,IFERROR(DATE(VALUE(MID(A700,7,4)),VALUE(MID(A700,4,2)),VALUE(MID(A700,1,2)))+TIME(VALUE(MID(A700,12,2)),VALUE(MID(A700,15,2)),VALUE(MID(A700,18,2))),"")))</f>
        <v/>
      </c>
    </row>
    <row r="701" customFormat="false" ht="15" hidden="false" customHeight="false" outlineLevel="0" collapsed="false">
      <c r="I701" s="15" t="str">
        <f aca="false">IF(N701="","",INT(N701))</f>
        <v/>
      </c>
      <c r="J701" s="16" t="str">
        <f aca="false">IF(B701="","",IF(N701=_xlfn.MINIFS($N$2:$N$5001,$B$2:$B$5001,B701),1,0))</f>
        <v/>
      </c>
      <c r="K701" s="16" t="str">
        <f aca="false">IF(B701="","",IF(AND(D701="Formalização",E701="Concluído"),IF(COUNTIFS($B$2:$B$5001,B701,$E$2:$E$5001,"Em ajustes",$N$2:$N$5001,"&lt;"&amp;I701)&gt;0,1,0),0))</f>
        <v/>
      </c>
      <c r="L701" s="16" t="str">
        <f aca="false">IF(B701="","",IF(N701=_xlfn.MAXIFS($N$2:$N$5001,$B$2:$B$5001,B701,$I$2:$I$5001,I701),1,0))</f>
        <v/>
      </c>
      <c r="M701" s="16" t="str">
        <f aca="false">IF(B701="","",IF(E701="Em ajustes",IF(N701=_xlfn.MINIFS($N$2:$N$5001,$B$2:$B$5001,B701,$E$2:$E$5001,"Em ajustes"),1,0),0))</f>
        <v/>
      </c>
      <c r="N701" s="17" t="str">
        <f aca="false">IF(A701="","",IF(ISNUMBER(A701),A701,IFERROR(DATE(VALUE(MID(A701,7,4)),VALUE(MID(A701,4,2)),VALUE(MID(A701,1,2)))+TIME(VALUE(MID(A701,12,2)),VALUE(MID(A701,15,2)),VALUE(MID(A701,18,2))),"")))</f>
        <v/>
      </c>
    </row>
    <row r="702" customFormat="false" ht="15" hidden="false" customHeight="false" outlineLevel="0" collapsed="false">
      <c r="I702" s="15" t="str">
        <f aca="false">IF(N702="","",INT(N702))</f>
        <v/>
      </c>
      <c r="J702" s="16" t="str">
        <f aca="false">IF(B702="","",IF(N702=_xlfn.MINIFS($N$2:$N$5001,$B$2:$B$5001,B702),1,0))</f>
        <v/>
      </c>
      <c r="K702" s="16" t="str">
        <f aca="false">IF(B702="","",IF(AND(D702="Formalização",E702="Concluído"),IF(COUNTIFS($B$2:$B$5001,B702,$E$2:$E$5001,"Em ajustes",$N$2:$N$5001,"&lt;"&amp;I702)&gt;0,1,0),0))</f>
        <v/>
      </c>
      <c r="L702" s="16" t="str">
        <f aca="false">IF(B702="","",IF(N702=_xlfn.MAXIFS($N$2:$N$5001,$B$2:$B$5001,B702,$I$2:$I$5001,I702),1,0))</f>
        <v/>
      </c>
      <c r="M702" s="16" t="str">
        <f aca="false">IF(B702="","",IF(E702="Em ajustes",IF(N702=_xlfn.MINIFS($N$2:$N$5001,$B$2:$B$5001,B702,$E$2:$E$5001,"Em ajustes"),1,0),0))</f>
        <v/>
      </c>
      <c r="N702" s="17" t="str">
        <f aca="false">IF(A702="","",IF(ISNUMBER(A702),A702,IFERROR(DATE(VALUE(MID(A702,7,4)),VALUE(MID(A702,4,2)),VALUE(MID(A702,1,2)))+TIME(VALUE(MID(A702,12,2)),VALUE(MID(A702,15,2)),VALUE(MID(A702,18,2))),"")))</f>
        <v/>
      </c>
    </row>
    <row r="703" customFormat="false" ht="15" hidden="false" customHeight="false" outlineLevel="0" collapsed="false">
      <c r="I703" s="15" t="str">
        <f aca="false">IF(N703="","",INT(N703))</f>
        <v/>
      </c>
      <c r="J703" s="16" t="str">
        <f aca="false">IF(B703="","",IF(N703=_xlfn.MINIFS($N$2:$N$5001,$B$2:$B$5001,B703),1,0))</f>
        <v/>
      </c>
      <c r="K703" s="16" t="str">
        <f aca="false">IF(B703="","",IF(AND(D703="Formalização",E703="Concluído"),IF(COUNTIFS($B$2:$B$5001,B703,$E$2:$E$5001,"Em ajustes",$N$2:$N$5001,"&lt;"&amp;I703)&gt;0,1,0),0))</f>
        <v/>
      </c>
      <c r="L703" s="16" t="str">
        <f aca="false">IF(B703="","",IF(N703=_xlfn.MAXIFS($N$2:$N$5001,$B$2:$B$5001,B703,$I$2:$I$5001,I703),1,0))</f>
        <v/>
      </c>
      <c r="M703" s="16" t="str">
        <f aca="false">IF(B703="","",IF(E703="Em ajustes",IF(N703=_xlfn.MINIFS($N$2:$N$5001,$B$2:$B$5001,B703,$E$2:$E$5001,"Em ajustes"),1,0),0))</f>
        <v/>
      </c>
      <c r="N703" s="17" t="str">
        <f aca="false">IF(A703="","",IF(ISNUMBER(A703),A703,IFERROR(DATE(VALUE(MID(A703,7,4)),VALUE(MID(A703,4,2)),VALUE(MID(A703,1,2)))+TIME(VALUE(MID(A703,12,2)),VALUE(MID(A703,15,2)),VALUE(MID(A703,18,2))),"")))</f>
        <v/>
      </c>
    </row>
    <row r="704" customFormat="false" ht="15" hidden="false" customHeight="false" outlineLevel="0" collapsed="false">
      <c r="I704" s="15" t="str">
        <f aca="false">IF(N704="","",INT(N704))</f>
        <v/>
      </c>
      <c r="J704" s="16" t="str">
        <f aca="false">IF(B704="","",IF(N704=_xlfn.MINIFS($N$2:$N$5001,$B$2:$B$5001,B704),1,0))</f>
        <v/>
      </c>
      <c r="K704" s="16" t="str">
        <f aca="false">IF(B704="","",IF(AND(D704="Formalização",E704="Concluído"),IF(COUNTIFS($B$2:$B$5001,B704,$E$2:$E$5001,"Em ajustes",$N$2:$N$5001,"&lt;"&amp;I704)&gt;0,1,0),0))</f>
        <v/>
      </c>
      <c r="L704" s="16" t="str">
        <f aca="false">IF(B704="","",IF(N704=_xlfn.MAXIFS($N$2:$N$5001,$B$2:$B$5001,B704,$I$2:$I$5001,I704),1,0))</f>
        <v/>
      </c>
      <c r="M704" s="16" t="str">
        <f aca="false">IF(B704="","",IF(E704="Em ajustes",IF(N704=_xlfn.MINIFS($N$2:$N$5001,$B$2:$B$5001,B704,$E$2:$E$5001,"Em ajustes"),1,0),0))</f>
        <v/>
      </c>
      <c r="N704" s="17" t="str">
        <f aca="false">IF(A704="","",IF(ISNUMBER(A704),A704,IFERROR(DATE(VALUE(MID(A704,7,4)),VALUE(MID(A704,4,2)),VALUE(MID(A704,1,2)))+TIME(VALUE(MID(A704,12,2)),VALUE(MID(A704,15,2)),VALUE(MID(A704,18,2))),"")))</f>
        <v/>
      </c>
    </row>
    <row r="705" customFormat="false" ht="15" hidden="false" customHeight="false" outlineLevel="0" collapsed="false">
      <c r="I705" s="15" t="str">
        <f aca="false">IF(N705="","",INT(N705))</f>
        <v/>
      </c>
      <c r="J705" s="16" t="str">
        <f aca="false">IF(B705="","",IF(N705=_xlfn.MINIFS($N$2:$N$5001,$B$2:$B$5001,B705),1,0))</f>
        <v/>
      </c>
      <c r="K705" s="16" t="str">
        <f aca="false">IF(B705="","",IF(AND(D705="Formalização",E705="Concluído"),IF(COUNTIFS($B$2:$B$5001,B705,$E$2:$E$5001,"Em ajustes",$N$2:$N$5001,"&lt;"&amp;I705)&gt;0,1,0),0))</f>
        <v/>
      </c>
      <c r="L705" s="16" t="str">
        <f aca="false">IF(B705="","",IF(N705=_xlfn.MAXIFS($N$2:$N$5001,$B$2:$B$5001,B705,$I$2:$I$5001,I705),1,0))</f>
        <v/>
      </c>
      <c r="M705" s="16" t="str">
        <f aca="false">IF(B705="","",IF(E705="Em ajustes",IF(N705=_xlfn.MINIFS($N$2:$N$5001,$B$2:$B$5001,B705,$E$2:$E$5001,"Em ajustes"),1,0),0))</f>
        <v/>
      </c>
      <c r="N705" s="17" t="str">
        <f aca="false">IF(A705="","",IF(ISNUMBER(A705),A705,IFERROR(DATE(VALUE(MID(A705,7,4)),VALUE(MID(A705,4,2)),VALUE(MID(A705,1,2)))+TIME(VALUE(MID(A705,12,2)),VALUE(MID(A705,15,2)),VALUE(MID(A705,18,2))),"")))</f>
        <v/>
      </c>
    </row>
    <row r="706" customFormat="false" ht="15" hidden="false" customHeight="false" outlineLevel="0" collapsed="false">
      <c r="I706" s="15" t="str">
        <f aca="false">IF(N706="","",INT(N706))</f>
        <v/>
      </c>
      <c r="J706" s="16" t="str">
        <f aca="false">IF(B706="","",IF(N706=_xlfn.MINIFS($N$2:$N$5001,$B$2:$B$5001,B706),1,0))</f>
        <v/>
      </c>
      <c r="K706" s="16" t="str">
        <f aca="false">IF(B706="","",IF(AND(D706="Formalização",E706="Concluído"),IF(COUNTIFS($B$2:$B$5001,B706,$E$2:$E$5001,"Em ajustes",$N$2:$N$5001,"&lt;"&amp;I706)&gt;0,1,0),0))</f>
        <v/>
      </c>
      <c r="L706" s="16" t="str">
        <f aca="false">IF(B706="","",IF(N706=_xlfn.MAXIFS($N$2:$N$5001,$B$2:$B$5001,B706,$I$2:$I$5001,I706),1,0))</f>
        <v/>
      </c>
      <c r="M706" s="16" t="str">
        <f aca="false">IF(B706="","",IF(E706="Em ajustes",IF(N706=_xlfn.MINIFS($N$2:$N$5001,$B$2:$B$5001,B706,$E$2:$E$5001,"Em ajustes"),1,0),0))</f>
        <v/>
      </c>
      <c r="N706" s="17" t="str">
        <f aca="false">IF(A706="","",IF(ISNUMBER(A706),A706,IFERROR(DATE(VALUE(MID(A706,7,4)),VALUE(MID(A706,4,2)),VALUE(MID(A706,1,2)))+TIME(VALUE(MID(A706,12,2)),VALUE(MID(A706,15,2)),VALUE(MID(A706,18,2))),"")))</f>
        <v/>
      </c>
    </row>
    <row r="707" customFormat="false" ht="15" hidden="false" customHeight="false" outlineLevel="0" collapsed="false">
      <c r="I707" s="15" t="str">
        <f aca="false">IF(N707="","",INT(N707))</f>
        <v/>
      </c>
      <c r="J707" s="16" t="str">
        <f aca="false">IF(B707="","",IF(N707=_xlfn.MINIFS($N$2:$N$5001,$B$2:$B$5001,B707),1,0))</f>
        <v/>
      </c>
      <c r="K707" s="16" t="str">
        <f aca="false">IF(B707="","",IF(AND(D707="Formalização",E707="Concluído"),IF(COUNTIFS($B$2:$B$5001,B707,$E$2:$E$5001,"Em ajustes",$N$2:$N$5001,"&lt;"&amp;I707)&gt;0,1,0),0))</f>
        <v/>
      </c>
      <c r="L707" s="16" t="str">
        <f aca="false">IF(B707="","",IF(N707=_xlfn.MAXIFS($N$2:$N$5001,$B$2:$B$5001,B707,$I$2:$I$5001,I707),1,0))</f>
        <v/>
      </c>
      <c r="M707" s="16" t="str">
        <f aca="false">IF(B707="","",IF(E707="Em ajustes",IF(N707=_xlfn.MINIFS($N$2:$N$5001,$B$2:$B$5001,B707,$E$2:$E$5001,"Em ajustes"),1,0),0))</f>
        <v/>
      </c>
      <c r="N707" s="17" t="str">
        <f aca="false">IF(A707="","",IF(ISNUMBER(A707),A707,IFERROR(DATE(VALUE(MID(A707,7,4)),VALUE(MID(A707,4,2)),VALUE(MID(A707,1,2)))+TIME(VALUE(MID(A707,12,2)),VALUE(MID(A707,15,2)),VALUE(MID(A707,18,2))),"")))</f>
        <v/>
      </c>
    </row>
    <row r="708" customFormat="false" ht="15" hidden="false" customHeight="false" outlineLevel="0" collapsed="false">
      <c r="I708" s="15" t="str">
        <f aca="false">IF(N708="","",INT(N708))</f>
        <v/>
      </c>
      <c r="J708" s="16" t="str">
        <f aca="false">IF(B708="","",IF(N708=_xlfn.MINIFS($N$2:$N$5001,$B$2:$B$5001,B708),1,0))</f>
        <v/>
      </c>
      <c r="K708" s="16" t="str">
        <f aca="false">IF(B708="","",IF(AND(D708="Formalização",E708="Concluído"),IF(COUNTIFS($B$2:$B$5001,B708,$E$2:$E$5001,"Em ajustes",$N$2:$N$5001,"&lt;"&amp;I708)&gt;0,1,0),0))</f>
        <v/>
      </c>
      <c r="L708" s="16" t="str">
        <f aca="false">IF(B708="","",IF(N708=_xlfn.MAXIFS($N$2:$N$5001,$B$2:$B$5001,B708,$I$2:$I$5001,I708),1,0))</f>
        <v/>
      </c>
      <c r="M708" s="16" t="str">
        <f aca="false">IF(B708="","",IF(E708="Em ajustes",IF(N708=_xlfn.MINIFS($N$2:$N$5001,$B$2:$B$5001,B708,$E$2:$E$5001,"Em ajustes"),1,0),0))</f>
        <v/>
      </c>
      <c r="N708" s="17" t="str">
        <f aca="false">IF(A708="","",IF(ISNUMBER(A708),A708,IFERROR(DATE(VALUE(MID(A708,7,4)),VALUE(MID(A708,4,2)),VALUE(MID(A708,1,2)))+TIME(VALUE(MID(A708,12,2)),VALUE(MID(A708,15,2)),VALUE(MID(A708,18,2))),"")))</f>
        <v/>
      </c>
    </row>
    <row r="709" customFormat="false" ht="15" hidden="false" customHeight="false" outlineLevel="0" collapsed="false">
      <c r="I709" s="15" t="str">
        <f aca="false">IF(N709="","",INT(N709))</f>
        <v/>
      </c>
      <c r="J709" s="16" t="str">
        <f aca="false">IF(B709="","",IF(N709=_xlfn.MINIFS($N$2:$N$5001,$B$2:$B$5001,B709),1,0))</f>
        <v/>
      </c>
      <c r="K709" s="16" t="str">
        <f aca="false">IF(B709="","",IF(AND(D709="Formalização",E709="Concluído"),IF(COUNTIFS($B$2:$B$5001,B709,$E$2:$E$5001,"Em ajustes",$N$2:$N$5001,"&lt;"&amp;I709)&gt;0,1,0),0))</f>
        <v/>
      </c>
      <c r="L709" s="16" t="str">
        <f aca="false">IF(B709="","",IF(N709=_xlfn.MAXIFS($N$2:$N$5001,$B$2:$B$5001,B709,$I$2:$I$5001,I709),1,0))</f>
        <v/>
      </c>
      <c r="M709" s="16" t="str">
        <f aca="false">IF(B709="","",IF(E709="Em ajustes",IF(N709=_xlfn.MINIFS($N$2:$N$5001,$B$2:$B$5001,B709,$E$2:$E$5001,"Em ajustes"),1,0),0))</f>
        <v/>
      </c>
      <c r="N709" s="17" t="str">
        <f aca="false">IF(A709="","",IF(ISNUMBER(A709),A709,IFERROR(DATE(VALUE(MID(A709,7,4)),VALUE(MID(A709,4,2)),VALUE(MID(A709,1,2)))+TIME(VALUE(MID(A709,12,2)),VALUE(MID(A709,15,2)),VALUE(MID(A709,18,2))),"")))</f>
        <v/>
      </c>
    </row>
    <row r="710" customFormat="false" ht="15" hidden="false" customHeight="false" outlineLevel="0" collapsed="false">
      <c r="I710" s="15" t="str">
        <f aca="false">IF(N710="","",INT(N710))</f>
        <v/>
      </c>
      <c r="J710" s="16" t="str">
        <f aca="false">IF(B710="","",IF(N710=_xlfn.MINIFS($N$2:$N$5001,$B$2:$B$5001,B710),1,0))</f>
        <v/>
      </c>
      <c r="K710" s="16" t="str">
        <f aca="false">IF(B710="","",IF(AND(D710="Formalização",E710="Concluído"),IF(COUNTIFS($B$2:$B$5001,B710,$E$2:$E$5001,"Em ajustes",$N$2:$N$5001,"&lt;"&amp;I710)&gt;0,1,0),0))</f>
        <v/>
      </c>
      <c r="L710" s="16" t="str">
        <f aca="false">IF(B710="","",IF(N710=_xlfn.MAXIFS($N$2:$N$5001,$B$2:$B$5001,B710,$I$2:$I$5001,I710),1,0))</f>
        <v/>
      </c>
      <c r="M710" s="16" t="str">
        <f aca="false">IF(B710="","",IF(E710="Em ajustes",IF(N710=_xlfn.MINIFS($N$2:$N$5001,$B$2:$B$5001,B710,$E$2:$E$5001,"Em ajustes"),1,0),0))</f>
        <v/>
      </c>
      <c r="N710" s="17" t="str">
        <f aca="false">IF(A710="","",IF(ISNUMBER(A710),A710,IFERROR(DATE(VALUE(MID(A710,7,4)),VALUE(MID(A710,4,2)),VALUE(MID(A710,1,2)))+TIME(VALUE(MID(A710,12,2)),VALUE(MID(A710,15,2)),VALUE(MID(A710,18,2))),"")))</f>
        <v/>
      </c>
    </row>
    <row r="711" customFormat="false" ht="15" hidden="false" customHeight="false" outlineLevel="0" collapsed="false">
      <c r="I711" s="15" t="str">
        <f aca="false">IF(N711="","",INT(N711))</f>
        <v/>
      </c>
      <c r="J711" s="16" t="str">
        <f aca="false">IF(B711="","",IF(N711=_xlfn.MINIFS($N$2:$N$5001,$B$2:$B$5001,B711),1,0))</f>
        <v/>
      </c>
      <c r="K711" s="16" t="str">
        <f aca="false">IF(B711="","",IF(AND(D711="Formalização",E711="Concluído"),IF(COUNTIFS($B$2:$B$5001,B711,$E$2:$E$5001,"Em ajustes",$N$2:$N$5001,"&lt;"&amp;I711)&gt;0,1,0),0))</f>
        <v/>
      </c>
      <c r="L711" s="16" t="str">
        <f aca="false">IF(B711="","",IF(N711=_xlfn.MAXIFS($N$2:$N$5001,$B$2:$B$5001,B711,$I$2:$I$5001,I711),1,0))</f>
        <v/>
      </c>
      <c r="M711" s="16" t="str">
        <f aca="false">IF(B711="","",IF(E711="Em ajustes",IF(N711=_xlfn.MINIFS($N$2:$N$5001,$B$2:$B$5001,B711,$E$2:$E$5001,"Em ajustes"),1,0),0))</f>
        <v/>
      </c>
      <c r="N711" s="17" t="str">
        <f aca="false">IF(A711="","",IF(ISNUMBER(A711),A711,IFERROR(DATE(VALUE(MID(A711,7,4)),VALUE(MID(A711,4,2)),VALUE(MID(A711,1,2)))+TIME(VALUE(MID(A711,12,2)),VALUE(MID(A711,15,2)),VALUE(MID(A711,18,2))),"")))</f>
        <v/>
      </c>
    </row>
    <row r="712" customFormat="false" ht="15" hidden="false" customHeight="false" outlineLevel="0" collapsed="false">
      <c r="I712" s="15" t="str">
        <f aca="false">IF(N712="","",INT(N712))</f>
        <v/>
      </c>
      <c r="J712" s="16" t="str">
        <f aca="false">IF(B712="","",IF(N712=_xlfn.MINIFS($N$2:$N$5001,$B$2:$B$5001,B712),1,0))</f>
        <v/>
      </c>
      <c r="K712" s="16" t="str">
        <f aca="false">IF(B712="","",IF(AND(D712="Formalização",E712="Concluído"),IF(COUNTIFS($B$2:$B$5001,B712,$E$2:$E$5001,"Em ajustes",$N$2:$N$5001,"&lt;"&amp;I712)&gt;0,1,0),0))</f>
        <v/>
      </c>
      <c r="L712" s="16" t="str">
        <f aca="false">IF(B712="","",IF(N712=_xlfn.MAXIFS($N$2:$N$5001,$B$2:$B$5001,B712,$I$2:$I$5001,I712),1,0))</f>
        <v/>
      </c>
      <c r="M712" s="16" t="str">
        <f aca="false">IF(B712="","",IF(E712="Em ajustes",IF(N712=_xlfn.MINIFS($N$2:$N$5001,$B$2:$B$5001,B712,$E$2:$E$5001,"Em ajustes"),1,0),0))</f>
        <v/>
      </c>
      <c r="N712" s="17" t="str">
        <f aca="false">IF(A712="","",IF(ISNUMBER(A712),A712,IFERROR(DATE(VALUE(MID(A712,7,4)),VALUE(MID(A712,4,2)),VALUE(MID(A712,1,2)))+TIME(VALUE(MID(A712,12,2)),VALUE(MID(A712,15,2)),VALUE(MID(A712,18,2))),"")))</f>
        <v/>
      </c>
    </row>
    <row r="713" customFormat="false" ht="15" hidden="false" customHeight="false" outlineLevel="0" collapsed="false">
      <c r="I713" s="15" t="str">
        <f aca="false">IF(N713="","",INT(N713))</f>
        <v/>
      </c>
      <c r="J713" s="16" t="str">
        <f aca="false">IF(B713="","",IF(N713=_xlfn.MINIFS($N$2:$N$5001,$B$2:$B$5001,B713),1,0))</f>
        <v/>
      </c>
      <c r="K713" s="16" t="str">
        <f aca="false">IF(B713="","",IF(AND(D713="Formalização",E713="Concluído"),IF(COUNTIFS($B$2:$B$5001,B713,$E$2:$E$5001,"Em ajustes",$N$2:$N$5001,"&lt;"&amp;I713)&gt;0,1,0),0))</f>
        <v/>
      </c>
      <c r="L713" s="16" t="str">
        <f aca="false">IF(B713="","",IF(N713=_xlfn.MAXIFS($N$2:$N$5001,$B$2:$B$5001,B713,$I$2:$I$5001,I713),1,0))</f>
        <v/>
      </c>
      <c r="M713" s="16" t="str">
        <f aca="false">IF(B713="","",IF(E713="Em ajustes",IF(N713=_xlfn.MINIFS($N$2:$N$5001,$B$2:$B$5001,B713,$E$2:$E$5001,"Em ajustes"),1,0),0))</f>
        <v/>
      </c>
      <c r="N713" s="17" t="str">
        <f aca="false">IF(A713="","",IF(ISNUMBER(A713),A713,IFERROR(DATE(VALUE(MID(A713,7,4)),VALUE(MID(A713,4,2)),VALUE(MID(A713,1,2)))+TIME(VALUE(MID(A713,12,2)),VALUE(MID(A713,15,2)),VALUE(MID(A713,18,2))),"")))</f>
        <v/>
      </c>
    </row>
    <row r="714" customFormat="false" ht="15" hidden="false" customHeight="false" outlineLevel="0" collapsed="false">
      <c r="I714" s="15" t="str">
        <f aca="false">IF(N714="","",INT(N714))</f>
        <v/>
      </c>
      <c r="J714" s="16" t="str">
        <f aca="false">IF(B714="","",IF(N714=_xlfn.MINIFS($N$2:$N$5001,$B$2:$B$5001,B714),1,0))</f>
        <v/>
      </c>
      <c r="K714" s="16" t="str">
        <f aca="false">IF(B714="","",IF(AND(D714="Formalização",E714="Concluído"),IF(COUNTIFS($B$2:$B$5001,B714,$E$2:$E$5001,"Em ajustes",$N$2:$N$5001,"&lt;"&amp;I714)&gt;0,1,0),0))</f>
        <v/>
      </c>
      <c r="L714" s="16" t="str">
        <f aca="false">IF(B714="","",IF(N714=_xlfn.MAXIFS($N$2:$N$5001,$B$2:$B$5001,B714,$I$2:$I$5001,I714),1,0))</f>
        <v/>
      </c>
      <c r="M714" s="16" t="str">
        <f aca="false">IF(B714="","",IF(E714="Em ajustes",IF(N714=_xlfn.MINIFS($N$2:$N$5001,$B$2:$B$5001,B714,$E$2:$E$5001,"Em ajustes"),1,0),0))</f>
        <v/>
      </c>
      <c r="N714" s="17" t="str">
        <f aca="false">IF(A714="","",IF(ISNUMBER(A714),A714,IFERROR(DATE(VALUE(MID(A714,7,4)),VALUE(MID(A714,4,2)),VALUE(MID(A714,1,2)))+TIME(VALUE(MID(A714,12,2)),VALUE(MID(A714,15,2)),VALUE(MID(A714,18,2))),"")))</f>
        <v/>
      </c>
    </row>
    <row r="715" customFormat="false" ht="15" hidden="false" customHeight="false" outlineLevel="0" collapsed="false">
      <c r="I715" s="15" t="str">
        <f aca="false">IF(N715="","",INT(N715))</f>
        <v/>
      </c>
      <c r="J715" s="16" t="str">
        <f aca="false">IF(B715="","",IF(N715=_xlfn.MINIFS($N$2:$N$5001,$B$2:$B$5001,B715),1,0))</f>
        <v/>
      </c>
      <c r="K715" s="16" t="str">
        <f aca="false">IF(B715="","",IF(AND(D715="Formalização",E715="Concluído"),IF(COUNTIFS($B$2:$B$5001,B715,$E$2:$E$5001,"Em ajustes",$N$2:$N$5001,"&lt;"&amp;I715)&gt;0,1,0),0))</f>
        <v/>
      </c>
      <c r="L715" s="16" t="str">
        <f aca="false">IF(B715="","",IF(N715=_xlfn.MAXIFS($N$2:$N$5001,$B$2:$B$5001,B715,$I$2:$I$5001,I715),1,0))</f>
        <v/>
      </c>
      <c r="M715" s="16" t="str">
        <f aca="false">IF(B715="","",IF(E715="Em ajustes",IF(N715=_xlfn.MINIFS($N$2:$N$5001,$B$2:$B$5001,B715,$E$2:$E$5001,"Em ajustes"),1,0),0))</f>
        <v/>
      </c>
      <c r="N715" s="17" t="str">
        <f aca="false">IF(A715="","",IF(ISNUMBER(A715),A715,IFERROR(DATE(VALUE(MID(A715,7,4)),VALUE(MID(A715,4,2)),VALUE(MID(A715,1,2)))+TIME(VALUE(MID(A715,12,2)),VALUE(MID(A715,15,2)),VALUE(MID(A715,18,2))),"")))</f>
        <v/>
      </c>
    </row>
    <row r="716" customFormat="false" ht="15" hidden="false" customHeight="false" outlineLevel="0" collapsed="false">
      <c r="I716" s="15" t="str">
        <f aca="false">IF(N716="","",INT(N716))</f>
        <v/>
      </c>
      <c r="J716" s="16" t="str">
        <f aca="false">IF(B716="","",IF(N716=_xlfn.MINIFS($N$2:$N$5001,$B$2:$B$5001,B716),1,0))</f>
        <v/>
      </c>
      <c r="K716" s="16" t="str">
        <f aca="false">IF(B716="","",IF(AND(D716="Formalização",E716="Concluído"),IF(COUNTIFS($B$2:$B$5001,B716,$E$2:$E$5001,"Em ajustes",$N$2:$N$5001,"&lt;"&amp;I716)&gt;0,1,0),0))</f>
        <v/>
      </c>
      <c r="L716" s="16" t="str">
        <f aca="false">IF(B716="","",IF(N716=_xlfn.MAXIFS($N$2:$N$5001,$B$2:$B$5001,B716,$I$2:$I$5001,I716),1,0))</f>
        <v/>
      </c>
      <c r="M716" s="16" t="str">
        <f aca="false">IF(B716="","",IF(E716="Em ajustes",IF(N716=_xlfn.MINIFS($N$2:$N$5001,$B$2:$B$5001,B716,$E$2:$E$5001,"Em ajustes"),1,0),0))</f>
        <v/>
      </c>
      <c r="N716" s="17" t="str">
        <f aca="false">IF(A716="","",IF(ISNUMBER(A716),A716,IFERROR(DATE(VALUE(MID(A716,7,4)),VALUE(MID(A716,4,2)),VALUE(MID(A716,1,2)))+TIME(VALUE(MID(A716,12,2)),VALUE(MID(A716,15,2)),VALUE(MID(A716,18,2))),"")))</f>
        <v/>
      </c>
    </row>
    <row r="717" customFormat="false" ht="15" hidden="false" customHeight="false" outlineLevel="0" collapsed="false">
      <c r="I717" s="15" t="str">
        <f aca="false">IF(N717="","",INT(N717))</f>
        <v/>
      </c>
      <c r="J717" s="16" t="str">
        <f aca="false">IF(B717="","",IF(N717=_xlfn.MINIFS($N$2:$N$5001,$B$2:$B$5001,B717),1,0))</f>
        <v/>
      </c>
      <c r="K717" s="16" t="str">
        <f aca="false">IF(B717="","",IF(AND(D717="Formalização",E717="Concluído"),IF(COUNTIFS($B$2:$B$5001,B717,$E$2:$E$5001,"Em ajustes",$N$2:$N$5001,"&lt;"&amp;I717)&gt;0,1,0),0))</f>
        <v/>
      </c>
      <c r="L717" s="16" t="str">
        <f aca="false">IF(B717="","",IF(N717=_xlfn.MAXIFS($N$2:$N$5001,$B$2:$B$5001,B717,$I$2:$I$5001,I717),1,0))</f>
        <v/>
      </c>
      <c r="M717" s="16" t="str">
        <f aca="false">IF(B717="","",IF(E717="Em ajustes",IF(N717=_xlfn.MINIFS($N$2:$N$5001,$B$2:$B$5001,B717,$E$2:$E$5001,"Em ajustes"),1,0),0))</f>
        <v/>
      </c>
      <c r="N717" s="17" t="str">
        <f aca="false">IF(A717="","",IF(ISNUMBER(A717),A717,IFERROR(DATE(VALUE(MID(A717,7,4)),VALUE(MID(A717,4,2)),VALUE(MID(A717,1,2)))+TIME(VALUE(MID(A717,12,2)),VALUE(MID(A717,15,2)),VALUE(MID(A717,18,2))),"")))</f>
        <v/>
      </c>
    </row>
    <row r="718" customFormat="false" ht="15" hidden="false" customHeight="false" outlineLevel="0" collapsed="false">
      <c r="I718" s="15" t="str">
        <f aca="false">IF(N718="","",INT(N718))</f>
        <v/>
      </c>
      <c r="J718" s="16" t="str">
        <f aca="false">IF(B718="","",IF(N718=_xlfn.MINIFS($N$2:$N$5001,$B$2:$B$5001,B718),1,0))</f>
        <v/>
      </c>
      <c r="K718" s="16" t="str">
        <f aca="false">IF(B718="","",IF(AND(D718="Formalização",E718="Concluído"),IF(COUNTIFS($B$2:$B$5001,B718,$E$2:$E$5001,"Em ajustes",$N$2:$N$5001,"&lt;"&amp;I718)&gt;0,1,0),0))</f>
        <v/>
      </c>
      <c r="L718" s="16" t="str">
        <f aca="false">IF(B718="","",IF(N718=_xlfn.MAXIFS($N$2:$N$5001,$B$2:$B$5001,B718,$I$2:$I$5001,I718),1,0))</f>
        <v/>
      </c>
      <c r="M718" s="16" t="str">
        <f aca="false">IF(B718="","",IF(E718="Em ajustes",IF(N718=_xlfn.MINIFS($N$2:$N$5001,$B$2:$B$5001,B718,$E$2:$E$5001,"Em ajustes"),1,0),0))</f>
        <v/>
      </c>
      <c r="N718" s="17" t="str">
        <f aca="false">IF(A718="","",IF(ISNUMBER(A718),A718,IFERROR(DATE(VALUE(MID(A718,7,4)),VALUE(MID(A718,4,2)),VALUE(MID(A718,1,2)))+TIME(VALUE(MID(A718,12,2)),VALUE(MID(A718,15,2)),VALUE(MID(A718,18,2))),"")))</f>
        <v/>
      </c>
    </row>
    <row r="719" customFormat="false" ht="15" hidden="false" customHeight="false" outlineLevel="0" collapsed="false">
      <c r="I719" s="15" t="str">
        <f aca="false">IF(N719="","",INT(N719))</f>
        <v/>
      </c>
      <c r="J719" s="16" t="str">
        <f aca="false">IF(B719="","",IF(N719=_xlfn.MINIFS($N$2:$N$5001,$B$2:$B$5001,B719),1,0))</f>
        <v/>
      </c>
      <c r="K719" s="16" t="str">
        <f aca="false">IF(B719="","",IF(AND(D719="Formalização",E719="Concluído"),IF(COUNTIFS($B$2:$B$5001,B719,$E$2:$E$5001,"Em ajustes",$N$2:$N$5001,"&lt;"&amp;I719)&gt;0,1,0),0))</f>
        <v/>
      </c>
      <c r="L719" s="16" t="str">
        <f aca="false">IF(B719="","",IF(N719=_xlfn.MAXIFS($N$2:$N$5001,$B$2:$B$5001,B719,$I$2:$I$5001,I719),1,0))</f>
        <v/>
      </c>
      <c r="M719" s="16" t="str">
        <f aca="false">IF(B719="","",IF(E719="Em ajustes",IF(N719=_xlfn.MINIFS($N$2:$N$5001,$B$2:$B$5001,B719,$E$2:$E$5001,"Em ajustes"),1,0),0))</f>
        <v/>
      </c>
      <c r="N719" s="17" t="str">
        <f aca="false">IF(A719="","",IF(ISNUMBER(A719),A719,IFERROR(DATE(VALUE(MID(A719,7,4)),VALUE(MID(A719,4,2)),VALUE(MID(A719,1,2)))+TIME(VALUE(MID(A719,12,2)),VALUE(MID(A719,15,2)),VALUE(MID(A719,18,2))),"")))</f>
        <v/>
      </c>
    </row>
    <row r="720" customFormat="false" ht="15" hidden="false" customHeight="false" outlineLevel="0" collapsed="false">
      <c r="I720" s="15" t="str">
        <f aca="false">IF(N720="","",INT(N720))</f>
        <v/>
      </c>
      <c r="J720" s="16" t="str">
        <f aca="false">IF(B720="","",IF(N720=_xlfn.MINIFS($N$2:$N$5001,$B$2:$B$5001,B720),1,0))</f>
        <v/>
      </c>
      <c r="K720" s="16" t="str">
        <f aca="false">IF(B720="","",IF(AND(D720="Formalização",E720="Concluído"),IF(COUNTIFS($B$2:$B$5001,B720,$E$2:$E$5001,"Em ajustes",$N$2:$N$5001,"&lt;"&amp;I720)&gt;0,1,0),0))</f>
        <v/>
      </c>
      <c r="L720" s="16" t="str">
        <f aca="false">IF(B720="","",IF(N720=_xlfn.MAXIFS($N$2:$N$5001,$B$2:$B$5001,B720,$I$2:$I$5001,I720),1,0))</f>
        <v/>
      </c>
      <c r="M720" s="16" t="str">
        <f aca="false">IF(B720="","",IF(E720="Em ajustes",IF(N720=_xlfn.MINIFS($N$2:$N$5001,$B$2:$B$5001,B720,$E$2:$E$5001,"Em ajustes"),1,0),0))</f>
        <v/>
      </c>
      <c r="N720" s="17" t="str">
        <f aca="false">IF(A720="","",IF(ISNUMBER(A720),A720,IFERROR(DATE(VALUE(MID(A720,7,4)),VALUE(MID(A720,4,2)),VALUE(MID(A720,1,2)))+TIME(VALUE(MID(A720,12,2)),VALUE(MID(A720,15,2)),VALUE(MID(A720,18,2))),"")))</f>
        <v/>
      </c>
    </row>
    <row r="721" customFormat="false" ht="15" hidden="false" customHeight="false" outlineLevel="0" collapsed="false">
      <c r="I721" s="15" t="str">
        <f aca="false">IF(N721="","",INT(N721))</f>
        <v/>
      </c>
      <c r="J721" s="16" t="str">
        <f aca="false">IF(B721="","",IF(N721=_xlfn.MINIFS($N$2:$N$5001,$B$2:$B$5001,B721),1,0))</f>
        <v/>
      </c>
      <c r="K721" s="16" t="str">
        <f aca="false">IF(B721="","",IF(AND(D721="Formalização",E721="Concluído"),IF(COUNTIFS($B$2:$B$5001,B721,$E$2:$E$5001,"Em ajustes",$N$2:$N$5001,"&lt;"&amp;I721)&gt;0,1,0),0))</f>
        <v/>
      </c>
      <c r="L721" s="16" t="str">
        <f aca="false">IF(B721="","",IF(N721=_xlfn.MAXIFS($N$2:$N$5001,$B$2:$B$5001,B721,$I$2:$I$5001,I721),1,0))</f>
        <v/>
      </c>
      <c r="M721" s="16" t="str">
        <f aca="false">IF(B721="","",IF(E721="Em ajustes",IF(N721=_xlfn.MINIFS($N$2:$N$5001,$B$2:$B$5001,B721,$E$2:$E$5001,"Em ajustes"),1,0),0))</f>
        <v/>
      </c>
      <c r="N721" s="17" t="str">
        <f aca="false">IF(A721="","",IF(ISNUMBER(A721),A721,IFERROR(DATE(VALUE(MID(A721,7,4)),VALUE(MID(A721,4,2)),VALUE(MID(A721,1,2)))+TIME(VALUE(MID(A721,12,2)),VALUE(MID(A721,15,2)),VALUE(MID(A721,18,2))),"")))</f>
        <v/>
      </c>
    </row>
    <row r="722" customFormat="false" ht="15" hidden="false" customHeight="false" outlineLevel="0" collapsed="false">
      <c r="I722" s="15" t="str">
        <f aca="false">IF(N722="","",INT(N722))</f>
        <v/>
      </c>
      <c r="J722" s="16" t="str">
        <f aca="false">IF(B722="","",IF(N722=_xlfn.MINIFS($N$2:$N$5001,$B$2:$B$5001,B722),1,0))</f>
        <v/>
      </c>
      <c r="K722" s="16" t="str">
        <f aca="false">IF(B722="","",IF(AND(D722="Formalização",E722="Concluído"),IF(COUNTIFS($B$2:$B$5001,B722,$E$2:$E$5001,"Em ajustes",$N$2:$N$5001,"&lt;"&amp;I722)&gt;0,1,0),0))</f>
        <v/>
      </c>
      <c r="L722" s="16" t="str">
        <f aca="false">IF(B722="","",IF(N722=_xlfn.MAXIFS($N$2:$N$5001,$B$2:$B$5001,B722,$I$2:$I$5001,I722),1,0))</f>
        <v/>
      </c>
      <c r="M722" s="16" t="str">
        <f aca="false">IF(B722="","",IF(E722="Em ajustes",IF(N722=_xlfn.MINIFS($N$2:$N$5001,$B$2:$B$5001,B722,$E$2:$E$5001,"Em ajustes"),1,0),0))</f>
        <v/>
      </c>
      <c r="N722" s="17" t="str">
        <f aca="false">IF(A722="","",IF(ISNUMBER(A722),A722,IFERROR(DATE(VALUE(MID(A722,7,4)),VALUE(MID(A722,4,2)),VALUE(MID(A722,1,2)))+TIME(VALUE(MID(A722,12,2)),VALUE(MID(A722,15,2)),VALUE(MID(A722,18,2))),"")))</f>
        <v/>
      </c>
    </row>
    <row r="723" customFormat="false" ht="15" hidden="false" customHeight="false" outlineLevel="0" collapsed="false">
      <c r="I723" s="15" t="str">
        <f aca="false">IF(N723="","",INT(N723))</f>
        <v/>
      </c>
      <c r="J723" s="16" t="str">
        <f aca="false">IF(B723="","",IF(N723=_xlfn.MINIFS($N$2:$N$5001,$B$2:$B$5001,B723),1,0))</f>
        <v/>
      </c>
      <c r="K723" s="16" t="str">
        <f aca="false">IF(B723="","",IF(AND(D723="Formalização",E723="Concluído"),IF(COUNTIFS($B$2:$B$5001,B723,$E$2:$E$5001,"Em ajustes",$N$2:$N$5001,"&lt;"&amp;I723)&gt;0,1,0),0))</f>
        <v/>
      </c>
      <c r="L723" s="16" t="str">
        <f aca="false">IF(B723="","",IF(N723=_xlfn.MAXIFS($N$2:$N$5001,$B$2:$B$5001,B723,$I$2:$I$5001,I723),1,0))</f>
        <v/>
      </c>
      <c r="M723" s="16" t="str">
        <f aca="false">IF(B723="","",IF(E723="Em ajustes",IF(N723=_xlfn.MINIFS($N$2:$N$5001,$B$2:$B$5001,B723,$E$2:$E$5001,"Em ajustes"),1,0),0))</f>
        <v/>
      </c>
      <c r="N723" s="17" t="str">
        <f aca="false">IF(A723="","",IF(ISNUMBER(A723),A723,IFERROR(DATE(VALUE(MID(A723,7,4)),VALUE(MID(A723,4,2)),VALUE(MID(A723,1,2)))+TIME(VALUE(MID(A723,12,2)),VALUE(MID(A723,15,2)),VALUE(MID(A723,18,2))),"")))</f>
        <v/>
      </c>
    </row>
    <row r="724" customFormat="false" ht="15" hidden="false" customHeight="false" outlineLevel="0" collapsed="false">
      <c r="I724" s="15" t="str">
        <f aca="false">IF(N724="","",INT(N724))</f>
        <v/>
      </c>
      <c r="J724" s="16" t="str">
        <f aca="false">IF(B724="","",IF(N724=_xlfn.MINIFS($N$2:$N$5001,$B$2:$B$5001,B724),1,0))</f>
        <v/>
      </c>
      <c r="K724" s="16" t="str">
        <f aca="false">IF(B724="","",IF(AND(D724="Formalização",E724="Concluído"),IF(COUNTIFS($B$2:$B$5001,B724,$E$2:$E$5001,"Em ajustes",$N$2:$N$5001,"&lt;"&amp;I724)&gt;0,1,0),0))</f>
        <v/>
      </c>
      <c r="L724" s="16" t="str">
        <f aca="false">IF(B724="","",IF(N724=_xlfn.MAXIFS($N$2:$N$5001,$B$2:$B$5001,B724,$I$2:$I$5001,I724),1,0))</f>
        <v/>
      </c>
      <c r="M724" s="16" t="str">
        <f aca="false">IF(B724="","",IF(E724="Em ajustes",IF(N724=_xlfn.MINIFS($N$2:$N$5001,$B$2:$B$5001,B724,$E$2:$E$5001,"Em ajustes"),1,0),0))</f>
        <v/>
      </c>
      <c r="N724" s="17" t="str">
        <f aca="false">IF(A724="","",IF(ISNUMBER(A724),A724,IFERROR(DATE(VALUE(MID(A724,7,4)),VALUE(MID(A724,4,2)),VALUE(MID(A724,1,2)))+TIME(VALUE(MID(A724,12,2)),VALUE(MID(A724,15,2)),VALUE(MID(A724,18,2))),"")))</f>
        <v/>
      </c>
    </row>
    <row r="725" customFormat="false" ht="15" hidden="false" customHeight="false" outlineLevel="0" collapsed="false">
      <c r="I725" s="15" t="str">
        <f aca="false">IF(N725="","",INT(N725))</f>
        <v/>
      </c>
      <c r="J725" s="16" t="str">
        <f aca="false">IF(B725="","",IF(N725=_xlfn.MINIFS($N$2:$N$5001,$B$2:$B$5001,B725),1,0))</f>
        <v/>
      </c>
      <c r="K725" s="16" t="str">
        <f aca="false">IF(B725="","",IF(AND(D725="Formalização",E725="Concluído"),IF(COUNTIFS($B$2:$B$5001,B725,$E$2:$E$5001,"Em ajustes",$N$2:$N$5001,"&lt;"&amp;I725)&gt;0,1,0),0))</f>
        <v/>
      </c>
      <c r="L725" s="16" t="str">
        <f aca="false">IF(B725="","",IF(N725=_xlfn.MAXIFS($N$2:$N$5001,$B$2:$B$5001,B725,$I$2:$I$5001,I725),1,0))</f>
        <v/>
      </c>
      <c r="M725" s="16" t="str">
        <f aca="false">IF(B725="","",IF(E725="Em ajustes",IF(N725=_xlfn.MINIFS($N$2:$N$5001,$B$2:$B$5001,B725,$E$2:$E$5001,"Em ajustes"),1,0),0))</f>
        <v/>
      </c>
      <c r="N725" s="17" t="str">
        <f aca="false">IF(A725="","",IF(ISNUMBER(A725),A725,IFERROR(DATE(VALUE(MID(A725,7,4)),VALUE(MID(A725,4,2)),VALUE(MID(A725,1,2)))+TIME(VALUE(MID(A725,12,2)),VALUE(MID(A725,15,2)),VALUE(MID(A725,18,2))),"")))</f>
        <v/>
      </c>
    </row>
    <row r="726" customFormat="false" ht="15" hidden="false" customHeight="false" outlineLevel="0" collapsed="false">
      <c r="I726" s="15" t="str">
        <f aca="false">IF(N726="","",INT(N726))</f>
        <v/>
      </c>
      <c r="J726" s="16" t="str">
        <f aca="false">IF(B726="","",IF(N726=_xlfn.MINIFS($N$2:$N$5001,$B$2:$B$5001,B726),1,0))</f>
        <v/>
      </c>
      <c r="K726" s="16" t="str">
        <f aca="false">IF(B726="","",IF(AND(D726="Formalização",E726="Concluído"),IF(COUNTIFS($B$2:$B$5001,B726,$E$2:$E$5001,"Em ajustes",$N$2:$N$5001,"&lt;"&amp;I726)&gt;0,1,0),0))</f>
        <v/>
      </c>
      <c r="L726" s="16" t="str">
        <f aca="false">IF(B726="","",IF(N726=_xlfn.MAXIFS($N$2:$N$5001,$B$2:$B$5001,B726,$I$2:$I$5001,I726),1,0))</f>
        <v/>
      </c>
      <c r="M726" s="16" t="str">
        <f aca="false">IF(B726="","",IF(E726="Em ajustes",IF(N726=_xlfn.MINIFS($N$2:$N$5001,$B$2:$B$5001,B726,$E$2:$E$5001,"Em ajustes"),1,0),0))</f>
        <v/>
      </c>
      <c r="N726" s="17" t="str">
        <f aca="false">IF(A726="","",IF(ISNUMBER(A726),A726,IFERROR(DATE(VALUE(MID(A726,7,4)),VALUE(MID(A726,4,2)),VALUE(MID(A726,1,2)))+TIME(VALUE(MID(A726,12,2)),VALUE(MID(A726,15,2)),VALUE(MID(A726,18,2))),"")))</f>
        <v/>
      </c>
    </row>
    <row r="727" customFormat="false" ht="15" hidden="false" customHeight="false" outlineLevel="0" collapsed="false">
      <c r="I727" s="15" t="str">
        <f aca="false">IF(N727="","",INT(N727))</f>
        <v/>
      </c>
      <c r="J727" s="16" t="str">
        <f aca="false">IF(B727="","",IF(N727=_xlfn.MINIFS($N$2:$N$5001,$B$2:$B$5001,B727),1,0))</f>
        <v/>
      </c>
      <c r="K727" s="16" t="str">
        <f aca="false">IF(B727="","",IF(AND(D727="Formalização",E727="Concluído"),IF(COUNTIFS($B$2:$B$5001,B727,$E$2:$E$5001,"Em ajustes",$N$2:$N$5001,"&lt;"&amp;I727)&gt;0,1,0),0))</f>
        <v/>
      </c>
      <c r="L727" s="16" t="str">
        <f aca="false">IF(B727="","",IF(N727=_xlfn.MAXIFS($N$2:$N$5001,$B$2:$B$5001,B727,$I$2:$I$5001,I727),1,0))</f>
        <v/>
      </c>
      <c r="M727" s="16" t="str">
        <f aca="false">IF(B727="","",IF(E727="Em ajustes",IF(N727=_xlfn.MINIFS($N$2:$N$5001,$B$2:$B$5001,B727,$E$2:$E$5001,"Em ajustes"),1,0),0))</f>
        <v/>
      </c>
      <c r="N727" s="17" t="str">
        <f aca="false">IF(A727="","",IF(ISNUMBER(A727),A727,IFERROR(DATE(VALUE(MID(A727,7,4)),VALUE(MID(A727,4,2)),VALUE(MID(A727,1,2)))+TIME(VALUE(MID(A727,12,2)),VALUE(MID(A727,15,2)),VALUE(MID(A727,18,2))),"")))</f>
        <v/>
      </c>
    </row>
    <row r="728" customFormat="false" ht="15" hidden="false" customHeight="false" outlineLevel="0" collapsed="false">
      <c r="I728" s="15" t="str">
        <f aca="false">IF(N728="","",INT(N728))</f>
        <v/>
      </c>
      <c r="J728" s="16" t="str">
        <f aca="false">IF(B728="","",IF(N728=_xlfn.MINIFS($N$2:$N$5001,$B$2:$B$5001,B728),1,0))</f>
        <v/>
      </c>
      <c r="K728" s="16" t="str">
        <f aca="false">IF(B728="","",IF(AND(D728="Formalização",E728="Concluído"),IF(COUNTIFS($B$2:$B$5001,B728,$E$2:$E$5001,"Em ajustes",$N$2:$N$5001,"&lt;"&amp;I728)&gt;0,1,0),0))</f>
        <v/>
      </c>
      <c r="L728" s="16" t="str">
        <f aca="false">IF(B728="","",IF(N728=_xlfn.MAXIFS($N$2:$N$5001,$B$2:$B$5001,B728,$I$2:$I$5001,I728),1,0))</f>
        <v/>
      </c>
      <c r="M728" s="16" t="str">
        <f aca="false">IF(B728="","",IF(E728="Em ajustes",IF(N728=_xlfn.MINIFS($N$2:$N$5001,$B$2:$B$5001,B728,$E$2:$E$5001,"Em ajustes"),1,0),0))</f>
        <v/>
      </c>
      <c r="N728" s="17" t="str">
        <f aca="false">IF(A728="","",IF(ISNUMBER(A728),A728,IFERROR(DATE(VALUE(MID(A728,7,4)),VALUE(MID(A728,4,2)),VALUE(MID(A728,1,2)))+TIME(VALUE(MID(A728,12,2)),VALUE(MID(A728,15,2)),VALUE(MID(A728,18,2))),"")))</f>
        <v/>
      </c>
    </row>
    <row r="729" customFormat="false" ht="15" hidden="false" customHeight="false" outlineLevel="0" collapsed="false">
      <c r="I729" s="15" t="str">
        <f aca="false">IF(N729="","",INT(N729))</f>
        <v/>
      </c>
      <c r="J729" s="16" t="str">
        <f aca="false">IF(B729="","",IF(N729=_xlfn.MINIFS($N$2:$N$5001,$B$2:$B$5001,B729),1,0))</f>
        <v/>
      </c>
      <c r="K729" s="16" t="str">
        <f aca="false">IF(B729="","",IF(AND(D729="Formalização",E729="Concluído"),IF(COUNTIFS($B$2:$B$5001,B729,$E$2:$E$5001,"Em ajustes",$N$2:$N$5001,"&lt;"&amp;I729)&gt;0,1,0),0))</f>
        <v/>
      </c>
      <c r="L729" s="16" t="str">
        <f aca="false">IF(B729="","",IF(N729=_xlfn.MAXIFS($N$2:$N$5001,$B$2:$B$5001,B729,$I$2:$I$5001,I729),1,0))</f>
        <v/>
      </c>
      <c r="M729" s="16" t="str">
        <f aca="false">IF(B729="","",IF(E729="Em ajustes",IF(N729=_xlfn.MINIFS($N$2:$N$5001,$B$2:$B$5001,B729,$E$2:$E$5001,"Em ajustes"),1,0),0))</f>
        <v/>
      </c>
      <c r="N729" s="17" t="str">
        <f aca="false">IF(A729="","",IF(ISNUMBER(A729),A729,IFERROR(DATE(VALUE(MID(A729,7,4)),VALUE(MID(A729,4,2)),VALUE(MID(A729,1,2)))+TIME(VALUE(MID(A729,12,2)),VALUE(MID(A729,15,2)),VALUE(MID(A729,18,2))),"")))</f>
        <v/>
      </c>
    </row>
    <row r="730" customFormat="false" ht="15" hidden="false" customHeight="false" outlineLevel="0" collapsed="false">
      <c r="I730" s="15" t="str">
        <f aca="false">IF(N730="","",INT(N730))</f>
        <v/>
      </c>
      <c r="J730" s="16" t="str">
        <f aca="false">IF(B730="","",IF(N730=_xlfn.MINIFS($N$2:$N$5001,$B$2:$B$5001,B730),1,0))</f>
        <v/>
      </c>
      <c r="K730" s="16" t="str">
        <f aca="false">IF(B730="","",IF(AND(D730="Formalização",E730="Concluído"),IF(COUNTIFS($B$2:$B$5001,B730,$E$2:$E$5001,"Em ajustes",$N$2:$N$5001,"&lt;"&amp;I730)&gt;0,1,0),0))</f>
        <v/>
      </c>
      <c r="L730" s="16" t="str">
        <f aca="false">IF(B730="","",IF(N730=_xlfn.MAXIFS($N$2:$N$5001,$B$2:$B$5001,B730,$I$2:$I$5001,I730),1,0))</f>
        <v/>
      </c>
      <c r="M730" s="16" t="str">
        <f aca="false">IF(B730="","",IF(E730="Em ajustes",IF(N730=_xlfn.MINIFS($N$2:$N$5001,$B$2:$B$5001,B730,$E$2:$E$5001,"Em ajustes"),1,0),0))</f>
        <v/>
      </c>
      <c r="N730" s="17" t="str">
        <f aca="false">IF(A730="","",IF(ISNUMBER(A730),A730,IFERROR(DATE(VALUE(MID(A730,7,4)),VALUE(MID(A730,4,2)),VALUE(MID(A730,1,2)))+TIME(VALUE(MID(A730,12,2)),VALUE(MID(A730,15,2)),VALUE(MID(A730,18,2))),"")))</f>
        <v/>
      </c>
    </row>
    <row r="731" customFormat="false" ht="15" hidden="false" customHeight="false" outlineLevel="0" collapsed="false">
      <c r="I731" s="15" t="str">
        <f aca="false">IF(N731="","",INT(N731))</f>
        <v/>
      </c>
      <c r="J731" s="16" t="str">
        <f aca="false">IF(B731="","",IF(N731=_xlfn.MINIFS($N$2:$N$5001,$B$2:$B$5001,B731),1,0))</f>
        <v/>
      </c>
      <c r="K731" s="16" t="str">
        <f aca="false">IF(B731="","",IF(AND(D731="Formalização",E731="Concluído"),IF(COUNTIFS($B$2:$B$5001,B731,$E$2:$E$5001,"Em ajustes",$N$2:$N$5001,"&lt;"&amp;I731)&gt;0,1,0),0))</f>
        <v/>
      </c>
      <c r="L731" s="16" t="str">
        <f aca="false">IF(B731="","",IF(N731=_xlfn.MAXIFS($N$2:$N$5001,$B$2:$B$5001,B731,$I$2:$I$5001,I731),1,0))</f>
        <v/>
      </c>
      <c r="M731" s="16" t="str">
        <f aca="false">IF(B731="","",IF(E731="Em ajustes",IF(N731=_xlfn.MINIFS($N$2:$N$5001,$B$2:$B$5001,B731,$E$2:$E$5001,"Em ajustes"),1,0),0))</f>
        <v/>
      </c>
      <c r="N731" s="17" t="str">
        <f aca="false">IF(A731="","",IF(ISNUMBER(A731),A731,IFERROR(DATE(VALUE(MID(A731,7,4)),VALUE(MID(A731,4,2)),VALUE(MID(A731,1,2)))+TIME(VALUE(MID(A731,12,2)),VALUE(MID(A731,15,2)),VALUE(MID(A731,18,2))),"")))</f>
        <v/>
      </c>
    </row>
    <row r="732" customFormat="false" ht="15" hidden="false" customHeight="false" outlineLevel="0" collapsed="false">
      <c r="I732" s="15" t="str">
        <f aca="false">IF(N732="","",INT(N732))</f>
        <v/>
      </c>
      <c r="J732" s="16" t="str">
        <f aca="false">IF(B732="","",IF(N732=_xlfn.MINIFS($N$2:$N$5001,$B$2:$B$5001,B732),1,0))</f>
        <v/>
      </c>
      <c r="K732" s="16" t="str">
        <f aca="false">IF(B732="","",IF(AND(D732="Formalização",E732="Concluído"),IF(COUNTIFS($B$2:$B$5001,B732,$E$2:$E$5001,"Em ajustes",$N$2:$N$5001,"&lt;"&amp;I732)&gt;0,1,0),0))</f>
        <v/>
      </c>
      <c r="L732" s="16" t="str">
        <f aca="false">IF(B732="","",IF(N732=_xlfn.MAXIFS($N$2:$N$5001,$B$2:$B$5001,B732,$I$2:$I$5001,I732),1,0))</f>
        <v/>
      </c>
      <c r="M732" s="16" t="str">
        <f aca="false">IF(B732="","",IF(E732="Em ajustes",IF(N732=_xlfn.MINIFS($N$2:$N$5001,$B$2:$B$5001,B732,$E$2:$E$5001,"Em ajustes"),1,0),0))</f>
        <v/>
      </c>
      <c r="N732" s="17" t="str">
        <f aca="false">IF(A732="","",IF(ISNUMBER(A732),A732,IFERROR(DATE(VALUE(MID(A732,7,4)),VALUE(MID(A732,4,2)),VALUE(MID(A732,1,2)))+TIME(VALUE(MID(A732,12,2)),VALUE(MID(A732,15,2)),VALUE(MID(A732,18,2))),"")))</f>
        <v/>
      </c>
    </row>
    <row r="733" customFormat="false" ht="15" hidden="false" customHeight="false" outlineLevel="0" collapsed="false">
      <c r="I733" s="15" t="str">
        <f aca="false">IF(N733="","",INT(N733))</f>
        <v/>
      </c>
      <c r="J733" s="16" t="str">
        <f aca="false">IF(B733="","",IF(N733=_xlfn.MINIFS($N$2:$N$5001,$B$2:$B$5001,B733),1,0))</f>
        <v/>
      </c>
      <c r="K733" s="16" t="str">
        <f aca="false">IF(B733="","",IF(AND(D733="Formalização",E733="Concluído"),IF(COUNTIFS($B$2:$B$5001,B733,$E$2:$E$5001,"Em ajustes",$N$2:$N$5001,"&lt;"&amp;I733)&gt;0,1,0),0))</f>
        <v/>
      </c>
      <c r="L733" s="16" t="str">
        <f aca="false">IF(B733="","",IF(N733=_xlfn.MAXIFS($N$2:$N$5001,$B$2:$B$5001,B733,$I$2:$I$5001,I733),1,0))</f>
        <v/>
      </c>
      <c r="M733" s="16" t="str">
        <f aca="false">IF(B733="","",IF(E733="Em ajustes",IF(N733=_xlfn.MINIFS($N$2:$N$5001,$B$2:$B$5001,B733,$E$2:$E$5001,"Em ajustes"),1,0),0))</f>
        <v/>
      </c>
      <c r="N733" s="17" t="str">
        <f aca="false">IF(A733="","",IF(ISNUMBER(A733),A733,IFERROR(DATE(VALUE(MID(A733,7,4)),VALUE(MID(A733,4,2)),VALUE(MID(A733,1,2)))+TIME(VALUE(MID(A733,12,2)),VALUE(MID(A733,15,2)),VALUE(MID(A733,18,2))),"")))</f>
        <v/>
      </c>
    </row>
    <row r="734" customFormat="false" ht="15" hidden="false" customHeight="false" outlineLevel="0" collapsed="false">
      <c r="I734" s="15" t="str">
        <f aca="false">IF(N734="","",INT(N734))</f>
        <v/>
      </c>
      <c r="J734" s="16" t="str">
        <f aca="false">IF(B734="","",IF(N734=_xlfn.MINIFS($N$2:$N$5001,$B$2:$B$5001,B734),1,0))</f>
        <v/>
      </c>
      <c r="K734" s="16" t="str">
        <f aca="false">IF(B734="","",IF(AND(D734="Formalização",E734="Concluído"),IF(COUNTIFS($B$2:$B$5001,B734,$E$2:$E$5001,"Em ajustes",$N$2:$N$5001,"&lt;"&amp;I734)&gt;0,1,0),0))</f>
        <v/>
      </c>
      <c r="L734" s="16" t="str">
        <f aca="false">IF(B734="","",IF(N734=_xlfn.MAXIFS($N$2:$N$5001,$B$2:$B$5001,B734,$I$2:$I$5001,I734),1,0))</f>
        <v/>
      </c>
      <c r="M734" s="16" t="str">
        <f aca="false">IF(B734="","",IF(E734="Em ajustes",IF(N734=_xlfn.MINIFS($N$2:$N$5001,$B$2:$B$5001,B734,$E$2:$E$5001,"Em ajustes"),1,0),0))</f>
        <v/>
      </c>
      <c r="N734" s="17" t="str">
        <f aca="false">IF(A734="","",IF(ISNUMBER(A734),A734,IFERROR(DATE(VALUE(MID(A734,7,4)),VALUE(MID(A734,4,2)),VALUE(MID(A734,1,2)))+TIME(VALUE(MID(A734,12,2)),VALUE(MID(A734,15,2)),VALUE(MID(A734,18,2))),"")))</f>
        <v/>
      </c>
    </row>
    <row r="735" customFormat="false" ht="15" hidden="false" customHeight="false" outlineLevel="0" collapsed="false">
      <c r="I735" s="15" t="str">
        <f aca="false">IF(N735="","",INT(N735))</f>
        <v/>
      </c>
      <c r="J735" s="16" t="str">
        <f aca="false">IF(B735="","",IF(N735=_xlfn.MINIFS($N$2:$N$5001,$B$2:$B$5001,B735),1,0))</f>
        <v/>
      </c>
      <c r="K735" s="16" t="str">
        <f aca="false">IF(B735="","",IF(AND(D735="Formalização",E735="Concluído"),IF(COUNTIFS($B$2:$B$5001,B735,$E$2:$E$5001,"Em ajustes",$N$2:$N$5001,"&lt;"&amp;I735)&gt;0,1,0),0))</f>
        <v/>
      </c>
      <c r="L735" s="16" t="str">
        <f aca="false">IF(B735="","",IF(N735=_xlfn.MAXIFS($N$2:$N$5001,$B$2:$B$5001,B735,$I$2:$I$5001,I735),1,0))</f>
        <v/>
      </c>
      <c r="M735" s="16" t="str">
        <f aca="false">IF(B735="","",IF(E735="Em ajustes",IF(N735=_xlfn.MINIFS($N$2:$N$5001,$B$2:$B$5001,B735,$E$2:$E$5001,"Em ajustes"),1,0),0))</f>
        <v/>
      </c>
      <c r="N735" s="17" t="str">
        <f aca="false">IF(A735="","",IF(ISNUMBER(A735),A735,IFERROR(DATE(VALUE(MID(A735,7,4)),VALUE(MID(A735,4,2)),VALUE(MID(A735,1,2)))+TIME(VALUE(MID(A735,12,2)),VALUE(MID(A735,15,2)),VALUE(MID(A735,18,2))),"")))</f>
        <v/>
      </c>
    </row>
    <row r="736" customFormat="false" ht="15" hidden="false" customHeight="false" outlineLevel="0" collapsed="false">
      <c r="I736" s="15" t="str">
        <f aca="false">IF(N736="","",INT(N736))</f>
        <v/>
      </c>
      <c r="J736" s="16" t="str">
        <f aca="false">IF(B736="","",IF(N736=_xlfn.MINIFS($N$2:$N$5001,$B$2:$B$5001,B736),1,0))</f>
        <v/>
      </c>
      <c r="K736" s="16" t="str">
        <f aca="false">IF(B736="","",IF(AND(D736="Formalização",E736="Concluído"),IF(COUNTIFS($B$2:$B$5001,B736,$E$2:$E$5001,"Em ajustes",$N$2:$N$5001,"&lt;"&amp;I736)&gt;0,1,0),0))</f>
        <v/>
      </c>
      <c r="L736" s="16" t="str">
        <f aca="false">IF(B736="","",IF(N736=_xlfn.MAXIFS($N$2:$N$5001,$B$2:$B$5001,B736,$I$2:$I$5001,I736),1,0))</f>
        <v/>
      </c>
      <c r="M736" s="16" t="str">
        <f aca="false">IF(B736="","",IF(E736="Em ajustes",IF(N736=_xlfn.MINIFS($N$2:$N$5001,$B$2:$B$5001,B736,$E$2:$E$5001,"Em ajustes"),1,0),0))</f>
        <v/>
      </c>
      <c r="N736" s="17" t="str">
        <f aca="false">IF(A736="","",IF(ISNUMBER(A736),A736,IFERROR(DATE(VALUE(MID(A736,7,4)),VALUE(MID(A736,4,2)),VALUE(MID(A736,1,2)))+TIME(VALUE(MID(A736,12,2)),VALUE(MID(A736,15,2)),VALUE(MID(A736,18,2))),"")))</f>
        <v/>
      </c>
    </row>
    <row r="737" customFormat="false" ht="15" hidden="false" customHeight="false" outlineLevel="0" collapsed="false">
      <c r="I737" s="15" t="str">
        <f aca="false">IF(N737="","",INT(N737))</f>
        <v/>
      </c>
      <c r="J737" s="16" t="str">
        <f aca="false">IF(B737="","",IF(N737=_xlfn.MINIFS($N$2:$N$5001,$B$2:$B$5001,B737),1,0))</f>
        <v/>
      </c>
      <c r="K737" s="16" t="str">
        <f aca="false">IF(B737="","",IF(AND(D737="Formalização",E737="Concluído"),IF(COUNTIFS($B$2:$B$5001,B737,$E$2:$E$5001,"Em ajustes",$N$2:$N$5001,"&lt;"&amp;I737)&gt;0,1,0),0))</f>
        <v/>
      </c>
      <c r="L737" s="16" t="str">
        <f aca="false">IF(B737="","",IF(N737=_xlfn.MAXIFS($N$2:$N$5001,$B$2:$B$5001,B737,$I$2:$I$5001,I737),1,0))</f>
        <v/>
      </c>
      <c r="M737" s="16" t="str">
        <f aca="false">IF(B737="","",IF(E737="Em ajustes",IF(N737=_xlfn.MINIFS($N$2:$N$5001,$B$2:$B$5001,B737,$E$2:$E$5001,"Em ajustes"),1,0),0))</f>
        <v/>
      </c>
      <c r="N737" s="17" t="str">
        <f aca="false">IF(A737="","",IF(ISNUMBER(A737),A737,IFERROR(DATE(VALUE(MID(A737,7,4)),VALUE(MID(A737,4,2)),VALUE(MID(A737,1,2)))+TIME(VALUE(MID(A737,12,2)),VALUE(MID(A737,15,2)),VALUE(MID(A737,18,2))),"")))</f>
        <v/>
      </c>
    </row>
    <row r="738" customFormat="false" ht="15" hidden="false" customHeight="false" outlineLevel="0" collapsed="false">
      <c r="I738" s="15" t="str">
        <f aca="false">IF(N738="","",INT(N738))</f>
        <v/>
      </c>
      <c r="J738" s="16" t="str">
        <f aca="false">IF(B738="","",IF(N738=_xlfn.MINIFS($N$2:$N$5001,$B$2:$B$5001,B738),1,0))</f>
        <v/>
      </c>
      <c r="K738" s="16" t="str">
        <f aca="false">IF(B738="","",IF(AND(D738="Formalização",E738="Concluído"),IF(COUNTIFS($B$2:$B$5001,B738,$E$2:$E$5001,"Em ajustes",$N$2:$N$5001,"&lt;"&amp;I738)&gt;0,1,0),0))</f>
        <v/>
      </c>
      <c r="L738" s="16" t="str">
        <f aca="false">IF(B738="","",IF(N738=_xlfn.MAXIFS($N$2:$N$5001,$B$2:$B$5001,B738,$I$2:$I$5001,I738),1,0))</f>
        <v/>
      </c>
      <c r="M738" s="16" t="str">
        <f aca="false">IF(B738="","",IF(E738="Em ajustes",IF(N738=_xlfn.MINIFS($N$2:$N$5001,$B$2:$B$5001,B738,$E$2:$E$5001,"Em ajustes"),1,0),0))</f>
        <v/>
      </c>
      <c r="N738" s="17" t="str">
        <f aca="false">IF(A738="","",IF(ISNUMBER(A738),A738,IFERROR(DATE(VALUE(MID(A738,7,4)),VALUE(MID(A738,4,2)),VALUE(MID(A738,1,2)))+TIME(VALUE(MID(A738,12,2)),VALUE(MID(A738,15,2)),VALUE(MID(A738,18,2))),"")))</f>
        <v/>
      </c>
    </row>
    <row r="739" customFormat="false" ht="15" hidden="false" customHeight="false" outlineLevel="0" collapsed="false">
      <c r="I739" s="15" t="str">
        <f aca="false">IF(N739="","",INT(N739))</f>
        <v/>
      </c>
      <c r="J739" s="16" t="str">
        <f aca="false">IF(B739="","",IF(N739=_xlfn.MINIFS($N$2:$N$5001,$B$2:$B$5001,B739),1,0))</f>
        <v/>
      </c>
      <c r="K739" s="16" t="str">
        <f aca="false">IF(B739="","",IF(AND(D739="Formalização",E739="Concluído"),IF(COUNTIFS($B$2:$B$5001,B739,$E$2:$E$5001,"Em ajustes",$N$2:$N$5001,"&lt;"&amp;I739)&gt;0,1,0),0))</f>
        <v/>
      </c>
      <c r="L739" s="16" t="str">
        <f aca="false">IF(B739="","",IF(N739=_xlfn.MAXIFS($N$2:$N$5001,$B$2:$B$5001,B739,$I$2:$I$5001,I739),1,0))</f>
        <v/>
      </c>
      <c r="M739" s="16" t="str">
        <f aca="false">IF(B739="","",IF(E739="Em ajustes",IF(N739=_xlfn.MINIFS($N$2:$N$5001,$B$2:$B$5001,B739,$E$2:$E$5001,"Em ajustes"),1,0),0))</f>
        <v/>
      </c>
      <c r="N739" s="17" t="str">
        <f aca="false">IF(A739="","",IF(ISNUMBER(A739),A739,IFERROR(DATE(VALUE(MID(A739,7,4)),VALUE(MID(A739,4,2)),VALUE(MID(A739,1,2)))+TIME(VALUE(MID(A739,12,2)),VALUE(MID(A739,15,2)),VALUE(MID(A739,18,2))),"")))</f>
        <v/>
      </c>
    </row>
    <row r="740" customFormat="false" ht="15" hidden="false" customHeight="false" outlineLevel="0" collapsed="false">
      <c r="I740" s="15" t="str">
        <f aca="false">IF(N740="","",INT(N740))</f>
        <v/>
      </c>
      <c r="J740" s="16" t="str">
        <f aca="false">IF(B740="","",IF(N740=_xlfn.MINIFS($N$2:$N$5001,$B$2:$B$5001,B740),1,0))</f>
        <v/>
      </c>
      <c r="K740" s="16" t="str">
        <f aca="false">IF(B740="","",IF(AND(D740="Formalização",E740="Concluído"),IF(COUNTIFS($B$2:$B$5001,B740,$E$2:$E$5001,"Em ajustes",$N$2:$N$5001,"&lt;"&amp;I740)&gt;0,1,0),0))</f>
        <v/>
      </c>
      <c r="L740" s="16" t="str">
        <f aca="false">IF(B740="","",IF(N740=_xlfn.MAXIFS($N$2:$N$5001,$B$2:$B$5001,B740,$I$2:$I$5001,I740),1,0))</f>
        <v/>
      </c>
      <c r="M740" s="16" t="str">
        <f aca="false">IF(B740="","",IF(E740="Em ajustes",IF(N740=_xlfn.MINIFS($N$2:$N$5001,$B$2:$B$5001,B740,$E$2:$E$5001,"Em ajustes"),1,0),0))</f>
        <v/>
      </c>
      <c r="N740" s="17" t="str">
        <f aca="false">IF(A740="","",IF(ISNUMBER(A740),A740,IFERROR(DATE(VALUE(MID(A740,7,4)),VALUE(MID(A740,4,2)),VALUE(MID(A740,1,2)))+TIME(VALUE(MID(A740,12,2)),VALUE(MID(A740,15,2)),VALUE(MID(A740,18,2))),"")))</f>
        <v/>
      </c>
    </row>
    <row r="741" customFormat="false" ht="15" hidden="false" customHeight="false" outlineLevel="0" collapsed="false">
      <c r="I741" s="15" t="str">
        <f aca="false">IF(N741="","",INT(N741))</f>
        <v/>
      </c>
      <c r="J741" s="16" t="str">
        <f aca="false">IF(B741="","",IF(N741=_xlfn.MINIFS($N$2:$N$5001,$B$2:$B$5001,B741),1,0))</f>
        <v/>
      </c>
      <c r="K741" s="16" t="str">
        <f aca="false">IF(B741="","",IF(AND(D741="Formalização",E741="Concluído"),IF(COUNTIFS($B$2:$B$5001,B741,$E$2:$E$5001,"Em ajustes",$N$2:$N$5001,"&lt;"&amp;I741)&gt;0,1,0),0))</f>
        <v/>
      </c>
      <c r="L741" s="16" t="str">
        <f aca="false">IF(B741="","",IF(N741=_xlfn.MAXIFS($N$2:$N$5001,$B$2:$B$5001,B741,$I$2:$I$5001,I741),1,0))</f>
        <v/>
      </c>
      <c r="M741" s="16" t="str">
        <f aca="false">IF(B741="","",IF(E741="Em ajustes",IF(N741=_xlfn.MINIFS($N$2:$N$5001,$B$2:$B$5001,B741,$E$2:$E$5001,"Em ajustes"),1,0),0))</f>
        <v/>
      </c>
      <c r="N741" s="17" t="str">
        <f aca="false">IF(A741="","",IF(ISNUMBER(A741),A741,IFERROR(DATE(VALUE(MID(A741,7,4)),VALUE(MID(A741,4,2)),VALUE(MID(A741,1,2)))+TIME(VALUE(MID(A741,12,2)),VALUE(MID(A741,15,2)),VALUE(MID(A741,18,2))),"")))</f>
        <v/>
      </c>
    </row>
    <row r="742" customFormat="false" ht="15" hidden="false" customHeight="false" outlineLevel="0" collapsed="false">
      <c r="I742" s="15" t="str">
        <f aca="false">IF(N742="","",INT(N742))</f>
        <v/>
      </c>
      <c r="J742" s="16" t="str">
        <f aca="false">IF(B742="","",IF(N742=_xlfn.MINIFS($N$2:$N$5001,$B$2:$B$5001,B742),1,0))</f>
        <v/>
      </c>
      <c r="K742" s="16" t="str">
        <f aca="false">IF(B742="","",IF(AND(D742="Formalização",E742="Concluído"),IF(COUNTIFS($B$2:$B$5001,B742,$E$2:$E$5001,"Em ajustes",$N$2:$N$5001,"&lt;"&amp;I742)&gt;0,1,0),0))</f>
        <v/>
      </c>
      <c r="L742" s="16" t="str">
        <f aca="false">IF(B742="","",IF(N742=_xlfn.MAXIFS($N$2:$N$5001,$B$2:$B$5001,B742,$I$2:$I$5001,I742),1,0))</f>
        <v/>
      </c>
      <c r="M742" s="16" t="str">
        <f aca="false">IF(B742="","",IF(E742="Em ajustes",IF(N742=_xlfn.MINIFS($N$2:$N$5001,$B$2:$B$5001,B742,$E$2:$E$5001,"Em ajustes"),1,0),0))</f>
        <v/>
      </c>
      <c r="N742" s="17" t="str">
        <f aca="false">IF(A742="","",IF(ISNUMBER(A742),A742,IFERROR(DATE(VALUE(MID(A742,7,4)),VALUE(MID(A742,4,2)),VALUE(MID(A742,1,2)))+TIME(VALUE(MID(A742,12,2)),VALUE(MID(A742,15,2)),VALUE(MID(A742,18,2))),"")))</f>
        <v/>
      </c>
    </row>
    <row r="743" customFormat="false" ht="15" hidden="false" customHeight="false" outlineLevel="0" collapsed="false">
      <c r="I743" s="15" t="str">
        <f aca="false">IF(N743="","",INT(N743))</f>
        <v/>
      </c>
      <c r="J743" s="16" t="str">
        <f aca="false">IF(B743="","",IF(N743=_xlfn.MINIFS($N$2:$N$5001,$B$2:$B$5001,B743),1,0))</f>
        <v/>
      </c>
      <c r="K743" s="16" t="str">
        <f aca="false">IF(B743="","",IF(AND(D743="Formalização",E743="Concluído"),IF(COUNTIFS($B$2:$B$5001,B743,$E$2:$E$5001,"Em ajustes",$N$2:$N$5001,"&lt;"&amp;I743)&gt;0,1,0),0))</f>
        <v/>
      </c>
      <c r="L743" s="16" t="str">
        <f aca="false">IF(B743="","",IF(N743=_xlfn.MAXIFS($N$2:$N$5001,$B$2:$B$5001,B743,$I$2:$I$5001,I743),1,0))</f>
        <v/>
      </c>
      <c r="M743" s="16" t="str">
        <f aca="false">IF(B743="","",IF(E743="Em ajustes",IF(N743=_xlfn.MINIFS($N$2:$N$5001,$B$2:$B$5001,B743,$E$2:$E$5001,"Em ajustes"),1,0),0))</f>
        <v/>
      </c>
      <c r="N743" s="17" t="str">
        <f aca="false">IF(A743="","",IF(ISNUMBER(A743),A743,IFERROR(DATE(VALUE(MID(A743,7,4)),VALUE(MID(A743,4,2)),VALUE(MID(A743,1,2)))+TIME(VALUE(MID(A743,12,2)),VALUE(MID(A743,15,2)),VALUE(MID(A743,18,2))),"")))</f>
        <v/>
      </c>
    </row>
    <row r="744" customFormat="false" ht="15" hidden="false" customHeight="false" outlineLevel="0" collapsed="false">
      <c r="I744" s="15" t="str">
        <f aca="false">IF(N744="","",INT(N744))</f>
        <v/>
      </c>
      <c r="J744" s="16" t="str">
        <f aca="false">IF(B744="","",IF(N744=_xlfn.MINIFS($N$2:$N$5001,$B$2:$B$5001,B744),1,0))</f>
        <v/>
      </c>
      <c r="K744" s="16" t="str">
        <f aca="false">IF(B744="","",IF(AND(D744="Formalização",E744="Concluído"),IF(COUNTIFS($B$2:$B$5001,B744,$E$2:$E$5001,"Em ajustes",$N$2:$N$5001,"&lt;"&amp;I744)&gt;0,1,0),0))</f>
        <v/>
      </c>
      <c r="L744" s="16" t="str">
        <f aca="false">IF(B744="","",IF(N744=_xlfn.MAXIFS($N$2:$N$5001,$B$2:$B$5001,B744,$I$2:$I$5001,I744),1,0))</f>
        <v/>
      </c>
      <c r="M744" s="16" t="str">
        <f aca="false">IF(B744="","",IF(E744="Em ajustes",IF(N744=_xlfn.MINIFS($N$2:$N$5001,$B$2:$B$5001,B744,$E$2:$E$5001,"Em ajustes"),1,0),0))</f>
        <v/>
      </c>
      <c r="N744" s="17" t="str">
        <f aca="false">IF(A744="","",IF(ISNUMBER(A744),A744,IFERROR(DATE(VALUE(MID(A744,7,4)),VALUE(MID(A744,4,2)),VALUE(MID(A744,1,2)))+TIME(VALUE(MID(A744,12,2)),VALUE(MID(A744,15,2)),VALUE(MID(A744,18,2))),"")))</f>
        <v/>
      </c>
    </row>
    <row r="745" customFormat="false" ht="15" hidden="false" customHeight="false" outlineLevel="0" collapsed="false">
      <c r="I745" s="15" t="str">
        <f aca="false">IF(N745="","",INT(N745))</f>
        <v/>
      </c>
      <c r="J745" s="16" t="str">
        <f aca="false">IF(B745="","",IF(N745=_xlfn.MINIFS($N$2:$N$5001,$B$2:$B$5001,B745),1,0))</f>
        <v/>
      </c>
      <c r="K745" s="16" t="str">
        <f aca="false">IF(B745="","",IF(AND(D745="Formalização",E745="Concluído"),IF(COUNTIFS($B$2:$B$5001,B745,$E$2:$E$5001,"Em ajustes",$N$2:$N$5001,"&lt;"&amp;I745)&gt;0,1,0),0))</f>
        <v/>
      </c>
      <c r="L745" s="16" t="str">
        <f aca="false">IF(B745="","",IF(N745=_xlfn.MAXIFS($N$2:$N$5001,$B$2:$B$5001,B745,$I$2:$I$5001,I745),1,0))</f>
        <v/>
      </c>
      <c r="M745" s="16" t="str">
        <f aca="false">IF(B745="","",IF(E745="Em ajustes",IF(N745=_xlfn.MINIFS($N$2:$N$5001,$B$2:$B$5001,B745,$E$2:$E$5001,"Em ajustes"),1,0),0))</f>
        <v/>
      </c>
      <c r="N745" s="17" t="str">
        <f aca="false">IF(A745="","",IF(ISNUMBER(A745),A745,IFERROR(DATE(VALUE(MID(A745,7,4)),VALUE(MID(A745,4,2)),VALUE(MID(A745,1,2)))+TIME(VALUE(MID(A745,12,2)),VALUE(MID(A745,15,2)),VALUE(MID(A745,18,2))),"")))</f>
        <v/>
      </c>
    </row>
    <row r="746" customFormat="false" ht="15" hidden="false" customHeight="false" outlineLevel="0" collapsed="false">
      <c r="I746" s="15" t="str">
        <f aca="false">IF(N746="","",INT(N746))</f>
        <v/>
      </c>
      <c r="J746" s="16" t="str">
        <f aca="false">IF(B746="","",IF(N746=_xlfn.MINIFS($N$2:$N$5001,$B$2:$B$5001,B746),1,0))</f>
        <v/>
      </c>
      <c r="K746" s="16" t="str">
        <f aca="false">IF(B746="","",IF(AND(D746="Formalização",E746="Concluído"),IF(COUNTIFS($B$2:$B$5001,B746,$E$2:$E$5001,"Em ajustes",$N$2:$N$5001,"&lt;"&amp;I746)&gt;0,1,0),0))</f>
        <v/>
      </c>
      <c r="L746" s="16" t="str">
        <f aca="false">IF(B746="","",IF(N746=_xlfn.MAXIFS($N$2:$N$5001,$B$2:$B$5001,B746,$I$2:$I$5001,I746),1,0))</f>
        <v/>
      </c>
      <c r="M746" s="16" t="str">
        <f aca="false">IF(B746="","",IF(E746="Em ajustes",IF(N746=_xlfn.MINIFS($N$2:$N$5001,$B$2:$B$5001,B746,$E$2:$E$5001,"Em ajustes"),1,0),0))</f>
        <v/>
      </c>
      <c r="N746" s="17" t="str">
        <f aca="false">IF(A746="","",IF(ISNUMBER(A746),A746,IFERROR(DATE(VALUE(MID(A746,7,4)),VALUE(MID(A746,4,2)),VALUE(MID(A746,1,2)))+TIME(VALUE(MID(A746,12,2)),VALUE(MID(A746,15,2)),VALUE(MID(A746,18,2))),"")))</f>
        <v/>
      </c>
    </row>
    <row r="747" customFormat="false" ht="15" hidden="false" customHeight="false" outlineLevel="0" collapsed="false">
      <c r="I747" s="15" t="str">
        <f aca="false">IF(N747="","",INT(N747))</f>
        <v/>
      </c>
      <c r="J747" s="16" t="str">
        <f aca="false">IF(B747="","",IF(N747=_xlfn.MINIFS($N$2:$N$5001,$B$2:$B$5001,B747),1,0))</f>
        <v/>
      </c>
      <c r="K747" s="16" t="str">
        <f aca="false">IF(B747="","",IF(AND(D747="Formalização",E747="Concluído"),IF(COUNTIFS($B$2:$B$5001,B747,$E$2:$E$5001,"Em ajustes",$N$2:$N$5001,"&lt;"&amp;I747)&gt;0,1,0),0))</f>
        <v/>
      </c>
      <c r="L747" s="16" t="str">
        <f aca="false">IF(B747="","",IF(N747=_xlfn.MAXIFS($N$2:$N$5001,$B$2:$B$5001,B747,$I$2:$I$5001,I747),1,0))</f>
        <v/>
      </c>
      <c r="M747" s="16" t="str">
        <f aca="false">IF(B747="","",IF(E747="Em ajustes",IF(N747=_xlfn.MINIFS($N$2:$N$5001,$B$2:$B$5001,B747,$E$2:$E$5001,"Em ajustes"),1,0),0))</f>
        <v/>
      </c>
      <c r="N747" s="17" t="str">
        <f aca="false">IF(A747="","",IF(ISNUMBER(A747),A747,IFERROR(DATE(VALUE(MID(A747,7,4)),VALUE(MID(A747,4,2)),VALUE(MID(A747,1,2)))+TIME(VALUE(MID(A747,12,2)),VALUE(MID(A747,15,2)),VALUE(MID(A747,18,2))),"")))</f>
        <v/>
      </c>
    </row>
    <row r="748" customFormat="false" ht="15" hidden="false" customHeight="false" outlineLevel="0" collapsed="false">
      <c r="I748" s="15" t="str">
        <f aca="false">IF(N748="","",INT(N748))</f>
        <v/>
      </c>
      <c r="J748" s="16" t="str">
        <f aca="false">IF(B748="","",IF(N748=_xlfn.MINIFS($N$2:$N$5001,$B$2:$B$5001,B748),1,0))</f>
        <v/>
      </c>
      <c r="K748" s="16" t="str">
        <f aca="false">IF(B748="","",IF(AND(D748="Formalização",E748="Concluído"),IF(COUNTIFS($B$2:$B$5001,B748,$E$2:$E$5001,"Em ajustes",$N$2:$N$5001,"&lt;"&amp;I748)&gt;0,1,0),0))</f>
        <v/>
      </c>
      <c r="L748" s="16" t="str">
        <f aca="false">IF(B748="","",IF(N748=_xlfn.MAXIFS($N$2:$N$5001,$B$2:$B$5001,B748,$I$2:$I$5001,I748),1,0))</f>
        <v/>
      </c>
      <c r="M748" s="16" t="str">
        <f aca="false">IF(B748="","",IF(E748="Em ajustes",IF(N748=_xlfn.MINIFS($N$2:$N$5001,$B$2:$B$5001,B748,$E$2:$E$5001,"Em ajustes"),1,0),0))</f>
        <v/>
      </c>
      <c r="N748" s="17" t="str">
        <f aca="false">IF(A748="","",IF(ISNUMBER(A748),A748,IFERROR(DATE(VALUE(MID(A748,7,4)),VALUE(MID(A748,4,2)),VALUE(MID(A748,1,2)))+TIME(VALUE(MID(A748,12,2)),VALUE(MID(A748,15,2)),VALUE(MID(A748,18,2))),"")))</f>
        <v/>
      </c>
    </row>
    <row r="749" customFormat="false" ht="15" hidden="false" customHeight="false" outlineLevel="0" collapsed="false">
      <c r="I749" s="15" t="str">
        <f aca="false">IF(N749="","",INT(N749))</f>
        <v/>
      </c>
      <c r="J749" s="16" t="str">
        <f aca="false">IF(B749="","",IF(N749=_xlfn.MINIFS($N$2:$N$5001,$B$2:$B$5001,B749),1,0))</f>
        <v/>
      </c>
      <c r="K749" s="16" t="str">
        <f aca="false">IF(B749="","",IF(AND(D749="Formalização",E749="Concluído"),IF(COUNTIFS($B$2:$B$5001,B749,$E$2:$E$5001,"Em ajustes",$N$2:$N$5001,"&lt;"&amp;I749)&gt;0,1,0),0))</f>
        <v/>
      </c>
      <c r="L749" s="16" t="str">
        <f aca="false">IF(B749="","",IF(N749=_xlfn.MAXIFS($N$2:$N$5001,$B$2:$B$5001,B749,$I$2:$I$5001,I749),1,0))</f>
        <v/>
      </c>
      <c r="M749" s="16" t="str">
        <f aca="false">IF(B749="","",IF(E749="Em ajustes",IF(N749=_xlfn.MINIFS($N$2:$N$5001,$B$2:$B$5001,B749,$E$2:$E$5001,"Em ajustes"),1,0),0))</f>
        <v/>
      </c>
      <c r="N749" s="17" t="str">
        <f aca="false">IF(A749="","",IF(ISNUMBER(A749),A749,IFERROR(DATE(VALUE(MID(A749,7,4)),VALUE(MID(A749,4,2)),VALUE(MID(A749,1,2)))+TIME(VALUE(MID(A749,12,2)),VALUE(MID(A749,15,2)),VALUE(MID(A749,18,2))),"")))</f>
        <v/>
      </c>
    </row>
    <row r="750" customFormat="false" ht="15" hidden="false" customHeight="false" outlineLevel="0" collapsed="false">
      <c r="I750" s="15" t="str">
        <f aca="false">IF(N750="","",INT(N750))</f>
        <v/>
      </c>
      <c r="J750" s="16" t="str">
        <f aca="false">IF(B750="","",IF(N750=_xlfn.MINIFS($N$2:$N$5001,$B$2:$B$5001,B750),1,0))</f>
        <v/>
      </c>
      <c r="K750" s="16" t="str">
        <f aca="false">IF(B750="","",IF(AND(D750="Formalização",E750="Concluído"),IF(COUNTIFS($B$2:$B$5001,B750,$E$2:$E$5001,"Em ajustes",$N$2:$N$5001,"&lt;"&amp;I750)&gt;0,1,0),0))</f>
        <v/>
      </c>
      <c r="L750" s="16" t="str">
        <f aca="false">IF(B750="","",IF(N750=_xlfn.MAXIFS($N$2:$N$5001,$B$2:$B$5001,B750,$I$2:$I$5001,I750),1,0))</f>
        <v/>
      </c>
      <c r="M750" s="16" t="str">
        <f aca="false">IF(B750="","",IF(E750="Em ajustes",IF(N750=_xlfn.MINIFS($N$2:$N$5001,$B$2:$B$5001,B750,$E$2:$E$5001,"Em ajustes"),1,0),0))</f>
        <v/>
      </c>
      <c r="N750" s="17" t="str">
        <f aca="false">IF(A750="","",IF(ISNUMBER(A750),A750,IFERROR(DATE(VALUE(MID(A750,7,4)),VALUE(MID(A750,4,2)),VALUE(MID(A750,1,2)))+TIME(VALUE(MID(A750,12,2)),VALUE(MID(A750,15,2)),VALUE(MID(A750,18,2))),"")))</f>
        <v/>
      </c>
    </row>
    <row r="751" customFormat="false" ht="15" hidden="false" customHeight="false" outlineLevel="0" collapsed="false">
      <c r="I751" s="15" t="str">
        <f aca="false">IF(N751="","",INT(N751))</f>
        <v/>
      </c>
      <c r="J751" s="16" t="str">
        <f aca="false">IF(B751="","",IF(N751=_xlfn.MINIFS($N$2:$N$5001,$B$2:$B$5001,B751),1,0))</f>
        <v/>
      </c>
      <c r="K751" s="16" t="str">
        <f aca="false">IF(B751="","",IF(AND(D751="Formalização",E751="Concluído"),IF(COUNTIFS($B$2:$B$5001,B751,$E$2:$E$5001,"Em ajustes",$N$2:$N$5001,"&lt;"&amp;I751)&gt;0,1,0),0))</f>
        <v/>
      </c>
      <c r="L751" s="16" t="str">
        <f aca="false">IF(B751="","",IF(N751=_xlfn.MAXIFS($N$2:$N$5001,$B$2:$B$5001,B751,$I$2:$I$5001,I751),1,0))</f>
        <v/>
      </c>
      <c r="M751" s="16" t="str">
        <f aca="false">IF(B751="","",IF(E751="Em ajustes",IF(N751=_xlfn.MINIFS($N$2:$N$5001,$B$2:$B$5001,B751,$E$2:$E$5001,"Em ajustes"),1,0),0))</f>
        <v/>
      </c>
      <c r="N751" s="17" t="str">
        <f aca="false">IF(A751="","",IF(ISNUMBER(A751),A751,IFERROR(DATE(VALUE(MID(A751,7,4)),VALUE(MID(A751,4,2)),VALUE(MID(A751,1,2)))+TIME(VALUE(MID(A751,12,2)),VALUE(MID(A751,15,2)),VALUE(MID(A751,18,2))),"")))</f>
        <v/>
      </c>
    </row>
    <row r="752" customFormat="false" ht="15" hidden="false" customHeight="false" outlineLevel="0" collapsed="false">
      <c r="I752" s="15" t="str">
        <f aca="false">IF(N752="","",INT(N752))</f>
        <v/>
      </c>
      <c r="J752" s="16" t="str">
        <f aca="false">IF(B752="","",IF(N752=_xlfn.MINIFS($N$2:$N$5001,$B$2:$B$5001,B752),1,0))</f>
        <v/>
      </c>
      <c r="K752" s="16" t="str">
        <f aca="false">IF(B752="","",IF(AND(D752="Formalização",E752="Concluído"),IF(COUNTIFS($B$2:$B$5001,B752,$E$2:$E$5001,"Em ajustes",$N$2:$N$5001,"&lt;"&amp;I752)&gt;0,1,0),0))</f>
        <v/>
      </c>
      <c r="L752" s="16" t="str">
        <f aca="false">IF(B752="","",IF(N752=_xlfn.MAXIFS($N$2:$N$5001,$B$2:$B$5001,B752,$I$2:$I$5001,I752),1,0))</f>
        <v/>
      </c>
      <c r="M752" s="16" t="str">
        <f aca="false">IF(B752="","",IF(E752="Em ajustes",IF(N752=_xlfn.MINIFS($N$2:$N$5001,$B$2:$B$5001,B752,$E$2:$E$5001,"Em ajustes"),1,0),0))</f>
        <v/>
      </c>
      <c r="N752" s="17" t="str">
        <f aca="false">IF(A752="","",IF(ISNUMBER(A752),A752,IFERROR(DATE(VALUE(MID(A752,7,4)),VALUE(MID(A752,4,2)),VALUE(MID(A752,1,2)))+TIME(VALUE(MID(A752,12,2)),VALUE(MID(A752,15,2)),VALUE(MID(A752,18,2))),"")))</f>
        <v/>
      </c>
    </row>
    <row r="753" customFormat="false" ht="15" hidden="false" customHeight="false" outlineLevel="0" collapsed="false">
      <c r="I753" s="15" t="str">
        <f aca="false">IF(N753="","",INT(N753))</f>
        <v/>
      </c>
      <c r="J753" s="16" t="str">
        <f aca="false">IF(B753="","",IF(N753=_xlfn.MINIFS($N$2:$N$5001,$B$2:$B$5001,B753),1,0))</f>
        <v/>
      </c>
      <c r="K753" s="16" t="str">
        <f aca="false">IF(B753="","",IF(AND(D753="Formalização",E753="Concluído"),IF(COUNTIFS($B$2:$B$5001,B753,$E$2:$E$5001,"Em ajustes",$N$2:$N$5001,"&lt;"&amp;I753)&gt;0,1,0),0))</f>
        <v/>
      </c>
      <c r="L753" s="16" t="str">
        <f aca="false">IF(B753="","",IF(N753=_xlfn.MAXIFS($N$2:$N$5001,$B$2:$B$5001,B753,$I$2:$I$5001,I753),1,0))</f>
        <v/>
      </c>
      <c r="M753" s="16" t="str">
        <f aca="false">IF(B753="","",IF(E753="Em ajustes",IF(N753=_xlfn.MINIFS($N$2:$N$5001,$B$2:$B$5001,B753,$E$2:$E$5001,"Em ajustes"),1,0),0))</f>
        <v/>
      </c>
      <c r="N753" s="17" t="str">
        <f aca="false">IF(A753="","",IF(ISNUMBER(A753),A753,IFERROR(DATE(VALUE(MID(A753,7,4)),VALUE(MID(A753,4,2)),VALUE(MID(A753,1,2)))+TIME(VALUE(MID(A753,12,2)),VALUE(MID(A753,15,2)),VALUE(MID(A753,18,2))),"")))</f>
        <v/>
      </c>
    </row>
    <row r="754" customFormat="false" ht="15" hidden="false" customHeight="false" outlineLevel="0" collapsed="false">
      <c r="I754" s="15" t="str">
        <f aca="false">IF(N754="","",INT(N754))</f>
        <v/>
      </c>
      <c r="J754" s="16" t="str">
        <f aca="false">IF(B754="","",IF(N754=_xlfn.MINIFS($N$2:$N$5001,$B$2:$B$5001,B754),1,0))</f>
        <v/>
      </c>
      <c r="K754" s="16" t="str">
        <f aca="false">IF(B754="","",IF(AND(D754="Formalização",E754="Concluído"),IF(COUNTIFS($B$2:$B$5001,B754,$E$2:$E$5001,"Em ajustes",$N$2:$N$5001,"&lt;"&amp;I754)&gt;0,1,0),0))</f>
        <v/>
      </c>
      <c r="L754" s="16" t="str">
        <f aca="false">IF(B754="","",IF(N754=_xlfn.MAXIFS($N$2:$N$5001,$B$2:$B$5001,B754,$I$2:$I$5001,I754),1,0))</f>
        <v/>
      </c>
      <c r="M754" s="16" t="str">
        <f aca="false">IF(B754="","",IF(E754="Em ajustes",IF(N754=_xlfn.MINIFS($N$2:$N$5001,$B$2:$B$5001,B754,$E$2:$E$5001,"Em ajustes"),1,0),0))</f>
        <v/>
      </c>
      <c r="N754" s="17" t="str">
        <f aca="false">IF(A754="","",IF(ISNUMBER(A754),A754,IFERROR(DATE(VALUE(MID(A754,7,4)),VALUE(MID(A754,4,2)),VALUE(MID(A754,1,2)))+TIME(VALUE(MID(A754,12,2)),VALUE(MID(A754,15,2)),VALUE(MID(A754,18,2))),"")))</f>
        <v/>
      </c>
    </row>
    <row r="755" customFormat="false" ht="15" hidden="false" customHeight="false" outlineLevel="0" collapsed="false">
      <c r="I755" s="15" t="str">
        <f aca="false">IF(N755="","",INT(N755))</f>
        <v/>
      </c>
      <c r="J755" s="16" t="str">
        <f aca="false">IF(B755="","",IF(N755=_xlfn.MINIFS($N$2:$N$5001,$B$2:$B$5001,B755),1,0))</f>
        <v/>
      </c>
      <c r="K755" s="16" t="str">
        <f aca="false">IF(B755="","",IF(AND(D755="Formalização",E755="Concluído"),IF(COUNTIFS($B$2:$B$5001,B755,$E$2:$E$5001,"Em ajustes",$N$2:$N$5001,"&lt;"&amp;I755)&gt;0,1,0),0))</f>
        <v/>
      </c>
      <c r="L755" s="16" t="str">
        <f aca="false">IF(B755="","",IF(N755=_xlfn.MAXIFS($N$2:$N$5001,$B$2:$B$5001,B755,$I$2:$I$5001,I755),1,0))</f>
        <v/>
      </c>
      <c r="M755" s="16" t="str">
        <f aca="false">IF(B755="","",IF(E755="Em ajustes",IF(N755=_xlfn.MINIFS($N$2:$N$5001,$B$2:$B$5001,B755,$E$2:$E$5001,"Em ajustes"),1,0),0))</f>
        <v/>
      </c>
      <c r="N755" s="17" t="str">
        <f aca="false">IF(A755="","",IF(ISNUMBER(A755),A755,IFERROR(DATE(VALUE(MID(A755,7,4)),VALUE(MID(A755,4,2)),VALUE(MID(A755,1,2)))+TIME(VALUE(MID(A755,12,2)),VALUE(MID(A755,15,2)),VALUE(MID(A755,18,2))),"")))</f>
        <v/>
      </c>
    </row>
    <row r="756" customFormat="false" ht="15" hidden="false" customHeight="false" outlineLevel="0" collapsed="false">
      <c r="I756" s="15" t="str">
        <f aca="false">IF(N756="","",INT(N756))</f>
        <v/>
      </c>
      <c r="J756" s="16" t="str">
        <f aca="false">IF(B756="","",IF(N756=_xlfn.MINIFS($N$2:$N$5001,$B$2:$B$5001,B756),1,0))</f>
        <v/>
      </c>
      <c r="K756" s="16" t="str">
        <f aca="false">IF(B756="","",IF(AND(D756="Formalização",E756="Concluído"),IF(COUNTIFS($B$2:$B$5001,B756,$E$2:$E$5001,"Em ajustes",$N$2:$N$5001,"&lt;"&amp;I756)&gt;0,1,0),0))</f>
        <v/>
      </c>
      <c r="L756" s="16" t="str">
        <f aca="false">IF(B756="","",IF(N756=_xlfn.MAXIFS($N$2:$N$5001,$B$2:$B$5001,B756,$I$2:$I$5001,I756),1,0))</f>
        <v/>
      </c>
      <c r="M756" s="16" t="str">
        <f aca="false">IF(B756="","",IF(E756="Em ajustes",IF(N756=_xlfn.MINIFS($N$2:$N$5001,$B$2:$B$5001,B756,$E$2:$E$5001,"Em ajustes"),1,0),0))</f>
        <v/>
      </c>
      <c r="N756" s="17" t="str">
        <f aca="false">IF(A756="","",IF(ISNUMBER(A756),A756,IFERROR(DATE(VALUE(MID(A756,7,4)),VALUE(MID(A756,4,2)),VALUE(MID(A756,1,2)))+TIME(VALUE(MID(A756,12,2)),VALUE(MID(A756,15,2)),VALUE(MID(A756,18,2))),"")))</f>
        <v/>
      </c>
    </row>
    <row r="757" customFormat="false" ht="15" hidden="false" customHeight="false" outlineLevel="0" collapsed="false">
      <c r="I757" s="15" t="str">
        <f aca="false">IF(N757="","",INT(N757))</f>
        <v/>
      </c>
      <c r="J757" s="16" t="str">
        <f aca="false">IF(B757="","",IF(N757=_xlfn.MINIFS($N$2:$N$5001,$B$2:$B$5001,B757),1,0))</f>
        <v/>
      </c>
      <c r="K757" s="16" t="str">
        <f aca="false">IF(B757="","",IF(AND(D757="Formalização",E757="Concluído"),IF(COUNTIFS($B$2:$B$5001,B757,$E$2:$E$5001,"Em ajustes",$N$2:$N$5001,"&lt;"&amp;I757)&gt;0,1,0),0))</f>
        <v/>
      </c>
      <c r="L757" s="16" t="str">
        <f aca="false">IF(B757="","",IF(N757=_xlfn.MAXIFS($N$2:$N$5001,$B$2:$B$5001,B757,$I$2:$I$5001,I757),1,0))</f>
        <v/>
      </c>
      <c r="M757" s="16" t="str">
        <f aca="false">IF(B757="","",IF(E757="Em ajustes",IF(N757=_xlfn.MINIFS($N$2:$N$5001,$B$2:$B$5001,B757,$E$2:$E$5001,"Em ajustes"),1,0),0))</f>
        <v/>
      </c>
      <c r="N757" s="17" t="str">
        <f aca="false">IF(A757="","",IF(ISNUMBER(A757),A757,IFERROR(DATE(VALUE(MID(A757,7,4)),VALUE(MID(A757,4,2)),VALUE(MID(A757,1,2)))+TIME(VALUE(MID(A757,12,2)),VALUE(MID(A757,15,2)),VALUE(MID(A757,18,2))),"")))</f>
        <v/>
      </c>
    </row>
    <row r="758" customFormat="false" ht="15" hidden="false" customHeight="false" outlineLevel="0" collapsed="false">
      <c r="I758" s="15" t="str">
        <f aca="false">IF(N758="","",INT(N758))</f>
        <v/>
      </c>
      <c r="J758" s="16" t="str">
        <f aca="false">IF(B758="","",IF(N758=_xlfn.MINIFS($N$2:$N$5001,$B$2:$B$5001,B758),1,0))</f>
        <v/>
      </c>
      <c r="K758" s="16" t="str">
        <f aca="false">IF(B758="","",IF(AND(D758="Formalização",E758="Concluído"),IF(COUNTIFS($B$2:$B$5001,B758,$E$2:$E$5001,"Em ajustes",$N$2:$N$5001,"&lt;"&amp;I758)&gt;0,1,0),0))</f>
        <v/>
      </c>
      <c r="L758" s="16" t="str">
        <f aca="false">IF(B758="","",IF(N758=_xlfn.MAXIFS($N$2:$N$5001,$B$2:$B$5001,B758,$I$2:$I$5001,I758),1,0))</f>
        <v/>
      </c>
      <c r="M758" s="16" t="str">
        <f aca="false">IF(B758="","",IF(E758="Em ajustes",IF(N758=_xlfn.MINIFS($N$2:$N$5001,$B$2:$B$5001,B758,$E$2:$E$5001,"Em ajustes"),1,0),0))</f>
        <v/>
      </c>
      <c r="N758" s="17" t="str">
        <f aca="false">IF(A758="","",IF(ISNUMBER(A758),A758,IFERROR(DATE(VALUE(MID(A758,7,4)),VALUE(MID(A758,4,2)),VALUE(MID(A758,1,2)))+TIME(VALUE(MID(A758,12,2)),VALUE(MID(A758,15,2)),VALUE(MID(A758,18,2))),"")))</f>
        <v/>
      </c>
    </row>
    <row r="759" customFormat="false" ht="15" hidden="false" customHeight="false" outlineLevel="0" collapsed="false">
      <c r="I759" s="15" t="str">
        <f aca="false">IF(N759="","",INT(N759))</f>
        <v/>
      </c>
      <c r="J759" s="16" t="str">
        <f aca="false">IF(B759="","",IF(N759=_xlfn.MINIFS($N$2:$N$5001,$B$2:$B$5001,B759),1,0))</f>
        <v/>
      </c>
      <c r="K759" s="16" t="str">
        <f aca="false">IF(B759="","",IF(AND(D759="Formalização",E759="Concluído"),IF(COUNTIFS($B$2:$B$5001,B759,$E$2:$E$5001,"Em ajustes",$N$2:$N$5001,"&lt;"&amp;I759)&gt;0,1,0),0))</f>
        <v/>
      </c>
      <c r="L759" s="16" t="str">
        <f aca="false">IF(B759="","",IF(N759=_xlfn.MAXIFS($N$2:$N$5001,$B$2:$B$5001,B759,$I$2:$I$5001,I759),1,0))</f>
        <v/>
      </c>
      <c r="M759" s="16" t="str">
        <f aca="false">IF(B759="","",IF(E759="Em ajustes",IF(N759=_xlfn.MINIFS($N$2:$N$5001,$B$2:$B$5001,B759,$E$2:$E$5001,"Em ajustes"),1,0),0))</f>
        <v/>
      </c>
      <c r="N759" s="17" t="str">
        <f aca="false">IF(A759="","",IF(ISNUMBER(A759),A759,IFERROR(DATE(VALUE(MID(A759,7,4)),VALUE(MID(A759,4,2)),VALUE(MID(A759,1,2)))+TIME(VALUE(MID(A759,12,2)),VALUE(MID(A759,15,2)),VALUE(MID(A759,18,2))),"")))</f>
        <v/>
      </c>
    </row>
    <row r="760" customFormat="false" ht="15" hidden="false" customHeight="false" outlineLevel="0" collapsed="false">
      <c r="I760" s="15" t="str">
        <f aca="false">IF(N760="","",INT(N760))</f>
        <v/>
      </c>
      <c r="J760" s="16" t="str">
        <f aca="false">IF(B760="","",IF(N760=_xlfn.MINIFS($N$2:$N$5001,$B$2:$B$5001,B760),1,0))</f>
        <v/>
      </c>
      <c r="K760" s="16" t="str">
        <f aca="false">IF(B760="","",IF(AND(D760="Formalização",E760="Concluído"),IF(COUNTIFS($B$2:$B$5001,B760,$E$2:$E$5001,"Em ajustes",$N$2:$N$5001,"&lt;"&amp;I760)&gt;0,1,0),0))</f>
        <v/>
      </c>
      <c r="L760" s="16" t="str">
        <f aca="false">IF(B760="","",IF(N760=_xlfn.MAXIFS($N$2:$N$5001,$B$2:$B$5001,B760,$I$2:$I$5001,I760),1,0))</f>
        <v/>
      </c>
      <c r="M760" s="16" t="str">
        <f aca="false">IF(B760="","",IF(E760="Em ajustes",IF(N760=_xlfn.MINIFS($N$2:$N$5001,$B$2:$B$5001,B760,$E$2:$E$5001,"Em ajustes"),1,0),0))</f>
        <v/>
      </c>
      <c r="N760" s="17" t="str">
        <f aca="false">IF(A760="","",IF(ISNUMBER(A760),A760,IFERROR(DATE(VALUE(MID(A760,7,4)),VALUE(MID(A760,4,2)),VALUE(MID(A760,1,2)))+TIME(VALUE(MID(A760,12,2)),VALUE(MID(A760,15,2)),VALUE(MID(A760,18,2))),"")))</f>
        <v/>
      </c>
    </row>
    <row r="761" customFormat="false" ht="15" hidden="false" customHeight="false" outlineLevel="0" collapsed="false">
      <c r="I761" s="15" t="str">
        <f aca="false">IF(N761="","",INT(N761))</f>
        <v/>
      </c>
      <c r="J761" s="16" t="str">
        <f aca="false">IF(B761="","",IF(N761=_xlfn.MINIFS($N$2:$N$5001,$B$2:$B$5001,B761),1,0))</f>
        <v/>
      </c>
      <c r="K761" s="16" t="str">
        <f aca="false">IF(B761="","",IF(AND(D761="Formalização",E761="Concluído"),IF(COUNTIFS($B$2:$B$5001,B761,$E$2:$E$5001,"Em ajustes",$N$2:$N$5001,"&lt;"&amp;I761)&gt;0,1,0),0))</f>
        <v/>
      </c>
      <c r="L761" s="16" t="str">
        <f aca="false">IF(B761="","",IF(N761=_xlfn.MAXIFS($N$2:$N$5001,$B$2:$B$5001,B761,$I$2:$I$5001,I761),1,0))</f>
        <v/>
      </c>
      <c r="M761" s="16" t="str">
        <f aca="false">IF(B761="","",IF(E761="Em ajustes",IF(N761=_xlfn.MINIFS($N$2:$N$5001,$B$2:$B$5001,B761,$E$2:$E$5001,"Em ajustes"),1,0),0))</f>
        <v/>
      </c>
      <c r="N761" s="17" t="str">
        <f aca="false">IF(A761="","",IF(ISNUMBER(A761),A761,IFERROR(DATE(VALUE(MID(A761,7,4)),VALUE(MID(A761,4,2)),VALUE(MID(A761,1,2)))+TIME(VALUE(MID(A761,12,2)),VALUE(MID(A761,15,2)),VALUE(MID(A761,18,2))),"")))</f>
        <v/>
      </c>
    </row>
    <row r="762" customFormat="false" ht="15" hidden="false" customHeight="false" outlineLevel="0" collapsed="false">
      <c r="I762" s="15" t="str">
        <f aca="false">IF(N762="","",INT(N762))</f>
        <v/>
      </c>
      <c r="J762" s="16" t="str">
        <f aca="false">IF(B762="","",IF(N762=_xlfn.MINIFS($N$2:$N$5001,$B$2:$B$5001,B762),1,0))</f>
        <v/>
      </c>
      <c r="K762" s="16" t="str">
        <f aca="false">IF(B762="","",IF(AND(D762="Formalização",E762="Concluído"),IF(COUNTIFS($B$2:$B$5001,B762,$E$2:$E$5001,"Em ajustes",$N$2:$N$5001,"&lt;"&amp;I762)&gt;0,1,0),0))</f>
        <v/>
      </c>
      <c r="L762" s="16" t="str">
        <f aca="false">IF(B762="","",IF(N762=_xlfn.MAXIFS($N$2:$N$5001,$B$2:$B$5001,B762,$I$2:$I$5001,I762),1,0))</f>
        <v/>
      </c>
      <c r="M762" s="16" t="str">
        <f aca="false">IF(B762="","",IF(E762="Em ajustes",IF(N762=_xlfn.MINIFS($N$2:$N$5001,$B$2:$B$5001,B762,$E$2:$E$5001,"Em ajustes"),1,0),0))</f>
        <v/>
      </c>
      <c r="N762" s="17" t="str">
        <f aca="false">IF(A762="","",IF(ISNUMBER(A762),A762,IFERROR(DATE(VALUE(MID(A762,7,4)),VALUE(MID(A762,4,2)),VALUE(MID(A762,1,2)))+TIME(VALUE(MID(A762,12,2)),VALUE(MID(A762,15,2)),VALUE(MID(A762,18,2))),"")))</f>
        <v/>
      </c>
    </row>
    <row r="763" customFormat="false" ht="15" hidden="false" customHeight="false" outlineLevel="0" collapsed="false">
      <c r="I763" s="15" t="str">
        <f aca="false">IF(N763="","",INT(N763))</f>
        <v/>
      </c>
      <c r="J763" s="16" t="str">
        <f aca="false">IF(B763="","",IF(N763=_xlfn.MINIFS($N$2:$N$5001,$B$2:$B$5001,B763),1,0))</f>
        <v/>
      </c>
      <c r="K763" s="16" t="str">
        <f aca="false">IF(B763="","",IF(AND(D763="Formalização",E763="Concluído"),IF(COUNTIFS($B$2:$B$5001,B763,$E$2:$E$5001,"Em ajustes",$N$2:$N$5001,"&lt;"&amp;I763)&gt;0,1,0),0))</f>
        <v/>
      </c>
      <c r="L763" s="16" t="str">
        <f aca="false">IF(B763="","",IF(N763=_xlfn.MAXIFS($N$2:$N$5001,$B$2:$B$5001,B763,$I$2:$I$5001,I763),1,0))</f>
        <v/>
      </c>
      <c r="M763" s="16" t="str">
        <f aca="false">IF(B763="","",IF(E763="Em ajustes",IF(N763=_xlfn.MINIFS($N$2:$N$5001,$B$2:$B$5001,B763,$E$2:$E$5001,"Em ajustes"),1,0),0))</f>
        <v/>
      </c>
      <c r="N763" s="17" t="str">
        <f aca="false">IF(A763="","",IF(ISNUMBER(A763),A763,IFERROR(DATE(VALUE(MID(A763,7,4)),VALUE(MID(A763,4,2)),VALUE(MID(A763,1,2)))+TIME(VALUE(MID(A763,12,2)),VALUE(MID(A763,15,2)),VALUE(MID(A763,18,2))),"")))</f>
        <v/>
      </c>
    </row>
    <row r="764" customFormat="false" ht="15" hidden="false" customHeight="false" outlineLevel="0" collapsed="false">
      <c r="I764" s="15" t="str">
        <f aca="false">IF(N764="","",INT(N764))</f>
        <v/>
      </c>
      <c r="J764" s="16" t="str">
        <f aca="false">IF(B764="","",IF(N764=_xlfn.MINIFS($N$2:$N$5001,$B$2:$B$5001,B764),1,0))</f>
        <v/>
      </c>
      <c r="K764" s="16" t="str">
        <f aca="false">IF(B764="","",IF(AND(D764="Formalização",E764="Concluído"),IF(COUNTIFS($B$2:$B$5001,B764,$E$2:$E$5001,"Em ajustes",$N$2:$N$5001,"&lt;"&amp;I764)&gt;0,1,0),0))</f>
        <v/>
      </c>
      <c r="L764" s="16" t="str">
        <f aca="false">IF(B764="","",IF(N764=_xlfn.MAXIFS($N$2:$N$5001,$B$2:$B$5001,B764,$I$2:$I$5001,I764),1,0))</f>
        <v/>
      </c>
      <c r="M764" s="16" t="str">
        <f aca="false">IF(B764="","",IF(E764="Em ajustes",IF(N764=_xlfn.MINIFS($N$2:$N$5001,$B$2:$B$5001,B764,$E$2:$E$5001,"Em ajustes"),1,0),0))</f>
        <v/>
      </c>
      <c r="N764" s="17" t="str">
        <f aca="false">IF(A764="","",IF(ISNUMBER(A764),A764,IFERROR(DATE(VALUE(MID(A764,7,4)),VALUE(MID(A764,4,2)),VALUE(MID(A764,1,2)))+TIME(VALUE(MID(A764,12,2)),VALUE(MID(A764,15,2)),VALUE(MID(A764,18,2))),"")))</f>
        <v/>
      </c>
    </row>
    <row r="765" customFormat="false" ht="15" hidden="false" customHeight="false" outlineLevel="0" collapsed="false">
      <c r="I765" s="15" t="str">
        <f aca="false">IF(N765="","",INT(N765))</f>
        <v/>
      </c>
      <c r="J765" s="16" t="str">
        <f aca="false">IF(B765="","",IF(N765=_xlfn.MINIFS($N$2:$N$5001,$B$2:$B$5001,B765),1,0))</f>
        <v/>
      </c>
      <c r="K765" s="16" t="str">
        <f aca="false">IF(B765="","",IF(AND(D765="Formalização",E765="Concluído"),IF(COUNTIFS($B$2:$B$5001,B765,$E$2:$E$5001,"Em ajustes",$N$2:$N$5001,"&lt;"&amp;I765)&gt;0,1,0),0))</f>
        <v/>
      </c>
      <c r="L765" s="16" t="str">
        <f aca="false">IF(B765="","",IF(N765=_xlfn.MAXIFS($N$2:$N$5001,$B$2:$B$5001,B765,$I$2:$I$5001,I765),1,0))</f>
        <v/>
      </c>
      <c r="M765" s="16" t="str">
        <f aca="false">IF(B765="","",IF(E765="Em ajustes",IF(N765=_xlfn.MINIFS($N$2:$N$5001,$B$2:$B$5001,B765,$E$2:$E$5001,"Em ajustes"),1,0),0))</f>
        <v/>
      </c>
      <c r="N765" s="17" t="str">
        <f aca="false">IF(A765="","",IF(ISNUMBER(A765),A765,IFERROR(DATE(VALUE(MID(A765,7,4)),VALUE(MID(A765,4,2)),VALUE(MID(A765,1,2)))+TIME(VALUE(MID(A765,12,2)),VALUE(MID(A765,15,2)),VALUE(MID(A765,18,2))),"")))</f>
        <v/>
      </c>
    </row>
    <row r="766" customFormat="false" ht="15" hidden="false" customHeight="false" outlineLevel="0" collapsed="false">
      <c r="I766" s="15" t="str">
        <f aca="false">IF(N766="","",INT(N766))</f>
        <v/>
      </c>
      <c r="J766" s="16" t="str">
        <f aca="false">IF(B766="","",IF(N766=_xlfn.MINIFS($N$2:$N$5001,$B$2:$B$5001,B766),1,0))</f>
        <v/>
      </c>
      <c r="K766" s="16" t="str">
        <f aca="false">IF(B766="","",IF(AND(D766="Formalização",E766="Concluído"),IF(COUNTIFS($B$2:$B$5001,B766,$E$2:$E$5001,"Em ajustes",$N$2:$N$5001,"&lt;"&amp;I766)&gt;0,1,0),0))</f>
        <v/>
      </c>
      <c r="L766" s="16" t="str">
        <f aca="false">IF(B766="","",IF(N766=_xlfn.MAXIFS($N$2:$N$5001,$B$2:$B$5001,B766,$I$2:$I$5001,I766),1,0))</f>
        <v/>
      </c>
      <c r="M766" s="16" t="str">
        <f aca="false">IF(B766="","",IF(E766="Em ajustes",IF(N766=_xlfn.MINIFS($N$2:$N$5001,$B$2:$B$5001,B766,$E$2:$E$5001,"Em ajustes"),1,0),0))</f>
        <v/>
      </c>
      <c r="N766" s="17" t="str">
        <f aca="false">IF(A766="","",IF(ISNUMBER(A766),A766,IFERROR(DATE(VALUE(MID(A766,7,4)),VALUE(MID(A766,4,2)),VALUE(MID(A766,1,2)))+TIME(VALUE(MID(A766,12,2)),VALUE(MID(A766,15,2)),VALUE(MID(A766,18,2))),"")))</f>
        <v/>
      </c>
    </row>
    <row r="767" customFormat="false" ht="15" hidden="false" customHeight="false" outlineLevel="0" collapsed="false">
      <c r="I767" s="15" t="str">
        <f aca="false">IF(N767="","",INT(N767))</f>
        <v/>
      </c>
      <c r="J767" s="16" t="str">
        <f aca="false">IF(B767="","",IF(N767=_xlfn.MINIFS($N$2:$N$5001,$B$2:$B$5001,B767),1,0))</f>
        <v/>
      </c>
      <c r="K767" s="16" t="str">
        <f aca="false">IF(B767="","",IF(AND(D767="Formalização",E767="Concluído"),IF(COUNTIFS($B$2:$B$5001,B767,$E$2:$E$5001,"Em ajustes",$N$2:$N$5001,"&lt;"&amp;I767)&gt;0,1,0),0))</f>
        <v/>
      </c>
      <c r="L767" s="16" t="str">
        <f aca="false">IF(B767="","",IF(N767=_xlfn.MAXIFS($N$2:$N$5001,$B$2:$B$5001,B767,$I$2:$I$5001,I767),1,0))</f>
        <v/>
      </c>
      <c r="M767" s="16" t="str">
        <f aca="false">IF(B767="","",IF(E767="Em ajustes",IF(N767=_xlfn.MINIFS($N$2:$N$5001,$B$2:$B$5001,B767,$E$2:$E$5001,"Em ajustes"),1,0),0))</f>
        <v/>
      </c>
      <c r="N767" s="17" t="str">
        <f aca="false">IF(A767="","",IF(ISNUMBER(A767),A767,IFERROR(DATE(VALUE(MID(A767,7,4)),VALUE(MID(A767,4,2)),VALUE(MID(A767,1,2)))+TIME(VALUE(MID(A767,12,2)),VALUE(MID(A767,15,2)),VALUE(MID(A767,18,2))),"")))</f>
        <v/>
      </c>
    </row>
    <row r="768" customFormat="false" ht="15" hidden="false" customHeight="false" outlineLevel="0" collapsed="false">
      <c r="I768" s="15" t="str">
        <f aca="false">IF(N768="","",INT(N768))</f>
        <v/>
      </c>
      <c r="J768" s="16" t="str">
        <f aca="false">IF(B768="","",IF(N768=_xlfn.MINIFS($N$2:$N$5001,$B$2:$B$5001,B768),1,0))</f>
        <v/>
      </c>
      <c r="K768" s="16" t="str">
        <f aca="false">IF(B768="","",IF(AND(D768="Formalização",E768="Concluído"),IF(COUNTIFS($B$2:$B$5001,B768,$E$2:$E$5001,"Em ajustes",$N$2:$N$5001,"&lt;"&amp;I768)&gt;0,1,0),0))</f>
        <v/>
      </c>
      <c r="L768" s="16" t="str">
        <f aca="false">IF(B768="","",IF(N768=_xlfn.MAXIFS($N$2:$N$5001,$B$2:$B$5001,B768,$I$2:$I$5001,I768),1,0))</f>
        <v/>
      </c>
      <c r="M768" s="16" t="str">
        <f aca="false">IF(B768="","",IF(E768="Em ajustes",IF(N768=_xlfn.MINIFS($N$2:$N$5001,$B$2:$B$5001,B768,$E$2:$E$5001,"Em ajustes"),1,0),0))</f>
        <v/>
      </c>
      <c r="N768" s="17" t="str">
        <f aca="false">IF(A768="","",IF(ISNUMBER(A768),A768,IFERROR(DATE(VALUE(MID(A768,7,4)),VALUE(MID(A768,4,2)),VALUE(MID(A768,1,2)))+TIME(VALUE(MID(A768,12,2)),VALUE(MID(A768,15,2)),VALUE(MID(A768,18,2))),"")))</f>
        <v/>
      </c>
    </row>
    <row r="769" customFormat="false" ht="15" hidden="false" customHeight="false" outlineLevel="0" collapsed="false">
      <c r="I769" s="15" t="str">
        <f aca="false">IF(N769="","",INT(N769))</f>
        <v/>
      </c>
      <c r="J769" s="16" t="str">
        <f aca="false">IF(B769="","",IF(N769=_xlfn.MINIFS($N$2:$N$5001,$B$2:$B$5001,B769),1,0))</f>
        <v/>
      </c>
      <c r="K769" s="16" t="str">
        <f aca="false">IF(B769="","",IF(AND(D769="Formalização",E769="Concluído"),IF(COUNTIFS($B$2:$B$5001,B769,$E$2:$E$5001,"Em ajustes",$N$2:$N$5001,"&lt;"&amp;I769)&gt;0,1,0),0))</f>
        <v/>
      </c>
      <c r="L769" s="16" t="str">
        <f aca="false">IF(B769="","",IF(N769=_xlfn.MAXIFS($N$2:$N$5001,$B$2:$B$5001,B769,$I$2:$I$5001,I769),1,0))</f>
        <v/>
      </c>
      <c r="M769" s="16" t="str">
        <f aca="false">IF(B769="","",IF(E769="Em ajustes",IF(N769=_xlfn.MINIFS($N$2:$N$5001,$B$2:$B$5001,B769,$E$2:$E$5001,"Em ajustes"),1,0),0))</f>
        <v/>
      </c>
      <c r="N769" s="17" t="str">
        <f aca="false">IF(A769="","",IF(ISNUMBER(A769),A769,IFERROR(DATE(VALUE(MID(A769,7,4)),VALUE(MID(A769,4,2)),VALUE(MID(A769,1,2)))+TIME(VALUE(MID(A769,12,2)),VALUE(MID(A769,15,2)),VALUE(MID(A769,18,2))),"")))</f>
        <v/>
      </c>
    </row>
    <row r="770" customFormat="false" ht="15" hidden="false" customHeight="false" outlineLevel="0" collapsed="false">
      <c r="I770" s="15" t="str">
        <f aca="false">IF(N770="","",INT(N770))</f>
        <v/>
      </c>
      <c r="J770" s="16" t="str">
        <f aca="false">IF(B770="","",IF(N770=_xlfn.MINIFS($N$2:$N$5001,$B$2:$B$5001,B770),1,0))</f>
        <v/>
      </c>
      <c r="K770" s="16" t="str">
        <f aca="false">IF(B770="","",IF(AND(D770="Formalização",E770="Concluído"),IF(COUNTIFS($B$2:$B$5001,B770,$E$2:$E$5001,"Em ajustes",$N$2:$N$5001,"&lt;"&amp;I770)&gt;0,1,0),0))</f>
        <v/>
      </c>
      <c r="L770" s="16" t="str">
        <f aca="false">IF(B770="","",IF(N770=_xlfn.MAXIFS($N$2:$N$5001,$B$2:$B$5001,B770,$I$2:$I$5001,I770),1,0))</f>
        <v/>
      </c>
      <c r="M770" s="16" t="str">
        <f aca="false">IF(B770="","",IF(E770="Em ajustes",IF(N770=_xlfn.MINIFS($N$2:$N$5001,$B$2:$B$5001,B770,$E$2:$E$5001,"Em ajustes"),1,0),0))</f>
        <v/>
      </c>
      <c r="N770" s="17" t="str">
        <f aca="false">IF(A770="","",IF(ISNUMBER(A770),A770,IFERROR(DATE(VALUE(MID(A770,7,4)),VALUE(MID(A770,4,2)),VALUE(MID(A770,1,2)))+TIME(VALUE(MID(A770,12,2)),VALUE(MID(A770,15,2)),VALUE(MID(A770,18,2))),"")))</f>
        <v/>
      </c>
    </row>
    <row r="771" customFormat="false" ht="15" hidden="false" customHeight="false" outlineLevel="0" collapsed="false">
      <c r="I771" s="15" t="str">
        <f aca="false">IF(N771="","",INT(N771))</f>
        <v/>
      </c>
      <c r="J771" s="16" t="str">
        <f aca="false">IF(B771="","",IF(N771=_xlfn.MINIFS($N$2:$N$5001,$B$2:$B$5001,B771),1,0))</f>
        <v/>
      </c>
      <c r="K771" s="16" t="str">
        <f aca="false">IF(B771="","",IF(AND(D771="Formalização",E771="Concluído"),IF(COUNTIFS($B$2:$B$5001,B771,$E$2:$E$5001,"Em ajustes",$N$2:$N$5001,"&lt;"&amp;I771)&gt;0,1,0),0))</f>
        <v/>
      </c>
      <c r="L771" s="16" t="str">
        <f aca="false">IF(B771="","",IF(N771=_xlfn.MAXIFS($N$2:$N$5001,$B$2:$B$5001,B771,$I$2:$I$5001,I771),1,0))</f>
        <v/>
      </c>
      <c r="M771" s="16" t="str">
        <f aca="false">IF(B771="","",IF(E771="Em ajustes",IF(N771=_xlfn.MINIFS($N$2:$N$5001,$B$2:$B$5001,B771,$E$2:$E$5001,"Em ajustes"),1,0),0))</f>
        <v/>
      </c>
      <c r="N771" s="17" t="str">
        <f aca="false">IF(A771="","",IF(ISNUMBER(A771),A771,IFERROR(DATE(VALUE(MID(A771,7,4)),VALUE(MID(A771,4,2)),VALUE(MID(A771,1,2)))+TIME(VALUE(MID(A771,12,2)),VALUE(MID(A771,15,2)),VALUE(MID(A771,18,2))),"")))</f>
        <v/>
      </c>
    </row>
    <row r="772" customFormat="false" ht="15" hidden="false" customHeight="false" outlineLevel="0" collapsed="false">
      <c r="I772" s="15" t="str">
        <f aca="false">IF(N772="","",INT(N772))</f>
        <v/>
      </c>
      <c r="J772" s="16" t="str">
        <f aca="false">IF(B772="","",IF(N772=_xlfn.MINIFS($N$2:$N$5001,$B$2:$B$5001,B772),1,0))</f>
        <v/>
      </c>
      <c r="K772" s="16" t="str">
        <f aca="false">IF(B772="","",IF(AND(D772="Formalização",E772="Concluído"),IF(COUNTIFS($B$2:$B$5001,B772,$E$2:$E$5001,"Em ajustes",$N$2:$N$5001,"&lt;"&amp;I772)&gt;0,1,0),0))</f>
        <v/>
      </c>
      <c r="L772" s="16" t="str">
        <f aca="false">IF(B772="","",IF(N772=_xlfn.MAXIFS($N$2:$N$5001,$B$2:$B$5001,B772,$I$2:$I$5001,I772),1,0))</f>
        <v/>
      </c>
      <c r="M772" s="16" t="str">
        <f aca="false">IF(B772="","",IF(E772="Em ajustes",IF(N772=_xlfn.MINIFS($N$2:$N$5001,$B$2:$B$5001,B772,$E$2:$E$5001,"Em ajustes"),1,0),0))</f>
        <v/>
      </c>
      <c r="N772" s="17" t="str">
        <f aca="false">IF(A772="","",IF(ISNUMBER(A772),A772,IFERROR(DATE(VALUE(MID(A772,7,4)),VALUE(MID(A772,4,2)),VALUE(MID(A772,1,2)))+TIME(VALUE(MID(A772,12,2)),VALUE(MID(A772,15,2)),VALUE(MID(A772,18,2))),"")))</f>
        <v/>
      </c>
    </row>
    <row r="773" customFormat="false" ht="15" hidden="false" customHeight="false" outlineLevel="0" collapsed="false">
      <c r="I773" s="15" t="str">
        <f aca="false">IF(N773="","",INT(N773))</f>
        <v/>
      </c>
      <c r="J773" s="16" t="str">
        <f aca="false">IF(B773="","",IF(N773=_xlfn.MINIFS($N$2:$N$5001,$B$2:$B$5001,B773),1,0))</f>
        <v/>
      </c>
      <c r="K773" s="16" t="str">
        <f aca="false">IF(B773="","",IF(AND(D773="Formalização",E773="Concluído"),IF(COUNTIFS($B$2:$B$5001,B773,$E$2:$E$5001,"Em ajustes",$N$2:$N$5001,"&lt;"&amp;I773)&gt;0,1,0),0))</f>
        <v/>
      </c>
      <c r="L773" s="16" t="str">
        <f aca="false">IF(B773="","",IF(N773=_xlfn.MAXIFS($N$2:$N$5001,$B$2:$B$5001,B773,$I$2:$I$5001,I773),1,0))</f>
        <v/>
      </c>
      <c r="M773" s="16" t="str">
        <f aca="false">IF(B773="","",IF(E773="Em ajustes",IF(N773=_xlfn.MINIFS($N$2:$N$5001,$B$2:$B$5001,B773,$E$2:$E$5001,"Em ajustes"),1,0),0))</f>
        <v/>
      </c>
      <c r="N773" s="17" t="str">
        <f aca="false">IF(A773="","",IF(ISNUMBER(A773),A773,IFERROR(DATE(VALUE(MID(A773,7,4)),VALUE(MID(A773,4,2)),VALUE(MID(A773,1,2)))+TIME(VALUE(MID(A773,12,2)),VALUE(MID(A773,15,2)),VALUE(MID(A773,18,2))),"")))</f>
        <v/>
      </c>
    </row>
    <row r="774" customFormat="false" ht="15" hidden="false" customHeight="false" outlineLevel="0" collapsed="false">
      <c r="I774" s="15" t="str">
        <f aca="false">IF(N774="","",INT(N774))</f>
        <v/>
      </c>
      <c r="J774" s="16" t="str">
        <f aca="false">IF(B774="","",IF(N774=_xlfn.MINIFS($N$2:$N$5001,$B$2:$B$5001,B774),1,0))</f>
        <v/>
      </c>
      <c r="K774" s="16" t="str">
        <f aca="false">IF(B774="","",IF(AND(D774="Formalização",E774="Concluído"),IF(COUNTIFS($B$2:$B$5001,B774,$E$2:$E$5001,"Em ajustes",$N$2:$N$5001,"&lt;"&amp;I774)&gt;0,1,0),0))</f>
        <v/>
      </c>
      <c r="L774" s="16" t="str">
        <f aca="false">IF(B774="","",IF(N774=_xlfn.MAXIFS($N$2:$N$5001,$B$2:$B$5001,B774,$I$2:$I$5001,I774),1,0))</f>
        <v/>
      </c>
      <c r="M774" s="16" t="str">
        <f aca="false">IF(B774="","",IF(E774="Em ajustes",IF(N774=_xlfn.MINIFS($N$2:$N$5001,$B$2:$B$5001,B774,$E$2:$E$5001,"Em ajustes"),1,0),0))</f>
        <v/>
      </c>
      <c r="N774" s="17" t="str">
        <f aca="false">IF(A774="","",IF(ISNUMBER(A774),A774,IFERROR(DATE(VALUE(MID(A774,7,4)),VALUE(MID(A774,4,2)),VALUE(MID(A774,1,2)))+TIME(VALUE(MID(A774,12,2)),VALUE(MID(A774,15,2)),VALUE(MID(A774,18,2))),"")))</f>
        <v/>
      </c>
    </row>
    <row r="775" customFormat="false" ht="15" hidden="false" customHeight="false" outlineLevel="0" collapsed="false">
      <c r="I775" s="15" t="str">
        <f aca="false">IF(N775="","",INT(N775))</f>
        <v/>
      </c>
      <c r="J775" s="16" t="str">
        <f aca="false">IF(B775="","",IF(N775=_xlfn.MINIFS($N$2:$N$5001,$B$2:$B$5001,B775),1,0))</f>
        <v/>
      </c>
      <c r="K775" s="16" t="str">
        <f aca="false">IF(B775="","",IF(AND(D775="Formalização",E775="Concluído"),IF(COUNTIFS($B$2:$B$5001,B775,$E$2:$E$5001,"Em ajustes",$N$2:$N$5001,"&lt;"&amp;I775)&gt;0,1,0),0))</f>
        <v/>
      </c>
      <c r="L775" s="16" t="str">
        <f aca="false">IF(B775="","",IF(N775=_xlfn.MAXIFS($N$2:$N$5001,$B$2:$B$5001,B775,$I$2:$I$5001,I775),1,0))</f>
        <v/>
      </c>
      <c r="M775" s="16" t="str">
        <f aca="false">IF(B775="","",IF(E775="Em ajustes",IF(N775=_xlfn.MINIFS($N$2:$N$5001,$B$2:$B$5001,B775,$E$2:$E$5001,"Em ajustes"),1,0),0))</f>
        <v/>
      </c>
      <c r="N775" s="17" t="str">
        <f aca="false">IF(A775="","",IF(ISNUMBER(A775),A775,IFERROR(DATE(VALUE(MID(A775,7,4)),VALUE(MID(A775,4,2)),VALUE(MID(A775,1,2)))+TIME(VALUE(MID(A775,12,2)),VALUE(MID(A775,15,2)),VALUE(MID(A775,18,2))),"")))</f>
        <v/>
      </c>
    </row>
    <row r="776" customFormat="false" ht="15" hidden="false" customHeight="false" outlineLevel="0" collapsed="false">
      <c r="I776" s="15" t="str">
        <f aca="false">IF(N776="","",INT(N776))</f>
        <v/>
      </c>
      <c r="J776" s="16" t="str">
        <f aca="false">IF(B776="","",IF(N776=_xlfn.MINIFS($N$2:$N$5001,$B$2:$B$5001,B776),1,0))</f>
        <v/>
      </c>
      <c r="K776" s="16" t="str">
        <f aca="false">IF(B776="","",IF(AND(D776="Formalização",E776="Concluído"),IF(COUNTIFS($B$2:$B$5001,B776,$E$2:$E$5001,"Em ajustes",$N$2:$N$5001,"&lt;"&amp;I776)&gt;0,1,0),0))</f>
        <v/>
      </c>
      <c r="L776" s="16" t="str">
        <f aca="false">IF(B776="","",IF(N776=_xlfn.MAXIFS($N$2:$N$5001,$B$2:$B$5001,B776,$I$2:$I$5001,I776),1,0))</f>
        <v/>
      </c>
      <c r="M776" s="16" t="str">
        <f aca="false">IF(B776="","",IF(E776="Em ajustes",IF(N776=_xlfn.MINIFS($N$2:$N$5001,$B$2:$B$5001,B776,$E$2:$E$5001,"Em ajustes"),1,0),0))</f>
        <v/>
      </c>
      <c r="N776" s="17" t="str">
        <f aca="false">IF(A776="","",IF(ISNUMBER(A776),A776,IFERROR(DATE(VALUE(MID(A776,7,4)),VALUE(MID(A776,4,2)),VALUE(MID(A776,1,2)))+TIME(VALUE(MID(A776,12,2)),VALUE(MID(A776,15,2)),VALUE(MID(A776,18,2))),"")))</f>
        <v/>
      </c>
    </row>
    <row r="777" customFormat="false" ht="15" hidden="false" customHeight="false" outlineLevel="0" collapsed="false">
      <c r="I777" s="15" t="str">
        <f aca="false">IF(N777="","",INT(N777))</f>
        <v/>
      </c>
      <c r="J777" s="16" t="str">
        <f aca="false">IF(B777="","",IF(N777=_xlfn.MINIFS($N$2:$N$5001,$B$2:$B$5001,B777),1,0))</f>
        <v/>
      </c>
      <c r="K777" s="16" t="str">
        <f aca="false">IF(B777="","",IF(AND(D777="Formalização",E777="Concluído"),IF(COUNTIFS($B$2:$B$5001,B777,$E$2:$E$5001,"Em ajustes",$N$2:$N$5001,"&lt;"&amp;I777)&gt;0,1,0),0))</f>
        <v/>
      </c>
      <c r="L777" s="16" t="str">
        <f aca="false">IF(B777="","",IF(N777=_xlfn.MAXIFS($N$2:$N$5001,$B$2:$B$5001,B777,$I$2:$I$5001,I777),1,0))</f>
        <v/>
      </c>
      <c r="M777" s="16" t="str">
        <f aca="false">IF(B777="","",IF(E777="Em ajustes",IF(N777=_xlfn.MINIFS($N$2:$N$5001,$B$2:$B$5001,B777,$E$2:$E$5001,"Em ajustes"),1,0),0))</f>
        <v/>
      </c>
      <c r="N777" s="17" t="str">
        <f aca="false">IF(A777="","",IF(ISNUMBER(A777),A777,IFERROR(DATE(VALUE(MID(A777,7,4)),VALUE(MID(A777,4,2)),VALUE(MID(A777,1,2)))+TIME(VALUE(MID(A777,12,2)),VALUE(MID(A777,15,2)),VALUE(MID(A777,18,2))),"")))</f>
        <v/>
      </c>
    </row>
    <row r="778" customFormat="false" ht="15" hidden="false" customHeight="false" outlineLevel="0" collapsed="false">
      <c r="I778" s="15" t="str">
        <f aca="false">IF(N778="","",INT(N778))</f>
        <v/>
      </c>
      <c r="J778" s="16" t="str">
        <f aca="false">IF(B778="","",IF(N778=_xlfn.MINIFS($N$2:$N$5001,$B$2:$B$5001,B778),1,0))</f>
        <v/>
      </c>
      <c r="K778" s="16" t="str">
        <f aca="false">IF(B778="","",IF(AND(D778="Formalização",E778="Concluído"),IF(COUNTIFS($B$2:$B$5001,B778,$E$2:$E$5001,"Em ajustes",$N$2:$N$5001,"&lt;"&amp;I778)&gt;0,1,0),0))</f>
        <v/>
      </c>
      <c r="L778" s="16" t="str">
        <f aca="false">IF(B778="","",IF(N778=_xlfn.MAXIFS($N$2:$N$5001,$B$2:$B$5001,B778,$I$2:$I$5001,I778),1,0))</f>
        <v/>
      </c>
      <c r="M778" s="16" t="str">
        <f aca="false">IF(B778="","",IF(E778="Em ajustes",IF(N778=_xlfn.MINIFS($N$2:$N$5001,$B$2:$B$5001,B778,$E$2:$E$5001,"Em ajustes"),1,0),0))</f>
        <v/>
      </c>
      <c r="N778" s="17" t="str">
        <f aca="false">IF(A778="","",IF(ISNUMBER(A778),A778,IFERROR(DATE(VALUE(MID(A778,7,4)),VALUE(MID(A778,4,2)),VALUE(MID(A778,1,2)))+TIME(VALUE(MID(A778,12,2)),VALUE(MID(A778,15,2)),VALUE(MID(A778,18,2))),"")))</f>
        <v/>
      </c>
    </row>
    <row r="779" customFormat="false" ht="15" hidden="false" customHeight="false" outlineLevel="0" collapsed="false">
      <c r="I779" s="15" t="str">
        <f aca="false">IF(N779="","",INT(N779))</f>
        <v/>
      </c>
      <c r="J779" s="16" t="str">
        <f aca="false">IF(B779="","",IF(N779=_xlfn.MINIFS($N$2:$N$5001,$B$2:$B$5001,B779),1,0))</f>
        <v/>
      </c>
      <c r="K779" s="16" t="str">
        <f aca="false">IF(B779="","",IF(AND(D779="Formalização",E779="Concluído"),IF(COUNTIFS($B$2:$B$5001,B779,$E$2:$E$5001,"Em ajustes",$N$2:$N$5001,"&lt;"&amp;I779)&gt;0,1,0),0))</f>
        <v/>
      </c>
      <c r="L779" s="16" t="str">
        <f aca="false">IF(B779="","",IF(N779=_xlfn.MAXIFS($N$2:$N$5001,$B$2:$B$5001,B779,$I$2:$I$5001,I779),1,0))</f>
        <v/>
      </c>
      <c r="M779" s="16" t="str">
        <f aca="false">IF(B779="","",IF(E779="Em ajustes",IF(N779=_xlfn.MINIFS($N$2:$N$5001,$B$2:$B$5001,B779,$E$2:$E$5001,"Em ajustes"),1,0),0))</f>
        <v/>
      </c>
      <c r="N779" s="17" t="str">
        <f aca="false">IF(A779="","",IF(ISNUMBER(A779),A779,IFERROR(DATE(VALUE(MID(A779,7,4)),VALUE(MID(A779,4,2)),VALUE(MID(A779,1,2)))+TIME(VALUE(MID(A779,12,2)),VALUE(MID(A779,15,2)),VALUE(MID(A779,18,2))),"")))</f>
        <v/>
      </c>
    </row>
    <row r="780" customFormat="false" ht="15" hidden="false" customHeight="false" outlineLevel="0" collapsed="false">
      <c r="I780" s="15" t="str">
        <f aca="false">IF(N780="","",INT(N780))</f>
        <v/>
      </c>
      <c r="J780" s="16" t="str">
        <f aca="false">IF(B780="","",IF(N780=_xlfn.MINIFS($N$2:$N$5001,$B$2:$B$5001,B780),1,0))</f>
        <v/>
      </c>
      <c r="K780" s="16" t="str">
        <f aca="false">IF(B780="","",IF(AND(D780="Formalização",E780="Concluído"),IF(COUNTIFS($B$2:$B$5001,B780,$E$2:$E$5001,"Em ajustes",$N$2:$N$5001,"&lt;"&amp;I780)&gt;0,1,0),0))</f>
        <v/>
      </c>
      <c r="L780" s="16" t="str">
        <f aca="false">IF(B780="","",IF(N780=_xlfn.MAXIFS($N$2:$N$5001,$B$2:$B$5001,B780,$I$2:$I$5001,I780),1,0))</f>
        <v/>
      </c>
      <c r="M780" s="16" t="str">
        <f aca="false">IF(B780="","",IF(E780="Em ajustes",IF(N780=_xlfn.MINIFS($N$2:$N$5001,$B$2:$B$5001,B780,$E$2:$E$5001,"Em ajustes"),1,0),0))</f>
        <v/>
      </c>
      <c r="N780" s="17" t="str">
        <f aca="false">IF(A780="","",IF(ISNUMBER(A780),A780,IFERROR(DATE(VALUE(MID(A780,7,4)),VALUE(MID(A780,4,2)),VALUE(MID(A780,1,2)))+TIME(VALUE(MID(A780,12,2)),VALUE(MID(A780,15,2)),VALUE(MID(A780,18,2))),"")))</f>
        <v/>
      </c>
    </row>
    <row r="781" customFormat="false" ht="15" hidden="false" customHeight="false" outlineLevel="0" collapsed="false">
      <c r="I781" s="15" t="str">
        <f aca="false">IF(N781="","",INT(N781))</f>
        <v/>
      </c>
      <c r="J781" s="16" t="str">
        <f aca="false">IF(B781="","",IF(N781=_xlfn.MINIFS($N$2:$N$5001,$B$2:$B$5001,B781),1,0))</f>
        <v/>
      </c>
      <c r="K781" s="16" t="str">
        <f aca="false">IF(B781="","",IF(AND(D781="Formalização",E781="Concluído"),IF(COUNTIFS($B$2:$B$5001,B781,$E$2:$E$5001,"Em ajustes",$N$2:$N$5001,"&lt;"&amp;I781)&gt;0,1,0),0))</f>
        <v/>
      </c>
      <c r="L781" s="16" t="str">
        <f aca="false">IF(B781="","",IF(N781=_xlfn.MAXIFS($N$2:$N$5001,$B$2:$B$5001,B781,$I$2:$I$5001,I781),1,0))</f>
        <v/>
      </c>
      <c r="M781" s="16" t="str">
        <f aca="false">IF(B781="","",IF(E781="Em ajustes",IF(N781=_xlfn.MINIFS($N$2:$N$5001,$B$2:$B$5001,B781,$E$2:$E$5001,"Em ajustes"),1,0),0))</f>
        <v/>
      </c>
      <c r="N781" s="17" t="str">
        <f aca="false">IF(A781="","",IF(ISNUMBER(A781),A781,IFERROR(DATE(VALUE(MID(A781,7,4)),VALUE(MID(A781,4,2)),VALUE(MID(A781,1,2)))+TIME(VALUE(MID(A781,12,2)),VALUE(MID(A781,15,2)),VALUE(MID(A781,18,2))),"")))</f>
        <v/>
      </c>
    </row>
    <row r="782" customFormat="false" ht="15" hidden="false" customHeight="false" outlineLevel="0" collapsed="false">
      <c r="I782" s="15" t="str">
        <f aca="false">IF(N782="","",INT(N782))</f>
        <v/>
      </c>
      <c r="J782" s="16" t="str">
        <f aca="false">IF(B782="","",IF(N782=_xlfn.MINIFS($N$2:$N$5001,$B$2:$B$5001,B782),1,0))</f>
        <v/>
      </c>
      <c r="K782" s="16" t="str">
        <f aca="false">IF(B782="","",IF(AND(D782="Formalização",E782="Concluído"),IF(COUNTIFS($B$2:$B$5001,B782,$E$2:$E$5001,"Em ajustes",$N$2:$N$5001,"&lt;"&amp;I782)&gt;0,1,0),0))</f>
        <v/>
      </c>
      <c r="L782" s="16" t="str">
        <f aca="false">IF(B782="","",IF(N782=_xlfn.MAXIFS($N$2:$N$5001,$B$2:$B$5001,B782,$I$2:$I$5001,I782),1,0))</f>
        <v/>
      </c>
      <c r="M782" s="16" t="str">
        <f aca="false">IF(B782="","",IF(E782="Em ajustes",IF(N782=_xlfn.MINIFS($N$2:$N$5001,$B$2:$B$5001,B782,$E$2:$E$5001,"Em ajustes"),1,0),0))</f>
        <v/>
      </c>
      <c r="N782" s="17" t="str">
        <f aca="false">IF(A782="","",IF(ISNUMBER(A782),A782,IFERROR(DATE(VALUE(MID(A782,7,4)),VALUE(MID(A782,4,2)),VALUE(MID(A782,1,2)))+TIME(VALUE(MID(A782,12,2)),VALUE(MID(A782,15,2)),VALUE(MID(A782,18,2))),"")))</f>
        <v/>
      </c>
    </row>
    <row r="783" customFormat="false" ht="15" hidden="false" customHeight="false" outlineLevel="0" collapsed="false">
      <c r="I783" s="15" t="str">
        <f aca="false">IF(N783="","",INT(N783))</f>
        <v/>
      </c>
      <c r="J783" s="16" t="str">
        <f aca="false">IF(B783="","",IF(N783=_xlfn.MINIFS($N$2:$N$5001,$B$2:$B$5001,B783),1,0))</f>
        <v/>
      </c>
      <c r="K783" s="16" t="str">
        <f aca="false">IF(B783="","",IF(AND(D783="Formalização",E783="Concluído"),IF(COUNTIFS($B$2:$B$5001,B783,$E$2:$E$5001,"Em ajustes",$N$2:$N$5001,"&lt;"&amp;I783)&gt;0,1,0),0))</f>
        <v/>
      </c>
      <c r="L783" s="16" t="str">
        <f aca="false">IF(B783="","",IF(N783=_xlfn.MAXIFS($N$2:$N$5001,$B$2:$B$5001,B783,$I$2:$I$5001,I783),1,0))</f>
        <v/>
      </c>
      <c r="M783" s="16" t="str">
        <f aca="false">IF(B783="","",IF(E783="Em ajustes",IF(N783=_xlfn.MINIFS($N$2:$N$5001,$B$2:$B$5001,B783,$E$2:$E$5001,"Em ajustes"),1,0),0))</f>
        <v/>
      </c>
      <c r="N783" s="17" t="str">
        <f aca="false">IF(A783="","",IF(ISNUMBER(A783),A783,IFERROR(DATE(VALUE(MID(A783,7,4)),VALUE(MID(A783,4,2)),VALUE(MID(A783,1,2)))+TIME(VALUE(MID(A783,12,2)),VALUE(MID(A783,15,2)),VALUE(MID(A783,18,2))),"")))</f>
        <v/>
      </c>
    </row>
    <row r="784" customFormat="false" ht="15" hidden="false" customHeight="false" outlineLevel="0" collapsed="false">
      <c r="I784" s="15" t="str">
        <f aca="false">IF(N784="","",INT(N784))</f>
        <v/>
      </c>
      <c r="J784" s="16" t="str">
        <f aca="false">IF(B784="","",IF(N784=_xlfn.MINIFS($N$2:$N$5001,$B$2:$B$5001,B784),1,0))</f>
        <v/>
      </c>
      <c r="K784" s="16" t="str">
        <f aca="false">IF(B784="","",IF(AND(D784="Formalização",E784="Concluído"),IF(COUNTIFS($B$2:$B$5001,B784,$E$2:$E$5001,"Em ajustes",$N$2:$N$5001,"&lt;"&amp;I784)&gt;0,1,0),0))</f>
        <v/>
      </c>
      <c r="L784" s="16" t="str">
        <f aca="false">IF(B784="","",IF(N784=_xlfn.MAXIFS($N$2:$N$5001,$B$2:$B$5001,B784,$I$2:$I$5001,I784),1,0))</f>
        <v/>
      </c>
      <c r="M784" s="16" t="str">
        <f aca="false">IF(B784="","",IF(E784="Em ajustes",IF(N784=_xlfn.MINIFS($N$2:$N$5001,$B$2:$B$5001,B784,$E$2:$E$5001,"Em ajustes"),1,0),0))</f>
        <v/>
      </c>
      <c r="N784" s="17" t="str">
        <f aca="false">IF(A784="","",IF(ISNUMBER(A784),A784,IFERROR(DATE(VALUE(MID(A784,7,4)),VALUE(MID(A784,4,2)),VALUE(MID(A784,1,2)))+TIME(VALUE(MID(A784,12,2)),VALUE(MID(A784,15,2)),VALUE(MID(A784,18,2))),"")))</f>
        <v/>
      </c>
    </row>
    <row r="785" customFormat="false" ht="15" hidden="false" customHeight="false" outlineLevel="0" collapsed="false">
      <c r="I785" s="15" t="str">
        <f aca="false">IF(N785="","",INT(N785))</f>
        <v/>
      </c>
      <c r="J785" s="16" t="str">
        <f aca="false">IF(B785="","",IF(N785=_xlfn.MINIFS($N$2:$N$5001,$B$2:$B$5001,B785),1,0))</f>
        <v/>
      </c>
      <c r="K785" s="16" t="str">
        <f aca="false">IF(B785="","",IF(AND(D785="Formalização",E785="Concluído"),IF(COUNTIFS($B$2:$B$5001,B785,$E$2:$E$5001,"Em ajustes",$N$2:$N$5001,"&lt;"&amp;I785)&gt;0,1,0),0))</f>
        <v/>
      </c>
      <c r="L785" s="16" t="str">
        <f aca="false">IF(B785="","",IF(N785=_xlfn.MAXIFS($N$2:$N$5001,$B$2:$B$5001,B785,$I$2:$I$5001,I785),1,0))</f>
        <v/>
      </c>
      <c r="M785" s="16" t="str">
        <f aca="false">IF(B785="","",IF(E785="Em ajustes",IF(N785=_xlfn.MINIFS($N$2:$N$5001,$B$2:$B$5001,B785,$E$2:$E$5001,"Em ajustes"),1,0),0))</f>
        <v/>
      </c>
      <c r="N785" s="17" t="str">
        <f aca="false">IF(A785="","",IF(ISNUMBER(A785),A785,IFERROR(DATE(VALUE(MID(A785,7,4)),VALUE(MID(A785,4,2)),VALUE(MID(A785,1,2)))+TIME(VALUE(MID(A785,12,2)),VALUE(MID(A785,15,2)),VALUE(MID(A785,18,2))),"")))</f>
        <v/>
      </c>
    </row>
    <row r="786" customFormat="false" ht="15" hidden="false" customHeight="false" outlineLevel="0" collapsed="false">
      <c r="I786" s="15" t="str">
        <f aca="false">IF(N786="","",INT(N786))</f>
        <v/>
      </c>
      <c r="J786" s="16" t="str">
        <f aca="false">IF(B786="","",IF(N786=_xlfn.MINIFS($N$2:$N$5001,$B$2:$B$5001,B786),1,0))</f>
        <v/>
      </c>
      <c r="K786" s="16" t="str">
        <f aca="false">IF(B786="","",IF(AND(D786="Formalização",E786="Concluído"),IF(COUNTIFS($B$2:$B$5001,B786,$E$2:$E$5001,"Em ajustes",$N$2:$N$5001,"&lt;"&amp;I786)&gt;0,1,0),0))</f>
        <v/>
      </c>
      <c r="L786" s="16" t="str">
        <f aca="false">IF(B786="","",IF(N786=_xlfn.MAXIFS($N$2:$N$5001,$B$2:$B$5001,B786,$I$2:$I$5001,I786),1,0))</f>
        <v/>
      </c>
      <c r="M786" s="16" t="str">
        <f aca="false">IF(B786="","",IF(E786="Em ajustes",IF(N786=_xlfn.MINIFS($N$2:$N$5001,$B$2:$B$5001,B786,$E$2:$E$5001,"Em ajustes"),1,0),0))</f>
        <v/>
      </c>
      <c r="N786" s="17" t="str">
        <f aca="false">IF(A786="","",IF(ISNUMBER(A786),A786,IFERROR(DATE(VALUE(MID(A786,7,4)),VALUE(MID(A786,4,2)),VALUE(MID(A786,1,2)))+TIME(VALUE(MID(A786,12,2)),VALUE(MID(A786,15,2)),VALUE(MID(A786,18,2))),"")))</f>
        <v/>
      </c>
    </row>
    <row r="787" customFormat="false" ht="15" hidden="false" customHeight="false" outlineLevel="0" collapsed="false">
      <c r="I787" s="15" t="str">
        <f aca="false">IF(N787="","",INT(N787))</f>
        <v/>
      </c>
      <c r="J787" s="16" t="str">
        <f aca="false">IF(B787="","",IF(N787=_xlfn.MINIFS($N$2:$N$5001,$B$2:$B$5001,B787),1,0))</f>
        <v/>
      </c>
      <c r="K787" s="16" t="str">
        <f aca="false">IF(B787="","",IF(AND(D787="Formalização",E787="Concluído"),IF(COUNTIFS($B$2:$B$5001,B787,$E$2:$E$5001,"Em ajustes",$N$2:$N$5001,"&lt;"&amp;I787)&gt;0,1,0),0))</f>
        <v/>
      </c>
      <c r="L787" s="16" t="str">
        <f aca="false">IF(B787="","",IF(N787=_xlfn.MAXIFS($N$2:$N$5001,$B$2:$B$5001,B787,$I$2:$I$5001,I787),1,0))</f>
        <v/>
      </c>
      <c r="M787" s="16" t="str">
        <f aca="false">IF(B787="","",IF(E787="Em ajustes",IF(N787=_xlfn.MINIFS($N$2:$N$5001,$B$2:$B$5001,B787,$E$2:$E$5001,"Em ajustes"),1,0),0))</f>
        <v/>
      </c>
      <c r="N787" s="17" t="str">
        <f aca="false">IF(A787="","",IF(ISNUMBER(A787),A787,IFERROR(DATE(VALUE(MID(A787,7,4)),VALUE(MID(A787,4,2)),VALUE(MID(A787,1,2)))+TIME(VALUE(MID(A787,12,2)),VALUE(MID(A787,15,2)),VALUE(MID(A787,18,2))),"")))</f>
        <v/>
      </c>
    </row>
    <row r="788" customFormat="false" ht="15" hidden="false" customHeight="false" outlineLevel="0" collapsed="false">
      <c r="I788" s="15" t="str">
        <f aca="false">IF(N788="","",INT(N788))</f>
        <v/>
      </c>
      <c r="J788" s="16" t="str">
        <f aca="false">IF(B788="","",IF(N788=_xlfn.MINIFS($N$2:$N$5001,$B$2:$B$5001,B788),1,0))</f>
        <v/>
      </c>
      <c r="K788" s="16" t="str">
        <f aca="false">IF(B788="","",IF(AND(D788="Formalização",E788="Concluído"),IF(COUNTIFS($B$2:$B$5001,B788,$E$2:$E$5001,"Em ajustes",$N$2:$N$5001,"&lt;"&amp;I788)&gt;0,1,0),0))</f>
        <v/>
      </c>
      <c r="L788" s="16" t="str">
        <f aca="false">IF(B788="","",IF(N788=_xlfn.MAXIFS($N$2:$N$5001,$B$2:$B$5001,B788,$I$2:$I$5001,I788),1,0))</f>
        <v/>
      </c>
      <c r="M788" s="16" t="str">
        <f aca="false">IF(B788="","",IF(E788="Em ajustes",IF(N788=_xlfn.MINIFS($N$2:$N$5001,$B$2:$B$5001,B788,$E$2:$E$5001,"Em ajustes"),1,0),0))</f>
        <v/>
      </c>
      <c r="N788" s="17" t="str">
        <f aca="false">IF(A788="","",IF(ISNUMBER(A788),A788,IFERROR(DATE(VALUE(MID(A788,7,4)),VALUE(MID(A788,4,2)),VALUE(MID(A788,1,2)))+TIME(VALUE(MID(A788,12,2)),VALUE(MID(A788,15,2)),VALUE(MID(A788,18,2))),"")))</f>
        <v/>
      </c>
    </row>
    <row r="789" customFormat="false" ht="15" hidden="false" customHeight="false" outlineLevel="0" collapsed="false">
      <c r="I789" s="15" t="str">
        <f aca="false">IF(N789="","",INT(N789))</f>
        <v/>
      </c>
      <c r="J789" s="16" t="str">
        <f aca="false">IF(B789="","",IF(N789=_xlfn.MINIFS($N$2:$N$5001,$B$2:$B$5001,B789),1,0))</f>
        <v/>
      </c>
      <c r="K789" s="16" t="str">
        <f aca="false">IF(B789="","",IF(AND(D789="Formalização",E789="Concluído"),IF(COUNTIFS($B$2:$B$5001,B789,$E$2:$E$5001,"Em ajustes",$N$2:$N$5001,"&lt;"&amp;I789)&gt;0,1,0),0))</f>
        <v/>
      </c>
      <c r="L789" s="16" t="str">
        <f aca="false">IF(B789="","",IF(N789=_xlfn.MAXIFS($N$2:$N$5001,$B$2:$B$5001,B789,$I$2:$I$5001,I789),1,0))</f>
        <v/>
      </c>
      <c r="M789" s="16" t="str">
        <f aca="false">IF(B789="","",IF(E789="Em ajustes",IF(N789=_xlfn.MINIFS($N$2:$N$5001,$B$2:$B$5001,B789,$E$2:$E$5001,"Em ajustes"),1,0),0))</f>
        <v/>
      </c>
      <c r="N789" s="17" t="str">
        <f aca="false">IF(A789="","",IF(ISNUMBER(A789),A789,IFERROR(DATE(VALUE(MID(A789,7,4)),VALUE(MID(A789,4,2)),VALUE(MID(A789,1,2)))+TIME(VALUE(MID(A789,12,2)),VALUE(MID(A789,15,2)),VALUE(MID(A789,18,2))),"")))</f>
        <v/>
      </c>
    </row>
    <row r="790" customFormat="false" ht="15" hidden="false" customHeight="false" outlineLevel="0" collapsed="false">
      <c r="I790" s="15" t="str">
        <f aca="false">IF(N790="","",INT(N790))</f>
        <v/>
      </c>
      <c r="J790" s="16" t="str">
        <f aca="false">IF(B790="","",IF(N790=_xlfn.MINIFS($N$2:$N$5001,$B$2:$B$5001,B790),1,0))</f>
        <v/>
      </c>
      <c r="K790" s="16" t="str">
        <f aca="false">IF(B790="","",IF(AND(D790="Formalização",E790="Concluído"),IF(COUNTIFS($B$2:$B$5001,B790,$E$2:$E$5001,"Em ajustes",$N$2:$N$5001,"&lt;"&amp;I790)&gt;0,1,0),0))</f>
        <v/>
      </c>
      <c r="L790" s="16" t="str">
        <f aca="false">IF(B790="","",IF(N790=_xlfn.MAXIFS($N$2:$N$5001,$B$2:$B$5001,B790,$I$2:$I$5001,I790),1,0))</f>
        <v/>
      </c>
      <c r="M790" s="16" t="str">
        <f aca="false">IF(B790="","",IF(E790="Em ajustes",IF(N790=_xlfn.MINIFS($N$2:$N$5001,$B$2:$B$5001,B790,$E$2:$E$5001,"Em ajustes"),1,0),0))</f>
        <v/>
      </c>
      <c r="N790" s="17" t="str">
        <f aca="false">IF(A790="","",IF(ISNUMBER(A790),A790,IFERROR(DATE(VALUE(MID(A790,7,4)),VALUE(MID(A790,4,2)),VALUE(MID(A790,1,2)))+TIME(VALUE(MID(A790,12,2)),VALUE(MID(A790,15,2)),VALUE(MID(A790,18,2))),"")))</f>
        <v/>
      </c>
    </row>
    <row r="791" customFormat="false" ht="15" hidden="false" customHeight="false" outlineLevel="0" collapsed="false">
      <c r="I791" s="15" t="str">
        <f aca="false">IF(N791="","",INT(N791))</f>
        <v/>
      </c>
      <c r="J791" s="16" t="str">
        <f aca="false">IF(B791="","",IF(N791=_xlfn.MINIFS($N$2:$N$5001,$B$2:$B$5001,B791),1,0))</f>
        <v/>
      </c>
      <c r="K791" s="16" t="str">
        <f aca="false">IF(B791="","",IF(AND(D791="Formalização",E791="Concluído"),IF(COUNTIFS($B$2:$B$5001,B791,$E$2:$E$5001,"Em ajustes",$N$2:$N$5001,"&lt;"&amp;I791)&gt;0,1,0),0))</f>
        <v/>
      </c>
      <c r="L791" s="16" t="str">
        <f aca="false">IF(B791="","",IF(N791=_xlfn.MAXIFS($N$2:$N$5001,$B$2:$B$5001,B791,$I$2:$I$5001,I791),1,0))</f>
        <v/>
      </c>
      <c r="M791" s="16" t="str">
        <f aca="false">IF(B791="","",IF(E791="Em ajustes",IF(N791=_xlfn.MINIFS($N$2:$N$5001,$B$2:$B$5001,B791,$E$2:$E$5001,"Em ajustes"),1,0),0))</f>
        <v/>
      </c>
      <c r="N791" s="17" t="str">
        <f aca="false">IF(A791="","",IF(ISNUMBER(A791),A791,IFERROR(DATE(VALUE(MID(A791,7,4)),VALUE(MID(A791,4,2)),VALUE(MID(A791,1,2)))+TIME(VALUE(MID(A791,12,2)),VALUE(MID(A791,15,2)),VALUE(MID(A791,18,2))),"")))</f>
        <v/>
      </c>
    </row>
    <row r="792" customFormat="false" ht="15" hidden="false" customHeight="false" outlineLevel="0" collapsed="false">
      <c r="I792" s="15" t="str">
        <f aca="false">IF(N792="","",INT(N792))</f>
        <v/>
      </c>
      <c r="J792" s="16" t="str">
        <f aca="false">IF(B792="","",IF(N792=_xlfn.MINIFS($N$2:$N$5001,$B$2:$B$5001,B792),1,0))</f>
        <v/>
      </c>
      <c r="K792" s="16" t="str">
        <f aca="false">IF(B792="","",IF(AND(D792="Formalização",E792="Concluído"),IF(COUNTIFS($B$2:$B$5001,B792,$E$2:$E$5001,"Em ajustes",$N$2:$N$5001,"&lt;"&amp;I792)&gt;0,1,0),0))</f>
        <v/>
      </c>
      <c r="L792" s="16" t="str">
        <f aca="false">IF(B792="","",IF(N792=_xlfn.MAXIFS($N$2:$N$5001,$B$2:$B$5001,B792,$I$2:$I$5001,I792),1,0))</f>
        <v/>
      </c>
      <c r="M792" s="16" t="str">
        <f aca="false">IF(B792="","",IF(E792="Em ajustes",IF(N792=_xlfn.MINIFS($N$2:$N$5001,$B$2:$B$5001,B792,$E$2:$E$5001,"Em ajustes"),1,0),0))</f>
        <v/>
      </c>
      <c r="N792" s="17" t="str">
        <f aca="false">IF(A792="","",IF(ISNUMBER(A792),A792,IFERROR(DATE(VALUE(MID(A792,7,4)),VALUE(MID(A792,4,2)),VALUE(MID(A792,1,2)))+TIME(VALUE(MID(A792,12,2)),VALUE(MID(A792,15,2)),VALUE(MID(A792,18,2))),"")))</f>
        <v/>
      </c>
    </row>
    <row r="793" customFormat="false" ht="15" hidden="false" customHeight="false" outlineLevel="0" collapsed="false">
      <c r="I793" s="15" t="str">
        <f aca="false">IF(N793="","",INT(N793))</f>
        <v/>
      </c>
      <c r="J793" s="16" t="str">
        <f aca="false">IF(B793="","",IF(N793=_xlfn.MINIFS($N$2:$N$5001,$B$2:$B$5001,B793),1,0))</f>
        <v/>
      </c>
      <c r="K793" s="16" t="str">
        <f aca="false">IF(B793="","",IF(AND(D793="Formalização",E793="Concluído"),IF(COUNTIFS($B$2:$B$5001,B793,$E$2:$E$5001,"Em ajustes",$N$2:$N$5001,"&lt;"&amp;I793)&gt;0,1,0),0))</f>
        <v/>
      </c>
      <c r="L793" s="16" t="str">
        <f aca="false">IF(B793="","",IF(N793=_xlfn.MAXIFS($N$2:$N$5001,$B$2:$B$5001,B793,$I$2:$I$5001,I793),1,0))</f>
        <v/>
      </c>
      <c r="M793" s="16" t="str">
        <f aca="false">IF(B793="","",IF(E793="Em ajustes",IF(N793=_xlfn.MINIFS($N$2:$N$5001,$B$2:$B$5001,B793,$E$2:$E$5001,"Em ajustes"),1,0),0))</f>
        <v/>
      </c>
      <c r="N793" s="17" t="str">
        <f aca="false">IF(A793="","",IF(ISNUMBER(A793),A793,IFERROR(DATE(VALUE(MID(A793,7,4)),VALUE(MID(A793,4,2)),VALUE(MID(A793,1,2)))+TIME(VALUE(MID(A793,12,2)),VALUE(MID(A793,15,2)),VALUE(MID(A793,18,2))),"")))</f>
        <v/>
      </c>
    </row>
    <row r="794" customFormat="false" ht="15" hidden="false" customHeight="false" outlineLevel="0" collapsed="false">
      <c r="I794" s="15" t="str">
        <f aca="false">IF(N794="","",INT(N794))</f>
        <v/>
      </c>
      <c r="J794" s="16" t="str">
        <f aca="false">IF(B794="","",IF(N794=_xlfn.MINIFS($N$2:$N$5001,$B$2:$B$5001,B794),1,0))</f>
        <v/>
      </c>
      <c r="K794" s="16" t="str">
        <f aca="false">IF(B794="","",IF(AND(D794="Formalização",E794="Concluído"),IF(COUNTIFS($B$2:$B$5001,B794,$E$2:$E$5001,"Em ajustes",$N$2:$N$5001,"&lt;"&amp;I794)&gt;0,1,0),0))</f>
        <v/>
      </c>
      <c r="L794" s="16" t="str">
        <f aca="false">IF(B794="","",IF(N794=_xlfn.MAXIFS($N$2:$N$5001,$B$2:$B$5001,B794,$I$2:$I$5001,I794),1,0))</f>
        <v/>
      </c>
      <c r="M794" s="16" t="str">
        <f aca="false">IF(B794="","",IF(E794="Em ajustes",IF(N794=_xlfn.MINIFS($N$2:$N$5001,$B$2:$B$5001,B794,$E$2:$E$5001,"Em ajustes"),1,0),0))</f>
        <v/>
      </c>
      <c r="N794" s="17" t="str">
        <f aca="false">IF(A794="","",IF(ISNUMBER(A794),A794,IFERROR(DATE(VALUE(MID(A794,7,4)),VALUE(MID(A794,4,2)),VALUE(MID(A794,1,2)))+TIME(VALUE(MID(A794,12,2)),VALUE(MID(A794,15,2)),VALUE(MID(A794,18,2))),"")))</f>
        <v/>
      </c>
    </row>
    <row r="795" customFormat="false" ht="15" hidden="false" customHeight="false" outlineLevel="0" collapsed="false">
      <c r="I795" s="15" t="str">
        <f aca="false">IF(N795="","",INT(N795))</f>
        <v/>
      </c>
      <c r="J795" s="16" t="str">
        <f aca="false">IF(B795="","",IF(N795=_xlfn.MINIFS($N$2:$N$5001,$B$2:$B$5001,B795),1,0))</f>
        <v/>
      </c>
      <c r="K795" s="16" t="str">
        <f aca="false">IF(B795="","",IF(AND(D795="Formalização",E795="Concluído"),IF(COUNTIFS($B$2:$B$5001,B795,$E$2:$E$5001,"Em ajustes",$N$2:$N$5001,"&lt;"&amp;I795)&gt;0,1,0),0))</f>
        <v/>
      </c>
      <c r="L795" s="16" t="str">
        <f aca="false">IF(B795="","",IF(N795=_xlfn.MAXIFS($N$2:$N$5001,$B$2:$B$5001,B795,$I$2:$I$5001,I795),1,0))</f>
        <v/>
      </c>
      <c r="M795" s="16" t="str">
        <f aca="false">IF(B795="","",IF(E795="Em ajustes",IF(N795=_xlfn.MINIFS($N$2:$N$5001,$B$2:$B$5001,B795,$E$2:$E$5001,"Em ajustes"),1,0),0))</f>
        <v/>
      </c>
      <c r="N795" s="17" t="str">
        <f aca="false">IF(A795="","",IF(ISNUMBER(A795),A795,IFERROR(DATE(VALUE(MID(A795,7,4)),VALUE(MID(A795,4,2)),VALUE(MID(A795,1,2)))+TIME(VALUE(MID(A795,12,2)),VALUE(MID(A795,15,2)),VALUE(MID(A795,18,2))),"")))</f>
        <v/>
      </c>
    </row>
    <row r="796" customFormat="false" ht="15" hidden="false" customHeight="false" outlineLevel="0" collapsed="false">
      <c r="I796" s="15" t="str">
        <f aca="false">IF(N796="","",INT(N796))</f>
        <v/>
      </c>
      <c r="J796" s="16" t="str">
        <f aca="false">IF(B796="","",IF(N796=_xlfn.MINIFS($N$2:$N$5001,$B$2:$B$5001,B796),1,0))</f>
        <v/>
      </c>
      <c r="K796" s="16" t="str">
        <f aca="false">IF(B796="","",IF(AND(D796="Formalização",E796="Concluído"),IF(COUNTIFS($B$2:$B$5001,B796,$E$2:$E$5001,"Em ajustes",$N$2:$N$5001,"&lt;"&amp;I796)&gt;0,1,0),0))</f>
        <v/>
      </c>
      <c r="L796" s="16" t="str">
        <f aca="false">IF(B796="","",IF(N796=_xlfn.MAXIFS($N$2:$N$5001,$B$2:$B$5001,B796,$I$2:$I$5001,I796),1,0))</f>
        <v/>
      </c>
      <c r="M796" s="16" t="str">
        <f aca="false">IF(B796="","",IF(E796="Em ajustes",IF(N796=_xlfn.MINIFS($N$2:$N$5001,$B$2:$B$5001,B796,$E$2:$E$5001,"Em ajustes"),1,0),0))</f>
        <v/>
      </c>
      <c r="N796" s="17" t="str">
        <f aca="false">IF(A796="","",IF(ISNUMBER(A796),A796,IFERROR(DATE(VALUE(MID(A796,7,4)),VALUE(MID(A796,4,2)),VALUE(MID(A796,1,2)))+TIME(VALUE(MID(A796,12,2)),VALUE(MID(A796,15,2)),VALUE(MID(A796,18,2))),"")))</f>
        <v/>
      </c>
    </row>
    <row r="797" customFormat="false" ht="15" hidden="false" customHeight="false" outlineLevel="0" collapsed="false">
      <c r="I797" s="15" t="str">
        <f aca="false">IF(N797="","",INT(N797))</f>
        <v/>
      </c>
      <c r="J797" s="16" t="str">
        <f aca="false">IF(B797="","",IF(N797=_xlfn.MINIFS($N$2:$N$5001,$B$2:$B$5001,B797),1,0))</f>
        <v/>
      </c>
      <c r="K797" s="16" t="str">
        <f aca="false">IF(B797="","",IF(AND(D797="Formalização",E797="Concluído"),IF(COUNTIFS($B$2:$B$5001,B797,$E$2:$E$5001,"Em ajustes",$N$2:$N$5001,"&lt;"&amp;I797)&gt;0,1,0),0))</f>
        <v/>
      </c>
      <c r="L797" s="16" t="str">
        <f aca="false">IF(B797="","",IF(N797=_xlfn.MAXIFS($N$2:$N$5001,$B$2:$B$5001,B797,$I$2:$I$5001,I797),1,0))</f>
        <v/>
      </c>
      <c r="M797" s="16" t="str">
        <f aca="false">IF(B797="","",IF(E797="Em ajustes",IF(N797=_xlfn.MINIFS($N$2:$N$5001,$B$2:$B$5001,B797,$E$2:$E$5001,"Em ajustes"),1,0),0))</f>
        <v/>
      </c>
      <c r="N797" s="17" t="str">
        <f aca="false">IF(A797="","",IF(ISNUMBER(A797),A797,IFERROR(DATE(VALUE(MID(A797,7,4)),VALUE(MID(A797,4,2)),VALUE(MID(A797,1,2)))+TIME(VALUE(MID(A797,12,2)),VALUE(MID(A797,15,2)),VALUE(MID(A797,18,2))),"")))</f>
        <v/>
      </c>
    </row>
    <row r="798" customFormat="false" ht="15" hidden="false" customHeight="false" outlineLevel="0" collapsed="false">
      <c r="I798" s="15" t="str">
        <f aca="false">IF(N798="","",INT(N798))</f>
        <v/>
      </c>
      <c r="J798" s="16" t="str">
        <f aca="false">IF(B798="","",IF(N798=_xlfn.MINIFS($N$2:$N$5001,$B$2:$B$5001,B798),1,0))</f>
        <v/>
      </c>
      <c r="K798" s="16" t="str">
        <f aca="false">IF(B798="","",IF(AND(D798="Formalização",E798="Concluído"),IF(COUNTIFS($B$2:$B$5001,B798,$E$2:$E$5001,"Em ajustes",$N$2:$N$5001,"&lt;"&amp;I798)&gt;0,1,0),0))</f>
        <v/>
      </c>
      <c r="L798" s="16" t="str">
        <f aca="false">IF(B798="","",IF(N798=_xlfn.MAXIFS($N$2:$N$5001,$B$2:$B$5001,B798,$I$2:$I$5001,I798),1,0))</f>
        <v/>
      </c>
      <c r="M798" s="16" t="str">
        <f aca="false">IF(B798="","",IF(E798="Em ajustes",IF(N798=_xlfn.MINIFS($N$2:$N$5001,$B$2:$B$5001,B798,$E$2:$E$5001,"Em ajustes"),1,0),0))</f>
        <v/>
      </c>
      <c r="N798" s="17" t="str">
        <f aca="false">IF(A798="","",IF(ISNUMBER(A798),A798,IFERROR(DATE(VALUE(MID(A798,7,4)),VALUE(MID(A798,4,2)),VALUE(MID(A798,1,2)))+TIME(VALUE(MID(A798,12,2)),VALUE(MID(A798,15,2)),VALUE(MID(A798,18,2))),"")))</f>
        <v/>
      </c>
    </row>
    <row r="799" customFormat="false" ht="15" hidden="false" customHeight="false" outlineLevel="0" collapsed="false">
      <c r="I799" s="15" t="str">
        <f aca="false">IF(N799="","",INT(N799))</f>
        <v/>
      </c>
      <c r="J799" s="16" t="str">
        <f aca="false">IF(B799="","",IF(N799=_xlfn.MINIFS($N$2:$N$5001,$B$2:$B$5001,B799),1,0))</f>
        <v/>
      </c>
      <c r="K799" s="16" t="str">
        <f aca="false">IF(B799="","",IF(AND(D799="Formalização",E799="Concluído"),IF(COUNTIFS($B$2:$B$5001,B799,$E$2:$E$5001,"Em ajustes",$N$2:$N$5001,"&lt;"&amp;I799)&gt;0,1,0),0))</f>
        <v/>
      </c>
      <c r="L799" s="16" t="str">
        <f aca="false">IF(B799="","",IF(N799=_xlfn.MAXIFS($N$2:$N$5001,$B$2:$B$5001,B799,$I$2:$I$5001,I799),1,0))</f>
        <v/>
      </c>
      <c r="M799" s="16" t="str">
        <f aca="false">IF(B799="","",IF(E799="Em ajustes",IF(N799=_xlfn.MINIFS($N$2:$N$5001,$B$2:$B$5001,B799,$E$2:$E$5001,"Em ajustes"),1,0),0))</f>
        <v/>
      </c>
      <c r="N799" s="17" t="str">
        <f aca="false">IF(A799="","",IF(ISNUMBER(A799),A799,IFERROR(DATE(VALUE(MID(A799,7,4)),VALUE(MID(A799,4,2)),VALUE(MID(A799,1,2)))+TIME(VALUE(MID(A799,12,2)),VALUE(MID(A799,15,2)),VALUE(MID(A799,18,2))),"")))</f>
        <v/>
      </c>
    </row>
    <row r="800" customFormat="false" ht="15" hidden="false" customHeight="false" outlineLevel="0" collapsed="false">
      <c r="I800" s="15" t="str">
        <f aca="false">IF(N800="","",INT(N800))</f>
        <v/>
      </c>
      <c r="J800" s="16" t="str">
        <f aca="false">IF(B800="","",IF(N800=_xlfn.MINIFS($N$2:$N$5001,$B$2:$B$5001,B800),1,0))</f>
        <v/>
      </c>
      <c r="K800" s="16" t="str">
        <f aca="false">IF(B800="","",IF(AND(D800="Formalização",E800="Concluído"),IF(COUNTIFS($B$2:$B$5001,B800,$E$2:$E$5001,"Em ajustes",$N$2:$N$5001,"&lt;"&amp;I800)&gt;0,1,0),0))</f>
        <v/>
      </c>
      <c r="L800" s="16" t="str">
        <f aca="false">IF(B800="","",IF(N800=_xlfn.MAXIFS($N$2:$N$5001,$B$2:$B$5001,B800,$I$2:$I$5001,I800),1,0))</f>
        <v/>
      </c>
      <c r="M800" s="16" t="str">
        <f aca="false">IF(B800="","",IF(E800="Em ajustes",IF(N800=_xlfn.MINIFS($N$2:$N$5001,$B$2:$B$5001,B800,$E$2:$E$5001,"Em ajustes"),1,0),0))</f>
        <v/>
      </c>
      <c r="N800" s="17" t="str">
        <f aca="false">IF(A800="","",IF(ISNUMBER(A800),A800,IFERROR(DATE(VALUE(MID(A800,7,4)),VALUE(MID(A800,4,2)),VALUE(MID(A800,1,2)))+TIME(VALUE(MID(A800,12,2)),VALUE(MID(A800,15,2)),VALUE(MID(A800,18,2))),"")))</f>
        <v/>
      </c>
    </row>
    <row r="801" customFormat="false" ht="15" hidden="false" customHeight="false" outlineLevel="0" collapsed="false">
      <c r="I801" s="15" t="str">
        <f aca="false">IF(N801="","",INT(N801))</f>
        <v/>
      </c>
      <c r="J801" s="16" t="str">
        <f aca="false">IF(B801="","",IF(N801=_xlfn.MINIFS($N$2:$N$5001,$B$2:$B$5001,B801),1,0))</f>
        <v/>
      </c>
      <c r="K801" s="16" t="str">
        <f aca="false">IF(B801="","",IF(AND(D801="Formalização",E801="Concluído"),IF(COUNTIFS($B$2:$B$5001,B801,$E$2:$E$5001,"Em ajustes",$N$2:$N$5001,"&lt;"&amp;I801)&gt;0,1,0),0))</f>
        <v/>
      </c>
      <c r="L801" s="16" t="str">
        <f aca="false">IF(B801="","",IF(N801=_xlfn.MAXIFS($N$2:$N$5001,$B$2:$B$5001,B801,$I$2:$I$5001,I801),1,0))</f>
        <v/>
      </c>
      <c r="M801" s="16" t="str">
        <f aca="false">IF(B801="","",IF(E801="Em ajustes",IF(N801=_xlfn.MINIFS($N$2:$N$5001,$B$2:$B$5001,B801,$E$2:$E$5001,"Em ajustes"),1,0),0))</f>
        <v/>
      </c>
      <c r="N801" s="17" t="str">
        <f aca="false">IF(A801="","",IF(ISNUMBER(A801),A801,IFERROR(DATE(VALUE(MID(A801,7,4)),VALUE(MID(A801,4,2)),VALUE(MID(A801,1,2)))+TIME(VALUE(MID(A801,12,2)),VALUE(MID(A801,15,2)),VALUE(MID(A801,18,2))),"")))</f>
        <v/>
      </c>
    </row>
    <row r="802" customFormat="false" ht="15" hidden="false" customHeight="false" outlineLevel="0" collapsed="false">
      <c r="I802" s="15" t="str">
        <f aca="false">IF(N802="","",INT(N802))</f>
        <v/>
      </c>
      <c r="J802" s="16" t="str">
        <f aca="false">IF(B802="","",IF(N802=_xlfn.MINIFS($N$2:$N$5001,$B$2:$B$5001,B802),1,0))</f>
        <v/>
      </c>
      <c r="K802" s="16" t="str">
        <f aca="false">IF(B802="","",IF(AND(D802="Formalização",E802="Concluído"),IF(COUNTIFS($B$2:$B$5001,B802,$E$2:$E$5001,"Em ajustes",$N$2:$N$5001,"&lt;"&amp;I802)&gt;0,1,0),0))</f>
        <v/>
      </c>
      <c r="L802" s="16" t="str">
        <f aca="false">IF(B802="","",IF(N802=_xlfn.MAXIFS($N$2:$N$5001,$B$2:$B$5001,B802,$I$2:$I$5001,I802),1,0))</f>
        <v/>
      </c>
      <c r="M802" s="16" t="str">
        <f aca="false">IF(B802="","",IF(E802="Em ajustes",IF(N802=_xlfn.MINIFS($N$2:$N$5001,$B$2:$B$5001,B802,$E$2:$E$5001,"Em ajustes"),1,0),0))</f>
        <v/>
      </c>
      <c r="N802" s="17" t="str">
        <f aca="false">IF(A802="","",IF(ISNUMBER(A802),A802,IFERROR(DATE(VALUE(MID(A802,7,4)),VALUE(MID(A802,4,2)),VALUE(MID(A802,1,2)))+TIME(VALUE(MID(A802,12,2)),VALUE(MID(A802,15,2)),VALUE(MID(A802,18,2))),"")))</f>
        <v/>
      </c>
    </row>
    <row r="803" customFormat="false" ht="15" hidden="false" customHeight="false" outlineLevel="0" collapsed="false">
      <c r="I803" s="15" t="str">
        <f aca="false">IF(N803="","",INT(N803))</f>
        <v/>
      </c>
      <c r="J803" s="16" t="str">
        <f aca="false">IF(B803="","",IF(N803=_xlfn.MINIFS($N$2:$N$5001,$B$2:$B$5001,B803),1,0))</f>
        <v/>
      </c>
      <c r="K803" s="16" t="str">
        <f aca="false">IF(B803="","",IF(AND(D803="Formalização",E803="Concluído"),IF(COUNTIFS($B$2:$B$5001,B803,$E$2:$E$5001,"Em ajustes",$N$2:$N$5001,"&lt;"&amp;I803)&gt;0,1,0),0))</f>
        <v/>
      </c>
      <c r="L803" s="16" t="str">
        <f aca="false">IF(B803="","",IF(N803=_xlfn.MAXIFS($N$2:$N$5001,$B$2:$B$5001,B803,$I$2:$I$5001,I803),1,0))</f>
        <v/>
      </c>
      <c r="M803" s="16" t="str">
        <f aca="false">IF(B803="","",IF(E803="Em ajustes",IF(N803=_xlfn.MINIFS($N$2:$N$5001,$B$2:$B$5001,B803,$E$2:$E$5001,"Em ajustes"),1,0),0))</f>
        <v/>
      </c>
      <c r="N803" s="17" t="str">
        <f aca="false">IF(A803="","",IF(ISNUMBER(A803),A803,IFERROR(DATE(VALUE(MID(A803,7,4)),VALUE(MID(A803,4,2)),VALUE(MID(A803,1,2)))+TIME(VALUE(MID(A803,12,2)),VALUE(MID(A803,15,2)),VALUE(MID(A803,18,2))),"")))</f>
        <v/>
      </c>
    </row>
    <row r="804" customFormat="false" ht="15" hidden="false" customHeight="false" outlineLevel="0" collapsed="false">
      <c r="I804" s="15" t="str">
        <f aca="false">IF(N804="","",INT(N804))</f>
        <v/>
      </c>
      <c r="J804" s="16" t="str">
        <f aca="false">IF(B804="","",IF(N804=_xlfn.MINIFS($N$2:$N$5001,$B$2:$B$5001,B804),1,0))</f>
        <v/>
      </c>
      <c r="K804" s="16" t="str">
        <f aca="false">IF(B804="","",IF(AND(D804="Formalização",E804="Concluído"),IF(COUNTIFS($B$2:$B$5001,B804,$E$2:$E$5001,"Em ajustes",$N$2:$N$5001,"&lt;"&amp;I804)&gt;0,1,0),0))</f>
        <v/>
      </c>
      <c r="L804" s="16" t="str">
        <f aca="false">IF(B804="","",IF(N804=_xlfn.MAXIFS($N$2:$N$5001,$B$2:$B$5001,B804,$I$2:$I$5001,I804),1,0))</f>
        <v/>
      </c>
      <c r="M804" s="16" t="str">
        <f aca="false">IF(B804="","",IF(E804="Em ajustes",IF(N804=_xlfn.MINIFS($N$2:$N$5001,$B$2:$B$5001,B804,$E$2:$E$5001,"Em ajustes"),1,0),0))</f>
        <v/>
      </c>
      <c r="N804" s="17" t="str">
        <f aca="false">IF(A804="","",IF(ISNUMBER(A804),A804,IFERROR(DATE(VALUE(MID(A804,7,4)),VALUE(MID(A804,4,2)),VALUE(MID(A804,1,2)))+TIME(VALUE(MID(A804,12,2)),VALUE(MID(A804,15,2)),VALUE(MID(A804,18,2))),"")))</f>
        <v/>
      </c>
    </row>
    <row r="805" customFormat="false" ht="15" hidden="false" customHeight="false" outlineLevel="0" collapsed="false">
      <c r="I805" s="15" t="str">
        <f aca="false">IF(N805="","",INT(N805))</f>
        <v/>
      </c>
      <c r="J805" s="16" t="str">
        <f aca="false">IF(B805="","",IF(N805=_xlfn.MINIFS($N$2:$N$5001,$B$2:$B$5001,B805),1,0))</f>
        <v/>
      </c>
      <c r="K805" s="16" t="str">
        <f aca="false">IF(B805="","",IF(AND(D805="Formalização",E805="Concluído"),IF(COUNTIFS($B$2:$B$5001,B805,$E$2:$E$5001,"Em ajustes",$N$2:$N$5001,"&lt;"&amp;I805)&gt;0,1,0),0))</f>
        <v/>
      </c>
      <c r="L805" s="16" t="str">
        <f aca="false">IF(B805="","",IF(N805=_xlfn.MAXIFS($N$2:$N$5001,$B$2:$B$5001,B805,$I$2:$I$5001,I805),1,0))</f>
        <v/>
      </c>
      <c r="M805" s="16" t="str">
        <f aca="false">IF(B805="","",IF(E805="Em ajustes",IF(N805=_xlfn.MINIFS($N$2:$N$5001,$B$2:$B$5001,B805,$E$2:$E$5001,"Em ajustes"),1,0),0))</f>
        <v/>
      </c>
      <c r="N805" s="17" t="str">
        <f aca="false">IF(A805="","",IF(ISNUMBER(A805),A805,IFERROR(DATE(VALUE(MID(A805,7,4)),VALUE(MID(A805,4,2)),VALUE(MID(A805,1,2)))+TIME(VALUE(MID(A805,12,2)),VALUE(MID(A805,15,2)),VALUE(MID(A805,18,2))),"")))</f>
        <v/>
      </c>
    </row>
    <row r="806" customFormat="false" ht="15" hidden="false" customHeight="false" outlineLevel="0" collapsed="false">
      <c r="I806" s="15" t="str">
        <f aca="false">IF(N806="","",INT(N806))</f>
        <v/>
      </c>
      <c r="J806" s="16" t="str">
        <f aca="false">IF(B806="","",IF(N806=_xlfn.MINIFS($N$2:$N$5001,$B$2:$B$5001,B806),1,0))</f>
        <v/>
      </c>
      <c r="K806" s="16" t="str">
        <f aca="false">IF(B806="","",IF(AND(D806="Formalização",E806="Concluído"),IF(COUNTIFS($B$2:$B$5001,B806,$E$2:$E$5001,"Em ajustes",$N$2:$N$5001,"&lt;"&amp;I806)&gt;0,1,0),0))</f>
        <v/>
      </c>
      <c r="L806" s="16" t="str">
        <f aca="false">IF(B806="","",IF(N806=_xlfn.MAXIFS($N$2:$N$5001,$B$2:$B$5001,B806,$I$2:$I$5001,I806),1,0))</f>
        <v/>
      </c>
      <c r="M806" s="16" t="str">
        <f aca="false">IF(B806="","",IF(E806="Em ajustes",IF(N806=_xlfn.MINIFS($N$2:$N$5001,$B$2:$B$5001,B806,$E$2:$E$5001,"Em ajustes"),1,0),0))</f>
        <v/>
      </c>
      <c r="N806" s="17" t="str">
        <f aca="false">IF(A806="","",IF(ISNUMBER(A806),A806,IFERROR(DATE(VALUE(MID(A806,7,4)),VALUE(MID(A806,4,2)),VALUE(MID(A806,1,2)))+TIME(VALUE(MID(A806,12,2)),VALUE(MID(A806,15,2)),VALUE(MID(A806,18,2))),"")))</f>
        <v/>
      </c>
    </row>
    <row r="807" customFormat="false" ht="15" hidden="false" customHeight="false" outlineLevel="0" collapsed="false">
      <c r="I807" s="15" t="str">
        <f aca="false">IF(N807="","",INT(N807))</f>
        <v/>
      </c>
      <c r="J807" s="16" t="str">
        <f aca="false">IF(B807="","",IF(N807=_xlfn.MINIFS($N$2:$N$5001,$B$2:$B$5001,B807),1,0))</f>
        <v/>
      </c>
      <c r="K807" s="16" t="str">
        <f aca="false">IF(B807="","",IF(AND(D807="Formalização",E807="Concluído"),IF(COUNTIFS($B$2:$B$5001,B807,$E$2:$E$5001,"Em ajustes",$N$2:$N$5001,"&lt;"&amp;I807)&gt;0,1,0),0))</f>
        <v/>
      </c>
      <c r="L807" s="16" t="str">
        <f aca="false">IF(B807="","",IF(N807=_xlfn.MAXIFS($N$2:$N$5001,$B$2:$B$5001,B807,$I$2:$I$5001,I807),1,0))</f>
        <v/>
      </c>
      <c r="M807" s="16" t="str">
        <f aca="false">IF(B807="","",IF(E807="Em ajustes",IF(N807=_xlfn.MINIFS($N$2:$N$5001,$B$2:$B$5001,B807,$E$2:$E$5001,"Em ajustes"),1,0),0))</f>
        <v/>
      </c>
      <c r="N807" s="17" t="str">
        <f aca="false">IF(A807="","",IF(ISNUMBER(A807),A807,IFERROR(DATE(VALUE(MID(A807,7,4)),VALUE(MID(A807,4,2)),VALUE(MID(A807,1,2)))+TIME(VALUE(MID(A807,12,2)),VALUE(MID(A807,15,2)),VALUE(MID(A807,18,2))),"")))</f>
        <v/>
      </c>
    </row>
    <row r="808" customFormat="false" ht="15" hidden="false" customHeight="false" outlineLevel="0" collapsed="false">
      <c r="I808" s="15" t="str">
        <f aca="false">IF(N808="","",INT(N808))</f>
        <v/>
      </c>
      <c r="J808" s="16" t="str">
        <f aca="false">IF(B808="","",IF(N808=_xlfn.MINIFS($N$2:$N$5001,$B$2:$B$5001,B808),1,0))</f>
        <v/>
      </c>
      <c r="K808" s="16" t="str">
        <f aca="false">IF(B808="","",IF(AND(D808="Formalização",E808="Concluído"),IF(COUNTIFS($B$2:$B$5001,B808,$E$2:$E$5001,"Em ajustes",$N$2:$N$5001,"&lt;"&amp;I808)&gt;0,1,0),0))</f>
        <v/>
      </c>
      <c r="L808" s="16" t="str">
        <f aca="false">IF(B808="","",IF(N808=_xlfn.MAXIFS($N$2:$N$5001,$B$2:$B$5001,B808,$I$2:$I$5001,I808),1,0))</f>
        <v/>
      </c>
      <c r="M808" s="16" t="str">
        <f aca="false">IF(B808="","",IF(E808="Em ajustes",IF(N808=_xlfn.MINIFS($N$2:$N$5001,$B$2:$B$5001,B808,$E$2:$E$5001,"Em ajustes"),1,0),0))</f>
        <v/>
      </c>
      <c r="N808" s="17" t="str">
        <f aca="false">IF(A808="","",IF(ISNUMBER(A808),A808,IFERROR(DATE(VALUE(MID(A808,7,4)),VALUE(MID(A808,4,2)),VALUE(MID(A808,1,2)))+TIME(VALUE(MID(A808,12,2)),VALUE(MID(A808,15,2)),VALUE(MID(A808,18,2))),"")))</f>
        <v/>
      </c>
    </row>
    <row r="809" customFormat="false" ht="15" hidden="false" customHeight="false" outlineLevel="0" collapsed="false">
      <c r="I809" s="15" t="str">
        <f aca="false">IF(N809="","",INT(N809))</f>
        <v/>
      </c>
      <c r="J809" s="16" t="str">
        <f aca="false">IF(B809="","",IF(N809=_xlfn.MINIFS($N$2:$N$5001,$B$2:$B$5001,B809),1,0))</f>
        <v/>
      </c>
      <c r="K809" s="16" t="str">
        <f aca="false">IF(B809="","",IF(AND(D809="Formalização",E809="Concluído"),IF(COUNTIFS($B$2:$B$5001,B809,$E$2:$E$5001,"Em ajustes",$N$2:$N$5001,"&lt;"&amp;I809)&gt;0,1,0),0))</f>
        <v/>
      </c>
      <c r="L809" s="16" t="str">
        <f aca="false">IF(B809="","",IF(N809=_xlfn.MAXIFS($N$2:$N$5001,$B$2:$B$5001,B809,$I$2:$I$5001,I809),1,0))</f>
        <v/>
      </c>
      <c r="M809" s="16" t="str">
        <f aca="false">IF(B809="","",IF(E809="Em ajustes",IF(N809=_xlfn.MINIFS($N$2:$N$5001,$B$2:$B$5001,B809,$E$2:$E$5001,"Em ajustes"),1,0),0))</f>
        <v/>
      </c>
      <c r="N809" s="17" t="str">
        <f aca="false">IF(A809="","",IF(ISNUMBER(A809),A809,IFERROR(DATE(VALUE(MID(A809,7,4)),VALUE(MID(A809,4,2)),VALUE(MID(A809,1,2)))+TIME(VALUE(MID(A809,12,2)),VALUE(MID(A809,15,2)),VALUE(MID(A809,18,2))),"")))</f>
        <v/>
      </c>
    </row>
    <row r="810" customFormat="false" ht="15" hidden="false" customHeight="false" outlineLevel="0" collapsed="false">
      <c r="I810" s="15" t="str">
        <f aca="false">IF(N810="","",INT(N810))</f>
        <v/>
      </c>
      <c r="J810" s="16" t="str">
        <f aca="false">IF(B810="","",IF(N810=_xlfn.MINIFS($N$2:$N$5001,$B$2:$B$5001,B810),1,0))</f>
        <v/>
      </c>
      <c r="K810" s="16" t="str">
        <f aca="false">IF(B810="","",IF(AND(D810="Formalização",E810="Concluído"),IF(COUNTIFS($B$2:$B$5001,B810,$E$2:$E$5001,"Em ajustes",$N$2:$N$5001,"&lt;"&amp;I810)&gt;0,1,0),0))</f>
        <v/>
      </c>
      <c r="L810" s="16" t="str">
        <f aca="false">IF(B810="","",IF(N810=_xlfn.MAXIFS($N$2:$N$5001,$B$2:$B$5001,B810,$I$2:$I$5001,I810),1,0))</f>
        <v/>
      </c>
      <c r="M810" s="16" t="str">
        <f aca="false">IF(B810="","",IF(E810="Em ajustes",IF(N810=_xlfn.MINIFS($N$2:$N$5001,$B$2:$B$5001,B810,$E$2:$E$5001,"Em ajustes"),1,0),0))</f>
        <v/>
      </c>
      <c r="N810" s="17" t="str">
        <f aca="false">IF(A810="","",IF(ISNUMBER(A810),A810,IFERROR(DATE(VALUE(MID(A810,7,4)),VALUE(MID(A810,4,2)),VALUE(MID(A810,1,2)))+TIME(VALUE(MID(A810,12,2)),VALUE(MID(A810,15,2)),VALUE(MID(A810,18,2))),"")))</f>
        <v/>
      </c>
    </row>
    <row r="811" customFormat="false" ht="15" hidden="false" customHeight="false" outlineLevel="0" collapsed="false">
      <c r="I811" s="15" t="str">
        <f aca="false">IF(N811="","",INT(N811))</f>
        <v/>
      </c>
      <c r="J811" s="16" t="str">
        <f aca="false">IF(B811="","",IF(N811=_xlfn.MINIFS($N$2:$N$5001,$B$2:$B$5001,B811),1,0))</f>
        <v/>
      </c>
      <c r="K811" s="16" t="str">
        <f aca="false">IF(B811="","",IF(AND(D811="Formalização",E811="Concluído"),IF(COUNTIFS($B$2:$B$5001,B811,$E$2:$E$5001,"Em ajustes",$N$2:$N$5001,"&lt;"&amp;I811)&gt;0,1,0),0))</f>
        <v/>
      </c>
      <c r="L811" s="16" t="str">
        <f aca="false">IF(B811="","",IF(N811=_xlfn.MAXIFS($N$2:$N$5001,$B$2:$B$5001,B811,$I$2:$I$5001,I811),1,0))</f>
        <v/>
      </c>
      <c r="M811" s="16" t="str">
        <f aca="false">IF(B811="","",IF(E811="Em ajustes",IF(N811=_xlfn.MINIFS($N$2:$N$5001,$B$2:$B$5001,B811,$E$2:$E$5001,"Em ajustes"),1,0),0))</f>
        <v/>
      </c>
      <c r="N811" s="17" t="str">
        <f aca="false">IF(A811="","",IF(ISNUMBER(A811),A811,IFERROR(DATE(VALUE(MID(A811,7,4)),VALUE(MID(A811,4,2)),VALUE(MID(A811,1,2)))+TIME(VALUE(MID(A811,12,2)),VALUE(MID(A811,15,2)),VALUE(MID(A811,18,2))),"")))</f>
        <v/>
      </c>
    </row>
    <row r="812" customFormat="false" ht="15" hidden="false" customHeight="false" outlineLevel="0" collapsed="false">
      <c r="I812" s="15" t="str">
        <f aca="false">IF(N812="","",INT(N812))</f>
        <v/>
      </c>
      <c r="J812" s="16" t="str">
        <f aca="false">IF(B812="","",IF(N812=_xlfn.MINIFS($N$2:$N$5001,$B$2:$B$5001,B812),1,0))</f>
        <v/>
      </c>
      <c r="K812" s="16" t="str">
        <f aca="false">IF(B812="","",IF(AND(D812="Formalização",E812="Concluído"),IF(COUNTIFS($B$2:$B$5001,B812,$E$2:$E$5001,"Em ajustes",$N$2:$N$5001,"&lt;"&amp;I812)&gt;0,1,0),0))</f>
        <v/>
      </c>
      <c r="L812" s="16" t="str">
        <f aca="false">IF(B812="","",IF(N812=_xlfn.MAXIFS($N$2:$N$5001,$B$2:$B$5001,B812,$I$2:$I$5001,I812),1,0))</f>
        <v/>
      </c>
      <c r="M812" s="16" t="str">
        <f aca="false">IF(B812="","",IF(E812="Em ajustes",IF(N812=_xlfn.MINIFS($N$2:$N$5001,$B$2:$B$5001,B812,$E$2:$E$5001,"Em ajustes"),1,0),0))</f>
        <v/>
      </c>
      <c r="N812" s="17" t="str">
        <f aca="false">IF(A812="","",IF(ISNUMBER(A812),A812,IFERROR(DATE(VALUE(MID(A812,7,4)),VALUE(MID(A812,4,2)),VALUE(MID(A812,1,2)))+TIME(VALUE(MID(A812,12,2)),VALUE(MID(A812,15,2)),VALUE(MID(A812,18,2))),"")))</f>
        <v/>
      </c>
    </row>
    <row r="813" customFormat="false" ht="15" hidden="false" customHeight="false" outlineLevel="0" collapsed="false">
      <c r="I813" s="15" t="str">
        <f aca="false">IF(N813="","",INT(N813))</f>
        <v/>
      </c>
      <c r="J813" s="16" t="str">
        <f aca="false">IF(B813="","",IF(N813=_xlfn.MINIFS($N$2:$N$5001,$B$2:$B$5001,B813),1,0))</f>
        <v/>
      </c>
      <c r="K813" s="16" t="str">
        <f aca="false">IF(B813="","",IF(AND(D813="Formalização",E813="Concluído"),IF(COUNTIFS($B$2:$B$5001,B813,$E$2:$E$5001,"Em ajustes",$N$2:$N$5001,"&lt;"&amp;I813)&gt;0,1,0),0))</f>
        <v/>
      </c>
      <c r="L813" s="16" t="str">
        <f aca="false">IF(B813="","",IF(N813=_xlfn.MAXIFS($N$2:$N$5001,$B$2:$B$5001,B813,$I$2:$I$5001,I813),1,0))</f>
        <v/>
      </c>
      <c r="M813" s="16" t="str">
        <f aca="false">IF(B813="","",IF(E813="Em ajustes",IF(N813=_xlfn.MINIFS($N$2:$N$5001,$B$2:$B$5001,B813,$E$2:$E$5001,"Em ajustes"),1,0),0))</f>
        <v/>
      </c>
      <c r="N813" s="17" t="str">
        <f aca="false">IF(A813="","",IF(ISNUMBER(A813),A813,IFERROR(DATE(VALUE(MID(A813,7,4)),VALUE(MID(A813,4,2)),VALUE(MID(A813,1,2)))+TIME(VALUE(MID(A813,12,2)),VALUE(MID(A813,15,2)),VALUE(MID(A813,18,2))),"")))</f>
        <v/>
      </c>
    </row>
    <row r="814" customFormat="false" ht="15" hidden="false" customHeight="false" outlineLevel="0" collapsed="false">
      <c r="I814" s="15" t="str">
        <f aca="false">IF(N814="","",INT(N814))</f>
        <v/>
      </c>
      <c r="J814" s="16" t="str">
        <f aca="false">IF(B814="","",IF(N814=_xlfn.MINIFS($N$2:$N$5001,$B$2:$B$5001,B814),1,0))</f>
        <v/>
      </c>
      <c r="K814" s="16" t="str">
        <f aca="false">IF(B814="","",IF(AND(D814="Formalização",E814="Concluído"),IF(COUNTIFS($B$2:$B$5001,B814,$E$2:$E$5001,"Em ajustes",$N$2:$N$5001,"&lt;"&amp;I814)&gt;0,1,0),0))</f>
        <v/>
      </c>
      <c r="L814" s="16" t="str">
        <f aca="false">IF(B814="","",IF(N814=_xlfn.MAXIFS($N$2:$N$5001,$B$2:$B$5001,B814,$I$2:$I$5001,I814),1,0))</f>
        <v/>
      </c>
      <c r="M814" s="16" t="str">
        <f aca="false">IF(B814="","",IF(E814="Em ajustes",IF(N814=_xlfn.MINIFS($N$2:$N$5001,$B$2:$B$5001,B814,$E$2:$E$5001,"Em ajustes"),1,0),0))</f>
        <v/>
      </c>
      <c r="N814" s="17" t="str">
        <f aca="false">IF(A814="","",IF(ISNUMBER(A814),A814,IFERROR(DATE(VALUE(MID(A814,7,4)),VALUE(MID(A814,4,2)),VALUE(MID(A814,1,2)))+TIME(VALUE(MID(A814,12,2)),VALUE(MID(A814,15,2)),VALUE(MID(A814,18,2))),"")))</f>
        <v/>
      </c>
    </row>
    <row r="815" customFormat="false" ht="15" hidden="false" customHeight="false" outlineLevel="0" collapsed="false">
      <c r="I815" s="15" t="str">
        <f aca="false">IF(N815="","",INT(N815))</f>
        <v/>
      </c>
      <c r="J815" s="16" t="str">
        <f aca="false">IF(B815="","",IF(N815=_xlfn.MINIFS($N$2:$N$5001,$B$2:$B$5001,B815),1,0))</f>
        <v/>
      </c>
      <c r="K815" s="16" t="str">
        <f aca="false">IF(B815="","",IF(AND(D815="Formalização",E815="Concluído"),IF(COUNTIFS($B$2:$B$5001,B815,$E$2:$E$5001,"Em ajustes",$N$2:$N$5001,"&lt;"&amp;I815)&gt;0,1,0),0))</f>
        <v/>
      </c>
      <c r="L815" s="16" t="str">
        <f aca="false">IF(B815="","",IF(N815=_xlfn.MAXIFS($N$2:$N$5001,$B$2:$B$5001,B815,$I$2:$I$5001,I815),1,0))</f>
        <v/>
      </c>
      <c r="M815" s="16" t="str">
        <f aca="false">IF(B815="","",IF(E815="Em ajustes",IF(N815=_xlfn.MINIFS($N$2:$N$5001,$B$2:$B$5001,B815,$E$2:$E$5001,"Em ajustes"),1,0),0))</f>
        <v/>
      </c>
      <c r="N815" s="17" t="str">
        <f aca="false">IF(A815="","",IF(ISNUMBER(A815),A815,IFERROR(DATE(VALUE(MID(A815,7,4)),VALUE(MID(A815,4,2)),VALUE(MID(A815,1,2)))+TIME(VALUE(MID(A815,12,2)),VALUE(MID(A815,15,2)),VALUE(MID(A815,18,2))),"")))</f>
        <v/>
      </c>
    </row>
    <row r="816" customFormat="false" ht="15" hidden="false" customHeight="false" outlineLevel="0" collapsed="false">
      <c r="I816" s="15" t="str">
        <f aca="false">IF(N816="","",INT(N816))</f>
        <v/>
      </c>
      <c r="J816" s="16" t="str">
        <f aca="false">IF(B816="","",IF(N816=_xlfn.MINIFS($N$2:$N$5001,$B$2:$B$5001,B816),1,0))</f>
        <v/>
      </c>
      <c r="K816" s="16" t="str">
        <f aca="false">IF(B816="","",IF(AND(D816="Formalização",E816="Concluído"),IF(COUNTIFS($B$2:$B$5001,B816,$E$2:$E$5001,"Em ajustes",$N$2:$N$5001,"&lt;"&amp;I816)&gt;0,1,0),0))</f>
        <v/>
      </c>
      <c r="L816" s="16" t="str">
        <f aca="false">IF(B816="","",IF(N816=_xlfn.MAXIFS($N$2:$N$5001,$B$2:$B$5001,B816,$I$2:$I$5001,I816),1,0))</f>
        <v/>
      </c>
      <c r="M816" s="16" t="str">
        <f aca="false">IF(B816="","",IF(E816="Em ajustes",IF(N816=_xlfn.MINIFS($N$2:$N$5001,$B$2:$B$5001,B816,$E$2:$E$5001,"Em ajustes"),1,0),0))</f>
        <v/>
      </c>
      <c r="N816" s="17" t="str">
        <f aca="false">IF(A816="","",IF(ISNUMBER(A816),A816,IFERROR(DATE(VALUE(MID(A816,7,4)),VALUE(MID(A816,4,2)),VALUE(MID(A816,1,2)))+TIME(VALUE(MID(A816,12,2)),VALUE(MID(A816,15,2)),VALUE(MID(A816,18,2))),"")))</f>
        <v/>
      </c>
    </row>
    <row r="817" customFormat="false" ht="15" hidden="false" customHeight="false" outlineLevel="0" collapsed="false">
      <c r="I817" s="15" t="str">
        <f aca="false">IF(N817="","",INT(N817))</f>
        <v/>
      </c>
      <c r="J817" s="16" t="str">
        <f aca="false">IF(B817="","",IF(N817=_xlfn.MINIFS($N$2:$N$5001,$B$2:$B$5001,B817),1,0))</f>
        <v/>
      </c>
      <c r="K817" s="16" t="str">
        <f aca="false">IF(B817="","",IF(AND(D817="Formalização",E817="Concluído"),IF(COUNTIFS($B$2:$B$5001,B817,$E$2:$E$5001,"Em ajustes",$N$2:$N$5001,"&lt;"&amp;I817)&gt;0,1,0),0))</f>
        <v/>
      </c>
      <c r="L817" s="16" t="str">
        <f aca="false">IF(B817="","",IF(N817=_xlfn.MAXIFS($N$2:$N$5001,$B$2:$B$5001,B817,$I$2:$I$5001,I817),1,0))</f>
        <v/>
      </c>
      <c r="M817" s="16" t="str">
        <f aca="false">IF(B817="","",IF(E817="Em ajustes",IF(N817=_xlfn.MINIFS($N$2:$N$5001,$B$2:$B$5001,B817,$E$2:$E$5001,"Em ajustes"),1,0),0))</f>
        <v/>
      </c>
      <c r="N817" s="17" t="str">
        <f aca="false">IF(A817="","",IF(ISNUMBER(A817),A817,IFERROR(DATE(VALUE(MID(A817,7,4)),VALUE(MID(A817,4,2)),VALUE(MID(A817,1,2)))+TIME(VALUE(MID(A817,12,2)),VALUE(MID(A817,15,2)),VALUE(MID(A817,18,2))),"")))</f>
        <v/>
      </c>
    </row>
    <row r="818" customFormat="false" ht="15" hidden="false" customHeight="false" outlineLevel="0" collapsed="false">
      <c r="I818" s="15" t="str">
        <f aca="false">IF(N818="","",INT(N818))</f>
        <v/>
      </c>
      <c r="J818" s="16" t="str">
        <f aca="false">IF(B818="","",IF(N818=_xlfn.MINIFS($N$2:$N$5001,$B$2:$B$5001,B818),1,0))</f>
        <v/>
      </c>
      <c r="K818" s="16" t="str">
        <f aca="false">IF(B818="","",IF(AND(D818="Formalização",E818="Concluído"),IF(COUNTIFS($B$2:$B$5001,B818,$E$2:$E$5001,"Em ajustes",$N$2:$N$5001,"&lt;"&amp;I818)&gt;0,1,0),0))</f>
        <v/>
      </c>
      <c r="L818" s="16" t="str">
        <f aca="false">IF(B818="","",IF(N818=_xlfn.MAXIFS($N$2:$N$5001,$B$2:$B$5001,B818,$I$2:$I$5001,I818),1,0))</f>
        <v/>
      </c>
      <c r="M818" s="16" t="str">
        <f aca="false">IF(B818="","",IF(E818="Em ajustes",IF(N818=_xlfn.MINIFS($N$2:$N$5001,$B$2:$B$5001,B818,$E$2:$E$5001,"Em ajustes"),1,0),0))</f>
        <v/>
      </c>
      <c r="N818" s="17" t="str">
        <f aca="false">IF(A818="","",IF(ISNUMBER(A818),A818,IFERROR(DATE(VALUE(MID(A818,7,4)),VALUE(MID(A818,4,2)),VALUE(MID(A818,1,2)))+TIME(VALUE(MID(A818,12,2)),VALUE(MID(A818,15,2)),VALUE(MID(A818,18,2))),"")))</f>
        <v/>
      </c>
    </row>
    <row r="819" customFormat="false" ht="15" hidden="false" customHeight="false" outlineLevel="0" collapsed="false">
      <c r="I819" s="15" t="str">
        <f aca="false">IF(N819="","",INT(N819))</f>
        <v/>
      </c>
      <c r="J819" s="16" t="str">
        <f aca="false">IF(B819="","",IF(N819=_xlfn.MINIFS($N$2:$N$5001,$B$2:$B$5001,B819),1,0))</f>
        <v/>
      </c>
      <c r="K819" s="16" t="str">
        <f aca="false">IF(B819="","",IF(AND(D819="Formalização",E819="Concluído"),IF(COUNTIFS($B$2:$B$5001,B819,$E$2:$E$5001,"Em ajustes",$N$2:$N$5001,"&lt;"&amp;I819)&gt;0,1,0),0))</f>
        <v/>
      </c>
      <c r="L819" s="16" t="str">
        <f aca="false">IF(B819="","",IF(N819=_xlfn.MAXIFS($N$2:$N$5001,$B$2:$B$5001,B819,$I$2:$I$5001,I819),1,0))</f>
        <v/>
      </c>
      <c r="M819" s="16" t="str">
        <f aca="false">IF(B819="","",IF(E819="Em ajustes",IF(N819=_xlfn.MINIFS($N$2:$N$5001,$B$2:$B$5001,B819,$E$2:$E$5001,"Em ajustes"),1,0),0))</f>
        <v/>
      </c>
      <c r="N819" s="17" t="str">
        <f aca="false">IF(A819="","",IF(ISNUMBER(A819),A819,IFERROR(DATE(VALUE(MID(A819,7,4)),VALUE(MID(A819,4,2)),VALUE(MID(A819,1,2)))+TIME(VALUE(MID(A819,12,2)),VALUE(MID(A819,15,2)),VALUE(MID(A819,18,2))),"")))</f>
        <v/>
      </c>
    </row>
    <row r="820" customFormat="false" ht="15" hidden="false" customHeight="false" outlineLevel="0" collapsed="false">
      <c r="I820" s="15" t="str">
        <f aca="false">IF(N820="","",INT(N820))</f>
        <v/>
      </c>
      <c r="J820" s="16" t="str">
        <f aca="false">IF(B820="","",IF(N820=_xlfn.MINIFS($N$2:$N$5001,$B$2:$B$5001,B820),1,0))</f>
        <v/>
      </c>
      <c r="K820" s="16" t="str">
        <f aca="false">IF(B820="","",IF(AND(D820="Formalização",E820="Concluído"),IF(COUNTIFS($B$2:$B$5001,B820,$E$2:$E$5001,"Em ajustes",$N$2:$N$5001,"&lt;"&amp;I820)&gt;0,1,0),0))</f>
        <v/>
      </c>
      <c r="L820" s="16" t="str">
        <f aca="false">IF(B820="","",IF(N820=_xlfn.MAXIFS($N$2:$N$5001,$B$2:$B$5001,B820,$I$2:$I$5001,I820),1,0))</f>
        <v/>
      </c>
      <c r="M820" s="16" t="str">
        <f aca="false">IF(B820="","",IF(E820="Em ajustes",IF(N820=_xlfn.MINIFS($N$2:$N$5001,$B$2:$B$5001,B820,$E$2:$E$5001,"Em ajustes"),1,0),0))</f>
        <v/>
      </c>
      <c r="N820" s="17" t="str">
        <f aca="false">IF(A820="","",IF(ISNUMBER(A820),A820,IFERROR(DATE(VALUE(MID(A820,7,4)),VALUE(MID(A820,4,2)),VALUE(MID(A820,1,2)))+TIME(VALUE(MID(A820,12,2)),VALUE(MID(A820,15,2)),VALUE(MID(A820,18,2))),"")))</f>
        <v/>
      </c>
    </row>
    <row r="821" customFormat="false" ht="15" hidden="false" customHeight="false" outlineLevel="0" collapsed="false">
      <c r="I821" s="15" t="str">
        <f aca="false">IF(N821="","",INT(N821))</f>
        <v/>
      </c>
      <c r="J821" s="16" t="str">
        <f aca="false">IF(B821="","",IF(N821=_xlfn.MINIFS($N$2:$N$5001,$B$2:$B$5001,B821),1,0))</f>
        <v/>
      </c>
      <c r="K821" s="16" t="str">
        <f aca="false">IF(B821="","",IF(AND(D821="Formalização",E821="Concluído"),IF(COUNTIFS($B$2:$B$5001,B821,$E$2:$E$5001,"Em ajustes",$N$2:$N$5001,"&lt;"&amp;I821)&gt;0,1,0),0))</f>
        <v/>
      </c>
      <c r="L821" s="16" t="str">
        <f aca="false">IF(B821="","",IF(N821=_xlfn.MAXIFS($N$2:$N$5001,$B$2:$B$5001,B821,$I$2:$I$5001,I821),1,0))</f>
        <v/>
      </c>
      <c r="M821" s="16" t="str">
        <f aca="false">IF(B821="","",IF(E821="Em ajustes",IF(N821=_xlfn.MINIFS($N$2:$N$5001,$B$2:$B$5001,B821,$E$2:$E$5001,"Em ajustes"),1,0),0))</f>
        <v/>
      </c>
      <c r="N821" s="17" t="str">
        <f aca="false">IF(A821="","",IF(ISNUMBER(A821),A821,IFERROR(DATE(VALUE(MID(A821,7,4)),VALUE(MID(A821,4,2)),VALUE(MID(A821,1,2)))+TIME(VALUE(MID(A821,12,2)),VALUE(MID(A821,15,2)),VALUE(MID(A821,18,2))),"")))</f>
        <v/>
      </c>
    </row>
    <row r="822" customFormat="false" ht="15" hidden="false" customHeight="false" outlineLevel="0" collapsed="false">
      <c r="I822" s="15" t="str">
        <f aca="false">IF(N822="","",INT(N822))</f>
        <v/>
      </c>
      <c r="J822" s="16" t="str">
        <f aca="false">IF(B822="","",IF(N822=_xlfn.MINIFS($N$2:$N$5001,$B$2:$B$5001,B822),1,0))</f>
        <v/>
      </c>
      <c r="K822" s="16" t="str">
        <f aca="false">IF(B822="","",IF(AND(D822="Formalização",E822="Concluído"),IF(COUNTIFS($B$2:$B$5001,B822,$E$2:$E$5001,"Em ajustes",$N$2:$N$5001,"&lt;"&amp;I822)&gt;0,1,0),0))</f>
        <v/>
      </c>
      <c r="L822" s="16" t="str">
        <f aca="false">IF(B822="","",IF(N822=_xlfn.MAXIFS($N$2:$N$5001,$B$2:$B$5001,B822,$I$2:$I$5001,I822),1,0))</f>
        <v/>
      </c>
      <c r="M822" s="16" t="str">
        <f aca="false">IF(B822="","",IF(E822="Em ajustes",IF(N822=_xlfn.MINIFS($N$2:$N$5001,$B$2:$B$5001,B822,$E$2:$E$5001,"Em ajustes"),1,0),0))</f>
        <v/>
      </c>
      <c r="N822" s="17" t="str">
        <f aca="false">IF(A822="","",IF(ISNUMBER(A822),A822,IFERROR(DATE(VALUE(MID(A822,7,4)),VALUE(MID(A822,4,2)),VALUE(MID(A822,1,2)))+TIME(VALUE(MID(A822,12,2)),VALUE(MID(A822,15,2)),VALUE(MID(A822,18,2))),"")))</f>
        <v/>
      </c>
    </row>
    <row r="823" customFormat="false" ht="15" hidden="false" customHeight="false" outlineLevel="0" collapsed="false">
      <c r="I823" s="15" t="str">
        <f aca="false">IF(N823="","",INT(N823))</f>
        <v/>
      </c>
      <c r="J823" s="16" t="str">
        <f aca="false">IF(B823="","",IF(N823=_xlfn.MINIFS($N$2:$N$5001,$B$2:$B$5001,B823),1,0))</f>
        <v/>
      </c>
      <c r="K823" s="16" t="str">
        <f aca="false">IF(B823="","",IF(AND(D823="Formalização",E823="Concluído"),IF(COUNTIFS($B$2:$B$5001,B823,$E$2:$E$5001,"Em ajustes",$N$2:$N$5001,"&lt;"&amp;I823)&gt;0,1,0),0))</f>
        <v/>
      </c>
      <c r="L823" s="16" t="str">
        <f aca="false">IF(B823="","",IF(N823=_xlfn.MAXIFS($N$2:$N$5001,$B$2:$B$5001,B823,$I$2:$I$5001,I823),1,0))</f>
        <v/>
      </c>
      <c r="M823" s="16" t="str">
        <f aca="false">IF(B823="","",IF(E823="Em ajustes",IF(N823=_xlfn.MINIFS($N$2:$N$5001,$B$2:$B$5001,B823,$E$2:$E$5001,"Em ajustes"),1,0),0))</f>
        <v/>
      </c>
      <c r="N823" s="17" t="str">
        <f aca="false">IF(A823="","",IF(ISNUMBER(A823),A823,IFERROR(DATE(VALUE(MID(A823,7,4)),VALUE(MID(A823,4,2)),VALUE(MID(A823,1,2)))+TIME(VALUE(MID(A823,12,2)),VALUE(MID(A823,15,2)),VALUE(MID(A823,18,2))),"")))</f>
        <v/>
      </c>
    </row>
    <row r="824" customFormat="false" ht="15" hidden="false" customHeight="false" outlineLevel="0" collapsed="false">
      <c r="I824" s="15" t="str">
        <f aca="false">IF(N824="","",INT(N824))</f>
        <v/>
      </c>
      <c r="J824" s="16" t="str">
        <f aca="false">IF(B824="","",IF(N824=_xlfn.MINIFS($N$2:$N$5001,$B$2:$B$5001,B824),1,0))</f>
        <v/>
      </c>
      <c r="K824" s="16" t="str">
        <f aca="false">IF(B824="","",IF(AND(D824="Formalização",E824="Concluído"),IF(COUNTIFS($B$2:$B$5001,B824,$E$2:$E$5001,"Em ajustes",$N$2:$N$5001,"&lt;"&amp;I824)&gt;0,1,0),0))</f>
        <v/>
      </c>
      <c r="L824" s="16" t="str">
        <f aca="false">IF(B824="","",IF(N824=_xlfn.MAXIFS($N$2:$N$5001,$B$2:$B$5001,B824,$I$2:$I$5001,I824),1,0))</f>
        <v/>
      </c>
      <c r="M824" s="16" t="str">
        <f aca="false">IF(B824="","",IF(E824="Em ajustes",IF(N824=_xlfn.MINIFS($N$2:$N$5001,$B$2:$B$5001,B824,$E$2:$E$5001,"Em ajustes"),1,0),0))</f>
        <v/>
      </c>
      <c r="N824" s="17" t="str">
        <f aca="false">IF(A824="","",IF(ISNUMBER(A824),A824,IFERROR(DATE(VALUE(MID(A824,7,4)),VALUE(MID(A824,4,2)),VALUE(MID(A824,1,2)))+TIME(VALUE(MID(A824,12,2)),VALUE(MID(A824,15,2)),VALUE(MID(A824,18,2))),"")))</f>
        <v/>
      </c>
    </row>
    <row r="825" customFormat="false" ht="15" hidden="false" customHeight="false" outlineLevel="0" collapsed="false">
      <c r="I825" s="15" t="str">
        <f aca="false">IF(N825="","",INT(N825))</f>
        <v/>
      </c>
      <c r="J825" s="16" t="str">
        <f aca="false">IF(B825="","",IF(N825=_xlfn.MINIFS($N$2:$N$5001,$B$2:$B$5001,B825),1,0))</f>
        <v/>
      </c>
      <c r="K825" s="16" t="str">
        <f aca="false">IF(B825="","",IF(AND(D825="Formalização",E825="Concluído"),IF(COUNTIFS($B$2:$B$5001,B825,$E$2:$E$5001,"Em ajustes",$N$2:$N$5001,"&lt;"&amp;I825)&gt;0,1,0),0))</f>
        <v/>
      </c>
      <c r="L825" s="16" t="str">
        <f aca="false">IF(B825="","",IF(N825=_xlfn.MAXIFS($N$2:$N$5001,$B$2:$B$5001,B825,$I$2:$I$5001,I825),1,0))</f>
        <v/>
      </c>
      <c r="M825" s="16" t="str">
        <f aca="false">IF(B825="","",IF(E825="Em ajustes",IF(N825=_xlfn.MINIFS($N$2:$N$5001,$B$2:$B$5001,B825,$E$2:$E$5001,"Em ajustes"),1,0),0))</f>
        <v/>
      </c>
      <c r="N825" s="17" t="str">
        <f aca="false">IF(A825="","",IF(ISNUMBER(A825),A825,IFERROR(DATE(VALUE(MID(A825,7,4)),VALUE(MID(A825,4,2)),VALUE(MID(A825,1,2)))+TIME(VALUE(MID(A825,12,2)),VALUE(MID(A825,15,2)),VALUE(MID(A825,18,2))),"")))</f>
        <v/>
      </c>
    </row>
    <row r="826" customFormat="false" ht="15" hidden="false" customHeight="false" outlineLevel="0" collapsed="false">
      <c r="I826" s="15" t="str">
        <f aca="false">IF(N826="","",INT(N826))</f>
        <v/>
      </c>
      <c r="J826" s="16" t="str">
        <f aca="false">IF(B826="","",IF(N826=_xlfn.MINIFS($N$2:$N$5001,$B$2:$B$5001,B826),1,0))</f>
        <v/>
      </c>
      <c r="K826" s="16" t="str">
        <f aca="false">IF(B826="","",IF(AND(D826="Formalização",E826="Concluído"),IF(COUNTIFS($B$2:$B$5001,B826,$E$2:$E$5001,"Em ajustes",$N$2:$N$5001,"&lt;"&amp;I826)&gt;0,1,0),0))</f>
        <v/>
      </c>
      <c r="L826" s="16" t="str">
        <f aca="false">IF(B826="","",IF(N826=_xlfn.MAXIFS($N$2:$N$5001,$B$2:$B$5001,B826,$I$2:$I$5001,I826),1,0))</f>
        <v/>
      </c>
      <c r="M826" s="16" t="str">
        <f aca="false">IF(B826="","",IF(E826="Em ajustes",IF(N826=_xlfn.MINIFS($N$2:$N$5001,$B$2:$B$5001,B826,$E$2:$E$5001,"Em ajustes"),1,0),0))</f>
        <v/>
      </c>
      <c r="N826" s="17" t="str">
        <f aca="false">IF(A826="","",IF(ISNUMBER(A826),A826,IFERROR(DATE(VALUE(MID(A826,7,4)),VALUE(MID(A826,4,2)),VALUE(MID(A826,1,2)))+TIME(VALUE(MID(A826,12,2)),VALUE(MID(A826,15,2)),VALUE(MID(A826,18,2))),"")))</f>
        <v/>
      </c>
    </row>
    <row r="827" customFormat="false" ht="15" hidden="false" customHeight="false" outlineLevel="0" collapsed="false">
      <c r="I827" s="15" t="str">
        <f aca="false">IF(N827="","",INT(N827))</f>
        <v/>
      </c>
      <c r="J827" s="16" t="str">
        <f aca="false">IF(B827="","",IF(N827=_xlfn.MINIFS($N$2:$N$5001,$B$2:$B$5001,B827),1,0))</f>
        <v/>
      </c>
      <c r="K827" s="16" t="str">
        <f aca="false">IF(B827="","",IF(AND(D827="Formalização",E827="Concluído"),IF(COUNTIFS($B$2:$B$5001,B827,$E$2:$E$5001,"Em ajustes",$N$2:$N$5001,"&lt;"&amp;I827)&gt;0,1,0),0))</f>
        <v/>
      </c>
      <c r="L827" s="16" t="str">
        <f aca="false">IF(B827="","",IF(N827=_xlfn.MAXIFS($N$2:$N$5001,$B$2:$B$5001,B827,$I$2:$I$5001,I827),1,0))</f>
        <v/>
      </c>
      <c r="M827" s="16" t="str">
        <f aca="false">IF(B827="","",IF(E827="Em ajustes",IF(N827=_xlfn.MINIFS($N$2:$N$5001,$B$2:$B$5001,B827,$E$2:$E$5001,"Em ajustes"),1,0),0))</f>
        <v/>
      </c>
      <c r="N827" s="17" t="str">
        <f aca="false">IF(A827="","",IF(ISNUMBER(A827),A827,IFERROR(DATE(VALUE(MID(A827,7,4)),VALUE(MID(A827,4,2)),VALUE(MID(A827,1,2)))+TIME(VALUE(MID(A827,12,2)),VALUE(MID(A827,15,2)),VALUE(MID(A827,18,2))),"")))</f>
        <v/>
      </c>
    </row>
    <row r="828" customFormat="false" ht="15" hidden="false" customHeight="false" outlineLevel="0" collapsed="false">
      <c r="I828" s="15" t="str">
        <f aca="false">IF(N828="","",INT(N828))</f>
        <v/>
      </c>
      <c r="J828" s="16" t="str">
        <f aca="false">IF(B828="","",IF(N828=_xlfn.MINIFS($N$2:$N$5001,$B$2:$B$5001,B828),1,0))</f>
        <v/>
      </c>
      <c r="K828" s="16" t="str">
        <f aca="false">IF(B828="","",IF(AND(D828="Formalização",E828="Concluído"),IF(COUNTIFS($B$2:$B$5001,B828,$E$2:$E$5001,"Em ajustes",$N$2:$N$5001,"&lt;"&amp;I828)&gt;0,1,0),0))</f>
        <v/>
      </c>
      <c r="L828" s="16" t="str">
        <f aca="false">IF(B828="","",IF(N828=_xlfn.MAXIFS($N$2:$N$5001,$B$2:$B$5001,B828,$I$2:$I$5001,I828),1,0))</f>
        <v/>
      </c>
      <c r="M828" s="16" t="str">
        <f aca="false">IF(B828="","",IF(E828="Em ajustes",IF(N828=_xlfn.MINIFS($N$2:$N$5001,$B$2:$B$5001,B828,$E$2:$E$5001,"Em ajustes"),1,0),0))</f>
        <v/>
      </c>
      <c r="N828" s="17" t="str">
        <f aca="false">IF(A828="","",IF(ISNUMBER(A828),A828,IFERROR(DATE(VALUE(MID(A828,7,4)),VALUE(MID(A828,4,2)),VALUE(MID(A828,1,2)))+TIME(VALUE(MID(A828,12,2)),VALUE(MID(A828,15,2)),VALUE(MID(A828,18,2))),"")))</f>
        <v/>
      </c>
    </row>
    <row r="829" customFormat="false" ht="15" hidden="false" customHeight="false" outlineLevel="0" collapsed="false">
      <c r="I829" s="15" t="str">
        <f aca="false">IF(N829="","",INT(N829))</f>
        <v/>
      </c>
      <c r="J829" s="16" t="str">
        <f aca="false">IF(B829="","",IF(N829=_xlfn.MINIFS($N$2:$N$5001,$B$2:$B$5001,B829),1,0))</f>
        <v/>
      </c>
      <c r="K829" s="16" t="str">
        <f aca="false">IF(B829="","",IF(AND(D829="Formalização",E829="Concluído"),IF(COUNTIFS($B$2:$B$5001,B829,$E$2:$E$5001,"Em ajustes",$N$2:$N$5001,"&lt;"&amp;I829)&gt;0,1,0),0))</f>
        <v/>
      </c>
      <c r="L829" s="16" t="str">
        <f aca="false">IF(B829="","",IF(N829=_xlfn.MAXIFS($N$2:$N$5001,$B$2:$B$5001,B829,$I$2:$I$5001,I829),1,0))</f>
        <v/>
      </c>
      <c r="M829" s="16" t="str">
        <f aca="false">IF(B829="","",IF(E829="Em ajustes",IF(N829=_xlfn.MINIFS($N$2:$N$5001,$B$2:$B$5001,B829,$E$2:$E$5001,"Em ajustes"),1,0),0))</f>
        <v/>
      </c>
      <c r="N829" s="17" t="str">
        <f aca="false">IF(A829="","",IF(ISNUMBER(A829),A829,IFERROR(DATE(VALUE(MID(A829,7,4)),VALUE(MID(A829,4,2)),VALUE(MID(A829,1,2)))+TIME(VALUE(MID(A829,12,2)),VALUE(MID(A829,15,2)),VALUE(MID(A829,18,2))),"")))</f>
        <v/>
      </c>
    </row>
    <row r="830" customFormat="false" ht="15" hidden="false" customHeight="false" outlineLevel="0" collapsed="false">
      <c r="I830" s="15" t="str">
        <f aca="false">IF(N830="","",INT(N830))</f>
        <v/>
      </c>
      <c r="J830" s="16" t="str">
        <f aca="false">IF(B830="","",IF(N830=_xlfn.MINIFS($N$2:$N$5001,$B$2:$B$5001,B830),1,0))</f>
        <v/>
      </c>
      <c r="K830" s="16" t="str">
        <f aca="false">IF(B830="","",IF(AND(D830="Formalização",E830="Concluído"),IF(COUNTIFS($B$2:$B$5001,B830,$E$2:$E$5001,"Em ajustes",$N$2:$N$5001,"&lt;"&amp;I830)&gt;0,1,0),0))</f>
        <v/>
      </c>
      <c r="L830" s="16" t="str">
        <f aca="false">IF(B830="","",IF(N830=_xlfn.MAXIFS($N$2:$N$5001,$B$2:$B$5001,B830,$I$2:$I$5001,I830),1,0))</f>
        <v/>
      </c>
      <c r="M830" s="16" t="str">
        <f aca="false">IF(B830="","",IF(E830="Em ajustes",IF(N830=_xlfn.MINIFS($N$2:$N$5001,$B$2:$B$5001,B830,$E$2:$E$5001,"Em ajustes"),1,0),0))</f>
        <v/>
      </c>
      <c r="N830" s="17" t="str">
        <f aca="false">IF(A830="","",IF(ISNUMBER(A830),A830,IFERROR(DATE(VALUE(MID(A830,7,4)),VALUE(MID(A830,4,2)),VALUE(MID(A830,1,2)))+TIME(VALUE(MID(A830,12,2)),VALUE(MID(A830,15,2)),VALUE(MID(A830,18,2))),"")))</f>
        <v/>
      </c>
    </row>
    <row r="831" customFormat="false" ht="15" hidden="false" customHeight="false" outlineLevel="0" collapsed="false">
      <c r="I831" s="15" t="str">
        <f aca="false">IF(N831="","",INT(N831))</f>
        <v/>
      </c>
      <c r="J831" s="16" t="str">
        <f aca="false">IF(B831="","",IF(N831=_xlfn.MINIFS($N$2:$N$5001,$B$2:$B$5001,B831),1,0))</f>
        <v/>
      </c>
      <c r="K831" s="16" t="str">
        <f aca="false">IF(B831="","",IF(AND(D831="Formalização",E831="Concluído"),IF(COUNTIFS($B$2:$B$5001,B831,$E$2:$E$5001,"Em ajustes",$N$2:$N$5001,"&lt;"&amp;I831)&gt;0,1,0),0))</f>
        <v/>
      </c>
      <c r="L831" s="16" t="str">
        <f aca="false">IF(B831="","",IF(N831=_xlfn.MAXIFS($N$2:$N$5001,$B$2:$B$5001,B831,$I$2:$I$5001,I831),1,0))</f>
        <v/>
      </c>
      <c r="M831" s="16" t="str">
        <f aca="false">IF(B831="","",IF(E831="Em ajustes",IF(N831=_xlfn.MINIFS($N$2:$N$5001,$B$2:$B$5001,B831,$E$2:$E$5001,"Em ajustes"),1,0),0))</f>
        <v/>
      </c>
      <c r="N831" s="17" t="str">
        <f aca="false">IF(A831="","",IF(ISNUMBER(A831),A831,IFERROR(DATE(VALUE(MID(A831,7,4)),VALUE(MID(A831,4,2)),VALUE(MID(A831,1,2)))+TIME(VALUE(MID(A831,12,2)),VALUE(MID(A831,15,2)),VALUE(MID(A831,18,2))),"")))</f>
        <v/>
      </c>
    </row>
    <row r="832" customFormat="false" ht="15" hidden="false" customHeight="false" outlineLevel="0" collapsed="false">
      <c r="I832" s="15" t="str">
        <f aca="false">IF(N832="","",INT(N832))</f>
        <v/>
      </c>
      <c r="J832" s="16" t="str">
        <f aca="false">IF(B832="","",IF(N832=_xlfn.MINIFS($N$2:$N$5001,$B$2:$B$5001,B832),1,0))</f>
        <v/>
      </c>
      <c r="K832" s="16" t="str">
        <f aca="false">IF(B832="","",IF(AND(D832="Formalização",E832="Concluído"),IF(COUNTIFS($B$2:$B$5001,B832,$E$2:$E$5001,"Em ajustes",$N$2:$N$5001,"&lt;"&amp;I832)&gt;0,1,0),0))</f>
        <v/>
      </c>
      <c r="L832" s="16" t="str">
        <f aca="false">IF(B832="","",IF(N832=_xlfn.MAXIFS($N$2:$N$5001,$B$2:$B$5001,B832,$I$2:$I$5001,I832),1,0))</f>
        <v/>
      </c>
      <c r="M832" s="16" t="str">
        <f aca="false">IF(B832="","",IF(E832="Em ajustes",IF(N832=_xlfn.MINIFS($N$2:$N$5001,$B$2:$B$5001,B832,$E$2:$E$5001,"Em ajustes"),1,0),0))</f>
        <v/>
      </c>
      <c r="N832" s="17" t="str">
        <f aca="false">IF(A832="","",IF(ISNUMBER(A832),A832,IFERROR(DATE(VALUE(MID(A832,7,4)),VALUE(MID(A832,4,2)),VALUE(MID(A832,1,2)))+TIME(VALUE(MID(A832,12,2)),VALUE(MID(A832,15,2)),VALUE(MID(A832,18,2))),"")))</f>
        <v/>
      </c>
    </row>
    <row r="833" customFormat="false" ht="15" hidden="false" customHeight="false" outlineLevel="0" collapsed="false">
      <c r="I833" s="15" t="str">
        <f aca="false">IF(N833="","",INT(N833))</f>
        <v/>
      </c>
      <c r="J833" s="16" t="str">
        <f aca="false">IF(B833="","",IF(N833=_xlfn.MINIFS($N$2:$N$5001,$B$2:$B$5001,B833),1,0))</f>
        <v/>
      </c>
      <c r="K833" s="16" t="str">
        <f aca="false">IF(B833="","",IF(AND(D833="Formalização",E833="Concluído"),IF(COUNTIFS($B$2:$B$5001,B833,$E$2:$E$5001,"Em ajustes",$N$2:$N$5001,"&lt;"&amp;I833)&gt;0,1,0),0))</f>
        <v/>
      </c>
      <c r="L833" s="16" t="str">
        <f aca="false">IF(B833="","",IF(N833=_xlfn.MAXIFS($N$2:$N$5001,$B$2:$B$5001,B833,$I$2:$I$5001,I833),1,0))</f>
        <v/>
      </c>
      <c r="M833" s="16" t="str">
        <f aca="false">IF(B833="","",IF(E833="Em ajustes",IF(N833=_xlfn.MINIFS($N$2:$N$5001,$B$2:$B$5001,B833,$E$2:$E$5001,"Em ajustes"),1,0),0))</f>
        <v/>
      </c>
      <c r="N833" s="17" t="str">
        <f aca="false">IF(A833="","",IF(ISNUMBER(A833),A833,IFERROR(DATE(VALUE(MID(A833,7,4)),VALUE(MID(A833,4,2)),VALUE(MID(A833,1,2)))+TIME(VALUE(MID(A833,12,2)),VALUE(MID(A833,15,2)),VALUE(MID(A833,18,2))),"")))</f>
        <v/>
      </c>
    </row>
    <row r="834" customFormat="false" ht="15" hidden="false" customHeight="false" outlineLevel="0" collapsed="false">
      <c r="I834" s="15" t="str">
        <f aca="false">IF(N834="","",INT(N834))</f>
        <v/>
      </c>
      <c r="J834" s="16" t="str">
        <f aca="false">IF(B834="","",IF(N834=_xlfn.MINIFS($N$2:$N$5001,$B$2:$B$5001,B834),1,0))</f>
        <v/>
      </c>
      <c r="K834" s="16" t="str">
        <f aca="false">IF(B834="","",IF(AND(D834="Formalização",E834="Concluído"),IF(COUNTIFS($B$2:$B$5001,B834,$E$2:$E$5001,"Em ajustes",$N$2:$N$5001,"&lt;"&amp;I834)&gt;0,1,0),0))</f>
        <v/>
      </c>
      <c r="L834" s="16" t="str">
        <f aca="false">IF(B834="","",IF(N834=_xlfn.MAXIFS($N$2:$N$5001,$B$2:$B$5001,B834,$I$2:$I$5001,I834),1,0))</f>
        <v/>
      </c>
      <c r="M834" s="16" t="str">
        <f aca="false">IF(B834="","",IF(E834="Em ajustes",IF(N834=_xlfn.MINIFS($N$2:$N$5001,$B$2:$B$5001,B834,$E$2:$E$5001,"Em ajustes"),1,0),0))</f>
        <v/>
      </c>
      <c r="N834" s="17" t="str">
        <f aca="false">IF(A834="","",IF(ISNUMBER(A834),A834,IFERROR(DATE(VALUE(MID(A834,7,4)),VALUE(MID(A834,4,2)),VALUE(MID(A834,1,2)))+TIME(VALUE(MID(A834,12,2)),VALUE(MID(A834,15,2)),VALUE(MID(A834,18,2))),"")))</f>
        <v/>
      </c>
    </row>
    <row r="835" customFormat="false" ht="15" hidden="false" customHeight="false" outlineLevel="0" collapsed="false">
      <c r="I835" s="15" t="str">
        <f aca="false">IF(N835="","",INT(N835))</f>
        <v/>
      </c>
      <c r="J835" s="16" t="str">
        <f aca="false">IF(B835="","",IF(N835=_xlfn.MINIFS($N$2:$N$5001,$B$2:$B$5001,B835),1,0))</f>
        <v/>
      </c>
      <c r="K835" s="16" t="str">
        <f aca="false">IF(B835="","",IF(AND(D835="Formalização",E835="Concluído"),IF(COUNTIFS($B$2:$B$5001,B835,$E$2:$E$5001,"Em ajustes",$N$2:$N$5001,"&lt;"&amp;I835)&gt;0,1,0),0))</f>
        <v/>
      </c>
      <c r="L835" s="16" t="str">
        <f aca="false">IF(B835="","",IF(N835=_xlfn.MAXIFS($N$2:$N$5001,$B$2:$B$5001,B835,$I$2:$I$5001,I835),1,0))</f>
        <v/>
      </c>
      <c r="M835" s="16" t="str">
        <f aca="false">IF(B835="","",IF(E835="Em ajustes",IF(N835=_xlfn.MINIFS($N$2:$N$5001,$B$2:$B$5001,B835,$E$2:$E$5001,"Em ajustes"),1,0),0))</f>
        <v/>
      </c>
      <c r="N835" s="17" t="str">
        <f aca="false">IF(A835="","",IF(ISNUMBER(A835),A835,IFERROR(DATE(VALUE(MID(A835,7,4)),VALUE(MID(A835,4,2)),VALUE(MID(A835,1,2)))+TIME(VALUE(MID(A835,12,2)),VALUE(MID(A835,15,2)),VALUE(MID(A835,18,2))),"")))</f>
        <v/>
      </c>
    </row>
    <row r="836" customFormat="false" ht="15" hidden="false" customHeight="false" outlineLevel="0" collapsed="false">
      <c r="I836" s="15" t="str">
        <f aca="false">IF(N836="","",INT(N836))</f>
        <v/>
      </c>
      <c r="J836" s="16" t="str">
        <f aca="false">IF(B836="","",IF(N836=_xlfn.MINIFS($N$2:$N$5001,$B$2:$B$5001,B836),1,0))</f>
        <v/>
      </c>
      <c r="K836" s="16" t="str">
        <f aca="false">IF(B836="","",IF(AND(D836="Formalização",E836="Concluído"),IF(COUNTIFS($B$2:$B$5001,B836,$E$2:$E$5001,"Em ajustes",$N$2:$N$5001,"&lt;"&amp;I836)&gt;0,1,0),0))</f>
        <v/>
      </c>
      <c r="L836" s="16" t="str">
        <f aca="false">IF(B836="","",IF(N836=_xlfn.MAXIFS($N$2:$N$5001,$B$2:$B$5001,B836,$I$2:$I$5001,I836),1,0))</f>
        <v/>
      </c>
      <c r="M836" s="16" t="str">
        <f aca="false">IF(B836="","",IF(E836="Em ajustes",IF(N836=_xlfn.MINIFS($N$2:$N$5001,$B$2:$B$5001,B836,$E$2:$E$5001,"Em ajustes"),1,0),0))</f>
        <v/>
      </c>
      <c r="N836" s="17" t="str">
        <f aca="false">IF(A836="","",IF(ISNUMBER(A836),A836,IFERROR(DATE(VALUE(MID(A836,7,4)),VALUE(MID(A836,4,2)),VALUE(MID(A836,1,2)))+TIME(VALUE(MID(A836,12,2)),VALUE(MID(A836,15,2)),VALUE(MID(A836,18,2))),"")))</f>
        <v/>
      </c>
    </row>
    <row r="837" customFormat="false" ht="15" hidden="false" customHeight="false" outlineLevel="0" collapsed="false">
      <c r="I837" s="15" t="str">
        <f aca="false">IF(N837="","",INT(N837))</f>
        <v/>
      </c>
      <c r="J837" s="16" t="str">
        <f aca="false">IF(B837="","",IF(N837=_xlfn.MINIFS($N$2:$N$5001,$B$2:$B$5001,B837),1,0))</f>
        <v/>
      </c>
      <c r="K837" s="16" t="str">
        <f aca="false">IF(B837="","",IF(AND(D837="Formalização",E837="Concluído"),IF(COUNTIFS($B$2:$B$5001,B837,$E$2:$E$5001,"Em ajustes",$N$2:$N$5001,"&lt;"&amp;I837)&gt;0,1,0),0))</f>
        <v/>
      </c>
      <c r="L837" s="16" t="str">
        <f aca="false">IF(B837="","",IF(N837=_xlfn.MAXIFS($N$2:$N$5001,$B$2:$B$5001,B837,$I$2:$I$5001,I837),1,0))</f>
        <v/>
      </c>
      <c r="M837" s="16" t="str">
        <f aca="false">IF(B837="","",IF(E837="Em ajustes",IF(N837=_xlfn.MINIFS($N$2:$N$5001,$B$2:$B$5001,B837,$E$2:$E$5001,"Em ajustes"),1,0),0))</f>
        <v/>
      </c>
      <c r="N837" s="17" t="str">
        <f aca="false">IF(A837="","",IF(ISNUMBER(A837),A837,IFERROR(DATE(VALUE(MID(A837,7,4)),VALUE(MID(A837,4,2)),VALUE(MID(A837,1,2)))+TIME(VALUE(MID(A837,12,2)),VALUE(MID(A837,15,2)),VALUE(MID(A837,18,2))),"")))</f>
        <v/>
      </c>
    </row>
    <row r="838" customFormat="false" ht="15" hidden="false" customHeight="false" outlineLevel="0" collapsed="false">
      <c r="I838" s="15" t="str">
        <f aca="false">IF(N838="","",INT(N838))</f>
        <v/>
      </c>
      <c r="J838" s="16" t="str">
        <f aca="false">IF(B838="","",IF(N838=_xlfn.MINIFS($N$2:$N$5001,$B$2:$B$5001,B838),1,0))</f>
        <v/>
      </c>
      <c r="K838" s="16" t="str">
        <f aca="false">IF(B838="","",IF(AND(D838="Formalização",E838="Concluído"),IF(COUNTIFS($B$2:$B$5001,B838,$E$2:$E$5001,"Em ajustes",$N$2:$N$5001,"&lt;"&amp;I838)&gt;0,1,0),0))</f>
        <v/>
      </c>
      <c r="L838" s="16" t="str">
        <f aca="false">IF(B838="","",IF(N838=_xlfn.MAXIFS($N$2:$N$5001,$B$2:$B$5001,B838,$I$2:$I$5001,I838),1,0))</f>
        <v/>
      </c>
      <c r="M838" s="16" t="str">
        <f aca="false">IF(B838="","",IF(E838="Em ajustes",IF(N838=_xlfn.MINIFS($N$2:$N$5001,$B$2:$B$5001,B838,$E$2:$E$5001,"Em ajustes"),1,0),0))</f>
        <v/>
      </c>
      <c r="N838" s="17" t="str">
        <f aca="false">IF(A838="","",IF(ISNUMBER(A838),A838,IFERROR(DATE(VALUE(MID(A838,7,4)),VALUE(MID(A838,4,2)),VALUE(MID(A838,1,2)))+TIME(VALUE(MID(A838,12,2)),VALUE(MID(A838,15,2)),VALUE(MID(A838,18,2))),"")))</f>
        <v/>
      </c>
    </row>
    <row r="839" customFormat="false" ht="15" hidden="false" customHeight="false" outlineLevel="0" collapsed="false">
      <c r="I839" s="15" t="str">
        <f aca="false">IF(N839="","",INT(N839))</f>
        <v/>
      </c>
      <c r="J839" s="16" t="str">
        <f aca="false">IF(B839="","",IF(N839=_xlfn.MINIFS($N$2:$N$5001,$B$2:$B$5001,B839),1,0))</f>
        <v/>
      </c>
      <c r="K839" s="16" t="str">
        <f aca="false">IF(B839="","",IF(AND(D839="Formalização",E839="Concluído"),IF(COUNTIFS($B$2:$B$5001,B839,$E$2:$E$5001,"Em ajustes",$N$2:$N$5001,"&lt;"&amp;I839)&gt;0,1,0),0))</f>
        <v/>
      </c>
      <c r="L839" s="16" t="str">
        <f aca="false">IF(B839="","",IF(N839=_xlfn.MAXIFS($N$2:$N$5001,$B$2:$B$5001,B839,$I$2:$I$5001,I839),1,0))</f>
        <v/>
      </c>
      <c r="M839" s="16" t="str">
        <f aca="false">IF(B839="","",IF(E839="Em ajustes",IF(N839=_xlfn.MINIFS($N$2:$N$5001,$B$2:$B$5001,B839,$E$2:$E$5001,"Em ajustes"),1,0),0))</f>
        <v/>
      </c>
      <c r="N839" s="17" t="str">
        <f aca="false">IF(A839="","",IF(ISNUMBER(A839),A839,IFERROR(DATE(VALUE(MID(A839,7,4)),VALUE(MID(A839,4,2)),VALUE(MID(A839,1,2)))+TIME(VALUE(MID(A839,12,2)),VALUE(MID(A839,15,2)),VALUE(MID(A839,18,2))),"")))</f>
        <v/>
      </c>
    </row>
    <row r="840" customFormat="false" ht="15" hidden="false" customHeight="false" outlineLevel="0" collapsed="false">
      <c r="I840" s="15" t="str">
        <f aca="false">IF(N840="","",INT(N840))</f>
        <v/>
      </c>
      <c r="J840" s="16" t="str">
        <f aca="false">IF(B840="","",IF(N840=_xlfn.MINIFS($N$2:$N$5001,$B$2:$B$5001,B840),1,0))</f>
        <v/>
      </c>
      <c r="K840" s="16" t="str">
        <f aca="false">IF(B840="","",IF(AND(D840="Formalização",E840="Concluído"),IF(COUNTIFS($B$2:$B$5001,B840,$E$2:$E$5001,"Em ajustes",$N$2:$N$5001,"&lt;"&amp;I840)&gt;0,1,0),0))</f>
        <v/>
      </c>
      <c r="L840" s="16" t="str">
        <f aca="false">IF(B840="","",IF(N840=_xlfn.MAXIFS($N$2:$N$5001,$B$2:$B$5001,B840,$I$2:$I$5001,I840),1,0))</f>
        <v/>
      </c>
      <c r="M840" s="16" t="str">
        <f aca="false">IF(B840="","",IF(E840="Em ajustes",IF(N840=_xlfn.MINIFS($N$2:$N$5001,$B$2:$B$5001,B840,$E$2:$E$5001,"Em ajustes"),1,0),0))</f>
        <v/>
      </c>
      <c r="N840" s="17" t="str">
        <f aca="false">IF(A840="","",IF(ISNUMBER(A840),A840,IFERROR(DATE(VALUE(MID(A840,7,4)),VALUE(MID(A840,4,2)),VALUE(MID(A840,1,2)))+TIME(VALUE(MID(A840,12,2)),VALUE(MID(A840,15,2)),VALUE(MID(A840,18,2))),"")))</f>
        <v/>
      </c>
    </row>
    <row r="841" customFormat="false" ht="15" hidden="false" customHeight="false" outlineLevel="0" collapsed="false">
      <c r="I841" s="15" t="str">
        <f aca="false">IF(N841="","",INT(N841))</f>
        <v/>
      </c>
      <c r="J841" s="16" t="str">
        <f aca="false">IF(B841="","",IF(N841=_xlfn.MINIFS($N$2:$N$5001,$B$2:$B$5001,B841),1,0))</f>
        <v/>
      </c>
      <c r="K841" s="16" t="str">
        <f aca="false">IF(B841="","",IF(AND(D841="Formalização",E841="Concluído"),IF(COUNTIFS($B$2:$B$5001,B841,$E$2:$E$5001,"Em ajustes",$N$2:$N$5001,"&lt;"&amp;I841)&gt;0,1,0),0))</f>
        <v/>
      </c>
      <c r="L841" s="16" t="str">
        <f aca="false">IF(B841="","",IF(N841=_xlfn.MAXIFS($N$2:$N$5001,$B$2:$B$5001,B841,$I$2:$I$5001,I841),1,0))</f>
        <v/>
      </c>
      <c r="M841" s="16" t="str">
        <f aca="false">IF(B841="","",IF(E841="Em ajustes",IF(N841=_xlfn.MINIFS($N$2:$N$5001,$B$2:$B$5001,B841,$E$2:$E$5001,"Em ajustes"),1,0),0))</f>
        <v/>
      </c>
      <c r="N841" s="17" t="str">
        <f aca="false">IF(A841="","",IF(ISNUMBER(A841),A841,IFERROR(DATE(VALUE(MID(A841,7,4)),VALUE(MID(A841,4,2)),VALUE(MID(A841,1,2)))+TIME(VALUE(MID(A841,12,2)),VALUE(MID(A841,15,2)),VALUE(MID(A841,18,2))),"")))</f>
        <v/>
      </c>
    </row>
    <row r="842" customFormat="false" ht="15" hidden="false" customHeight="false" outlineLevel="0" collapsed="false">
      <c r="I842" s="15" t="str">
        <f aca="false">IF(N842="","",INT(N842))</f>
        <v/>
      </c>
      <c r="J842" s="16" t="str">
        <f aca="false">IF(B842="","",IF(N842=_xlfn.MINIFS($N$2:$N$5001,$B$2:$B$5001,B842),1,0))</f>
        <v/>
      </c>
      <c r="K842" s="16" t="str">
        <f aca="false">IF(B842="","",IF(AND(D842="Formalização",E842="Concluído"),IF(COUNTIFS($B$2:$B$5001,B842,$E$2:$E$5001,"Em ajustes",$N$2:$N$5001,"&lt;"&amp;I842)&gt;0,1,0),0))</f>
        <v/>
      </c>
      <c r="L842" s="16" t="str">
        <f aca="false">IF(B842="","",IF(N842=_xlfn.MAXIFS($N$2:$N$5001,$B$2:$B$5001,B842,$I$2:$I$5001,I842),1,0))</f>
        <v/>
      </c>
      <c r="M842" s="16" t="str">
        <f aca="false">IF(B842="","",IF(E842="Em ajustes",IF(N842=_xlfn.MINIFS($N$2:$N$5001,$B$2:$B$5001,B842,$E$2:$E$5001,"Em ajustes"),1,0),0))</f>
        <v/>
      </c>
      <c r="N842" s="17" t="str">
        <f aca="false">IF(A842="","",IF(ISNUMBER(A842),A842,IFERROR(DATE(VALUE(MID(A842,7,4)),VALUE(MID(A842,4,2)),VALUE(MID(A842,1,2)))+TIME(VALUE(MID(A842,12,2)),VALUE(MID(A842,15,2)),VALUE(MID(A842,18,2))),"")))</f>
        <v/>
      </c>
    </row>
    <row r="843" customFormat="false" ht="15" hidden="false" customHeight="false" outlineLevel="0" collapsed="false">
      <c r="I843" s="15" t="str">
        <f aca="false">IF(N843="","",INT(N843))</f>
        <v/>
      </c>
      <c r="J843" s="16" t="str">
        <f aca="false">IF(B843="","",IF(N843=_xlfn.MINIFS($N$2:$N$5001,$B$2:$B$5001,B843),1,0))</f>
        <v/>
      </c>
      <c r="K843" s="16" t="str">
        <f aca="false">IF(B843="","",IF(AND(D843="Formalização",E843="Concluído"),IF(COUNTIFS($B$2:$B$5001,B843,$E$2:$E$5001,"Em ajustes",$N$2:$N$5001,"&lt;"&amp;I843)&gt;0,1,0),0))</f>
        <v/>
      </c>
      <c r="L843" s="16" t="str">
        <f aca="false">IF(B843="","",IF(N843=_xlfn.MAXIFS($N$2:$N$5001,$B$2:$B$5001,B843,$I$2:$I$5001,I843),1,0))</f>
        <v/>
      </c>
      <c r="M843" s="16" t="str">
        <f aca="false">IF(B843="","",IF(E843="Em ajustes",IF(N843=_xlfn.MINIFS($N$2:$N$5001,$B$2:$B$5001,B843,$E$2:$E$5001,"Em ajustes"),1,0),0))</f>
        <v/>
      </c>
      <c r="N843" s="17" t="str">
        <f aca="false">IF(A843="","",IF(ISNUMBER(A843),A843,IFERROR(DATE(VALUE(MID(A843,7,4)),VALUE(MID(A843,4,2)),VALUE(MID(A843,1,2)))+TIME(VALUE(MID(A843,12,2)),VALUE(MID(A843,15,2)),VALUE(MID(A843,18,2))),"")))</f>
        <v/>
      </c>
    </row>
    <row r="844" customFormat="false" ht="15" hidden="false" customHeight="false" outlineLevel="0" collapsed="false">
      <c r="I844" s="15" t="str">
        <f aca="false">IF(N844="","",INT(N844))</f>
        <v/>
      </c>
      <c r="J844" s="16" t="str">
        <f aca="false">IF(B844="","",IF(N844=_xlfn.MINIFS($N$2:$N$5001,$B$2:$B$5001,B844),1,0))</f>
        <v/>
      </c>
      <c r="K844" s="16" t="str">
        <f aca="false">IF(B844="","",IF(AND(D844="Formalização",E844="Concluído"),IF(COUNTIFS($B$2:$B$5001,B844,$E$2:$E$5001,"Em ajustes",$N$2:$N$5001,"&lt;"&amp;I844)&gt;0,1,0),0))</f>
        <v/>
      </c>
      <c r="L844" s="16" t="str">
        <f aca="false">IF(B844="","",IF(N844=_xlfn.MAXIFS($N$2:$N$5001,$B$2:$B$5001,B844,$I$2:$I$5001,I844),1,0))</f>
        <v/>
      </c>
      <c r="M844" s="16" t="str">
        <f aca="false">IF(B844="","",IF(E844="Em ajustes",IF(N844=_xlfn.MINIFS($N$2:$N$5001,$B$2:$B$5001,B844,$E$2:$E$5001,"Em ajustes"),1,0),0))</f>
        <v/>
      </c>
      <c r="N844" s="17" t="str">
        <f aca="false">IF(A844="","",IF(ISNUMBER(A844),A844,IFERROR(DATE(VALUE(MID(A844,7,4)),VALUE(MID(A844,4,2)),VALUE(MID(A844,1,2)))+TIME(VALUE(MID(A844,12,2)),VALUE(MID(A844,15,2)),VALUE(MID(A844,18,2))),"")))</f>
        <v/>
      </c>
    </row>
    <row r="845" customFormat="false" ht="15" hidden="false" customHeight="false" outlineLevel="0" collapsed="false">
      <c r="I845" s="15" t="str">
        <f aca="false">IF(N845="","",INT(N845))</f>
        <v/>
      </c>
      <c r="J845" s="16" t="str">
        <f aca="false">IF(B845="","",IF(N845=_xlfn.MINIFS($N$2:$N$5001,$B$2:$B$5001,B845),1,0))</f>
        <v/>
      </c>
      <c r="K845" s="16" t="str">
        <f aca="false">IF(B845="","",IF(AND(D845="Formalização",E845="Concluído"),IF(COUNTIFS($B$2:$B$5001,B845,$E$2:$E$5001,"Em ajustes",$N$2:$N$5001,"&lt;"&amp;I845)&gt;0,1,0),0))</f>
        <v/>
      </c>
      <c r="L845" s="16" t="str">
        <f aca="false">IF(B845="","",IF(N845=_xlfn.MAXIFS($N$2:$N$5001,$B$2:$B$5001,B845,$I$2:$I$5001,I845),1,0))</f>
        <v/>
      </c>
      <c r="M845" s="16" t="str">
        <f aca="false">IF(B845="","",IF(E845="Em ajustes",IF(N845=_xlfn.MINIFS($N$2:$N$5001,$B$2:$B$5001,B845,$E$2:$E$5001,"Em ajustes"),1,0),0))</f>
        <v/>
      </c>
      <c r="N845" s="17" t="str">
        <f aca="false">IF(A845="","",IF(ISNUMBER(A845),A845,IFERROR(DATE(VALUE(MID(A845,7,4)),VALUE(MID(A845,4,2)),VALUE(MID(A845,1,2)))+TIME(VALUE(MID(A845,12,2)),VALUE(MID(A845,15,2)),VALUE(MID(A845,18,2))),"")))</f>
        <v/>
      </c>
    </row>
    <row r="846" customFormat="false" ht="15" hidden="false" customHeight="false" outlineLevel="0" collapsed="false">
      <c r="I846" s="15" t="str">
        <f aca="false">IF(N846="","",INT(N846))</f>
        <v/>
      </c>
      <c r="J846" s="16" t="str">
        <f aca="false">IF(B846="","",IF(N846=_xlfn.MINIFS($N$2:$N$5001,$B$2:$B$5001,B846),1,0))</f>
        <v/>
      </c>
      <c r="K846" s="16" t="str">
        <f aca="false">IF(B846="","",IF(AND(D846="Formalização",E846="Concluído"),IF(COUNTIFS($B$2:$B$5001,B846,$E$2:$E$5001,"Em ajustes",$N$2:$N$5001,"&lt;"&amp;I846)&gt;0,1,0),0))</f>
        <v/>
      </c>
      <c r="L846" s="16" t="str">
        <f aca="false">IF(B846="","",IF(N846=_xlfn.MAXIFS($N$2:$N$5001,$B$2:$B$5001,B846,$I$2:$I$5001,I846),1,0))</f>
        <v/>
      </c>
      <c r="M846" s="16" t="str">
        <f aca="false">IF(B846="","",IF(E846="Em ajustes",IF(N846=_xlfn.MINIFS($N$2:$N$5001,$B$2:$B$5001,B846,$E$2:$E$5001,"Em ajustes"),1,0),0))</f>
        <v/>
      </c>
      <c r="N846" s="17" t="str">
        <f aca="false">IF(A846="","",IF(ISNUMBER(A846),A846,IFERROR(DATE(VALUE(MID(A846,7,4)),VALUE(MID(A846,4,2)),VALUE(MID(A846,1,2)))+TIME(VALUE(MID(A846,12,2)),VALUE(MID(A846,15,2)),VALUE(MID(A846,18,2))),"")))</f>
        <v/>
      </c>
    </row>
    <row r="847" customFormat="false" ht="15" hidden="false" customHeight="false" outlineLevel="0" collapsed="false">
      <c r="I847" s="15" t="str">
        <f aca="false">IF(N847="","",INT(N847))</f>
        <v/>
      </c>
      <c r="J847" s="16" t="str">
        <f aca="false">IF(B847="","",IF(N847=_xlfn.MINIFS($N$2:$N$5001,$B$2:$B$5001,B847),1,0))</f>
        <v/>
      </c>
      <c r="K847" s="16" t="str">
        <f aca="false">IF(B847="","",IF(AND(D847="Formalização",E847="Concluído"),IF(COUNTIFS($B$2:$B$5001,B847,$E$2:$E$5001,"Em ajustes",$N$2:$N$5001,"&lt;"&amp;I847)&gt;0,1,0),0))</f>
        <v/>
      </c>
      <c r="L847" s="16" t="str">
        <f aca="false">IF(B847="","",IF(N847=_xlfn.MAXIFS($N$2:$N$5001,$B$2:$B$5001,B847,$I$2:$I$5001,I847),1,0))</f>
        <v/>
      </c>
      <c r="M847" s="16" t="str">
        <f aca="false">IF(B847="","",IF(E847="Em ajustes",IF(N847=_xlfn.MINIFS($N$2:$N$5001,$B$2:$B$5001,B847,$E$2:$E$5001,"Em ajustes"),1,0),0))</f>
        <v/>
      </c>
      <c r="N847" s="17" t="str">
        <f aca="false">IF(A847="","",IF(ISNUMBER(A847),A847,IFERROR(DATE(VALUE(MID(A847,7,4)),VALUE(MID(A847,4,2)),VALUE(MID(A847,1,2)))+TIME(VALUE(MID(A847,12,2)),VALUE(MID(A847,15,2)),VALUE(MID(A847,18,2))),"")))</f>
        <v/>
      </c>
    </row>
    <row r="848" customFormat="false" ht="15" hidden="false" customHeight="false" outlineLevel="0" collapsed="false">
      <c r="I848" s="15" t="str">
        <f aca="false">IF(N848="","",INT(N848))</f>
        <v/>
      </c>
      <c r="J848" s="16" t="str">
        <f aca="false">IF(B848="","",IF(N848=_xlfn.MINIFS($N$2:$N$5001,$B$2:$B$5001,B848),1,0))</f>
        <v/>
      </c>
      <c r="K848" s="16" t="str">
        <f aca="false">IF(B848="","",IF(AND(D848="Formalização",E848="Concluído"),IF(COUNTIFS($B$2:$B$5001,B848,$E$2:$E$5001,"Em ajustes",$N$2:$N$5001,"&lt;"&amp;I848)&gt;0,1,0),0))</f>
        <v/>
      </c>
      <c r="L848" s="16" t="str">
        <f aca="false">IF(B848="","",IF(N848=_xlfn.MAXIFS($N$2:$N$5001,$B$2:$B$5001,B848,$I$2:$I$5001,I848),1,0))</f>
        <v/>
      </c>
      <c r="M848" s="16" t="str">
        <f aca="false">IF(B848="","",IF(E848="Em ajustes",IF(N848=_xlfn.MINIFS($N$2:$N$5001,$B$2:$B$5001,B848,$E$2:$E$5001,"Em ajustes"),1,0),0))</f>
        <v/>
      </c>
      <c r="N848" s="17" t="str">
        <f aca="false">IF(A848="","",IF(ISNUMBER(A848),A848,IFERROR(DATE(VALUE(MID(A848,7,4)),VALUE(MID(A848,4,2)),VALUE(MID(A848,1,2)))+TIME(VALUE(MID(A848,12,2)),VALUE(MID(A848,15,2)),VALUE(MID(A848,18,2))),"")))</f>
        <v/>
      </c>
    </row>
    <row r="849" customFormat="false" ht="15" hidden="false" customHeight="false" outlineLevel="0" collapsed="false">
      <c r="I849" s="15" t="str">
        <f aca="false">IF(N849="","",INT(N849))</f>
        <v/>
      </c>
      <c r="J849" s="16" t="str">
        <f aca="false">IF(B849="","",IF(N849=_xlfn.MINIFS($N$2:$N$5001,$B$2:$B$5001,B849),1,0))</f>
        <v/>
      </c>
      <c r="K849" s="16" t="str">
        <f aca="false">IF(B849="","",IF(AND(D849="Formalização",E849="Concluído"),IF(COUNTIFS($B$2:$B$5001,B849,$E$2:$E$5001,"Em ajustes",$N$2:$N$5001,"&lt;"&amp;I849)&gt;0,1,0),0))</f>
        <v/>
      </c>
      <c r="L849" s="16" t="str">
        <f aca="false">IF(B849="","",IF(N849=_xlfn.MAXIFS($N$2:$N$5001,$B$2:$B$5001,B849,$I$2:$I$5001,I849),1,0))</f>
        <v/>
      </c>
      <c r="M849" s="16" t="str">
        <f aca="false">IF(B849="","",IF(E849="Em ajustes",IF(N849=_xlfn.MINIFS($N$2:$N$5001,$B$2:$B$5001,B849,$E$2:$E$5001,"Em ajustes"),1,0),0))</f>
        <v/>
      </c>
      <c r="N849" s="17" t="str">
        <f aca="false">IF(A849="","",IF(ISNUMBER(A849),A849,IFERROR(DATE(VALUE(MID(A849,7,4)),VALUE(MID(A849,4,2)),VALUE(MID(A849,1,2)))+TIME(VALUE(MID(A849,12,2)),VALUE(MID(A849,15,2)),VALUE(MID(A849,18,2))),"")))</f>
        <v/>
      </c>
    </row>
    <row r="850" customFormat="false" ht="15" hidden="false" customHeight="false" outlineLevel="0" collapsed="false">
      <c r="I850" s="15" t="str">
        <f aca="false">IF(N850="","",INT(N850))</f>
        <v/>
      </c>
      <c r="J850" s="16" t="str">
        <f aca="false">IF(B850="","",IF(N850=_xlfn.MINIFS($N$2:$N$5001,$B$2:$B$5001,B850),1,0))</f>
        <v/>
      </c>
      <c r="K850" s="16" t="str">
        <f aca="false">IF(B850="","",IF(AND(D850="Formalização",E850="Concluído"),IF(COUNTIFS($B$2:$B$5001,B850,$E$2:$E$5001,"Em ajustes",$N$2:$N$5001,"&lt;"&amp;I850)&gt;0,1,0),0))</f>
        <v/>
      </c>
      <c r="L850" s="16" t="str">
        <f aca="false">IF(B850="","",IF(N850=_xlfn.MAXIFS($N$2:$N$5001,$B$2:$B$5001,B850,$I$2:$I$5001,I850),1,0))</f>
        <v/>
      </c>
      <c r="M850" s="16" t="str">
        <f aca="false">IF(B850="","",IF(E850="Em ajustes",IF(N850=_xlfn.MINIFS($N$2:$N$5001,$B$2:$B$5001,B850,$E$2:$E$5001,"Em ajustes"),1,0),0))</f>
        <v/>
      </c>
      <c r="N850" s="17" t="str">
        <f aca="false">IF(A850="","",IF(ISNUMBER(A850),A850,IFERROR(DATE(VALUE(MID(A850,7,4)),VALUE(MID(A850,4,2)),VALUE(MID(A850,1,2)))+TIME(VALUE(MID(A850,12,2)),VALUE(MID(A850,15,2)),VALUE(MID(A850,18,2))),"")))</f>
        <v/>
      </c>
    </row>
    <row r="851" customFormat="false" ht="15" hidden="false" customHeight="false" outlineLevel="0" collapsed="false">
      <c r="I851" s="15" t="str">
        <f aca="false">IF(N851="","",INT(N851))</f>
        <v/>
      </c>
      <c r="J851" s="16" t="str">
        <f aca="false">IF(B851="","",IF(N851=_xlfn.MINIFS($N$2:$N$5001,$B$2:$B$5001,B851),1,0))</f>
        <v/>
      </c>
      <c r="K851" s="16" t="str">
        <f aca="false">IF(B851="","",IF(AND(D851="Formalização",E851="Concluído"),IF(COUNTIFS($B$2:$B$5001,B851,$E$2:$E$5001,"Em ajustes",$N$2:$N$5001,"&lt;"&amp;I851)&gt;0,1,0),0))</f>
        <v/>
      </c>
      <c r="L851" s="16" t="str">
        <f aca="false">IF(B851="","",IF(N851=_xlfn.MAXIFS($N$2:$N$5001,$B$2:$B$5001,B851,$I$2:$I$5001,I851),1,0))</f>
        <v/>
      </c>
      <c r="M851" s="16" t="str">
        <f aca="false">IF(B851="","",IF(E851="Em ajustes",IF(N851=_xlfn.MINIFS($N$2:$N$5001,$B$2:$B$5001,B851,$E$2:$E$5001,"Em ajustes"),1,0),0))</f>
        <v/>
      </c>
      <c r="N851" s="17" t="str">
        <f aca="false">IF(A851="","",IF(ISNUMBER(A851),A851,IFERROR(DATE(VALUE(MID(A851,7,4)),VALUE(MID(A851,4,2)),VALUE(MID(A851,1,2)))+TIME(VALUE(MID(A851,12,2)),VALUE(MID(A851,15,2)),VALUE(MID(A851,18,2))),"")))</f>
        <v/>
      </c>
    </row>
    <row r="852" customFormat="false" ht="15" hidden="false" customHeight="false" outlineLevel="0" collapsed="false">
      <c r="I852" s="15" t="str">
        <f aca="false">IF(N852="","",INT(N852))</f>
        <v/>
      </c>
      <c r="J852" s="16" t="str">
        <f aca="false">IF(B852="","",IF(N852=_xlfn.MINIFS($N$2:$N$5001,$B$2:$B$5001,B852),1,0))</f>
        <v/>
      </c>
      <c r="K852" s="16" t="str">
        <f aca="false">IF(B852="","",IF(AND(D852="Formalização",E852="Concluído"),IF(COUNTIFS($B$2:$B$5001,B852,$E$2:$E$5001,"Em ajustes",$N$2:$N$5001,"&lt;"&amp;I852)&gt;0,1,0),0))</f>
        <v/>
      </c>
      <c r="L852" s="16" t="str">
        <f aca="false">IF(B852="","",IF(N852=_xlfn.MAXIFS($N$2:$N$5001,$B$2:$B$5001,B852,$I$2:$I$5001,I852),1,0))</f>
        <v/>
      </c>
      <c r="M852" s="16" t="str">
        <f aca="false">IF(B852="","",IF(E852="Em ajustes",IF(N852=_xlfn.MINIFS($N$2:$N$5001,$B$2:$B$5001,B852,$E$2:$E$5001,"Em ajustes"),1,0),0))</f>
        <v/>
      </c>
      <c r="N852" s="17" t="str">
        <f aca="false">IF(A852="","",IF(ISNUMBER(A852),A852,IFERROR(DATE(VALUE(MID(A852,7,4)),VALUE(MID(A852,4,2)),VALUE(MID(A852,1,2)))+TIME(VALUE(MID(A852,12,2)),VALUE(MID(A852,15,2)),VALUE(MID(A852,18,2))),"")))</f>
        <v/>
      </c>
    </row>
    <row r="853" customFormat="false" ht="15" hidden="false" customHeight="false" outlineLevel="0" collapsed="false">
      <c r="I853" s="15" t="str">
        <f aca="false">IF(N853="","",INT(N853))</f>
        <v/>
      </c>
      <c r="J853" s="16" t="str">
        <f aca="false">IF(B853="","",IF(N853=_xlfn.MINIFS($N$2:$N$5001,$B$2:$B$5001,B853),1,0))</f>
        <v/>
      </c>
      <c r="K853" s="16" t="str">
        <f aca="false">IF(B853="","",IF(AND(D853="Formalização",E853="Concluído"),IF(COUNTIFS($B$2:$B$5001,B853,$E$2:$E$5001,"Em ajustes",$N$2:$N$5001,"&lt;"&amp;I853)&gt;0,1,0),0))</f>
        <v/>
      </c>
      <c r="L853" s="16" t="str">
        <f aca="false">IF(B853="","",IF(N853=_xlfn.MAXIFS($N$2:$N$5001,$B$2:$B$5001,B853,$I$2:$I$5001,I853),1,0))</f>
        <v/>
      </c>
      <c r="M853" s="16" t="str">
        <f aca="false">IF(B853="","",IF(E853="Em ajustes",IF(N853=_xlfn.MINIFS($N$2:$N$5001,$B$2:$B$5001,B853,$E$2:$E$5001,"Em ajustes"),1,0),0))</f>
        <v/>
      </c>
      <c r="N853" s="17" t="str">
        <f aca="false">IF(A853="","",IF(ISNUMBER(A853),A853,IFERROR(DATE(VALUE(MID(A853,7,4)),VALUE(MID(A853,4,2)),VALUE(MID(A853,1,2)))+TIME(VALUE(MID(A853,12,2)),VALUE(MID(A853,15,2)),VALUE(MID(A853,18,2))),"")))</f>
        <v/>
      </c>
    </row>
    <row r="854" customFormat="false" ht="15" hidden="false" customHeight="false" outlineLevel="0" collapsed="false">
      <c r="I854" s="15" t="str">
        <f aca="false">IF(N854="","",INT(N854))</f>
        <v/>
      </c>
      <c r="J854" s="16" t="str">
        <f aca="false">IF(B854="","",IF(N854=_xlfn.MINIFS($N$2:$N$5001,$B$2:$B$5001,B854),1,0))</f>
        <v/>
      </c>
      <c r="K854" s="16" t="str">
        <f aca="false">IF(B854="","",IF(AND(D854="Formalização",E854="Concluído"),IF(COUNTIFS($B$2:$B$5001,B854,$E$2:$E$5001,"Em ajustes",$N$2:$N$5001,"&lt;"&amp;I854)&gt;0,1,0),0))</f>
        <v/>
      </c>
      <c r="L854" s="16" t="str">
        <f aca="false">IF(B854="","",IF(N854=_xlfn.MAXIFS($N$2:$N$5001,$B$2:$B$5001,B854,$I$2:$I$5001,I854),1,0))</f>
        <v/>
      </c>
      <c r="M854" s="16" t="str">
        <f aca="false">IF(B854="","",IF(E854="Em ajustes",IF(N854=_xlfn.MINIFS($N$2:$N$5001,$B$2:$B$5001,B854,$E$2:$E$5001,"Em ajustes"),1,0),0))</f>
        <v/>
      </c>
      <c r="N854" s="17" t="str">
        <f aca="false">IF(A854="","",IF(ISNUMBER(A854),A854,IFERROR(DATE(VALUE(MID(A854,7,4)),VALUE(MID(A854,4,2)),VALUE(MID(A854,1,2)))+TIME(VALUE(MID(A854,12,2)),VALUE(MID(A854,15,2)),VALUE(MID(A854,18,2))),"")))</f>
        <v/>
      </c>
    </row>
    <row r="855" customFormat="false" ht="15" hidden="false" customHeight="false" outlineLevel="0" collapsed="false">
      <c r="I855" s="15" t="str">
        <f aca="false">IF(N855="","",INT(N855))</f>
        <v/>
      </c>
      <c r="J855" s="16" t="str">
        <f aca="false">IF(B855="","",IF(N855=_xlfn.MINIFS($N$2:$N$5001,$B$2:$B$5001,B855),1,0))</f>
        <v/>
      </c>
      <c r="K855" s="16" t="str">
        <f aca="false">IF(B855="","",IF(AND(D855="Formalização",E855="Concluído"),IF(COUNTIFS($B$2:$B$5001,B855,$E$2:$E$5001,"Em ajustes",$N$2:$N$5001,"&lt;"&amp;I855)&gt;0,1,0),0))</f>
        <v/>
      </c>
      <c r="L855" s="16" t="str">
        <f aca="false">IF(B855="","",IF(N855=_xlfn.MAXIFS($N$2:$N$5001,$B$2:$B$5001,B855,$I$2:$I$5001,I855),1,0))</f>
        <v/>
      </c>
      <c r="M855" s="16" t="str">
        <f aca="false">IF(B855="","",IF(E855="Em ajustes",IF(N855=_xlfn.MINIFS($N$2:$N$5001,$B$2:$B$5001,B855,$E$2:$E$5001,"Em ajustes"),1,0),0))</f>
        <v/>
      </c>
      <c r="N855" s="17" t="str">
        <f aca="false">IF(A855="","",IF(ISNUMBER(A855),A855,IFERROR(DATE(VALUE(MID(A855,7,4)),VALUE(MID(A855,4,2)),VALUE(MID(A855,1,2)))+TIME(VALUE(MID(A855,12,2)),VALUE(MID(A855,15,2)),VALUE(MID(A855,18,2))),"")))</f>
        <v/>
      </c>
    </row>
    <row r="856" customFormat="false" ht="15" hidden="false" customHeight="false" outlineLevel="0" collapsed="false">
      <c r="I856" s="15" t="str">
        <f aca="false">IF(N856="","",INT(N856))</f>
        <v/>
      </c>
      <c r="J856" s="16" t="str">
        <f aca="false">IF(B856="","",IF(N856=_xlfn.MINIFS($N$2:$N$5001,$B$2:$B$5001,B856),1,0))</f>
        <v/>
      </c>
      <c r="K856" s="16" t="str">
        <f aca="false">IF(B856="","",IF(AND(D856="Formalização",E856="Concluído"),IF(COUNTIFS($B$2:$B$5001,B856,$E$2:$E$5001,"Em ajustes",$N$2:$N$5001,"&lt;"&amp;I856)&gt;0,1,0),0))</f>
        <v/>
      </c>
      <c r="L856" s="16" t="str">
        <f aca="false">IF(B856="","",IF(N856=_xlfn.MAXIFS($N$2:$N$5001,$B$2:$B$5001,B856,$I$2:$I$5001,I856),1,0))</f>
        <v/>
      </c>
      <c r="M856" s="16" t="str">
        <f aca="false">IF(B856="","",IF(E856="Em ajustes",IF(N856=_xlfn.MINIFS($N$2:$N$5001,$B$2:$B$5001,B856,$E$2:$E$5001,"Em ajustes"),1,0),0))</f>
        <v/>
      </c>
      <c r="N856" s="17" t="str">
        <f aca="false">IF(A856="","",IF(ISNUMBER(A856),A856,IFERROR(DATE(VALUE(MID(A856,7,4)),VALUE(MID(A856,4,2)),VALUE(MID(A856,1,2)))+TIME(VALUE(MID(A856,12,2)),VALUE(MID(A856,15,2)),VALUE(MID(A856,18,2))),"")))</f>
        <v/>
      </c>
    </row>
    <row r="857" customFormat="false" ht="15" hidden="false" customHeight="false" outlineLevel="0" collapsed="false">
      <c r="I857" s="15" t="str">
        <f aca="false">IF(N857="","",INT(N857))</f>
        <v/>
      </c>
      <c r="J857" s="16" t="str">
        <f aca="false">IF(B857="","",IF(N857=_xlfn.MINIFS($N$2:$N$5001,$B$2:$B$5001,B857),1,0))</f>
        <v/>
      </c>
      <c r="K857" s="16" t="str">
        <f aca="false">IF(B857="","",IF(AND(D857="Formalização",E857="Concluído"),IF(COUNTIFS($B$2:$B$5001,B857,$E$2:$E$5001,"Em ajustes",$N$2:$N$5001,"&lt;"&amp;I857)&gt;0,1,0),0))</f>
        <v/>
      </c>
      <c r="L857" s="16" t="str">
        <f aca="false">IF(B857="","",IF(N857=_xlfn.MAXIFS($N$2:$N$5001,$B$2:$B$5001,B857,$I$2:$I$5001,I857),1,0))</f>
        <v/>
      </c>
      <c r="M857" s="16" t="str">
        <f aca="false">IF(B857="","",IF(E857="Em ajustes",IF(N857=_xlfn.MINIFS($N$2:$N$5001,$B$2:$B$5001,B857,$E$2:$E$5001,"Em ajustes"),1,0),0))</f>
        <v/>
      </c>
      <c r="N857" s="17" t="str">
        <f aca="false">IF(A857="","",IF(ISNUMBER(A857),A857,IFERROR(DATE(VALUE(MID(A857,7,4)),VALUE(MID(A857,4,2)),VALUE(MID(A857,1,2)))+TIME(VALUE(MID(A857,12,2)),VALUE(MID(A857,15,2)),VALUE(MID(A857,18,2))),"")))</f>
        <v/>
      </c>
    </row>
    <row r="858" customFormat="false" ht="15" hidden="false" customHeight="false" outlineLevel="0" collapsed="false">
      <c r="I858" s="15" t="str">
        <f aca="false">IF(N858="","",INT(N858))</f>
        <v/>
      </c>
      <c r="J858" s="16" t="str">
        <f aca="false">IF(B858="","",IF(N858=_xlfn.MINIFS($N$2:$N$5001,$B$2:$B$5001,B858),1,0))</f>
        <v/>
      </c>
      <c r="K858" s="16" t="str">
        <f aca="false">IF(B858="","",IF(AND(D858="Formalização",E858="Concluído"),IF(COUNTIFS($B$2:$B$5001,B858,$E$2:$E$5001,"Em ajustes",$N$2:$N$5001,"&lt;"&amp;I858)&gt;0,1,0),0))</f>
        <v/>
      </c>
      <c r="L858" s="16" t="str">
        <f aca="false">IF(B858="","",IF(N858=_xlfn.MAXIFS($N$2:$N$5001,$B$2:$B$5001,B858,$I$2:$I$5001,I858),1,0))</f>
        <v/>
      </c>
      <c r="M858" s="16" t="str">
        <f aca="false">IF(B858="","",IF(E858="Em ajustes",IF(N858=_xlfn.MINIFS($N$2:$N$5001,$B$2:$B$5001,B858,$E$2:$E$5001,"Em ajustes"),1,0),0))</f>
        <v/>
      </c>
      <c r="N858" s="17" t="str">
        <f aca="false">IF(A858="","",IF(ISNUMBER(A858),A858,IFERROR(DATE(VALUE(MID(A858,7,4)),VALUE(MID(A858,4,2)),VALUE(MID(A858,1,2)))+TIME(VALUE(MID(A858,12,2)),VALUE(MID(A858,15,2)),VALUE(MID(A858,18,2))),"")))</f>
        <v/>
      </c>
    </row>
    <row r="859" customFormat="false" ht="15" hidden="false" customHeight="false" outlineLevel="0" collapsed="false">
      <c r="I859" s="15" t="str">
        <f aca="false">IF(N859="","",INT(N859))</f>
        <v/>
      </c>
      <c r="J859" s="16" t="str">
        <f aca="false">IF(B859="","",IF(N859=_xlfn.MINIFS($N$2:$N$5001,$B$2:$B$5001,B859),1,0))</f>
        <v/>
      </c>
      <c r="K859" s="16" t="str">
        <f aca="false">IF(B859="","",IF(AND(D859="Formalização",E859="Concluído"),IF(COUNTIFS($B$2:$B$5001,B859,$E$2:$E$5001,"Em ajustes",$N$2:$N$5001,"&lt;"&amp;I859)&gt;0,1,0),0))</f>
        <v/>
      </c>
      <c r="L859" s="16" t="str">
        <f aca="false">IF(B859="","",IF(N859=_xlfn.MAXIFS($N$2:$N$5001,$B$2:$B$5001,B859,$I$2:$I$5001,I859),1,0))</f>
        <v/>
      </c>
      <c r="M859" s="16" t="str">
        <f aca="false">IF(B859="","",IF(E859="Em ajustes",IF(N859=_xlfn.MINIFS($N$2:$N$5001,$B$2:$B$5001,B859,$E$2:$E$5001,"Em ajustes"),1,0),0))</f>
        <v/>
      </c>
      <c r="N859" s="17" t="str">
        <f aca="false">IF(A859="","",IF(ISNUMBER(A859),A859,IFERROR(DATE(VALUE(MID(A859,7,4)),VALUE(MID(A859,4,2)),VALUE(MID(A859,1,2)))+TIME(VALUE(MID(A859,12,2)),VALUE(MID(A859,15,2)),VALUE(MID(A859,18,2))),"")))</f>
        <v/>
      </c>
    </row>
    <row r="860" customFormat="false" ht="15" hidden="false" customHeight="false" outlineLevel="0" collapsed="false">
      <c r="I860" s="15" t="str">
        <f aca="false">IF(N860="","",INT(N860))</f>
        <v/>
      </c>
      <c r="J860" s="16" t="str">
        <f aca="false">IF(B860="","",IF(N860=_xlfn.MINIFS($N$2:$N$5001,$B$2:$B$5001,B860),1,0))</f>
        <v/>
      </c>
      <c r="K860" s="16" t="str">
        <f aca="false">IF(B860="","",IF(AND(D860="Formalização",E860="Concluído"),IF(COUNTIFS($B$2:$B$5001,B860,$E$2:$E$5001,"Em ajustes",$N$2:$N$5001,"&lt;"&amp;I860)&gt;0,1,0),0))</f>
        <v/>
      </c>
      <c r="L860" s="16" t="str">
        <f aca="false">IF(B860="","",IF(N860=_xlfn.MAXIFS($N$2:$N$5001,$B$2:$B$5001,B860,$I$2:$I$5001,I860),1,0))</f>
        <v/>
      </c>
      <c r="M860" s="16" t="str">
        <f aca="false">IF(B860="","",IF(E860="Em ajustes",IF(N860=_xlfn.MINIFS($N$2:$N$5001,$B$2:$B$5001,B860,$E$2:$E$5001,"Em ajustes"),1,0),0))</f>
        <v/>
      </c>
      <c r="N860" s="17" t="str">
        <f aca="false">IF(A860="","",IF(ISNUMBER(A860),A860,IFERROR(DATE(VALUE(MID(A860,7,4)),VALUE(MID(A860,4,2)),VALUE(MID(A860,1,2)))+TIME(VALUE(MID(A860,12,2)),VALUE(MID(A860,15,2)),VALUE(MID(A860,18,2))),"")))</f>
        <v/>
      </c>
    </row>
    <row r="861" customFormat="false" ht="15" hidden="false" customHeight="false" outlineLevel="0" collapsed="false">
      <c r="I861" s="15" t="str">
        <f aca="false">IF(N861="","",INT(N861))</f>
        <v/>
      </c>
      <c r="J861" s="16" t="str">
        <f aca="false">IF(B861="","",IF(N861=_xlfn.MINIFS($N$2:$N$5001,$B$2:$B$5001,B861),1,0))</f>
        <v/>
      </c>
      <c r="K861" s="16" t="str">
        <f aca="false">IF(B861="","",IF(AND(D861="Formalização",E861="Concluído"),IF(COUNTIFS($B$2:$B$5001,B861,$E$2:$E$5001,"Em ajustes",$N$2:$N$5001,"&lt;"&amp;I861)&gt;0,1,0),0))</f>
        <v/>
      </c>
      <c r="L861" s="16" t="str">
        <f aca="false">IF(B861="","",IF(N861=_xlfn.MAXIFS($N$2:$N$5001,$B$2:$B$5001,B861,$I$2:$I$5001,I861),1,0))</f>
        <v/>
      </c>
      <c r="M861" s="16" t="str">
        <f aca="false">IF(B861="","",IF(E861="Em ajustes",IF(N861=_xlfn.MINIFS($N$2:$N$5001,$B$2:$B$5001,B861,$E$2:$E$5001,"Em ajustes"),1,0),0))</f>
        <v/>
      </c>
      <c r="N861" s="17" t="str">
        <f aca="false">IF(A861="","",IF(ISNUMBER(A861),A861,IFERROR(DATE(VALUE(MID(A861,7,4)),VALUE(MID(A861,4,2)),VALUE(MID(A861,1,2)))+TIME(VALUE(MID(A861,12,2)),VALUE(MID(A861,15,2)),VALUE(MID(A861,18,2))),"")))</f>
        <v/>
      </c>
    </row>
    <row r="862" customFormat="false" ht="15" hidden="false" customHeight="false" outlineLevel="0" collapsed="false">
      <c r="I862" s="15" t="str">
        <f aca="false">IF(N862="","",INT(N862))</f>
        <v/>
      </c>
      <c r="J862" s="16" t="str">
        <f aca="false">IF(B862="","",IF(N862=_xlfn.MINIFS($N$2:$N$5001,$B$2:$B$5001,B862),1,0))</f>
        <v/>
      </c>
      <c r="K862" s="16" t="str">
        <f aca="false">IF(B862="","",IF(AND(D862="Formalização",E862="Concluído"),IF(COUNTIFS($B$2:$B$5001,B862,$E$2:$E$5001,"Em ajustes",$N$2:$N$5001,"&lt;"&amp;I862)&gt;0,1,0),0))</f>
        <v/>
      </c>
      <c r="L862" s="16" t="str">
        <f aca="false">IF(B862="","",IF(N862=_xlfn.MAXIFS($N$2:$N$5001,$B$2:$B$5001,B862,$I$2:$I$5001,I862),1,0))</f>
        <v/>
      </c>
      <c r="M862" s="16" t="str">
        <f aca="false">IF(B862="","",IF(E862="Em ajustes",IF(N862=_xlfn.MINIFS($N$2:$N$5001,$B$2:$B$5001,B862,$E$2:$E$5001,"Em ajustes"),1,0),0))</f>
        <v/>
      </c>
      <c r="N862" s="17" t="str">
        <f aca="false">IF(A862="","",IF(ISNUMBER(A862),A862,IFERROR(DATE(VALUE(MID(A862,7,4)),VALUE(MID(A862,4,2)),VALUE(MID(A862,1,2)))+TIME(VALUE(MID(A862,12,2)),VALUE(MID(A862,15,2)),VALUE(MID(A862,18,2))),"")))</f>
        <v/>
      </c>
    </row>
    <row r="863" customFormat="false" ht="15" hidden="false" customHeight="false" outlineLevel="0" collapsed="false">
      <c r="I863" s="15" t="str">
        <f aca="false">IF(N863="","",INT(N863))</f>
        <v/>
      </c>
      <c r="J863" s="16" t="str">
        <f aca="false">IF(B863="","",IF(N863=_xlfn.MINIFS($N$2:$N$5001,$B$2:$B$5001,B863),1,0))</f>
        <v/>
      </c>
      <c r="K863" s="16" t="str">
        <f aca="false">IF(B863="","",IF(AND(D863="Formalização",E863="Concluído"),IF(COUNTIFS($B$2:$B$5001,B863,$E$2:$E$5001,"Em ajustes",$N$2:$N$5001,"&lt;"&amp;I863)&gt;0,1,0),0))</f>
        <v/>
      </c>
      <c r="L863" s="16" t="str">
        <f aca="false">IF(B863="","",IF(N863=_xlfn.MAXIFS($N$2:$N$5001,$B$2:$B$5001,B863,$I$2:$I$5001,I863),1,0))</f>
        <v/>
      </c>
      <c r="M863" s="16" t="str">
        <f aca="false">IF(B863="","",IF(E863="Em ajustes",IF(N863=_xlfn.MINIFS($N$2:$N$5001,$B$2:$B$5001,B863,$E$2:$E$5001,"Em ajustes"),1,0),0))</f>
        <v/>
      </c>
      <c r="N863" s="17" t="str">
        <f aca="false">IF(A863="","",IF(ISNUMBER(A863),A863,IFERROR(DATE(VALUE(MID(A863,7,4)),VALUE(MID(A863,4,2)),VALUE(MID(A863,1,2)))+TIME(VALUE(MID(A863,12,2)),VALUE(MID(A863,15,2)),VALUE(MID(A863,18,2))),"")))</f>
        <v/>
      </c>
    </row>
    <row r="864" customFormat="false" ht="15" hidden="false" customHeight="false" outlineLevel="0" collapsed="false">
      <c r="I864" s="15" t="str">
        <f aca="false">IF(N864="","",INT(N864))</f>
        <v/>
      </c>
      <c r="J864" s="16" t="str">
        <f aca="false">IF(B864="","",IF(N864=_xlfn.MINIFS($N$2:$N$5001,$B$2:$B$5001,B864),1,0))</f>
        <v/>
      </c>
      <c r="K864" s="16" t="str">
        <f aca="false">IF(B864="","",IF(AND(D864="Formalização",E864="Concluído"),IF(COUNTIFS($B$2:$B$5001,B864,$E$2:$E$5001,"Em ajustes",$N$2:$N$5001,"&lt;"&amp;I864)&gt;0,1,0),0))</f>
        <v/>
      </c>
      <c r="L864" s="16" t="str">
        <f aca="false">IF(B864="","",IF(N864=_xlfn.MAXIFS($N$2:$N$5001,$B$2:$B$5001,B864,$I$2:$I$5001,I864),1,0))</f>
        <v/>
      </c>
      <c r="M864" s="16" t="str">
        <f aca="false">IF(B864="","",IF(E864="Em ajustes",IF(N864=_xlfn.MINIFS($N$2:$N$5001,$B$2:$B$5001,B864,$E$2:$E$5001,"Em ajustes"),1,0),0))</f>
        <v/>
      </c>
      <c r="N864" s="17" t="str">
        <f aca="false">IF(A864="","",IF(ISNUMBER(A864),A864,IFERROR(DATE(VALUE(MID(A864,7,4)),VALUE(MID(A864,4,2)),VALUE(MID(A864,1,2)))+TIME(VALUE(MID(A864,12,2)),VALUE(MID(A864,15,2)),VALUE(MID(A864,18,2))),"")))</f>
        <v/>
      </c>
    </row>
    <row r="865" customFormat="false" ht="15" hidden="false" customHeight="false" outlineLevel="0" collapsed="false">
      <c r="I865" s="15" t="str">
        <f aca="false">IF(N865="","",INT(N865))</f>
        <v/>
      </c>
      <c r="J865" s="16" t="str">
        <f aca="false">IF(B865="","",IF(N865=_xlfn.MINIFS($N$2:$N$5001,$B$2:$B$5001,B865),1,0))</f>
        <v/>
      </c>
      <c r="K865" s="16" t="str">
        <f aca="false">IF(B865="","",IF(AND(D865="Formalização",E865="Concluído"),IF(COUNTIFS($B$2:$B$5001,B865,$E$2:$E$5001,"Em ajustes",$N$2:$N$5001,"&lt;"&amp;I865)&gt;0,1,0),0))</f>
        <v/>
      </c>
      <c r="L865" s="16" t="str">
        <f aca="false">IF(B865="","",IF(N865=_xlfn.MAXIFS($N$2:$N$5001,$B$2:$B$5001,B865,$I$2:$I$5001,I865),1,0))</f>
        <v/>
      </c>
      <c r="M865" s="16" t="str">
        <f aca="false">IF(B865="","",IF(E865="Em ajustes",IF(N865=_xlfn.MINIFS($N$2:$N$5001,$B$2:$B$5001,B865,$E$2:$E$5001,"Em ajustes"),1,0),0))</f>
        <v/>
      </c>
      <c r="N865" s="17" t="str">
        <f aca="false">IF(A865="","",IF(ISNUMBER(A865),A865,IFERROR(DATE(VALUE(MID(A865,7,4)),VALUE(MID(A865,4,2)),VALUE(MID(A865,1,2)))+TIME(VALUE(MID(A865,12,2)),VALUE(MID(A865,15,2)),VALUE(MID(A865,18,2))),"")))</f>
        <v/>
      </c>
    </row>
    <row r="866" customFormat="false" ht="15" hidden="false" customHeight="false" outlineLevel="0" collapsed="false">
      <c r="I866" s="15" t="str">
        <f aca="false">IF(N866="","",INT(N866))</f>
        <v/>
      </c>
      <c r="J866" s="16" t="str">
        <f aca="false">IF(B866="","",IF(N866=_xlfn.MINIFS($N$2:$N$5001,$B$2:$B$5001,B866),1,0))</f>
        <v/>
      </c>
      <c r="K866" s="16" t="str">
        <f aca="false">IF(B866="","",IF(AND(D866="Formalização",E866="Concluído"),IF(COUNTIFS($B$2:$B$5001,B866,$E$2:$E$5001,"Em ajustes",$N$2:$N$5001,"&lt;"&amp;I866)&gt;0,1,0),0))</f>
        <v/>
      </c>
      <c r="L866" s="16" t="str">
        <f aca="false">IF(B866="","",IF(N866=_xlfn.MAXIFS($N$2:$N$5001,$B$2:$B$5001,B866,$I$2:$I$5001,I866),1,0))</f>
        <v/>
      </c>
      <c r="M866" s="16" t="str">
        <f aca="false">IF(B866="","",IF(E866="Em ajustes",IF(N866=_xlfn.MINIFS($N$2:$N$5001,$B$2:$B$5001,B866,$E$2:$E$5001,"Em ajustes"),1,0),0))</f>
        <v/>
      </c>
      <c r="N866" s="17" t="str">
        <f aca="false">IF(A866="","",IF(ISNUMBER(A866),A866,IFERROR(DATE(VALUE(MID(A866,7,4)),VALUE(MID(A866,4,2)),VALUE(MID(A866,1,2)))+TIME(VALUE(MID(A866,12,2)),VALUE(MID(A866,15,2)),VALUE(MID(A866,18,2))),"")))</f>
        <v/>
      </c>
    </row>
    <row r="867" customFormat="false" ht="15" hidden="false" customHeight="false" outlineLevel="0" collapsed="false">
      <c r="I867" s="15" t="str">
        <f aca="false">IF(N867="","",INT(N867))</f>
        <v/>
      </c>
      <c r="J867" s="16" t="str">
        <f aca="false">IF(B867="","",IF(N867=_xlfn.MINIFS($N$2:$N$5001,$B$2:$B$5001,B867),1,0))</f>
        <v/>
      </c>
      <c r="K867" s="16" t="str">
        <f aca="false">IF(B867="","",IF(AND(D867="Formalização",E867="Concluído"),IF(COUNTIFS($B$2:$B$5001,B867,$E$2:$E$5001,"Em ajustes",$N$2:$N$5001,"&lt;"&amp;I867)&gt;0,1,0),0))</f>
        <v/>
      </c>
      <c r="L867" s="16" t="str">
        <f aca="false">IF(B867="","",IF(N867=_xlfn.MAXIFS($N$2:$N$5001,$B$2:$B$5001,B867,$I$2:$I$5001,I867),1,0))</f>
        <v/>
      </c>
      <c r="M867" s="16" t="str">
        <f aca="false">IF(B867="","",IF(E867="Em ajustes",IF(N867=_xlfn.MINIFS($N$2:$N$5001,$B$2:$B$5001,B867,$E$2:$E$5001,"Em ajustes"),1,0),0))</f>
        <v/>
      </c>
      <c r="N867" s="17" t="str">
        <f aca="false">IF(A867="","",IF(ISNUMBER(A867),A867,IFERROR(DATE(VALUE(MID(A867,7,4)),VALUE(MID(A867,4,2)),VALUE(MID(A867,1,2)))+TIME(VALUE(MID(A867,12,2)),VALUE(MID(A867,15,2)),VALUE(MID(A867,18,2))),"")))</f>
        <v/>
      </c>
    </row>
    <row r="868" customFormat="false" ht="15" hidden="false" customHeight="false" outlineLevel="0" collapsed="false">
      <c r="I868" s="15" t="str">
        <f aca="false">IF(N868="","",INT(N868))</f>
        <v/>
      </c>
      <c r="J868" s="16" t="str">
        <f aca="false">IF(B868="","",IF(N868=_xlfn.MINIFS($N$2:$N$5001,$B$2:$B$5001,B868),1,0))</f>
        <v/>
      </c>
      <c r="K868" s="16" t="str">
        <f aca="false">IF(B868="","",IF(AND(D868="Formalização",E868="Concluído"),IF(COUNTIFS($B$2:$B$5001,B868,$E$2:$E$5001,"Em ajustes",$N$2:$N$5001,"&lt;"&amp;I868)&gt;0,1,0),0))</f>
        <v/>
      </c>
      <c r="L868" s="16" t="str">
        <f aca="false">IF(B868="","",IF(N868=_xlfn.MAXIFS($N$2:$N$5001,$B$2:$B$5001,B868,$I$2:$I$5001,I868),1,0))</f>
        <v/>
      </c>
      <c r="M868" s="16" t="str">
        <f aca="false">IF(B868="","",IF(E868="Em ajustes",IF(N868=_xlfn.MINIFS($N$2:$N$5001,$B$2:$B$5001,B868,$E$2:$E$5001,"Em ajustes"),1,0),0))</f>
        <v/>
      </c>
      <c r="N868" s="17" t="str">
        <f aca="false">IF(A868="","",IF(ISNUMBER(A868),A868,IFERROR(DATE(VALUE(MID(A868,7,4)),VALUE(MID(A868,4,2)),VALUE(MID(A868,1,2)))+TIME(VALUE(MID(A868,12,2)),VALUE(MID(A868,15,2)),VALUE(MID(A868,18,2))),"")))</f>
        <v/>
      </c>
    </row>
    <row r="869" customFormat="false" ht="15" hidden="false" customHeight="false" outlineLevel="0" collapsed="false">
      <c r="I869" s="15" t="str">
        <f aca="false">IF(N869="","",INT(N869))</f>
        <v/>
      </c>
      <c r="J869" s="16" t="str">
        <f aca="false">IF(B869="","",IF(N869=_xlfn.MINIFS($N$2:$N$5001,$B$2:$B$5001,B869),1,0))</f>
        <v/>
      </c>
      <c r="K869" s="16" t="str">
        <f aca="false">IF(B869="","",IF(AND(D869="Formalização",E869="Concluído"),IF(COUNTIFS($B$2:$B$5001,B869,$E$2:$E$5001,"Em ajustes",$N$2:$N$5001,"&lt;"&amp;I869)&gt;0,1,0),0))</f>
        <v/>
      </c>
      <c r="L869" s="16" t="str">
        <f aca="false">IF(B869="","",IF(N869=_xlfn.MAXIFS($N$2:$N$5001,$B$2:$B$5001,B869,$I$2:$I$5001,I869),1,0))</f>
        <v/>
      </c>
      <c r="M869" s="16" t="str">
        <f aca="false">IF(B869="","",IF(E869="Em ajustes",IF(N869=_xlfn.MINIFS($N$2:$N$5001,$B$2:$B$5001,B869,$E$2:$E$5001,"Em ajustes"),1,0),0))</f>
        <v/>
      </c>
      <c r="N869" s="17" t="str">
        <f aca="false">IF(A869="","",IF(ISNUMBER(A869),A869,IFERROR(DATE(VALUE(MID(A869,7,4)),VALUE(MID(A869,4,2)),VALUE(MID(A869,1,2)))+TIME(VALUE(MID(A869,12,2)),VALUE(MID(A869,15,2)),VALUE(MID(A869,18,2))),"")))</f>
        <v/>
      </c>
    </row>
    <row r="870" customFormat="false" ht="15" hidden="false" customHeight="false" outlineLevel="0" collapsed="false">
      <c r="I870" s="15" t="str">
        <f aca="false">IF(N870="","",INT(N870))</f>
        <v/>
      </c>
      <c r="J870" s="16" t="str">
        <f aca="false">IF(B870="","",IF(N870=_xlfn.MINIFS($N$2:$N$5001,$B$2:$B$5001,B870),1,0))</f>
        <v/>
      </c>
      <c r="K870" s="16" t="str">
        <f aca="false">IF(B870="","",IF(AND(D870="Formalização",E870="Concluído"),IF(COUNTIFS($B$2:$B$5001,B870,$E$2:$E$5001,"Em ajustes",$N$2:$N$5001,"&lt;"&amp;I870)&gt;0,1,0),0))</f>
        <v/>
      </c>
      <c r="L870" s="16" t="str">
        <f aca="false">IF(B870="","",IF(N870=_xlfn.MAXIFS($N$2:$N$5001,$B$2:$B$5001,B870,$I$2:$I$5001,I870),1,0))</f>
        <v/>
      </c>
      <c r="M870" s="16" t="str">
        <f aca="false">IF(B870="","",IF(E870="Em ajustes",IF(N870=_xlfn.MINIFS($N$2:$N$5001,$B$2:$B$5001,B870,$E$2:$E$5001,"Em ajustes"),1,0),0))</f>
        <v/>
      </c>
      <c r="N870" s="17" t="str">
        <f aca="false">IF(A870="","",IF(ISNUMBER(A870),A870,IFERROR(DATE(VALUE(MID(A870,7,4)),VALUE(MID(A870,4,2)),VALUE(MID(A870,1,2)))+TIME(VALUE(MID(A870,12,2)),VALUE(MID(A870,15,2)),VALUE(MID(A870,18,2))),"")))</f>
        <v/>
      </c>
    </row>
    <row r="871" customFormat="false" ht="15" hidden="false" customHeight="false" outlineLevel="0" collapsed="false">
      <c r="I871" s="15" t="str">
        <f aca="false">IF(N871="","",INT(N871))</f>
        <v/>
      </c>
      <c r="J871" s="16" t="str">
        <f aca="false">IF(B871="","",IF(N871=_xlfn.MINIFS($N$2:$N$5001,$B$2:$B$5001,B871),1,0))</f>
        <v/>
      </c>
      <c r="K871" s="16" t="str">
        <f aca="false">IF(B871="","",IF(AND(D871="Formalização",E871="Concluído"),IF(COUNTIFS($B$2:$B$5001,B871,$E$2:$E$5001,"Em ajustes",$N$2:$N$5001,"&lt;"&amp;I871)&gt;0,1,0),0))</f>
        <v/>
      </c>
      <c r="L871" s="16" t="str">
        <f aca="false">IF(B871="","",IF(N871=_xlfn.MAXIFS($N$2:$N$5001,$B$2:$B$5001,B871,$I$2:$I$5001,I871),1,0))</f>
        <v/>
      </c>
      <c r="M871" s="16" t="str">
        <f aca="false">IF(B871="","",IF(E871="Em ajustes",IF(N871=_xlfn.MINIFS($N$2:$N$5001,$B$2:$B$5001,B871,$E$2:$E$5001,"Em ajustes"),1,0),0))</f>
        <v/>
      </c>
      <c r="N871" s="17" t="str">
        <f aca="false">IF(A871="","",IF(ISNUMBER(A871),A871,IFERROR(DATE(VALUE(MID(A871,7,4)),VALUE(MID(A871,4,2)),VALUE(MID(A871,1,2)))+TIME(VALUE(MID(A871,12,2)),VALUE(MID(A871,15,2)),VALUE(MID(A871,18,2))),"")))</f>
        <v/>
      </c>
    </row>
    <row r="872" customFormat="false" ht="15" hidden="false" customHeight="false" outlineLevel="0" collapsed="false">
      <c r="I872" s="15" t="str">
        <f aca="false">IF(N872="","",INT(N872))</f>
        <v/>
      </c>
      <c r="J872" s="16" t="str">
        <f aca="false">IF(B872="","",IF(N872=_xlfn.MINIFS($N$2:$N$5001,$B$2:$B$5001,B872),1,0))</f>
        <v/>
      </c>
      <c r="K872" s="16" t="str">
        <f aca="false">IF(B872="","",IF(AND(D872="Formalização",E872="Concluído"),IF(COUNTIFS($B$2:$B$5001,B872,$E$2:$E$5001,"Em ajustes",$N$2:$N$5001,"&lt;"&amp;I872)&gt;0,1,0),0))</f>
        <v/>
      </c>
      <c r="L872" s="16" t="str">
        <f aca="false">IF(B872="","",IF(N872=_xlfn.MAXIFS($N$2:$N$5001,$B$2:$B$5001,B872,$I$2:$I$5001,I872),1,0))</f>
        <v/>
      </c>
      <c r="M872" s="16" t="str">
        <f aca="false">IF(B872="","",IF(E872="Em ajustes",IF(N872=_xlfn.MINIFS($N$2:$N$5001,$B$2:$B$5001,B872,$E$2:$E$5001,"Em ajustes"),1,0),0))</f>
        <v/>
      </c>
      <c r="N872" s="17" t="str">
        <f aca="false">IF(A872="","",IF(ISNUMBER(A872),A872,IFERROR(DATE(VALUE(MID(A872,7,4)),VALUE(MID(A872,4,2)),VALUE(MID(A872,1,2)))+TIME(VALUE(MID(A872,12,2)),VALUE(MID(A872,15,2)),VALUE(MID(A872,18,2))),"")))</f>
        <v/>
      </c>
    </row>
    <row r="873" customFormat="false" ht="15" hidden="false" customHeight="false" outlineLevel="0" collapsed="false">
      <c r="I873" s="15" t="str">
        <f aca="false">IF(N873="","",INT(N873))</f>
        <v/>
      </c>
      <c r="J873" s="16" t="str">
        <f aca="false">IF(B873="","",IF(N873=_xlfn.MINIFS($N$2:$N$5001,$B$2:$B$5001,B873),1,0))</f>
        <v/>
      </c>
      <c r="K873" s="16" t="str">
        <f aca="false">IF(B873="","",IF(AND(D873="Formalização",E873="Concluído"),IF(COUNTIFS($B$2:$B$5001,B873,$E$2:$E$5001,"Em ajustes",$N$2:$N$5001,"&lt;"&amp;I873)&gt;0,1,0),0))</f>
        <v/>
      </c>
      <c r="L873" s="16" t="str">
        <f aca="false">IF(B873="","",IF(N873=_xlfn.MAXIFS($N$2:$N$5001,$B$2:$B$5001,B873,$I$2:$I$5001,I873),1,0))</f>
        <v/>
      </c>
      <c r="M873" s="16" t="str">
        <f aca="false">IF(B873="","",IF(E873="Em ajustes",IF(N873=_xlfn.MINIFS($N$2:$N$5001,$B$2:$B$5001,B873,$E$2:$E$5001,"Em ajustes"),1,0),0))</f>
        <v/>
      </c>
      <c r="N873" s="17" t="str">
        <f aca="false">IF(A873="","",IF(ISNUMBER(A873),A873,IFERROR(DATE(VALUE(MID(A873,7,4)),VALUE(MID(A873,4,2)),VALUE(MID(A873,1,2)))+TIME(VALUE(MID(A873,12,2)),VALUE(MID(A873,15,2)),VALUE(MID(A873,18,2))),"")))</f>
        <v/>
      </c>
    </row>
    <row r="874" customFormat="false" ht="15" hidden="false" customHeight="false" outlineLevel="0" collapsed="false">
      <c r="I874" s="15" t="str">
        <f aca="false">IF(N874="","",INT(N874))</f>
        <v/>
      </c>
      <c r="J874" s="16" t="str">
        <f aca="false">IF(B874="","",IF(N874=_xlfn.MINIFS($N$2:$N$5001,$B$2:$B$5001,B874),1,0))</f>
        <v/>
      </c>
      <c r="K874" s="16" t="str">
        <f aca="false">IF(B874="","",IF(AND(D874="Formalização",E874="Concluído"),IF(COUNTIFS($B$2:$B$5001,B874,$E$2:$E$5001,"Em ajustes",$N$2:$N$5001,"&lt;"&amp;I874)&gt;0,1,0),0))</f>
        <v/>
      </c>
      <c r="L874" s="16" t="str">
        <f aca="false">IF(B874="","",IF(N874=_xlfn.MAXIFS($N$2:$N$5001,$B$2:$B$5001,B874,$I$2:$I$5001,I874),1,0))</f>
        <v/>
      </c>
      <c r="M874" s="16" t="str">
        <f aca="false">IF(B874="","",IF(E874="Em ajustes",IF(N874=_xlfn.MINIFS($N$2:$N$5001,$B$2:$B$5001,B874,$E$2:$E$5001,"Em ajustes"),1,0),0))</f>
        <v/>
      </c>
      <c r="N874" s="17" t="str">
        <f aca="false">IF(A874="","",IF(ISNUMBER(A874),A874,IFERROR(DATE(VALUE(MID(A874,7,4)),VALUE(MID(A874,4,2)),VALUE(MID(A874,1,2)))+TIME(VALUE(MID(A874,12,2)),VALUE(MID(A874,15,2)),VALUE(MID(A874,18,2))),"")))</f>
        <v/>
      </c>
    </row>
    <row r="875" customFormat="false" ht="15" hidden="false" customHeight="false" outlineLevel="0" collapsed="false">
      <c r="I875" s="15" t="str">
        <f aca="false">IF(N875="","",INT(N875))</f>
        <v/>
      </c>
      <c r="J875" s="16" t="str">
        <f aca="false">IF(B875="","",IF(N875=_xlfn.MINIFS($N$2:$N$5001,$B$2:$B$5001,B875),1,0))</f>
        <v/>
      </c>
      <c r="K875" s="16" t="str">
        <f aca="false">IF(B875="","",IF(AND(D875="Formalização",E875="Concluído"),IF(COUNTIFS($B$2:$B$5001,B875,$E$2:$E$5001,"Em ajustes",$N$2:$N$5001,"&lt;"&amp;I875)&gt;0,1,0),0))</f>
        <v/>
      </c>
      <c r="L875" s="16" t="str">
        <f aca="false">IF(B875="","",IF(N875=_xlfn.MAXIFS($N$2:$N$5001,$B$2:$B$5001,B875,$I$2:$I$5001,I875),1,0))</f>
        <v/>
      </c>
      <c r="M875" s="16" t="str">
        <f aca="false">IF(B875="","",IF(E875="Em ajustes",IF(N875=_xlfn.MINIFS($N$2:$N$5001,$B$2:$B$5001,B875,$E$2:$E$5001,"Em ajustes"),1,0),0))</f>
        <v/>
      </c>
      <c r="N875" s="17" t="str">
        <f aca="false">IF(A875="","",IF(ISNUMBER(A875),A875,IFERROR(DATE(VALUE(MID(A875,7,4)),VALUE(MID(A875,4,2)),VALUE(MID(A875,1,2)))+TIME(VALUE(MID(A875,12,2)),VALUE(MID(A875,15,2)),VALUE(MID(A875,18,2))),"")))</f>
        <v/>
      </c>
    </row>
    <row r="876" customFormat="false" ht="15" hidden="false" customHeight="false" outlineLevel="0" collapsed="false">
      <c r="I876" s="15" t="str">
        <f aca="false">IF(N876="","",INT(N876))</f>
        <v/>
      </c>
      <c r="J876" s="16" t="str">
        <f aca="false">IF(B876="","",IF(N876=_xlfn.MINIFS($N$2:$N$5001,$B$2:$B$5001,B876),1,0))</f>
        <v/>
      </c>
      <c r="K876" s="16" t="str">
        <f aca="false">IF(B876="","",IF(AND(D876="Formalização",E876="Concluído"),IF(COUNTIFS($B$2:$B$5001,B876,$E$2:$E$5001,"Em ajustes",$N$2:$N$5001,"&lt;"&amp;I876)&gt;0,1,0),0))</f>
        <v/>
      </c>
      <c r="L876" s="16" t="str">
        <f aca="false">IF(B876="","",IF(N876=_xlfn.MAXIFS($N$2:$N$5001,$B$2:$B$5001,B876,$I$2:$I$5001,I876),1,0))</f>
        <v/>
      </c>
      <c r="M876" s="16" t="str">
        <f aca="false">IF(B876="","",IF(E876="Em ajustes",IF(N876=_xlfn.MINIFS($N$2:$N$5001,$B$2:$B$5001,B876,$E$2:$E$5001,"Em ajustes"),1,0),0))</f>
        <v/>
      </c>
      <c r="N876" s="17" t="str">
        <f aca="false">IF(A876="","",IF(ISNUMBER(A876),A876,IFERROR(DATE(VALUE(MID(A876,7,4)),VALUE(MID(A876,4,2)),VALUE(MID(A876,1,2)))+TIME(VALUE(MID(A876,12,2)),VALUE(MID(A876,15,2)),VALUE(MID(A876,18,2))),"")))</f>
        <v/>
      </c>
    </row>
    <row r="877" customFormat="false" ht="15" hidden="false" customHeight="false" outlineLevel="0" collapsed="false">
      <c r="I877" s="15" t="str">
        <f aca="false">IF(N877="","",INT(N877))</f>
        <v/>
      </c>
      <c r="J877" s="16" t="str">
        <f aca="false">IF(B877="","",IF(N877=_xlfn.MINIFS($N$2:$N$5001,$B$2:$B$5001,B877),1,0))</f>
        <v/>
      </c>
      <c r="K877" s="16" t="str">
        <f aca="false">IF(B877="","",IF(AND(D877="Formalização",E877="Concluído"),IF(COUNTIFS($B$2:$B$5001,B877,$E$2:$E$5001,"Em ajustes",$N$2:$N$5001,"&lt;"&amp;I877)&gt;0,1,0),0))</f>
        <v/>
      </c>
      <c r="L877" s="16" t="str">
        <f aca="false">IF(B877="","",IF(N877=_xlfn.MAXIFS($N$2:$N$5001,$B$2:$B$5001,B877,$I$2:$I$5001,I877),1,0))</f>
        <v/>
      </c>
      <c r="M877" s="16" t="str">
        <f aca="false">IF(B877="","",IF(E877="Em ajustes",IF(N877=_xlfn.MINIFS($N$2:$N$5001,$B$2:$B$5001,B877,$E$2:$E$5001,"Em ajustes"),1,0),0))</f>
        <v/>
      </c>
      <c r="N877" s="17" t="str">
        <f aca="false">IF(A877="","",IF(ISNUMBER(A877),A877,IFERROR(DATE(VALUE(MID(A877,7,4)),VALUE(MID(A877,4,2)),VALUE(MID(A877,1,2)))+TIME(VALUE(MID(A877,12,2)),VALUE(MID(A877,15,2)),VALUE(MID(A877,18,2))),"")))</f>
        <v/>
      </c>
    </row>
    <row r="878" customFormat="false" ht="15" hidden="false" customHeight="false" outlineLevel="0" collapsed="false">
      <c r="I878" s="15" t="str">
        <f aca="false">IF(N878="","",INT(N878))</f>
        <v/>
      </c>
      <c r="J878" s="16" t="str">
        <f aca="false">IF(B878="","",IF(N878=_xlfn.MINIFS($N$2:$N$5001,$B$2:$B$5001,B878),1,0))</f>
        <v/>
      </c>
      <c r="K878" s="16" t="str">
        <f aca="false">IF(B878="","",IF(AND(D878="Formalização",E878="Concluído"),IF(COUNTIFS($B$2:$B$5001,B878,$E$2:$E$5001,"Em ajustes",$N$2:$N$5001,"&lt;"&amp;I878)&gt;0,1,0),0))</f>
        <v/>
      </c>
      <c r="L878" s="16" t="str">
        <f aca="false">IF(B878="","",IF(N878=_xlfn.MAXIFS($N$2:$N$5001,$B$2:$B$5001,B878,$I$2:$I$5001,I878),1,0))</f>
        <v/>
      </c>
      <c r="M878" s="16" t="str">
        <f aca="false">IF(B878="","",IF(E878="Em ajustes",IF(N878=_xlfn.MINIFS($N$2:$N$5001,$B$2:$B$5001,B878,$E$2:$E$5001,"Em ajustes"),1,0),0))</f>
        <v/>
      </c>
      <c r="N878" s="17" t="str">
        <f aca="false">IF(A878="","",IF(ISNUMBER(A878),A878,IFERROR(DATE(VALUE(MID(A878,7,4)),VALUE(MID(A878,4,2)),VALUE(MID(A878,1,2)))+TIME(VALUE(MID(A878,12,2)),VALUE(MID(A878,15,2)),VALUE(MID(A878,18,2))),"")))</f>
        <v/>
      </c>
    </row>
    <row r="879" customFormat="false" ht="15" hidden="false" customHeight="false" outlineLevel="0" collapsed="false">
      <c r="I879" s="15" t="str">
        <f aca="false">IF(N879="","",INT(N879))</f>
        <v/>
      </c>
      <c r="J879" s="16" t="str">
        <f aca="false">IF(B879="","",IF(N879=_xlfn.MINIFS($N$2:$N$5001,$B$2:$B$5001,B879),1,0))</f>
        <v/>
      </c>
      <c r="K879" s="16" t="str">
        <f aca="false">IF(B879="","",IF(AND(D879="Formalização",E879="Concluído"),IF(COUNTIFS($B$2:$B$5001,B879,$E$2:$E$5001,"Em ajustes",$N$2:$N$5001,"&lt;"&amp;I879)&gt;0,1,0),0))</f>
        <v/>
      </c>
      <c r="L879" s="16" t="str">
        <f aca="false">IF(B879="","",IF(N879=_xlfn.MAXIFS($N$2:$N$5001,$B$2:$B$5001,B879,$I$2:$I$5001,I879),1,0))</f>
        <v/>
      </c>
      <c r="M879" s="16" t="str">
        <f aca="false">IF(B879="","",IF(E879="Em ajustes",IF(N879=_xlfn.MINIFS($N$2:$N$5001,$B$2:$B$5001,B879,$E$2:$E$5001,"Em ajustes"),1,0),0))</f>
        <v/>
      </c>
      <c r="N879" s="17" t="str">
        <f aca="false">IF(A879="","",IF(ISNUMBER(A879),A879,IFERROR(DATE(VALUE(MID(A879,7,4)),VALUE(MID(A879,4,2)),VALUE(MID(A879,1,2)))+TIME(VALUE(MID(A879,12,2)),VALUE(MID(A879,15,2)),VALUE(MID(A879,18,2))),"")))</f>
        <v/>
      </c>
    </row>
    <row r="880" customFormat="false" ht="15" hidden="false" customHeight="false" outlineLevel="0" collapsed="false">
      <c r="I880" s="15" t="str">
        <f aca="false">IF(N880="","",INT(N880))</f>
        <v/>
      </c>
      <c r="J880" s="16" t="str">
        <f aca="false">IF(B880="","",IF(N880=_xlfn.MINIFS($N$2:$N$5001,$B$2:$B$5001,B880),1,0))</f>
        <v/>
      </c>
      <c r="K880" s="16" t="str">
        <f aca="false">IF(B880="","",IF(AND(D880="Formalização",E880="Concluído"),IF(COUNTIFS($B$2:$B$5001,B880,$E$2:$E$5001,"Em ajustes",$N$2:$N$5001,"&lt;"&amp;I880)&gt;0,1,0),0))</f>
        <v/>
      </c>
      <c r="L880" s="16" t="str">
        <f aca="false">IF(B880="","",IF(N880=_xlfn.MAXIFS($N$2:$N$5001,$B$2:$B$5001,B880,$I$2:$I$5001,I880),1,0))</f>
        <v/>
      </c>
      <c r="M880" s="16" t="str">
        <f aca="false">IF(B880="","",IF(E880="Em ajustes",IF(N880=_xlfn.MINIFS($N$2:$N$5001,$B$2:$B$5001,B880,$E$2:$E$5001,"Em ajustes"),1,0),0))</f>
        <v/>
      </c>
      <c r="N880" s="17" t="str">
        <f aca="false">IF(A880="","",IF(ISNUMBER(A880),A880,IFERROR(DATE(VALUE(MID(A880,7,4)),VALUE(MID(A880,4,2)),VALUE(MID(A880,1,2)))+TIME(VALUE(MID(A880,12,2)),VALUE(MID(A880,15,2)),VALUE(MID(A880,18,2))),"")))</f>
        <v/>
      </c>
    </row>
    <row r="881" customFormat="false" ht="15" hidden="false" customHeight="false" outlineLevel="0" collapsed="false">
      <c r="I881" s="15" t="str">
        <f aca="false">IF(N881="","",INT(N881))</f>
        <v/>
      </c>
      <c r="J881" s="16" t="str">
        <f aca="false">IF(B881="","",IF(N881=_xlfn.MINIFS($N$2:$N$5001,$B$2:$B$5001,B881),1,0))</f>
        <v/>
      </c>
      <c r="K881" s="16" t="str">
        <f aca="false">IF(B881="","",IF(AND(D881="Formalização",E881="Concluído"),IF(COUNTIFS($B$2:$B$5001,B881,$E$2:$E$5001,"Em ajustes",$N$2:$N$5001,"&lt;"&amp;I881)&gt;0,1,0),0))</f>
        <v/>
      </c>
      <c r="L881" s="16" t="str">
        <f aca="false">IF(B881="","",IF(N881=_xlfn.MAXIFS($N$2:$N$5001,$B$2:$B$5001,B881,$I$2:$I$5001,I881),1,0))</f>
        <v/>
      </c>
      <c r="M881" s="16" t="str">
        <f aca="false">IF(B881="","",IF(E881="Em ajustes",IF(N881=_xlfn.MINIFS($N$2:$N$5001,$B$2:$B$5001,B881,$E$2:$E$5001,"Em ajustes"),1,0),0))</f>
        <v/>
      </c>
      <c r="N881" s="17" t="str">
        <f aca="false">IF(A881="","",IF(ISNUMBER(A881),A881,IFERROR(DATE(VALUE(MID(A881,7,4)),VALUE(MID(A881,4,2)),VALUE(MID(A881,1,2)))+TIME(VALUE(MID(A881,12,2)),VALUE(MID(A881,15,2)),VALUE(MID(A881,18,2))),"")))</f>
        <v/>
      </c>
    </row>
    <row r="882" customFormat="false" ht="15" hidden="false" customHeight="false" outlineLevel="0" collapsed="false">
      <c r="I882" s="15" t="str">
        <f aca="false">IF(N882="","",INT(N882))</f>
        <v/>
      </c>
      <c r="J882" s="16" t="str">
        <f aca="false">IF(B882="","",IF(N882=_xlfn.MINIFS($N$2:$N$5001,$B$2:$B$5001,B882),1,0))</f>
        <v/>
      </c>
      <c r="K882" s="16" t="str">
        <f aca="false">IF(B882="","",IF(AND(D882="Formalização",E882="Concluído"),IF(COUNTIFS($B$2:$B$5001,B882,$E$2:$E$5001,"Em ajustes",$N$2:$N$5001,"&lt;"&amp;I882)&gt;0,1,0),0))</f>
        <v/>
      </c>
      <c r="L882" s="16" t="str">
        <f aca="false">IF(B882="","",IF(N882=_xlfn.MAXIFS($N$2:$N$5001,$B$2:$B$5001,B882,$I$2:$I$5001,I882),1,0))</f>
        <v/>
      </c>
      <c r="M882" s="16" t="str">
        <f aca="false">IF(B882="","",IF(E882="Em ajustes",IF(N882=_xlfn.MINIFS($N$2:$N$5001,$B$2:$B$5001,B882,$E$2:$E$5001,"Em ajustes"),1,0),0))</f>
        <v/>
      </c>
      <c r="N882" s="17" t="str">
        <f aca="false">IF(A882="","",IF(ISNUMBER(A882),A882,IFERROR(DATE(VALUE(MID(A882,7,4)),VALUE(MID(A882,4,2)),VALUE(MID(A882,1,2)))+TIME(VALUE(MID(A882,12,2)),VALUE(MID(A882,15,2)),VALUE(MID(A882,18,2))),"")))</f>
        <v/>
      </c>
    </row>
    <row r="883" customFormat="false" ht="15" hidden="false" customHeight="false" outlineLevel="0" collapsed="false">
      <c r="I883" s="15" t="str">
        <f aca="false">IF(N883="","",INT(N883))</f>
        <v/>
      </c>
      <c r="J883" s="16" t="str">
        <f aca="false">IF(B883="","",IF(N883=_xlfn.MINIFS($N$2:$N$5001,$B$2:$B$5001,B883),1,0))</f>
        <v/>
      </c>
      <c r="K883" s="16" t="str">
        <f aca="false">IF(B883="","",IF(AND(D883="Formalização",E883="Concluído"),IF(COUNTIFS($B$2:$B$5001,B883,$E$2:$E$5001,"Em ajustes",$N$2:$N$5001,"&lt;"&amp;I883)&gt;0,1,0),0))</f>
        <v/>
      </c>
      <c r="L883" s="16" t="str">
        <f aca="false">IF(B883="","",IF(N883=_xlfn.MAXIFS($N$2:$N$5001,$B$2:$B$5001,B883,$I$2:$I$5001,I883),1,0))</f>
        <v/>
      </c>
      <c r="M883" s="16" t="str">
        <f aca="false">IF(B883="","",IF(E883="Em ajustes",IF(N883=_xlfn.MINIFS($N$2:$N$5001,$B$2:$B$5001,B883,$E$2:$E$5001,"Em ajustes"),1,0),0))</f>
        <v/>
      </c>
      <c r="N883" s="17" t="str">
        <f aca="false">IF(A883="","",IF(ISNUMBER(A883),A883,IFERROR(DATE(VALUE(MID(A883,7,4)),VALUE(MID(A883,4,2)),VALUE(MID(A883,1,2)))+TIME(VALUE(MID(A883,12,2)),VALUE(MID(A883,15,2)),VALUE(MID(A883,18,2))),"")))</f>
        <v/>
      </c>
    </row>
    <row r="884" customFormat="false" ht="15" hidden="false" customHeight="false" outlineLevel="0" collapsed="false">
      <c r="I884" s="15" t="str">
        <f aca="false">IF(N884="","",INT(N884))</f>
        <v/>
      </c>
      <c r="J884" s="16" t="str">
        <f aca="false">IF(B884="","",IF(N884=_xlfn.MINIFS($N$2:$N$5001,$B$2:$B$5001,B884),1,0))</f>
        <v/>
      </c>
      <c r="K884" s="16" t="str">
        <f aca="false">IF(B884="","",IF(AND(D884="Formalização",E884="Concluído"),IF(COUNTIFS($B$2:$B$5001,B884,$E$2:$E$5001,"Em ajustes",$N$2:$N$5001,"&lt;"&amp;I884)&gt;0,1,0),0))</f>
        <v/>
      </c>
      <c r="L884" s="16" t="str">
        <f aca="false">IF(B884="","",IF(N884=_xlfn.MAXIFS($N$2:$N$5001,$B$2:$B$5001,B884,$I$2:$I$5001,I884),1,0))</f>
        <v/>
      </c>
      <c r="M884" s="16" t="str">
        <f aca="false">IF(B884="","",IF(E884="Em ajustes",IF(N884=_xlfn.MINIFS($N$2:$N$5001,$B$2:$B$5001,B884,$E$2:$E$5001,"Em ajustes"),1,0),0))</f>
        <v/>
      </c>
      <c r="N884" s="17" t="str">
        <f aca="false">IF(A884="","",IF(ISNUMBER(A884),A884,IFERROR(DATE(VALUE(MID(A884,7,4)),VALUE(MID(A884,4,2)),VALUE(MID(A884,1,2)))+TIME(VALUE(MID(A884,12,2)),VALUE(MID(A884,15,2)),VALUE(MID(A884,18,2))),"")))</f>
        <v/>
      </c>
    </row>
    <row r="885" customFormat="false" ht="15" hidden="false" customHeight="false" outlineLevel="0" collapsed="false">
      <c r="I885" s="15" t="str">
        <f aca="false">IF(N885="","",INT(N885))</f>
        <v/>
      </c>
      <c r="J885" s="16" t="str">
        <f aca="false">IF(B885="","",IF(N885=_xlfn.MINIFS($N$2:$N$5001,$B$2:$B$5001,B885),1,0))</f>
        <v/>
      </c>
      <c r="K885" s="16" t="str">
        <f aca="false">IF(B885="","",IF(AND(D885="Formalização",E885="Concluído"),IF(COUNTIFS($B$2:$B$5001,B885,$E$2:$E$5001,"Em ajustes",$N$2:$N$5001,"&lt;"&amp;I885)&gt;0,1,0),0))</f>
        <v/>
      </c>
      <c r="L885" s="16" t="str">
        <f aca="false">IF(B885="","",IF(N885=_xlfn.MAXIFS($N$2:$N$5001,$B$2:$B$5001,B885,$I$2:$I$5001,I885),1,0))</f>
        <v/>
      </c>
      <c r="M885" s="16" t="str">
        <f aca="false">IF(B885="","",IF(E885="Em ajustes",IF(N885=_xlfn.MINIFS($N$2:$N$5001,$B$2:$B$5001,B885,$E$2:$E$5001,"Em ajustes"),1,0),0))</f>
        <v/>
      </c>
      <c r="N885" s="17" t="str">
        <f aca="false">IF(A885="","",IF(ISNUMBER(A885),A885,IFERROR(DATE(VALUE(MID(A885,7,4)),VALUE(MID(A885,4,2)),VALUE(MID(A885,1,2)))+TIME(VALUE(MID(A885,12,2)),VALUE(MID(A885,15,2)),VALUE(MID(A885,18,2))),"")))</f>
        <v/>
      </c>
    </row>
    <row r="886" customFormat="false" ht="15" hidden="false" customHeight="false" outlineLevel="0" collapsed="false">
      <c r="I886" s="15" t="str">
        <f aca="false">IF(N886="","",INT(N886))</f>
        <v/>
      </c>
      <c r="J886" s="16" t="str">
        <f aca="false">IF(B886="","",IF(N886=_xlfn.MINIFS($N$2:$N$5001,$B$2:$B$5001,B886),1,0))</f>
        <v/>
      </c>
      <c r="K886" s="16" t="str">
        <f aca="false">IF(B886="","",IF(AND(D886="Formalização",E886="Concluído"),IF(COUNTIFS($B$2:$B$5001,B886,$E$2:$E$5001,"Em ajustes",$N$2:$N$5001,"&lt;"&amp;I886)&gt;0,1,0),0))</f>
        <v/>
      </c>
      <c r="L886" s="16" t="str">
        <f aca="false">IF(B886="","",IF(N886=_xlfn.MAXIFS($N$2:$N$5001,$B$2:$B$5001,B886,$I$2:$I$5001,I886),1,0))</f>
        <v/>
      </c>
      <c r="M886" s="16" t="str">
        <f aca="false">IF(B886="","",IF(E886="Em ajustes",IF(N886=_xlfn.MINIFS($N$2:$N$5001,$B$2:$B$5001,B886,$E$2:$E$5001,"Em ajustes"),1,0),0))</f>
        <v/>
      </c>
      <c r="N886" s="17" t="str">
        <f aca="false">IF(A886="","",IF(ISNUMBER(A886),A886,IFERROR(DATE(VALUE(MID(A886,7,4)),VALUE(MID(A886,4,2)),VALUE(MID(A886,1,2)))+TIME(VALUE(MID(A886,12,2)),VALUE(MID(A886,15,2)),VALUE(MID(A886,18,2))),"")))</f>
        <v/>
      </c>
    </row>
    <row r="887" customFormat="false" ht="15" hidden="false" customHeight="false" outlineLevel="0" collapsed="false">
      <c r="I887" s="15" t="str">
        <f aca="false">IF(N887="","",INT(N887))</f>
        <v/>
      </c>
      <c r="J887" s="16" t="str">
        <f aca="false">IF(B887="","",IF(N887=_xlfn.MINIFS($N$2:$N$5001,$B$2:$B$5001,B887),1,0))</f>
        <v/>
      </c>
      <c r="K887" s="16" t="str">
        <f aca="false">IF(B887="","",IF(AND(D887="Formalização",E887="Concluído"),IF(COUNTIFS($B$2:$B$5001,B887,$E$2:$E$5001,"Em ajustes",$N$2:$N$5001,"&lt;"&amp;I887)&gt;0,1,0),0))</f>
        <v/>
      </c>
      <c r="L887" s="16" t="str">
        <f aca="false">IF(B887="","",IF(N887=_xlfn.MAXIFS($N$2:$N$5001,$B$2:$B$5001,B887,$I$2:$I$5001,I887),1,0))</f>
        <v/>
      </c>
      <c r="M887" s="16" t="str">
        <f aca="false">IF(B887="","",IF(E887="Em ajustes",IF(N887=_xlfn.MINIFS($N$2:$N$5001,$B$2:$B$5001,B887,$E$2:$E$5001,"Em ajustes"),1,0),0))</f>
        <v/>
      </c>
      <c r="N887" s="17" t="str">
        <f aca="false">IF(A887="","",IF(ISNUMBER(A887),A887,IFERROR(DATE(VALUE(MID(A887,7,4)),VALUE(MID(A887,4,2)),VALUE(MID(A887,1,2)))+TIME(VALUE(MID(A887,12,2)),VALUE(MID(A887,15,2)),VALUE(MID(A887,18,2))),"")))</f>
        <v/>
      </c>
    </row>
    <row r="888" customFormat="false" ht="15" hidden="false" customHeight="false" outlineLevel="0" collapsed="false">
      <c r="I888" s="15" t="str">
        <f aca="false">IF(N888="","",INT(N888))</f>
        <v/>
      </c>
      <c r="J888" s="16" t="str">
        <f aca="false">IF(B888="","",IF(N888=_xlfn.MINIFS($N$2:$N$5001,$B$2:$B$5001,B888),1,0))</f>
        <v/>
      </c>
      <c r="K888" s="16" t="str">
        <f aca="false">IF(B888="","",IF(AND(D888="Formalização",E888="Concluído"),IF(COUNTIFS($B$2:$B$5001,B888,$E$2:$E$5001,"Em ajustes",$N$2:$N$5001,"&lt;"&amp;I888)&gt;0,1,0),0))</f>
        <v/>
      </c>
      <c r="L888" s="16" t="str">
        <f aca="false">IF(B888="","",IF(N888=_xlfn.MAXIFS($N$2:$N$5001,$B$2:$B$5001,B888,$I$2:$I$5001,I888),1,0))</f>
        <v/>
      </c>
      <c r="M888" s="16" t="str">
        <f aca="false">IF(B888="","",IF(E888="Em ajustes",IF(N888=_xlfn.MINIFS($N$2:$N$5001,$B$2:$B$5001,B888,$E$2:$E$5001,"Em ajustes"),1,0),0))</f>
        <v/>
      </c>
      <c r="N888" s="17" t="str">
        <f aca="false">IF(A888="","",IF(ISNUMBER(A888),A888,IFERROR(DATE(VALUE(MID(A888,7,4)),VALUE(MID(A888,4,2)),VALUE(MID(A888,1,2)))+TIME(VALUE(MID(A888,12,2)),VALUE(MID(A888,15,2)),VALUE(MID(A888,18,2))),"")))</f>
        <v/>
      </c>
    </row>
    <row r="889" customFormat="false" ht="15" hidden="false" customHeight="false" outlineLevel="0" collapsed="false">
      <c r="I889" s="15" t="str">
        <f aca="false">IF(N889="","",INT(N889))</f>
        <v/>
      </c>
      <c r="J889" s="16" t="str">
        <f aca="false">IF(B889="","",IF(N889=_xlfn.MINIFS($N$2:$N$5001,$B$2:$B$5001,B889),1,0))</f>
        <v/>
      </c>
      <c r="K889" s="16" t="str">
        <f aca="false">IF(B889="","",IF(AND(D889="Formalização",E889="Concluído"),IF(COUNTIFS($B$2:$B$5001,B889,$E$2:$E$5001,"Em ajustes",$N$2:$N$5001,"&lt;"&amp;I889)&gt;0,1,0),0))</f>
        <v/>
      </c>
      <c r="L889" s="16" t="str">
        <f aca="false">IF(B889="","",IF(N889=_xlfn.MAXIFS($N$2:$N$5001,$B$2:$B$5001,B889,$I$2:$I$5001,I889),1,0))</f>
        <v/>
      </c>
      <c r="M889" s="16" t="str">
        <f aca="false">IF(B889="","",IF(E889="Em ajustes",IF(N889=_xlfn.MINIFS($N$2:$N$5001,$B$2:$B$5001,B889,$E$2:$E$5001,"Em ajustes"),1,0),0))</f>
        <v/>
      </c>
      <c r="N889" s="17" t="str">
        <f aca="false">IF(A889="","",IF(ISNUMBER(A889),A889,IFERROR(DATE(VALUE(MID(A889,7,4)),VALUE(MID(A889,4,2)),VALUE(MID(A889,1,2)))+TIME(VALUE(MID(A889,12,2)),VALUE(MID(A889,15,2)),VALUE(MID(A889,18,2))),"")))</f>
        <v/>
      </c>
    </row>
    <row r="890" customFormat="false" ht="15" hidden="false" customHeight="false" outlineLevel="0" collapsed="false">
      <c r="I890" s="15" t="str">
        <f aca="false">IF(N890="","",INT(N890))</f>
        <v/>
      </c>
      <c r="J890" s="16" t="str">
        <f aca="false">IF(B890="","",IF(N890=_xlfn.MINIFS($N$2:$N$5001,$B$2:$B$5001,B890),1,0))</f>
        <v/>
      </c>
      <c r="K890" s="16" t="str">
        <f aca="false">IF(B890="","",IF(AND(D890="Formalização",E890="Concluído"),IF(COUNTIFS($B$2:$B$5001,B890,$E$2:$E$5001,"Em ajustes",$N$2:$N$5001,"&lt;"&amp;I890)&gt;0,1,0),0))</f>
        <v/>
      </c>
      <c r="L890" s="16" t="str">
        <f aca="false">IF(B890="","",IF(N890=_xlfn.MAXIFS($N$2:$N$5001,$B$2:$B$5001,B890,$I$2:$I$5001,I890),1,0))</f>
        <v/>
      </c>
      <c r="M890" s="16" t="str">
        <f aca="false">IF(B890="","",IF(E890="Em ajustes",IF(N890=_xlfn.MINIFS($N$2:$N$5001,$B$2:$B$5001,B890,$E$2:$E$5001,"Em ajustes"),1,0),0))</f>
        <v/>
      </c>
      <c r="N890" s="17" t="str">
        <f aca="false">IF(A890="","",IF(ISNUMBER(A890),A890,IFERROR(DATE(VALUE(MID(A890,7,4)),VALUE(MID(A890,4,2)),VALUE(MID(A890,1,2)))+TIME(VALUE(MID(A890,12,2)),VALUE(MID(A890,15,2)),VALUE(MID(A890,18,2))),"")))</f>
        <v/>
      </c>
    </row>
    <row r="891" customFormat="false" ht="15" hidden="false" customHeight="false" outlineLevel="0" collapsed="false">
      <c r="I891" s="15" t="str">
        <f aca="false">IF(N891="","",INT(N891))</f>
        <v/>
      </c>
      <c r="J891" s="16" t="str">
        <f aca="false">IF(B891="","",IF(N891=_xlfn.MINIFS($N$2:$N$5001,$B$2:$B$5001,B891),1,0))</f>
        <v/>
      </c>
      <c r="K891" s="16" t="str">
        <f aca="false">IF(B891="","",IF(AND(D891="Formalização",E891="Concluído"),IF(COUNTIFS($B$2:$B$5001,B891,$E$2:$E$5001,"Em ajustes",$N$2:$N$5001,"&lt;"&amp;I891)&gt;0,1,0),0))</f>
        <v/>
      </c>
      <c r="L891" s="16" t="str">
        <f aca="false">IF(B891="","",IF(N891=_xlfn.MAXIFS($N$2:$N$5001,$B$2:$B$5001,B891,$I$2:$I$5001,I891),1,0))</f>
        <v/>
      </c>
      <c r="M891" s="16" t="str">
        <f aca="false">IF(B891="","",IF(E891="Em ajustes",IF(N891=_xlfn.MINIFS($N$2:$N$5001,$B$2:$B$5001,B891,$E$2:$E$5001,"Em ajustes"),1,0),0))</f>
        <v/>
      </c>
      <c r="N891" s="17" t="str">
        <f aca="false">IF(A891="","",IF(ISNUMBER(A891),A891,IFERROR(DATE(VALUE(MID(A891,7,4)),VALUE(MID(A891,4,2)),VALUE(MID(A891,1,2)))+TIME(VALUE(MID(A891,12,2)),VALUE(MID(A891,15,2)),VALUE(MID(A891,18,2))),"")))</f>
        <v/>
      </c>
    </row>
    <row r="892" customFormat="false" ht="15" hidden="false" customHeight="false" outlineLevel="0" collapsed="false">
      <c r="I892" s="15" t="str">
        <f aca="false">IF(N892="","",INT(N892))</f>
        <v/>
      </c>
      <c r="J892" s="16" t="str">
        <f aca="false">IF(B892="","",IF(N892=_xlfn.MINIFS($N$2:$N$5001,$B$2:$B$5001,B892),1,0))</f>
        <v/>
      </c>
      <c r="K892" s="16" t="str">
        <f aca="false">IF(B892="","",IF(AND(D892="Formalização",E892="Concluído"),IF(COUNTIFS($B$2:$B$5001,B892,$E$2:$E$5001,"Em ajustes",$N$2:$N$5001,"&lt;"&amp;I892)&gt;0,1,0),0))</f>
        <v/>
      </c>
      <c r="L892" s="16" t="str">
        <f aca="false">IF(B892="","",IF(N892=_xlfn.MAXIFS($N$2:$N$5001,$B$2:$B$5001,B892,$I$2:$I$5001,I892),1,0))</f>
        <v/>
      </c>
      <c r="M892" s="16" t="str">
        <f aca="false">IF(B892="","",IF(E892="Em ajustes",IF(N892=_xlfn.MINIFS($N$2:$N$5001,$B$2:$B$5001,B892,$E$2:$E$5001,"Em ajustes"),1,0),0))</f>
        <v/>
      </c>
      <c r="N892" s="17" t="str">
        <f aca="false">IF(A892="","",IF(ISNUMBER(A892),A892,IFERROR(DATE(VALUE(MID(A892,7,4)),VALUE(MID(A892,4,2)),VALUE(MID(A892,1,2)))+TIME(VALUE(MID(A892,12,2)),VALUE(MID(A892,15,2)),VALUE(MID(A892,18,2))),"")))</f>
        <v/>
      </c>
    </row>
    <row r="893" customFormat="false" ht="15" hidden="false" customHeight="false" outlineLevel="0" collapsed="false">
      <c r="I893" s="15" t="str">
        <f aca="false">IF(N893="","",INT(N893))</f>
        <v/>
      </c>
      <c r="J893" s="16" t="str">
        <f aca="false">IF(B893="","",IF(N893=_xlfn.MINIFS($N$2:$N$5001,$B$2:$B$5001,B893),1,0))</f>
        <v/>
      </c>
      <c r="K893" s="16" t="str">
        <f aca="false">IF(B893="","",IF(AND(D893="Formalização",E893="Concluído"),IF(COUNTIFS($B$2:$B$5001,B893,$E$2:$E$5001,"Em ajustes",$N$2:$N$5001,"&lt;"&amp;I893)&gt;0,1,0),0))</f>
        <v/>
      </c>
      <c r="L893" s="16" t="str">
        <f aca="false">IF(B893="","",IF(N893=_xlfn.MAXIFS($N$2:$N$5001,$B$2:$B$5001,B893,$I$2:$I$5001,I893),1,0))</f>
        <v/>
      </c>
      <c r="M893" s="16" t="str">
        <f aca="false">IF(B893="","",IF(E893="Em ajustes",IF(N893=_xlfn.MINIFS($N$2:$N$5001,$B$2:$B$5001,B893,$E$2:$E$5001,"Em ajustes"),1,0),0))</f>
        <v/>
      </c>
      <c r="N893" s="17" t="str">
        <f aca="false">IF(A893="","",IF(ISNUMBER(A893),A893,IFERROR(DATE(VALUE(MID(A893,7,4)),VALUE(MID(A893,4,2)),VALUE(MID(A893,1,2)))+TIME(VALUE(MID(A893,12,2)),VALUE(MID(A893,15,2)),VALUE(MID(A893,18,2))),"")))</f>
        <v/>
      </c>
    </row>
    <row r="894" customFormat="false" ht="15" hidden="false" customHeight="false" outlineLevel="0" collapsed="false">
      <c r="I894" s="15" t="str">
        <f aca="false">IF(N894="","",INT(N894))</f>
        <v/>
      </c>
      <c r="J894" s="16" t="str">
        <f aca="false">IF(B894="","",IF(N894=_xlfn.MINIFS($N$2:$N$5001,$B$2:$B$5001,B894),1,0))</f>
        <v/>
      </c>
      <c r="K894" s="16" t="str">
        <f aca="false">IF(B894="","",IF(AND(D894="Formalização",E894="Concluído"),IF(COUNTIFS($B$2:$B$5001,B894,$E$2:$E$5001,"Em ajustes",$N$2:$N$5001,"&lt;"&amp;I894)&gt;0,1,0),0))</f>
        <v/>
      </c>
      <c r="L894" s="16" t="str">
        <f aca="false">IF(B894="","",IF(N894=_xlfn.MAXIFS($N$2:$N$5001,$B$2:$B$5001,B894,$I$2:$I$5001,I894),1,0))</f>
        <v/>
      </c>
      <c r="M894" s="16" t="str">
        <f aca="false">IF(B894="","",IF(E894="Em ajustes",IF(N894=_xlfn.MINIFS($N$2:$N$5001,$B$2:$B$5001,B894,$E$2:$E$5001,"Em ajustes"),1,0),0))</f>
        <v/>
      </c>
      <c r="N894" s="17" t="str">
        <f aca="false">IF(A894="","",IF(ISNUMBER(A894),A894,IFERROR(DATE(VALUE(MID(A894,7,4)),VALUE(MID(A894,4,2)),VALUE(MID(A894,1,2)))+TIME(VALUE(MID(A894,12,2)),VALUE(MID(A894,15,2)),VALUE(MID(A894,18,2))),"")))</f>
        <v/>
      </c>
    </row>
    <row r="895" customFormat="false" ht="15" hidden="false" customHeight="false" outlineLevel="0" collapsed="false">
      <c r="I895" s="15" t="str">
        <f aca="false">IF(N895="","",INT(N895))</f>
        <v/>
      </c>
      <c r="J895" s="16" t="str">
        <f aca="false">IF(B895="","",IF(N895=_xlfn.MINIFS($N$2:$N$5001,$B$2:$B$5001,B895),1,0))</f>
        <v/>
      </c>
      <c r="K895" s="16" t="str">
        <f aca="false">IF(B895="","",IF(AND(D895="Formalização",E895="Concluído"),IF(COUNTIFS($B$2:$B$5001,B895,$E$2:$E$5001,"Em ajustes",$N$2:$N$5001,"&lt;"&amp;I895)&gt;0,1,0),0))</f>
        <v/>
      </c>
      <c r="L895" s="16" t="str">
        <f aca="false">IF(B895="","",IF(N895=_xlfn.MAXIFS($N$2:$N$5001,$B$2:$B$5001,B895,$I$2:$I$5001,I895),1,0))</f>
        <v/>
      </c>
      <c r="M895" s="16" t="str">
        <f aca="false">IF(B895="","",IF(E895="Em ajustes",IF(N895=_xlfn.MINIFS($N$2:$N$5001,$B$2:$B$5001,B895,$E$2:$E$5001,"Em ajustes"),1,0),0))</f>
        <v/>
      </c>
      <c r="N895" s="17" t="str">
        <f aca="false">IF(A895="","",IF(ISNUMBER(A895),A895,IFERROR(DATE(VALUE(MID(A895,7,4)),VALUE(MID(A895,4,2)),VALUE(MID(A895,1,2)))+TIME(VALUE(MID(A895,12,2)),VALUE(MID(A895,15,2)),VALUE(MID(A895,18,2))),"")))</f>
        <v/>
      </c>
    </row>
    <row r="896" customFormat="false" ht="15" hidden="false" customHeight="false" outlineLevel="0" collapsed="false">
      <c r="I896" s="15" t="str">
        <f aca="false">IF(N896="","",INT(N896))</f>
        <v/>
      </c>
      <c r="J896" s="16" t="str">
        <f aca="false">IF(B896="","",IF(N896=_xlfn.MINIFS($N$2:$N$5001,$B$2:$B$5001,B896),1,0))</f>
        <v/>
      </c>
      <c r="K896" s="16" t="str">
        <f aca="false">IF(B896="","",IF(AND(D896="Formalização",E896="Concluído"),IF(COUNTIFS($B$2:$B$5001,B896,$E$2:$E$5001,"Em ajustes",$N$2:$N$5001,"&lt;"&amp;I896)&gt;0,1,0),0))</f>
        <v/>
      </c>
      <c r="L896" s="16" t="str">
        <f aca="false">IF(B896="","",IF(N896=_xlfn.MAXIFS($N$2:$N$5001,$B$2:$B$5001,B896,$I$2:$I$5001,I896),1,0))</f>
        <v/>
      </c>
      <c r="M896" s="16" t="str">
        <f aca="false">IF(B896="","",IF(E896="Em ajustes",IF(N896=_xlfn.MINIFS($N$2:$N$5001,$B$2:$B$5001,B896,$E$2:$E$5001,"Em ajustes"),1,0),0))</f>
        <v/>
      </c>
      <c r="N896" s="17" t="str">
        <f aca="false">IF(A896="","",IF(ISNUMBER(A896),A896,IFERROR(DATE(VALUE(MID(A896,7,4)),VALUE(MID(A896,4,2)),VALUE(MID(A896,1,2)))+TIME(VALUE(MID(A896,12,2)),VALUE(MID(A896,15,2)),VALUE(MID(A896,18,2))),"")))</f>
        <v/>
      </c>
    </row>
    <row r="897" customFormat="false" ht="15" hidden="false" customHeight="false" outlineLevel="0" collapsed="false">
      <c r="I897" s="15" t="str">
        <f aca="false">IF(N897="","",INT(N897))</f>
        <v/>
      </c>
      <c r="J897" s="16" t="str">
        <f aca="false">IF(B897="","",IF(N897=_xlfn.MINIFS($N$2:$N$5001,$B$2:$B$5001,B897),1,0))</f>
        <v/>
      </c>
      <c r="K897" s="16" t="str">
        <f aca="false">IF(B897="","",IF(AND(D897="Formalização",E897="Concluído"),IF(COUNTIFS($B$2:$B$5001,B897,$E$2:$E$5001,"Em ajustes",$N$2:$N$5001,"&lt;"&amp;I897)&gt;0,1,0),0))</f>
        <v/>
      </c>
      <c r="L897" s="16" t="str">
        <f aca="false">IF(B897="","",IF(N897=_xlfn.MAXIFS($N$2:$N$5001,$B$2:$B$5001,B897,$I$2:$I$5001,I897),1,0))</f>
        <v/>
      </c>
      <c r="M897" s="16" t="str">
        <f aca="false">IF(B897="","",IF(E897="Em ajustes",IF(N897=_xlfn.MINIFS($N$2:$N$5001,$B$2:$B$5001,B897,$E$2:$E$5001,"Em ajustes"),1,0),0))</f>
        <v/>
      </c>
      <c r="N897" s="17" t="str">
        <f aca="false">IF(A897="","",IF(ISNUMBER(A897),A897,IFERROR(DATE(VALUE(MID(A897,7,4)),VALUE(MID(A897,4,2)),VALUE(MID(A897,1,2)))+TIME(VALUE(MID(A897,12,2)),VALUE(MID(A897,15,2)),VALUE(MID(A897,18,2))),"")))</f>
        <v/>
      </c>
    </row>
    <row r="898" customFormat="false" ht="15" hidden="false" customHeight="false" outlineLevel="0" collapsed="false">
      <c r="I898" s="15" t="str">
        <f aca="false">IF(N898="","",INT(N898))</f>
        <v/>
      </c>
      <c r="J898" s="16" t="str">
        <f aca="false">IF(B898="","",IF(N898=_xlfn.MINIFS($N$2:$N$5001,$B$2:$B$5001,B898),1,0))</f>
        <v/>
      </c>
      <c r="K898" s="16" t="str">
        <f aca="false">IF(B898="","",IF(AND(D898="Formalização",E898="Concluído"),IF(COUNTIFS($B$2:$B$5001,B898,$E$2:$E$5001,"Em ajustes",$N$2:$N$5001,"&lt;"&amp;I898)&gt;0,1,0),0))</f>
        <v/>
      </c>
      <c r="L898" s="16" t="str">
        <f aca="false">IF(B898="","",IF(N898=_xlfn.MAXIFS($N$2:$N$5001,$B$2:$B$5001,B898,$I$2:$I$5001,I898),1,0))</f>
        <v/>
      </c>
      <c r="M898" s="16" t="str">
        <f aca="false">IF(B898="","",IF(E898="Em ajustes",IF(N898=_xlfn.MINIFS($N$2:$N$5001,$B$2:$B$5001,B898,$E$2:$E$5001,"Em ajustes"),1,0),0))</f>
        <v/>
      </c>
      <c r="N898" s="17" t="str">
        <f aca="false">IF(A898="","",IF(ISNUMBER(A898),A898,IFERROR(DATE(VALUE(MID(A898,7,4)),VALUE(MID(A898,4,2)),VALUE(MID(A898,1,2)))+TIME(VALUE(MID(A898,12,2)),VALUE(MID(A898,15,2)),VALUE(MID(A898,18,2))),"")))</f>
        <v/>
      </c>
    </row>
    <row r="899" customFormat="false" ht="15" hidden="false" customHeight="false" outlineLevel="0" collapsed="false">
      <c r="I899" s="15" t="str">
        <f aca="false">IF(N899="","",INT(N899))</f>
        <v/>
      </c>
      <c r="J899" s="16" t="str">
        <f aca="false">IF(B899="","",IF(N899=_xlfn.MINIFS($N$2:$N$5001,$B$2:$B$5001,B899),1,0))</f>
        <v/>
      </c>
      <c r="K899" s="16" t="str">
        <f aca="false">IF(B899="","",IF(AND(D899="Formalização",E899="Concluído"),IF(COUNTIFS($B$2:$B$5001,B899,$E$2:$E$5001,"Em ajustes",$N$2:$N$5001,"&lt;"&amp;I899)&gt;0,1,0),0))</f>
        <v/>
      </c>
      <c r="L899" s="16" t="str">
        <f aca="false">IF(B899="","",IF(N899=_xlfn.MAXIFS($N$2:$N$5001,$B$2:$B$5001,B899,$I$2:$I$5001,I899),1,0))</f>
        <v/>
      </c>
      <c r="M899" s="16" t="str">
        <f aca="false">IF(B899="","",IF(E899="Em ajustes",IF(N899=_xlfn.MINIFS($N$2:$N$5001,$B$2:$B$5001,B899,$E$2:$E$5001,"Em ajustes"),1,0),0))</f>
        <v/>
      </c>
      <c r="N899" s="17" t="str">
        <f aca="false">IF(A899="","",IF(ISNUMBER(A899),A899,IFERROR(DATE(VALUE(MID(A899,7,4)),VALUE(MID(A899,4,2)),VALUE(MID(A899,1,2)))+TIME(VALUE(MID(A899,12,2)),VALUE(MID(A899,15,2)),VALUE(MID(A899,18,2))),"")))</f>
        <v/>
      </c>
    </row>
    <row r="900" customFormat="false" ht="15" hidden="false" customHeight="false" outlineLevel="0" collapsed="false">
      <c r="I900" s="15" t="str">
        <f aca="false">IF(N900="","",INT(N900))</f>
        <v/>
      </c>
      <c r="J900" s="16" t="str">
        <f aca="false">IF(B900="","",IF(N900=_xlfn.MINIFS($N$2:$N$5001,$B$2:$B$5001,B900),1,0))</f>
        <v/>
      </c>
      <c r="K900" s="16" t="str">
        <f aca="false">IF(B900="","",IF(AND(D900="Formalização",E900="Concluído"),IF(COUNTIFS($B$2:$B$5001,B900,$E$2:$E$5001,"Em ajustes",$N$2:$N$5001,"&lt;"&amp;I900)&gt;0,1,0),0))</f>
        <v/>
      </c>
      <c r="L900" s="16" t="str">
        <f aca="false">IF(B900="","",IF(N900=_xlfn.MAXIFS($N$2:$N$5001,$B$2:$B$5001,B900,$I$2:$I$5001,I900),1,0))</f>
        <v/>
      </c>
      <c r="M900" s="16" t="str">
        <f aca="false">IF(B900="","",IF(E900="Em ajustes",IF(N900=_xlfn.MINIFS($N$2:$N$5001,$B$2:$B$5001,B900,$E$2:$E$5001,"Em ajustes"),1,0),0))</f>
        <v/>
      </c>
      <c r="N900" s="17" t="str">
        <f aca="false">IF(A900="","",IF(ISNUMBER(A900),A900,IFERROR(DATE(VALUE(MID(A900,7,4)),VALUE(MID(A900,4,2)),VALUE(MID(A900,1,2)))+TIME(VALUE(MID(A900,12,2)),VALUE(MID(A900,15,2)),VALUE(MID(A900,18,2))),"")))</f>
        <v/>
      </c>
    </row>
    <row r="901" customFormat="false" ht="15" hidden="false" customHeight="false" outlineLevel="0" collapsed="false">
      <c r="I901" s="15" t="str">
        <f aca="false">IF(N901="","",INT(N901))</f>
        <v/>
      </c>
      <c r="J901" s="16" t="str">
        <f aca="false">IF(B901="","",IF(N901=_xlfn.MINIFS($N$2:$N$5001,$B$2:$B$5001,B901),1,0))</f>
        <v/>
      </c>
      <c r="K901" s="16" t="str">
        <f aca="false">IF(B901="","",IF(AND(D901="Formalização",E901="Concluído"),IF(COUNTIFS($B$2:$B$5001,B901,$E$2:$E$5001,"Em ajustes",$N$2:$N$5001,"&lt;"&amp;I901)&gt;0,1,0),0))</f>
        <v/>
      </c>
      <c r="L901" s="16" t="str">
        <f aca="false">IF(B901="","",IF(N901=_xlfn.MAXIFS($N$2:$N$5001,$B$2:$B$5001,B901,$I$2:$I$5001,I901),1,0))</f>
        <v/>
      </c>
      <c r="M901" s="16" t="str">
        <f aca="false">IF(B901="","",IF(E901="Em ajustes",IF(N901=_xlfn.MINIFS($N$2:$N$5001,$B$2:$B$5001,B901,$E$2:$E$5001,"Em ajustes"),1,0),0))</f>
        <v/>
      </c>
      <c r="N901" s="17" t="str">
        <f aca="false">IF(A901="","",IF(ISNUMBER(A901),A901,IFERROR(DATE(VALUE(MID(A901,7,4)),VALUE(MID(A901,4,2)),VALUE(MID(A901,1,2)))+TIME(VALUE(MID(A901,12,2)),VALUE(MID(A901,15,2)),VALUE(MID(A901,18,2))),"")))</f>
        <v/>
      </c>
    </row>
    <row r="902" customFormat="false" ht="15" hidden="false" customHeight="false" outlineLevel="0" collapsed="false">
      <c r="I902" s="15" t="str">
        <f aca="false">IF(N902="","",INT(N902))</f>
        <v/>
      </c>
      <c r="J902" s="16" t="str">
        <f aca="false">IF(B902="","",IF(N902=_xlfn.MINIFS($N$2:$N$5001,$B$2:$B$5001,B902),1,0))</f>
        <v/>
      </c>
      <c r="K902" s="16" t="str">
        <f aca="false">IF(B902="","",IF(AND(D902="Formalização",E902="Concluído"),IF(COUNTIFS($B$2:$B$5001,B902,$E$2:$E$5001,"Em ajustes",$N$2:$N$5001,"&lt;"&amp;I902)&gt;0,1,0),0))</f>
        <v/>
      </c>
      <c r="L902" s="16" t="str">
        <f aca="false">IF(B902="","",IF(N902=_xlfn.MAXIFS($N$2:$N$5001,$B$2:$B$5001,B902,$I$2:$I$5001,I902),1,0))</f>
        <v/>
      </c>
      <c r="M902" s="16" t="str">
        <f aca="false">IF(B902="","",IF(E902="Em ajustes",IF(N902=_xlfn.MINIFS($N$2:$N$5001,$B$2:$B$5001,B902,$E$2:$E$5001,"Em ajustes"),1,0),0))</f>
        <v/>
      </c>
      <c r="N902" s="17" t="str">
        <f aca="false">IF(A902="","",IF(ISNUMBER(A902),A902,IFERROR(DATE(VALUE(MID(A902,7,4)),VALUE(MID(A902,4,2)),VALUE(MID(A902,1,2)))+TIME(VALUE(MID(A902,12,2)),VALUE(MID(A902,15,2)),VALUE(MID(A902,18,2))),"")))</f>
        <v/>
      </c>
    </row>
    <row r="903" customFormat="false" ht="15" hidden="false" customHeight="false" outlineLevel="0" collapsed="false">
      <c r="I903" s="15" t="str">
        <f aca="false">IF(N903="","",INT(N903))</f>
        <v/>
      </c>
      <c r="J903" s="16" t="str">
        <f aca="false">IF(B903="","",IF(N903=_xlfn.MINIFS($N$2:$N$5001,$B$2:$B$5001,B903),1,0))</f>
        <v/>
      </c>
      <c r="K903" s="16" t="str">
        <f aca="false">IF(B903="","",IF(AND(D903="Formalização",E903="Concluído"),IF(COUNTIFS($B$2:$B$5001,B903,$E$2:$E$5001,"Em ajustes",$N$2:$N$5001,"&lt;"&amp;I903)&gt;0,1,0),0))</f>
        <v/>
      </c>
      <c r="L903" s="16" t="str">
        <f aca="false">IF(B903="","",IF(N903=_xlfn.MAXIFS($N$2:$N$5001,$B$2:$B$5001,B903,$I$2:$I$5001,I903),1,0))</f>
        <v/>
      </c>
      <c r="M903" s="16" t="str">
        <f aca="false">IF(B903="","",IF(E903="Em ajustes",IF(N903=_xlfn.MINIFS($N$2:$N$5001,$B$2:$B$5001,B903,$E$2:$E$5001,"Em ajustes"),1,0),0))</f>
        <v/>
      </c>
      <c r="N903" s="17" t="str">
        <f aca="false">IF(A903="","",IF(ISNUMBER(A903),A903,IFERROR(DATE(VALUE(MID(A903,7,4)),VALUE(MID(A903,4,2)),VALUE(MID(A903,1,2)))+TIME(VALUE(MID(A903,12,2)),VALUE(MID(A903,15,2)),VALUE(MID(A903,18,2))),"")))</f>
        <v/>
      </c>
    </row>
    <row r="904" customFormat="false" ht="15" hidden="false" customHeight="false" outlineLevel="0" collapsed="false">
      <c r="I904" s="15" t="str">
        <f aca="false">IF(N904="","",INT(N904))</f>
        <v/>
      </c>
      <c r="J904" s="16" t="str">
        <f aca="false">IF(B904="","",IF(N904=_xlfn.MINIFS($N$2:$N$5001,$B$2:$B$5001,B904),1,0))</f>
        <v/>
      </c>
      <c r="K904" s="16" t="str">
        <f aca="false">IF(B904="","",IF(AND(D904="Formalização",E904="Concluído"),IF(COUNTIFS($B$2:$B$5001,B904,$E$2:$E$5001,"Em ajustes",$N$2:$N$5001,"&lt;"&amp;I904)&gt;0,1,0),0))</f>
        <v/>
      </c>
      <c r="L904" s="16" t="str">
        <f aca="false">IF(B904="","",IF(N904=_xlfn.MAXIFS($N$2:$N$5001,$B$2:$B$5001,B904,$I$2:$I$5001,I904),1,0))</f>
        <v/>
      </c>
      <c r="M904" s="16" t="str">
        <f aca="false">IF(B904="","",IF(E904="Em ajustes",IF(N904=_xlfn.MINIFS($N$2:$N$5001,$B$2:$B$5001,B904,$E$2:$E$5001,"Em ajustes"),1,0),0))</f>
        <v/>
      </c>
      <c r="N904" s="17" t="str">
        <f aca="false">IF(A904="","",IF(ISNUMBER(A904),A904,IFERROR(DATE(VALUE(MID(A904,7,4)),VALUE(MID(A904,4,2)),VALUE(MID(A904,1,2)))+TIME(VALUE(MID(A904,12,2)),VALUE(MID(A904,15,2)),VALUE(MID(A904,18,2))),"")))</f>
        <v/>
      </c>
    </row>
    <row r="905" customFormat="false" ht="15" hidden="false" customHeight="false" outlineLevel="0" collapsed="false">
      <c r="I905" s="15" t="str">
        <f aca="false">IF(N905="","",INT(N905))</f>
        <v/>
      </c>
      <c r="J905" s="16" t="str">
        <f aca="false">IF(B905="","",IF(N905=_xlfn.MINIFS($N$2:$N$5001,$B$2:$B$5001,B905),1,0))</f>
        <v/>
      </c>
      <c r="K905" s="16" t="str">
        <f aca="false">IF(B905="","",IF(AND(D905="Formalização",E905="Concluído"),IF(COUNTIFS($B$2:$B$5001,B905,$E$2:$E$5001,"Em ajustes",$N$2:$N$5001,"&lt;"&amp;I905)&gt;0,1,0),0))</f>
        <v/>
      </c>
      <c r="L905" s="16" t="str">
        <f aca="false">IF(B905="","",IF(N905=_xlfn.MAXIFS($N$2:$N$5001,$B$2:$B$5001,B905,$I$2:$I$5001,I905),1,0))</f>
        <v/>
      </c>
      <c r="M905" s="16" t="str">
        <f aca="false">IF(B905="","",IF(E905="Em ajustes",IF(N905=_xlfn.MINIFS($N$2:$N$5001,$B$2:$B$5001,B905,$E$2:$E$5001,"Em ajustes"),1,0),0))</f>
        <v/>
      </c>
      <c r="N905" s="17" t="str">
        <f aca="false">IF(A905="","",IF(ISNUMBER(A905),A905,IFERROR(DATE(VALUE(MID(A905,7,4)),VALUE(MID(A905,4,2)),VALUE(MID(A905,1,2)))+TIME(VALUE(MID(A905,12,2)),VALUE(MID(A905,15,2)),VALUE(MID(A905,18,2))),"")))</f>
        <v/>
      </c>
    </row>
    <row r="906" customFormat="false" ht="15" hidden="false" customHeight="false" outlineLevel="0" collapsed="false">
      <c r="I906" s="15" t="str">
        <f aca="false">IF(N906="","",INT(N906))</f>
        <v/>
      </c>
      <c r="J906" s="16" t="str">
        <f aca="false">IF(B906="","",IF(N906=_xlfn.MINIFS($N$2:$N$5001,$B$2:$B$5001,B906),1,0))</f>
        <v/>
      </c>
      <c r="K906" s="16" t="str">
        <f aca="false">IF(B906="","",IF(AND(D906="Formalização",E906="Concluído"),IF(COUNTIFS($B$2:$B$5001,B906,$E$2:$E$5001,"Em ajustes",$N$2:$N$5001,"&lt;"&amp;I906)&gt;0,1,0),0))</f>
        <v/>
      </c>
      <c r="L906" s="16" t="str">
        <f aca="false">IF(B906="","",IF(N906=_xlfn.MAXIFS($N$2:$N$5001,$B$2:$B$5001,B906,$I$2:$I$5001,I906),1,0))</f>
        <v/>
      </c>
      <c r="M906" s="16" t="str">
        <f aca="false">IF(B906="","",IF(E906="Em ajustes",IF(N906=_xlfn.MINIFS($N$2:$N$5001,$B$2:$B$5001,B906,$E$2:$E$5001,"Em ajustes"),1,0),0))</f>
        <v/>
      </c>
      <c r="N906" s="17" t="str">
        <f aca="false">IF(A906="","",IF(ISNUMBER(A906),A906,IFERROR(DATE(VALUE(MID(A906,7,4)),VALUE(MID(A906,4,2)),VALUE(MID(A906,1,2)))+TIME(VALUE(MID(A906,12,2)),VALUE(MID(A906,15,2)),VALUE(MID(A906,18,2))),"")))</f>
        <v/>
      </c>
    </row>
    <row r="907" customFormat="false" ht="15" hidden="false" customHeight="false" outlineLevel="0" collapsed="false">
      <c r="I907" s="15" t="str">
        <f aca="false">IF(N907="","",INT(N907))</f>
        <v/>
      </c>
      <c r="J907" s="16" t="str">
        <f aca="false">IF(B907="","",IF(N907=_xlfn.MINIFS($N$2:$N$5001,$B$2:$B$5001,B907),1,0))</f>
        <v/>
      </c>
      <c r="K907" s="16" t="str">
        <f aca="false">IF(B907="","",IF(AND(D907="Formalização",E907="Concluído"),IF(COUNTIFS($B$2:$B$5001,B907,$E$2:$E$5001,"Em ajustes",$N$2:$N$5001,"&lt;"&amp;I907)&gt;0,1,0),0))</f>
        <v/>
      </c>
      <c r="L907" s="16" t="str">
        <f aca="false">IF(B907="","",IF(N907=_xlfn.MAXIFS($N$2:$N$5001,$B$2:$B$5001,B907,$I$2:$I$5001,I907),1,0))</f>
        <v/>
      </c>
      <c r="M907" s="16" t="str">
        <f aca="false">IF(B907="","",IF(E907="Em ajustes",IF(N907=_xlfn.MINIFS($N$2:$N$5001,$B$2:$B$5001,B907,$E$2:$E$5001,"Em ajustes"),1,0),0))</f>
        <v/>
      </c>
      <c r="N907" s="17" t="str">
        <f aca="false">IF(A907="","",IF(ISNUMBER(A907),A907,IFERROR(DATE(VALUE(MID(A907,7,4)),VALUE(MID(A907,4,2)),VALUE(MID(A907,1,2)))+TIME(VALUE(MID(A907,12,2)),VALUE(MID(A907,15,2)),VALUE(MID(A907,18,2))),"")))</f>
        <v/>
      </c>
    </row>
    <row r="908" customFormat="false" ht="15" hidden="false" customHeight="false" outlineLevel="0" collapsed="false">
      <c r="I908" s="15" t="str">
        <f aca="false">IF(N908="","",INT(N908))</f>
        <v/>
      </c>
      <c r="J908" s="16" t="str">
        <f aca="false">IF(B908="","",IF(N908=_xlfn.MINIFS($N$2:$N$5001,$B$2:$B$5001,B908),1,0))</f>
        <v/>
      </c>
      <c r="K908" s="16" t="str">
        <f aca="false">IF(B908="","",IF(AND(D908="Formalização",E908="Concluído"),IF(COUNTIFS($B$2:$B$5001,B908,$E$2:$E$5001,"Em ajustes",$N$2:$N$5001,"&lt;"&amp;I908)&gt;0,1,0),0))</f>
        <v/>
      </c>
      <c r="L908" s="16" t="str">
        <f aca="false">IF(B908="","",IF(N908=_xlfn.MAXIFS($N$2:$N$5001,$B$2:$B$5001,B908,$I$2:$I$5001,I908),1,0))</f>
        <v/>
      </c>
      <c r="M908" s="16" t="str">
        <f aca="false">IF(B908="","",IF(E908="Em ajustes",IF(N908=_xlfn.MINIFS($N$2:$N$5001,$B$2:$B$5001,B908,$E$2:$E$5001,"Em ajustes"),1,0),0))</f>
        <v/>
      </c>
      <c r="N908" s="17" t="str">
        <f aca="false">IF(A908="","",IF(ISNUMBER(A908),A908,IFERROR(DATE(VALUE(MID(A908,7,4)),VALUE(MID(A908,4,2)),VALUE(MID(A908,1,2)))+TIME(VALUE(MID(A908,12,2)),VALUE(MID(A908,15,2)),VALUE(MID(A908,18,2))),"")))</f>
        <v/>
      </c>
    </row>
    <row r="909" customFormat="false" ht="15" hidden="false" customHeight="false" outlineLevel="0" collapsed="false">
      <c r="I909" s="15" t="str">
        <f aca="false">IF(N909="","",INT(N909))</f>
        <v/>
      </c>
      <c r="J909" s="16" t="str">
        <f aca="false">IF(B909="","",IF(N909=_xlfn.MINIFS($N$2:$N$5001,$B$2:$B$5001,B909),1,0))</f>
        <v/>
      </c>
      <c r="K909" s="16" t="str">
        <f aca="false">IF(B909="","",IF(AND(D909="Formalização",E909="Concluído"),IF(COUNTIFS($B$2:$B$5001,B909,$E$2:$E$5001,"Em ajustes",$N$2:$N$5001,"&lt;"&amp;I909)&gt;0,1,0),0))</f>
        <v/>
      </c>
      <c r="L909" s="16" t="str">
        <f aca="false">IF(B909="","",IF(N909=_xlfn.MAXIFS($N$2:$N$5001,$B$2:$B$5001,B909,$I$2:$I$5001,I909),1,0))</f>
        <v/>
      </c>
      <c r="M909" s="16" t="str">
        <f aca="false">IF(B909="","",IF(E909="Em ajustes",IF(N909=_xlfn.MINIFS($N$2:$N$5001,$B$2:$B$5001,B909,$E$2:$E$5001,"Em ajustes"),1,0),0))</f>
        <v/>
      </c>
      <c r="N909" s="17" t="str">
        <f aca="false">IF(A909="","",IF(ISNUMBER(A909),A909,IFERROR(DATE(VALUE(MID(A909,7,4)),VALUE(MID(A909,4,2)),VALUE(MID(A909,1,2)))+TIME(VALUE(MID(A909,12,2)),VALUE(MID(A909,15,2)),VALUE(MID(A909,18,2))),"")))</f>
        <v/>
      </c>
    </row>
    <row r="910" customFormat="false" ht="15" hidden="false" customHeight="false" outlineLevel="0" collapsed="false">
      <c r="I910" s="15" t="str">
        <f aca="false">IF(N910="","",INT(N910))</f>
        <v/>
      </c>
      <c r="J910" s="16" t="str">
        <f aca="false">IF(B910="","",IF(N910=_xlfn.MINIFS($N$2:$N$5001,$B$2:$B$5001,B910),1,0))</f>
        <v/>
      </c>
      <c r="K910" s="16" t="str">
        <f aca="false">IF(B910="","",IF(AND(D910="Formalização",E910="Concluído"),IF(COUNTIFS($B$2:$B$5001,B910,$E$2:$E$5001,"Em ajustes",$N$2:$N$5001,"&lt;"&amp;I910)&gt;0,1,0),0))</f>
        <v/>
      </c>
      <c r="L910" s="16" t="str">
        <f aca="false">IF(B910="","",IF(N910=_xlfn.MAXIFS($N$2:$N$5001,$B$2:$B$5001,B910,$I$2:$I$5001,I910),1,0))</f>
        <v/>
      </c>
      <c r="M910" s="16" t="str">
        <f aca="false">IF(B910="","",IF(E910="Em ajustes",IF(N910=_xlfn.MINIFS($N$2:$N$5001,$B$2:$B$5001,B910,$E$2:$E$5001,"Em ajustes"),1,0),0))</f>
        <v/>
      </c>
      <c r="N910" s="17" t="str">
        <f aca="false">IF(A910="","",IF(ISNUMBER(A910),A910,IFERROR(DATE(VALUE(MID(A910,7,4)),VALUE(MID(A910,4,2)),VALUE(MID(A910,1,2)))+TIME(VALUE(MID(A910,12,2)),VALUE(MID(A910,15,2)),VALUE(MID(A910,18,2))),"")))</f>
        <v/>
      </c>
    </row>
    <row r="911" customFormat="false" ht="15" hidden="false" customHeight="false" outlineLevel="0" collapsed="false">
      <c r="I911" s="15" t="str">
        <f aca="false">IF(N911="","",INT(N911))</f>
        <v/>
      </c>
      <c r="J911" s="16" t="str">
        <f aca="false">IF(B911="","",IF(N911=_xlfn.MINIFS($N$2:$N$5001,$B$2:$B$5001,B911),1,0))</f>
        <v/>
      </c>
      <c r="K911" s="16" t="str">
        <f aca="false">IF(B911="","",IF(AND(D911="Formalização",E911="Concluído"),IF(COUNTIFS($B$2:$B$5001,B911,$E$2:$E$5001,"Em ajustes",$N$2:$N$5001,"&lt;"&amp;I911)&gt;0,1,0),0))</f>
        <v/>
      </c>
      <c r="L911" s="16" t="str">
        <f aca="false">IF(B911="","",IF(N911=_xlfn.MAXIFS($N$2:$N$5001,$B$2:$B$5001,B911,$I$2:$I$5001,I911),1,0))</f>
        <v/>
      </c>
      <c r="M911" s="16" t="str">
        <f aca="false">IF(B911="","",IF(E911="Em ajustes",IF(N911=_xlfn.MINIFS($N$2:$N$5001,$B$2:$B$5001,B911,$E$2:$E$5001,"Em ajustes"),1,0),0))</f>
        <v/>
      </c>
      <c r="N911" s="17" t="str">
        <f aca="false">IF(A911="","",IF(ISNUMBER(A911),A911,IFERROR(DATE(VALUE(MID(A911,7,4)),VALUE(MID(A911,4,2)),VALUE(MID(A911,1,2)))+TIME(VALUE(MID(A911,12,2)),VALUE(MID(A911,15,2)),VALUE(MID(A911,18,2))),"")))</f>
        <v/>
      </c>
    </row>
    <row r="912" customFormat="false" ht="15" hidden="false" customHeight="false" outlineLevel="0" collapsed="false">
      <c r="I912" s="15" t="str">
        <f aca="false">IF(N912="","",INT(N912))</f>
        <v/>
      </c>
      <c r="J912" s="16" t="str">
        <f aca="false">IF(B912="","",IF(N912=_xlfn.MINIFS($N$2:$N$5001,$B$2:$B$5001,B912),1,0))</f>
        <v/>
      </c>
      <c r="K912" s="16" t="str">
        <f aca="false">IF(B912="","",IF(AND(D912="Formalização",E912="Concluído"),IF(COUNTIFS($B$2:$B$5001,B912,$E$2:$E$5001,"Em ajustes",$N$2:$N$5001,"&lt;"&amp;I912)&gt;0,1,0),0))</f>
        <v/>
      </c>
      <c r="L912" s="16" t="str">
        <f aca="false">IF(B912="","",IF(N912=_xlfn.MAXIFS($N$2:$N$5001,$B$2:$B$5001,B912,$I$2:$I$5001,I912),1,0))</f>
        <v/>
      </c>
      <c r="M912" s="16" t="str">
        <f aca="false">IF(B912="","",IF(E912="Em ajustes",IF(N912=_xlfn.MINIFS($N$2:$N$5001,$B$2:$B$5001,B912,$E$2:$E$5001,"Em ajustes"),1,0),0))</f>
        <v/>
      </c>
      <c r="N912" s="17" t="str">
        <f aca="false">IF(A912="","",IF(ISNUMBER(A912),A912,IFERROR(DATE(VALUE(MID(A912,7,4)),VALUE(MID(A912,4,2)),VALUE(MID(A912,1,2)))+TIME(VALUE(MID(A912,12,2)),VALUE(MID(A912,15,2)),VALUE(MID(A912,18,2))),"")))</f>
        <v/>
      </c>
    </row>
    <row r="913" customFormat="false" ht="15" hidden="false" customHeight="false" outlineLevel="0" collapsed="false">
      <c r="I913" s="15" t="str">
        <f aca="false">IF(N913="","",INT(N913))</f>
        <v/>
      </c>
      <c r="J913" s="16" t="str">
        <f aca="false">IF(B913="","",IF(N913=_xlfn.MINIFS($N$2:$N$5001,$B$2:$B$5001,B913),1,0))</f>
        <v/>
      </c>
      <c r="K913" s="16" t="str">
        <f aca="false">IF(B913="","",IF(AND(D913="Formalização",E913="Concluído"),IF(COUNTIFS($B$2:$B$5001,B913,$E$2:$E$5001,"Em ajustes",$N$2:$N$5001,"&lt;"&amp;I913)&gt;0,1,0),0))</f>
        <v/>
      </c>
      <c r="L913" s="16" t="str">
        <f aca="false">IF(B913="","",IF(N913=_xlfn.MAXIFS($N$2:$N$5001,$B$2:$B$5001,B913,$I$2:$I$5001,I913),1,0))</f>
        <v/>
      </c>
      <c r="M913" s="16" t="str">
        <f aca="false">IF(B913="","",IF(E913="Em ajustes",IF(N913=_xlfn.MINIFS($N$2:$N$5001,$B$2:$B$5001,B913,$E$2:$E$5001,"Em ajustes"),1,0),0))</f>
        <v/>
      </c>
      <c r="N913" s="17" t="str">
        <f aca="false">IF(A913="","",IF(ISNUMBER(A913),A913,IFERROR(DATE(VALUE(MID(A913,7,4)),VALUE(MID(A913,4,2)),VALUE(MID(A913,1,2)))+TIME(VALUE(MID(A913,12,2)),VALUE(MID(A913,15,2)),VALUE(MID(A913,18,2))),"")))</f>
        <v/>
      </c>
    </row>
    <row r="914" customFormat="false" ht="15" hidden="false" customHeight="false" outlineLevel="0" collapsed="false">
      <c r="I914" s="15" t="str">
        <f aca="false">IF(N914="","",INT(N914))</f>
        <v/>
      </c>
      <c r="J914" s="16" t="str">
        <f aca="false">IF(B914="","",IF(N914=_xlfn.MINIFS($N$2:$N$5001,$B$2:$B$5001,B914),1,0))</f>
        <v/>
      </c>
      <c r="K914" s="16" t="str">
        <f aca="false">IF(B914="","",IF(AND(D914="Formalização",E914="Concluído"),IF(COUNTIFS($B$2:$B$5001,B914,$E$2:$E$5001,"Em ajustes",$N$2:$N$5001,"&lt;"&amp;I914)&gt;0,1,0),0))</f>
        <v/>
      </c>
      <c r="L914" s="16" t="str">
        <f aca="false">IF(B914="","",IF(N914=_xlfn.MAXIFS($N$2:$N$5001,$B$2:$B$5001,B914,$I$2:$I$5001,I914),1,0))</f>
        <v/>
      </c>
      <c r="M914" s="16" t="str">
        <f aca="false">IF(B914="","",IF(E914="Em ajustes",IF(N914=_xlfn.MINIFS($N$2:$N$5001,$B$2:$B$5001,B914,$E$2:$E$5001,"Em ajustes"),1,0),0))</f>
        <v/>
      </c>
      <c r="N914" s="17" t="str">
        <f aca="false">IF(A914="","",IF(ISNUMBER(A914),A914,IFERROR(DATE(VALUE(MID(A914,7,4)),VALUE(MID(A914,4,2)),VALUE(MID(A914,1,2)))+TIME(VALUE(MID(A914,12,2)),VALUE(MID(A914,15,2)),VALUE(MID(A914,18,2))),"")))</f>
        <v/>
      </c>
    </row>
    <row r="915" customFormat="false" ht="15" hidden="false" customHeight="false" outlineLevel="0" collapsed="false">
      <c r="I915" s="15" t="str">
        <f aca="false">IF(N915="","",INT(N915))</f>
        <v/>
      </c>
      <c r="J915" s="16" t="str">
        <f aca="false">IF(B915="","",IF(N915=_xlfn.MINIFS($N$2:$N$5001,$B$2:$B$5001,B915),1,0))</f>
        <v/>
      </c>
      <c r="K915" s="16" t="str">
        <f aca="false">IF(B915="","",IF(AND(D915="Formalização",E915="Concluído"),IF(COUNTIFS($B$2:$B$5001,B915,$E$2:$E$5001,"Em ajustes",$N$2:$N$5001,"&lt;"&amp;I915)&gt;0,1,0),0))</f>
        <v/>
      </c>
      <c r="L915" s="16" t="str">
        <f aca="false">IF(B915="","",IF(N915=_xlfn.MAXIFS($N$2:$N$5001,$B$2:$B$5001,B915,$I$2:$I$5001,I915),1,0))</f>
        <v/>
      </c>
      <c r="M915" s="16" t="str">
        <f aca="false">IF(B915="","",IF(E915="Em ajustes",IF(N915=_xlfn.MINIFS($N$2:$N$5001,$B$2:$B$5001,B915,$E$2:$E$5001,"Em ajustes"),1,0),0))</f>
        <v/>
      </c>
      <c r="N915" s="17" t="str">
        <f aca="false">IF(A915="","",IF(ISNUMBER(A915),A915,IFERROR(DATE(VALUE(MID(A915,7,4)),VALUE(MID(A915,4,2)),VALUE(MID(A915,1,2)))+TIME(VALUE(MID(A915,12,2)),VALUE(MID(A915,15,2)),VALUE(MID(A915,18,2))),"")))</f>
        <v/>
      </c>
    </row>
    <row r="916" customFormat="false" ht="15" hidden="false" customHeight="false" outlineLevel="0" collapsed="false">
      <c r="I916" s="15" t="str">
        <f aca="false">IF(N916="","",INT(N916))</f>
        <v/>
      </c>
      <c r="J916" s="16" t="str">
        <f aca="false">IF(B916="","",IF(N916=_xlfn.MINIFS($N$2:$N$5001,$B$2:$B$5001,B916),1,0))</f>
        <v/>
      </c>
      <c r="K916" s="16" t="str">
        <f aca="false">IF(B916="","",IF(AND(D916="Formalização",E916="Concluído"),IF(COUNTIFS($B$2:$B$5001,B916,$E$2:$E$5001,"Em ajustes",$N$2:$N$5001,"&lt;"&amp;I916)&gt;0,1,0),0))</f>
        <v/>
      </c>
      <c r="L916" s="16" t="str">
        <f aca="false">IF(B916="","",IF(N916=_xlfn.MAXIFS($N$2:$N$5001,$B$2:$B$5001,B916,$I$2:$I$5001,I916),1,0))</f>
        <v/>
      </c>
      <c r="M916" s="16" t="str">
        <f aca="false">IF(B916="","",IF(E916="Em ajustes",IF(N916=_xlfn.MINIFS($N$2:$N$5001,$B$2:$B$5001,B916,$E$2:$E$5001,"Em ajustes"),1,0),0))</f>
        <v/>
      </c>
      <c r="N916" s="17" t="str">
        <f aca="false">IF(A916="","",IF(ISNUMBER(A916),A916,IFERROR(DATE(VALUE(MID(A916,7,4)),VALUE(MID(A916,4,2)),VALUE(MID(A916,1,2)))+TIME(VALUE(MID(A916,12,2)),VALUE(MID(A916,15,2)),VALUE(MID(A916,18,2))),"")))</f>
        <v/>
      </c>
    </row>
    <row r="917" customFormat="false" ht="15" hidden="false" customHeight="false" outlineLevel="0" collapsed="false">
      <c r="I917" s="15" t="str">
        <f aca="false">IF(N917="","",INT(N917))</f>
        <v/>
      </c>
      <c r="J917" s="16" t="str">
        <f aca="false">IF(B917="","",IF(N917=_xlfn.MINIFS($N$2:$N$5001,$B$2:$B$5001,B917),1,0))</f>
        <v/>
      </c>
      <c r="K917" s="16" t="str">
        <f aca="false">IF(B917="","",IF(AND(D917="Formalização",E917="Concluído"),IF(COUNTIFS($B$2:$B$5001,B917,$E$2:$E$5001,"Em ajustes",$N$2:$N$5001,"&lt;"&amp;I917)&gt;0,1,0),0))</f>
        <v/>
      </c>
      <c r="L917" s="16" t="str">
        <f aca="false">IF(B917="","",IF(N917=_xlfn.MAXIFS($N$2:$N$5001,$B$2:$B$5001,B917,$I$2:$I$5001,I917),1,0))</f>
        <v/>
      </c>
      <c r="M917" s="16" t="str">
        <f aca="false">IF(B917="","",IF(E917="Em ajustes",IF(N917=_xlfn.MINIFS($N$2:$N$5001,$B$2:$B$5001,B917,$E$2:$E$5001,"Em ajustes"),1,0),0))</f>
        <v/>
      </c>
      <c r="N917" s="17" t="str">
        <f aca="false">IF(A917="","",IF(ISNUMBER(A917),A917,IFERROR(DATE(VALUE(MID(A917,7,4)),VALUE(MID(A917,4,2)),VALUE(MID(A917,1,2)))+TIME(VALUE(MID(A917,12,2)),VALUE(MID(A917,15,2)),VALUE(MID(A917,18,2))),"")))</f>
        <v/>
      </c>
    </row>
    <row r="918" customFormat="false" ht="15" hidden="false" customHeight="false" outlineLevel="0" collapsed="false">
      <c r="I918" s="15" t="str">
        <f aca="false">IF(N918="","",INT(N918))</f>
        <v/>
      </c>
      <c r="J918" s="16" t="str">
        <f aca="false">IF(B918="","",IF(N918=_xlfn.MINIFS($N$2:$N$5001,$B$2:$B$5001,B918),1,0))</f>
        <v/>
      </c>
      <c r="K918" s="16" t="str">
        <f aca="false">IF(B918="","",IF(AND(D918="Formalização",E918="Concluído"),IF(COUNTIFS($B$2:$B$5001,B918,$E$2:$E$5001,"Em ajustes",$N$2:$N$5001,"&lt;"&amp;I918)&gt;0,1,0),0))</f>
        <v/>
      </c>
      <c r="L918" s="16" t="str">
        <f aca="false">IF(B918="","",IF(N918=_xlfn.MAXIFS($N$2:$N$5001,$B$2:$B$5001,B918,$I$2:$I$5001,I918),1,0))</f>
        <v/>
      </c>
      <c r="M918" s="16" t="str">
        <f aca="false">IF(B918="","",IF(E918="Em ajustes",IF(N918=_xlfn.MINIFS($N$2:$N$5001,$B$2:$B$5001,B918,$E$2:$E$5001,"Em ajustes"),1,0),0))</f>
        <v/>
      </c>
      <c r="N918" s="17" t="str">
        <f aca="false">IF(A918="","",IF(ISNUMBER(A918),A918,IFERROR(DATE(VALUE(MID(A918,7,4)),VALUE(MID(A918,4,2)),VALUE(MID(A918,1,2)))+TIME(VALUE(MID(A918,12,2)),VALUE(MID(A918,15,2)),VALUE(MID(A918,18,2))),"")))</f>
        <v/>
      </c>
    </row>
    <row r="919" customFormat="false" ht="15" hidden="false" customHeight="false" outlineLevel="0" collapsed="false">
      <c r="I919" s="15" t="str">
        <f aca="false">IF(N919="","",INT(N919))</f>
        <v/>
      </c>
      <c r="J919" s="16" t="str">
        <f aca="false">IF(B919="","",IF(N919=_xlfn.MINIFS($N$2:$N$5001,$B$2:$B$5001,B919),1,0))</f>
        <v/>
      </c>
      <c r="K919" s="16" t="str">
        <f aca="false">IF(B919="","",IF(AND(D919="Formalização",E919="Concluído"),IF(COUNTIFS($B$2:$B$5001,B919,$E$2:$E$5001,"Em ajustes",$N$2:$N$5001,"&lt;"&amp;I919)&gt;0,1,0),0))</f>
        <v/>
      </c>
      <c r="L919" s="16" t="str">
        <f aca="false">IF(B919="","",IF(N919=_xlfn.MAXIFS($N$2:$N$5001,$B$2:$B$5001,B919,$I$2:$I$5001,I919),1,0))</f>
        <v/>
      </c>
      <c r="M919" s="16" t="str">
        <f aca="false">IF(B919="","",IF(E919="Em ajustes",IF(N919=_xlfn.MINIFS($N$2:$N$5001,$B$2:$B$5001,B919,$E$2:$E$5001,"Em ajustes"),1,0),0))</f>
        <v/>
      </c>
      <c r="N919" s="17" t="str">
        <f aca="false">IF(A919="","",IF(ISNUMBER(A919),A919,IFERROR(DATE(VALUE(MID(A919,7,4)),VALUE(MID(A919,4,2)),VALUE(MID(A919,1,2)))+TIME(VALUE(MID(A919,12,2)),VALUE(MID(A919,15,2)),VALUE(MID(A919,18,2))),"")))</f>
        <v/>
      </c>
    </row>
    <row r="920" customFormat="false" ht="15" hidden="false" customHeight="false" outlineLevel="0" collapsed="false">
      <c r="I920" s="15" t="str">
        <f aca="false">IF(N920="","",INT(N920))</f>
        <v/>
      </c>
      <c r="J920" s="16" t="str">
        <f aca="false">IF(B920="","",IF(N920=_xlfn.MINIFS($N$2:$N$5001,$B$2:$B$5001,B920),1,0))</f>
        <v/>
      </c>
      <c r="K920" s="16" t="str">
        <f aca="false">IF(B920="","",IF(AND(D920="Formalização",E920="Concluído"),IF(COUNTIFS($B$2:$B$5001,B920,$E$2:$E$5001,"Em ajustes",$N$2:$N$5001,"&lt;"&amp;I920)&gt;0,1,0),0))</f>
        <v/>
      </c>
      <c r="L920" s="16" t="str">
        <f aca="false">IF(B920="","",IF(N920=_xlfn.MAXIFS($N$2:$N$5001,$B$2:$B$5001,B920,$I$2:$I$5001,I920),1,0))</f>
        <v/>
      </c>
      <c r="M920" s="16" t="str">
        <f aca="false">IF(B920="","",IF(E920="Em ajustes",IF(N920=_xlfn.MINIFS($N$2:$N$5001,$B$2:$B$5001,B920,$E$2:$E$5001,"Em ajustes"),1,0),0))</f>
        <v/>
      </c>
      <c r="N920" s="17" t="str">
        <f aca="false">IF(A920="","",IF(ISNUMBER(A920),A920,IFERROR(DATE(VALUE(MID(A920,7,4)),VALUE(MID(A920,4,2)),VALUE(MID(A920,1,2)))+TIME(VALUE(MID(A920,12,2)),VALUE(MID(A920,15,2)),VALUE(MID(A920,18,2))),"")))</f>
        <v/>
      </c>
    </row>
    <row r="921" customFormat="false" ht="15" hidden="false" customHeight="false" outlineLevel="0" collapsed="false">
      <c r="I921" s="15" t="str">
        <f aca="false">IF(N921="","",INT(N921))</f>
        <v/>
      </c>
      <c r="J921" s="16" t="str">
        <f aca="false">IF(B921="","",IF(N921=_xlfn.MINIFS($N$2:$N$5001,$B$2:$B$5001,B921),1,0))</f>
        <v/>
      </c>
      <c r="K921" s="16" t="str">
        <f aca="false">IF(B921="","",IF(AND(D921="Formalização",E921="Concluído"),IF(COUNTIFS($B$2:$B$5001,B921,$E$2:$E$5001,"Em ajustes",$N$2:$N$5001,"&lt;"&amp;I921)&gt;0,1,0),0))</f>
        <v/>
      </c>
      <c r="L921" s="16" t="str">
        <f aca="false">IF(B921="","",IF(N921=_xlfn.MAXIFS($N$2:$N$5001,$B$2:$B$5001,B921,$I$2:$I$5001,I921),1,0))</f>
        <v/>
      </c>
      <c r="M921" s="16" t="str">
        <f aca="false">IF(B921="","",IF(E921="Em ajustes",IF(N921=_xlfn.MINIFS($N$2:$N$5001,$B$2:$B$5001,B921,$E$2:$E$5001,"Em ajustes"),1,0),0))</f>
        <v/>
      </c>
      <c r="N921" s="17" t="str">
        <f aca="false">IF(A921="","",IF(ISNUMBER(A921),A921,IFERROR(DATE(VALUE(MID(A921,7,4)),VALUE(MID(A921,4,2)),VALUE(MID(A921,1,2)))+TIME(VALUE(MID(A921,12,2)),VALUE(MID(A921,15,2)),VALUE(MID(A921,18,2))),"")))</f>
        <v/>
      </c>
    </row>
    <row r="922" customFormat="false" ht="15" hidden="false" customHeight="false" outlineLevel="0" collapsed="false">
      <c r="I922" s="15" t="str">
        <f aca="false">IF(N922="","",INT(N922))</f>
        <v/>
      </c>
      <c r="J922" s="16" t="str">
        <f aca="false">IF(B922="","",IF(N922=_xlfn.MINIFS($N$2:$N$5001,$B$2:$B$5001,B922),1,0))</f>
        <v/>
      </c>
      <c r="K922" s="16" t="str">
        <f aca="false">IF(B922="","",IF(AND(D922="Formalização",E922="Concluído"),IF(COUNTIFS($B$2:$B$5001,B922,$E$2:$E$5001,"Em ajustes",$N$2:$N$5001,"&lt;"&amp;I922)&gt;0,1,0),0))</f>
        <v/>
      </c>
      <c r="L922" s="16" t="str">
        <f aca="false">IF(B922="","",IF(N922=_xlfn.MAXIFS($N$2:$N$5001,$B$2:$B$5001,B922,$I$2:$I$5001,I922),1,0))</f>
        <v/>
      </c>
      <c r="M922" s="16" t="str">
        <f aca="false">IF(B922="","",IF(E922="Em ajustes",IF(N922=_xlfn.MINIFS($N$2:$N$5001,$B$2:$B$5001,B922,$E$2:$E$5001,"Em ajustes"),1,0),0))</f>
        <v/>
      </c>
      <c r="N922" s="17" t="str">
        <f aca="false">IF(A922="","",IF(ISNUMBER(A922),A922,IFERROR(DATE(VALUE(MID(A922,7,4)),VALUE(MID(A922,4,2)),VALUE(MID(A922,1,2)))+TIME(VALUE(MID(A922,12,2)),VALUE(MID(A922,15,2)),VALUE(MID(A922,18,2))),"")))</f>
        <v/>
      </c>
    </row>
    <row r="923" customFormat="false" ht="15" hidden="false" customHeight="false" outlineLevel="0" collapsed="false">
      <c r="I923" s="15" t="str">
        <f aca="false">IF(N923="","",INT(N923))</f>
        <v/>
      </c>
      <c r="J923" s="16" t="str">
        <f aca="false">IF(B923="","",IF(N923=_xlfn.MINIFS($N$2:$N$5001,$B$2:$B$5001,B923),1,0))</f>
        <v/>
      </c>
      <c r="K923" s="16" t="str">
        <f aca="false">IF(B923="","",IF(AND(D923="Formalização",E923="Concluído"),IF(COUNTIFS($B$2:$B$5001,B923,$E$2:$E$5001,"Em ajustes",$N$2:$N$5001,"&lt;"&amp;I923)&gt;0,1,0),0))</f>
        <v/>
      </c>
      <c r="L923" s="16" t="str">
        <f aca="false">IF(B923="","",IF(N923=_xlfn.MAXIFS($N$2:$N$5001,$B$2:$B$5001,B923,$I$2:$I$5001,I923),1,0))</f>
        <v/>
      </c>
      <c r="M923" s="16" t="str">
        <f aca="false">IF(B923="","",IF(E923="Em ajustes",IF(N923=_xlfn.MINIFS($N$2:$N$5001,$B$2:$B$5001,B923,$E$2:$E$5001,"Em ajustes"),1,0),0))</f>
        <v/>
      </c>
      <c r="N923" s="17" t="str">
        <f aca="false">IF(A923="","",IF(ISNUMBER(A923),A923,IFERROR(DATE(VALUE(MID(A923,7,4)),VALUE(MID(A923,4,2)),VALUE(MID(A923,1,2)))+TIME(VALUE(MID(A923,12,2)),VALUE(MID(A923,15,2)),VALUE(MID(A923,18,2))),"")))</f>
        <v/>
      </c>
    </row>
    <row r="924" customFormat="false" ht="15" hidden="false" customHeight="false" outlineLevel="0" collapsed="false">
      <c r="I924" s="15" t="str">
        <f aca="false">IF(N924="","",INT(N924))</f>
        <v/>
      </c>
      <c r="J924" s="16" t="str">
        <f aca="false">IF(B924="","",IF(N924=_xlfn.MINIFS($N$2:$N$5001,$B$2:$B$5001,B924),1,0))</f>
        <v/>
      </c>
      <c r="K924" s="16" t="str">
        <f aca="false">IF(B924="","",IF(AND(D924="Formalização",E924="Concluído"),IF(COUNTIFS($B$2:$B$5001,B924,$E$2:$E$5001,"Em ajustes",$N$2:$N$5001,"&lt;"&amp;I924)&gt;0,1,0),0))</f>
        <v/>
      </c>
      <c r="L924" s="16" t="str">
        <f aca="false">IF(B924="","",IF(N924=_xlfn.MAXIFS($N$2:$N$5001,$B$2:$B$5001,B924,$I$2:$I$5001,I924),1,0))</f>
        <v/>
      </c>
      <c r="M924" s="16" t="str">
        <f aca="false">IF(B924="","",IF(E924="Em ajustes",IF(N924=_xlfn.MINIFS($N$2:$N$5001,$B$2:$B$5001,B924,$E$2:$E$5001,"Em ajustes"),1,0),0))</f>
        <v/>
      </c>
      <c r="N924" s="17" t="str">
        <f aca="false">IF(A924="","",IF(ISNUMBER(A924),A924,IFERROR(DATE(VALUE(MID(A924,7,4)),VALUE(MID(A924,4,2)),VALUE(MID(A924,1,2)))+TIME(VALUE(MID(A924,12,2)),VALUE(MID(A924,15,2)),VALUE(MID(A924,18,2))),"")))</f>
        <v/>
      </c>
    </row>
    <row r="925" customFormat="false" ht="15" hidden="false" customHeight="false" outlineLevel="0" collapsed="false">
      <c r="I925" s="15" t="str">
        <f aca="false">IF(N925="","",INT(N925))</f>
        <v/>
      </c>
      <c r="J925" s="16" t="str">
        <f aca="false">IF(B925="","",IF(N925=_xlfn.MINIFS($N$2:$N$5001,$B$2:$B$5001,B925),1,0))</f>
        <v/>
      </c>
      <c r="K925" s="16" t="str">
        <f aca="false">IF(B925="","",IF(AND(D925="Formalização",E925="Concluído"),IF(COUNTIFS($B$2:$B$5001,B925,$E$2:$E$5001,"Em ajustes",$N$2:$N$5001,"&lt;"&amp;I925)&gt;0,1,0),0))</f>
        <v/>
      </c>
      <c r="L925" s="16" t="str">
        <f aca="false">IF(B925="","",IF(N925=_xlfn.MAXIFS($N$2:$N$5001,$B$2:$B$5001,B925,$I$2:$I$5001,I925),1,0))</f>
        <v/>
      </c>
      <c r="M925" s="16" t="str">
        <f aca="false">IF(B925="","",IF(E925="Em ajustes",IF(N925=_xlfn.MINIFS($N$2:$N$5001,$B$2:$B$5001,B925,$E$2:$E$5001,"Em ajustes"),1,0),0))</f>
        <v/>
      </c>
      <c r="N925" s="17" t="str">
        <f aca="false">IF(A925="","",IF(ISNUMBER(A925),A925,IFERROR(DATE(VALUE(MID(A925,7,4)),VALUE(MID(A925,4,2)),VALUE(MID(A925,1,2)))+TIME(VALUE(MID(A925,12,2)),VALUE(MID(A925,15,2)),VALUE(MID(A925,18,2))),"")))</f>
        <v/>
      </c>
    </row>
    <row r="926" customFormat="false" ht="15" hidden="false" customHeight="false" outlineLevel="0" collapsed="false">
      <c r="I926" s="15" t="str">
        <f aca="false">IF(N926="","",INT(N926))</f>
        <v/>
      </c>
      <c r="J926" s="16" t="str">
        <f aca="false">IF(B926="","",IF(N926=_xlfn.MINIFS($N$2:$N$5001,$B$2:$B$5001,B926),1,0))</f>
        <v/>
      </c>
      <c r="K926" s="16" t="str">
        <f aca="false">IF(B926="","",IF(AND(D926="Formalização",E926="Concluído"),IF(COUNTIFS($B$2:$B$5001,B926,$E$2:$E$5001,"Em ajustes",$N$2:$N$5001,"&lt;"&amp;I926)&gt;0,1,0),0))</f>
        <v/>
      </c>
      <c r="L926" s="16" t="str">
        <f aca="false">IF(B926="","",IF(N926=_xlfn.MAXIFS($N$2:$N$5001,$B$2:$B$5001,B926,$I$2:$I$5001,I926),1,0))</f>
        <v/>
      </c>
      <c r="M926" s="16" t="str">
        <f aca="false">IF(B926="","",IF(E926="Em ajustes",IF(N926=_xlfn.MINIFS($N$2:$N$5001,$B$2:$B$5001,B926,$E$2:$E$5001,"Em ajustes"),1,0),0))</f>
        <v/>
      </c>
      <c r="N926" s="17" t="str">
        <f aca="false">IF(A926="","",IF(ISNUMBER(A926),A926,IFERROR(DATE(VALUE(MID(A926,7,4)),VALUE(MID(A926,4,2)),VALUE(MID(A926,1,2)))+TIME(VALUE(MID(A926,12,2)),VALUE(MID(A926,15,2)),VALUE(MID(A926,18,2))),"")))</f>
        <v/>
      </c>
    </row>
    <row r="927" customFormat="false" ht="15" hidden="false" customHeight="false" outlineLevel="0" collapsed="false">
      <c r="I927" s="15" t="str">
        <f aca="false">IF(N927="","",INT(N927))</f>
        <v/>
      </c>
      <c r="J927" s="16" t="str">
        <f aca="false">IF(B927="","",IF(N927=_xlfn.MINIFS($N$2:$N$5001,$B$2:$B$5001,B927),1,0))</f>
        <v/>
      </c>
      <c r="K927" s="16" t="str">
        <f aca="false">IF(B927="","",IF(AND(D927="Formalização",E927="Concluído"),IF(COUNTIFS($B$2:$B$5001,B927,$E$2:$E$5001,"Em ajustes",$N$2:$N$5001,"&lt;"&amp;I927)&gt;0,1,0),0))</f>
        <v/>
      </c>
      <c r="L927" s="16" t="str">
        <f aca="false">IF(B927="","",IF(N927=_xlfn.MAXIFS($N$2:$N$5001,$B$2:$B$5001,B927,$I$2:$I$5001,I927),1,0))</f>
        <v/>
      </c>
      <c r="M927" s="16" t="str">
        <f aca="false">IF(B927="","",IF(E927="Em ajustes",IF(N927=_xlfn.MINIFS($N$2:$N$5001,$B$2:$B$5001,B927,$E$2:$E$5001,"Em ajustes"),1,0),0))</f>
        <v/>
      </c>
      <c r="N927" s="17" t="str">
        <f aca="false">IF(A927="","",IF(ISNUMBER(A927),A927,IFERROR(DATE(VALUE(MID(A927,7,4)),VALUE(MID(A927,4,2)),VALUE(MID(A927,1,2)))+TIME(VALUE(MID(A927,12,2)),VALUE(MID(A927,15,2)),VALUE(MID(A927,18,2))),"")))</f>
        <v/>
      </c>
    </row>
    <row r="928" customFormat="false" ht="15" hidden="false" customHeight="false" outlineLevel="0" collapsed="false">
      <c r="I928" s="15" t="str">
        <f aca="false">IF(N928="","",INT(N928))</f>
        <v/>
      </c>
      <c r="J928" s="16" t="str">
        <f aca="false">IF(B928="","",IF(N928=_xlfn.MINIFS($N$2:$N$5001,$B$2:$B$5001,B928),1,0))</f>
        <v/>
      </c>
      <c r="K928" s="16" t="str">
        <f aca="false">IF(B928="","",IF(AND(D928="Formalização",E928="Concluído"),IF(COUNTIFS($B$2:$B$5001,B928,$E$2:$E$5001,"Em ajustes",$N$2:$N$5001,"&lt;"&amp;I928)&gt;0,1,0),0))</f>
        <v/>
      </c>
      <c r="L928" s="16" t="str">
        <f aca="false">IF(B928="","",IF(N928=_xlfn.MAXIFS($N$2:$N$5001,$B$2:$B$5001,B928,$I$2:$I$5001,I928),1,0))</f>
        <v/>
      </c>
      <c r="M928" s="16" t="str">
        <f aca="false">IF(B928="","",IF(E928="Em ajustes",IF(N928=_xlfn.MINIFS($N$2:$N$5001,$B$2:$B$5001,B928,$E$2:$E$5001,"Em ajustes"),1,0),0))</f>
        <v/>
      </c>
      <c r="N928" s="17" t="str">
        <f aca="false">IF(A928="","",IF(ISNUMBER(A928),A928,IFERROR(DATE(VALUE(MID(A928,7,4)),VALUE(MID(A928,4,2)),VALUE(MID(A928,1,2)))+TIME(VALUE(MID(A928,12,2)),VALUE(MID(A928,15,2)),VALUE(MID(A928,18,2))),"")))</f>
        <v/>
      </c>
    </row>
    <row r="929" customFormat="false" ht="15" hidden="false" customHeight="false" outlineLevel="0" collapsed="false">
      <c r="I929" s="15" t="str">
        <f aca="false">IF(N929="","",INT(N929))</f>
        <v/>
      </c>
      <c r="J929" s="16" t="str">
        <f aca="false">IF(B929="","",IF(N929=_xlfn.MINIFS($N$2:$N$5001,$B$2:$B$5001,B929),1,0))</f>
        <v/>
      </c>
      <c r="K929" s="16" t="str">
        <f aca="false">IF(B929="","",IF(AND(D929="Formalização",E929="Concluído"),IF(COUNTIFS($B$2:$B$5001,B929,$E$2:$E$5001,"Em ajustes",$N$2:$N$5001,"&lt;"&amp;I929)&gt;0,1,0),0))</f>
        <v/>
      </c>
      <c r="L929" s="16" t="str">
        <f aca="false">IF(B929="","",IF(N929=_xlfn.MAXIFS($N$2:$N$5001,$B$2:$B$5001,B929,$I$2:$I$5001,I929),1,0))</f>
        <v/>
      </c>
      <c r="M929" s="16" t="str">
        <f aca="false">IF(B929="","",IF(E929="Em ajustes",IF(N929=_xlfn.MINIFS($N$2:$N$5001,$B$2:$B$5001,B929,$E$2:$E$5001,"Em ajustes"),1,0),0))</f>
        <v/>
      </c>
      <c r="N929" s="17" t="str">
        <f aca="false">IF(A929="","",IF(ISNUMBER(A929),A929,IFERROR(DATE(VALUE(MID(A929,7,4)),VALUE(MID(A929,4,2)),VALUE(MID(A929,1,2)))+TIME(VALUE(MID(A929,12,2)),VALUE(MID(A929,15,2)),VALUE(MID(A929,18,2))),"")))</f>
        <v/>
      </c>
    </row>
    <row r="930" customFormat="false" ht="15" hidden="false" customHeight="false" outlineLevel="0" collapsed="false">
      <c r="I930" s="15" t="str">
        <f aca="false">IF(N930="","",INT(N930))</f>
        <v/>
      </c>
      <c r="J930" s="16" t="str">
        <f aca="false">IF(B930="","",IF(N930=_xlfn.MINIFS($N$2:$N$5001,$B$2:$B$5001,B930),1,0))</f>
        <v/>
      </c>
      <c r="K930" s="16" t="str">
        <f aca="false">IF(B930="","",IF(AND(D930="Formalização",E930="Concluído"),IF(COUNTIFS($B$2:$B$5001,B930,$E$2:$E$5001,"Em ajustes",$N$2:$N$5001,"&lt;"&amp;I930)&gt;0,1,0),0))</f>
        <v/>
      </c>
      <c r="L930" s="16" t="str">
        <f aca="false">IF(B930="","",IF(N930=_xlfn.MAXIFS($N$2:$N$5001,$B$2:$B$5001,B930,$I$2:$I$5001,I930),1,0))</f>
        <v/>
      </c>
      <c r="M930" s="16" t="str">
        <f aca="false">IF(B930="","",IF(E930="Em ajustes",IF(N930=_xlfn.MINIFS($N$2:$N$5001,$B$2:$B$5001,B930,$E$2:$E$5001,"Em ajustes"),1,0),0))</f>
        <v/>
      </c>
      <c r="N930" s="17" t="str">
        <f aca="false">IF(A930="","",IF(ISNUMBER(A930),A930,IFERROR(DATE(VALUE(MID(A930,7,4)),VALUE(MID(A930,4,2)),VALUE(MID(A930,1,2)))+TIME(VALUE(MID(A930,12,2)),VALUE(MID(A930,15,2)),VALUE(MID(A930,18,2))),"")))</f>
        <v/>
      </c>
    </row>
    <row r="931" customFormat="false" ht="15" hidden="false" customHeight="false" outlineLevel="0" collapsed="false">
      <c r="I931" s="15" t="str">
        <f aca="false">IF(N931="","",INT(N931))</f>
        <v/>
      </c>
      <c r="J931" s="16" t="str">
        <f aca="false">IF(B931="","",IF(N931=_xlfn.MINIFS($N$2:$N$5001,$B$2:$B$5001,B931),1,0))</f>
        <v/>
      </c>
      <c r="K931" s="16" t="str">
        <f aca="false">IF(B931="","",IF(AND(D931="Formalização",E931="Concluído"),IF(COUNTIFS($B$2:$B$5001,B931,$E$2:$E$5001,"Em ajustes",$N$2:$N$5001,"&lt;"&amp;I931)&gt;0,1,0),0))</f>
        <v/>
      </c>
      <c r="L931" s="16" t="str">
        <f aca="false">IF(B931="","",IF(N931=_xlfn.MAXIFS($N$2:$N$5001,$B$2:$B$5001,B931,$I$2:$I$5001,I931),1,0))</f>
        <v/>
      </c>
      <c r="M931" s="16" t="str">
        <f aca="false">IF(B931="","",IF(E931="Em ajustes",IF(N931=_xlfn.MINIFS($N$2:$N$5001,$B$2:$B$5001,B931,$E$2:$E$5001,"Em ajustes"),1,0),0))</f>
        <v/>
      </c>
      <c r="N931" s="17" t="str">
        <f aca="false">IF(A931="","",IF(ISNUMBER(A931),A931,IFERROR(DATE(VALUE(MID(A931,7,4)),VALUE(MID(A931,4,2)),VALUE(MID(A931,1,2)))+TIME(VALUE(MID(A931,12,2)),VALUE(MID(A931,15,2)),VALUE(MID(A931,18,2))),"")))</f>
        <v/>
      </c>
    </row>
    <row r="932" customFormat="false" ht="15" hidden="false" customHeight="false" outlineLevel="0" collapsed="false">
      <c r="I932" s="15" t="str">
        <f aca="false">IF(N932="","",INT(N932))</f>
        <v/>
      </c>
      <c r="J932" s="16" t="str">
        <f aca="false">IF(B932="","",IF(N932=_xlfn.MINIFS($N$2:$N$5001,$B$2:$B$5001,B932),1,0))</f>
        <v/>
      </c>
      <c r="K932" s="16" t="str">
        <f aca="false">IF(B932="","",IF(AND(D932="Formalização",E932="Concluído"),IF(COUNTIFS($B$2:$B$5001,B932,$E$2:$E$5001,"Em ajustes",$N$2:$N$5001,"&lt;"&amp;I932)&gt;0,1,0),0))</f>
        <v/>
      </c>
      <c r="L932" s="16" t="str">
        <f aca="false">IF(B932="","",IF(N932=_xlfn.MAXIFS($N$2:$N$5001,$B$2:$B$5001,B932,$I$2:$I$5001,I932),1,0))</f>
        <v/>
      </c>
      <c r="M932" s="16" t="str">
        <f aca="false">IF(B932="","",IF(E932="Em ajustes",IF(N932=_xlfn.MINIFS($N$2:$N$5001,$B$2:$B$5001,B932,$E$2:$E$5001,"Em ajustes"),1,0),0))</f>
        <v/>
      </c>
      <c r="N932" s="17" t="str">
        <f aca="false">IF(A932="","",IF(ISNUMBER(A932),A932,IFERROR(DATE(VALUE(MID(A932,7,4)),VALUE(MID(A932,4,2)),VALUE(MID(A932,1,2)))+TIME(VALUE(MID(A932,12,2)),VALUE(MID(A932,15,2)),VALUE(MID(A932,18,2))),"")))</f>
        <v/>
      </c>
    </row>
    <row r="933" customFormat="false" ht="15" hidden="false" customHeight="false" outlineLevel="0" collapsed="false">
      <c r="I933" s="15" t="str">
        <f aca="false">IF(N933="","",INT(N933))</f>
        <v/>
      </c>
      <c r="J933" s="16" t="str">
        <f aca="false">IF(B933="","",IF(N933=_xlfn.MINIFS($N$2:$N$5001,$B$2:$B$5001,B933),1,0))</f>
        <v/>
      </c>
      <c r="K933" s="16" t="str">
        <f aca="false">IF(B933="","",IF(AND(D933="Formalização",E933="Concluído"),IF(COUNTIFS($B$2:$B$5001,B933,$E$2:$E$5001,"Em ajustes",$N$2:$N$5001,"&lt;"&amp;I933)&gt;0,1,0),0))</f>
        <v/>
      </c>
      <c r="L933" s="16" t="str">
        <f aca="false">IF(B933="","",IF(N933=_xlfn.MAXIFS($N$2:$N$5001,$B$2:$B$5001,B933,$I$2:$I$5001,I933),1,0))</f>
        <v/>
      </c>
      <c r="M933" s="16" t="str">
        <f aca="false">IF(B933="","",IF(E933="Em ajustes",IF(N933=_xlfn.MINIFS($N$2:$N$5001,$B$2:$B$5001,B933,$E$2:$E$5001,"Em ajustes"),1,0),0))</f>
        <v/>
      </c>
      <c r="N933" s="17" t="str">
        <f aca="false">IF(A933="","",IF(ISNUMBER(A933),A933,IFERROR(DATE(VALUE(MID(A933,7,4)),VALUE(MID(A933,4,2)),VALUE(MID(A933,1,2)))+TIME(VALUE(MID(A933,12,2)),VALUE(MID(A933,15,2)),VALUE(MID(A933,18,2))),"")))</f>
        <v/>
      </c>
    </row>
    <row r="934" customFormat="false" ht="15" hidden="false" customHeight="false" outlineLevel="0" collapsed="false">
      <c r="I934" s="15" t="str">
        <f aca="false">IF(N934="","",INT(N934))</f>
        <v/>
      </c>
      <c r="J934" s="16" t="str">
        <f aca="false">IF(B934="","",IF(N934=_xlfn.MINIFS($N$2:$N$5001,$B$2:$B$5001,B934),1,0))</f>
        <v/>
      </c>
      <c r="K934" s="16" t="str">
        <f aca="false">IF(B934="","",IF(AND(D934="Formalização",E934="Concluído"),IF(COUNTIFS($B$2:$B$5001,B934,$E$2:$E$5001,"Em ajustes",$N$2:$N$5001,"&lt;"&amp;I934)&gt;0,1,0),0))</f>
        <v/>
      </c>
      <c r="L934" s="16" t="str">
        <f aca="false">IF(B934="","",IF(N934=_xlfn.MAXIFS($N$2:$N$5001,$B$2:$B$5001,B934,$I$2:$I$5001,I934),1,0))</f>
        <v/>
      </c>
      <c r="M934" s="16" t="str">
        <f aca="false">IF(B934="","",IF(E934="Em ajustes",IF(N934=_xlfn.MINIFS($N$2:$N$5001,$B$2:$B$5001,B934,$E$2:$E$5001,"Em ajustes"),1,0),0))</f>
        <v/>
      </c>
      <c r="N934" s="17" t="str">
        <f aca="false">IF(A934="","",IF(ISNUMBER(A934),A934,IFERROR(DATE(VALUE(MID(A934,7,4)),VALUE(MID(A934,4,2)),VALUE(MID(A934,1,2)))+TIME(VALUE(MID(A934,12,2)),VALUE(MID(A934,15,2)),VALUE(MID(A934,18,2))),"")))</f>
        <v/>
      </c>
    </row>
    <row r="935" customFormat="false" ht="15" hidden="false" customHeight="false" outlineLevel="0" collapsed="false">
      <c r="I935" s="15" t="str">
        <f aca="false">IF(N935="","",INT(N935))</f>
        <v/>
      </c>
      <c r="J935" s="16" t="str">
        <f aca="false">IF(B935="","",IF(N935=_xlfn.MINIFS($N$2:$N$5001,$B$2:$B$5001,B935),1,0))</f>
        <v/>
      </c>
      <c r="K935" s="16" t="str">
        <f aca="false">IF(B935="","",IF(AND(D935="Formalização",E935="Concluído"),IF(COUNTIFS($B$2:$B$5001,B935,$E$2:$E$5001,"Em ajustes",$N$2:$N$5001,"&lt;"&amp;I935)&gt;0,1,0),0))</f>
        <v/>
      </c>
      <c r="L935" s="16" t="str">
        <f aca="false">IF(B935="","",IF(N935=_xlfn.MAXIFS($N$2:$N$5001,$B$2:$B$5001,B935,$I$2:$I$5001,I935),1,0))</f>
        <v/>
      </c>
      <c r="M935" s="16" t="str">
        <f aca="false">IF(B935="","",IF(E935="Em ajustes",IF(N935=_xlfn.MINIFS($N$2:$N$5001,$B$2:$B$5001,B935,$E$2:$E$5001,"Em ajustes"),1,0),0))</f>
        <v/>
      </c>
      <c r="N935" s="17" t="str">
        <f aca="false">IF(A935="","",IF(ISNUMBER(A935),A935,IFERROR(DATE(VALUE(MID(A935,7,4)),VALUE(MID(A935,4,2)),VALUE(MID(A935,1,2)))+TIME(VALUE(MID(A935,12,2)),VALUE(MID(A935,15,2)),VALUE(MID(A935,18,2))),"")))</f>
        <v/>
      </c>
    </row>
    <row r="936" customFormat="false" ht="15" hidden="false" customHeight="false" outlineLevel="0" collapsed="false">
      <c r="I936" s="15" t="str">
        <f aca="false">IF(N936="","",INT(N936))</f>
        <v/>
      </c>
      <c r="J936" s="16" t="str">
        <f aca="false">IF(B936="","",IF(N936=_xlfn.MINIFS($N$2:$N$5001,$B$2:$B$5001,B936),1,0))</f>
        <v/>
      </c>
      <c r="K936" s="16" t="str">
        <f aca="false">IF(B936="","",IF(AND(D936="Formalização",E936="Concluído"),IF(COUNTIFS($B$2:$B$5001,B936,$E$2:$E$5001,"Em ajustes",$N$2:$N$5001,"&lt;"&amp;I936)&gt;0,1,0),0))</f>
        <v/>
      </c>
      <c r="L936" s="16" t="str">
        <f aca="false">IF(B936="","",IF(N936=_xlfn.MAXIFS($N$2:$N$5001,$B$2:$B$5001,B936,$I$2:$I$5001,I936),1,0))</f>
        <v/>
      </c>
      <c r="M936" s="16" t="str">
        <f aca="false">IF(B936="","",IF(E936="Em ajustes",IF(N936=_xlfn.MINIFS($N$2:$N$5001,$B$2:$B$5001,B936,$E$2:$E$5001,"Em ajustes"),1,0),0))</f>
        <v/>
      </c>
      <c r="N936" s="17" t="str">
        <f aca="false">IF(A936="","",IF(ISNUMBER(A936),A936,IFERROR(DATE(VALUE(MID(A936,7,4)),VALUE(MID(A936,4,2)),VALUE(MID(A936,1,2)))+TIME(VALUE(MID(A936,12,2)),VALUE(MID(A936,15,2)),VALUE(MID(A936,18,2))),"")))</f>
        <v/>
      </c>
    </row>
    <row r="937" customFormat="false" ht="15" hidden="false" customHeight="false" outlineLevel="0" collapsed="false">
      <c r="I937" s="15" t="str">
        <f aca="false">IF(N937="","",INT(N937))</f>
        <v/>
      </c>
      <c r="J937" s="16" t="str">
        <f aca="false">IF(B937="","",IF(N937=_xlfn.MINIFS($N$2:$N$5001,$B$2:$B$5001,B937),1,0))</f>
        <v/>
      </c>
      <c r="K937" s="16" t="str">
        <f aca="false">IF(B937="","",IF(AND(D937="Formalização",E937="Concluído"),IF(COUNTIFS($B$2:$B$5001,B937,$E$2:$E$5001,"Em ajustes",$N$2:$N$5001,"&lt;"&amp;I937)&gt;0,1,0),0))</f>
        <v/>
      </c>
      <c r="L937" s="16" t="str">
        <f aca="false">IF(B937="","",IF(N937=_xlfn.MAXIFS($N$2:$N$5001,$B$2:$B$5001,B937,$I$2:$I$5001,I937),1,0))</f>
        <v/>
      </c>
      <c r="M937" s="16" t="str">
        <f aca="false">IF(B937="","",IF(E937="Em ajustes",IF(N937=_xlfn.MINIFS($N$2:$N$5001,$B$2:$B$5001,B937,$E$2:$E$5001,"Em ajustes"),1,0),0))</f>
        <v/>
      </c>
      <c r="N937" s="17" t="str">
        <f aca="false">IF(A937="","",IF(ISNUMBER(A937),A937,IFERROR(DATE(VALUE(MID(A937,7,4)),VALUE(MID(A937,4,2)),VALUE(MID(A937,1,2)))+TIME(VALUE(MID(A937,12,2)),VALUE(MID(A937,15,2)),VALUE(MID(A937,18,2))),"")))</f>
        <v/>
      </c>
    </row>
    <row r="938" customFormat="false" ht="15" hidden="false" customHeight="false" outlineLevel="0" collapsed="false">
      <c r="I938" s="15" t="str">
        <f aca="false">IF(N938="","",INT(N938))</f>
        <v/>
      </c>
      <c r="J938" s="16" t="str">
        <f aca="false">IF(B938="","",IF(N938=_xlfn.MINIFS($N$2:$N$5001,$B$2:$B$5001,B938),1,0))</f>
        <v/>
      </c>
      <c r="K938" s="16" t="str">
        <f aca="false">IF(B938="","",IF(AND(D938="Formalização",E938="Concluído"),IF(COUNTIFS($B$2:$B$5001,B938,$E$2:$E$5001,"Em ajustes",$N$2:$N$5001,"&lt;"&amp;I938)&gt;0,1,0),0))</f>
        <v/>
      </c>
      <c r="L938" s="16" t="str">
        <f aca="false">IF(B938="","",IF(N938=_xlfn.MAXIFS($N$2:$N$5001,$B$2:$B$5001,B938,$I$2:$I$5001,I938),1,0))</f>
        <v/>
      </c>
      <c r="M938" s="16" t="str">
        <f aca="false">IF(B938="","",IF(E938="Em ajustes",IF(N938=_xlfn.MINIFS($N$2:$N$5001,$B$2:$B$5001,B938,$E$2:$E$5001,"Em ajustes"),1,0),0))</f>
        <v/>
      </c>
      <c r="N938" s="17" t="str">
        <f aca="false">IF(A938="","",IF(ISNUMBER(A938),A938,IFERROR(DATE(VALUE(MID(A938,7,4)),VALUE(MID(A938,4,2)),VALUE(MID(A938,1,2)))+TIME(VALUE(MID(A938,12,2)),VALUE(MID(A938,15,2)),VALUE(MID(A938,18,2))),"")))</f>
        <v/>
      </c>
    </row>
    <row r="939" customFormat="false" ht="15" hidden="false" customHeight="false" outlineLevel="0" collapsed="false">
      <c r="I939" s="15" t="str">
        <f aca="false">IF(N939="","",INT(N939))</f>
        <v/>
      </c>
      <c r="J939" s="16" t="str">
        <f aca="false">IF(B939="","",IF(N939=_xlfn.MINIFS($N$2:$N$5001,$B$2:$B$5001,B939),1,0))</f>
        <v/>
      </c>
      <c r="K939" s="16" t="str">
        <f aca="false">IF(B939="","",IF(AND(D939="Formalização",E939="Concluído"),IF(COUNTIFS($B$2:$B$5001,B939,$E$2:$E$5001,"Em ajustes",$N$2:$N$5001,"&lt;"&amp;I939)&gt;0,1,0),0))</f>
        <v/>
      </c>
      <c r="L939" s="16" t="str">
        <f aca="false">IF(B939="","",IF(N939=_xlfn.MAXIFS($N$2:$N$5001,$B$2:$B$5001,B939,$I$2:$I$5001,I939),1,0))</f>
        <v/>
      </c>
      <c r="M939" s="16" t="str">
        <f aca="false">IF(B939="","",IF(E939="Em ajustes",IF(N939=_xlfn.MINIFS($N$2:$N$5001,$B$2:$B$5001,B939,$E$2:$E$5001,"Em ajustes"),1,0),0))</f>
        <v/>
      </c>
      <c r="N939" s="17" t="str">
        <f aca="false">IF(A939="","",IF(ISNUMBER(A939),A939,IFERROR(DATE(VALUE(MID(A939,7,4)),VALUE(MID(A939,4,2)),VALUE(MID(A939,1,2)))+TIME(VALUE(MID(A939,12,2)),VALUE(MID(A939,15,2)),VALUE(MID(A939,18,2))),"")))</f>
        <v/>
      </c>
    </row>
    <row r="940" customFormat="false" ht="15" hidden="false" customHeight="false" outlineLevel="0" collapsed="false">
      <c r="I940" s="15" t="str">
        <f aca="false">IF(N940="","",INT(N940))</f>
        <v/>
      </c>
      <c r="J940" s="16" t="str">
        <f aca="false">IF(B940="","",IF(N940=_xlfn.MINIFS($N$2:$N$5001,$B$2:$B$5001,B940),1,0))</f>
        <v/>
      </c>
      <c r="K940" s="16" t="str">
        <f aca="false">IF(B940="","",IF(AND(D940="Formalização",E940="Concluído"),IF(COUNTIFS($B$2:$B$5001,B940,$E$2:$E$5001,"Em ajustes",$N$2:$N$5001,"&lt;"&amp;I940)&gt;0,1,0),0))</f>
        <v/>
      </c>
      <c r="L940" s="16" t="str">
        <f aca="false">IF(B940="","",IF(N940=_xlfn.MAXIFS($N$2:$N$5001,$B$2:$B$5001,B940,$I$2:$I$5001,I940),1,0))</f>
        <v/>
      </c>
      <c r="M940" s="16" t="str">
        <f aca="false">IF(B940="","",IF(E940="Em ajustes",IF(N940=_xlfn.MINIFS($N$2:$N$5001,$B$2:$B$5001,B940,$E$2:$E$5001,"Em ajustes"),1,0),0))</f>
        <v/>
      </c>
      <c r="N940" s="17" t="str">
        <f aca="false">IF(A940="","",IF(ISNUMBER(A940),A940,IFERROR(DATE(VALUE(MID(A940,7,4)),VALUE(MID(A940,4,2)),VALUE(MID(A940,1,2)))+TIME(VALUE(MID(A940,12,2)),VALUE(MID(A940,15,2)),VALUE(MID(A940,18,2))),"")))</f>
        <v/>
      </c>
    </row>
    <row r="941" customFormat="false" ht="15" hidden="false" customHeight="false" outlineLevel="0" collapsed="false">
      <c r="I941" s="15" t="str">
        <f aca="false">IF(N941="","",INT(N941))</f>
        <v/>
      </c>
      <c r="J941" s="16" t="str">
        <f aca="false">IF(B941="","",IF(N941=_xlfn.MINIFS($N$2:$N$5001,$B$2:$B$5001,B941),1,0))</f>
        <v/>
      </c>
      <c r="K941" s="16" t="str">
        <f aca="false">IF(B941="","",IF(AND(D941="Formalização",E941="Concluído"),IF(COUNTIFS($B$2:$B$5001,B941,$E$2:$E$5001,"Em ajustes",$N$2:$N$5001,"&lt;"&amp;I941)&gt;0,1,0),0))</f>
        <v/>
      </c>
      <c r="L941" s="16" t="str">
        <f aca="false">IF(B941="","",IF(N941=_xlfn.MAXIFS($N$2:$N$5001,$B$2:$B$5001,B941,$I$2:$I$5001,I941),1,0))</f>
        <v/>
      </c>
      <c r="M941" s="16" t="str">
        <f aca="false">IF(B941="","",IF(E941="Em ajustes",IF(N941=_xlfn.MINIFS($N$2:$N$5001,$B$2:$B$5001,B941,$E$2:$E$5001,"Em ajustes"),1,0),0))</f>
        <v/>
      </c>
      <c r="N941" s="17" t="str">
        <f aca="false">IF(A941="","",IF(ISNUMBER(A941),A941,IFERROR(DATE(VALUE(MID(A941,7,4)),VALUE(MID(A941,4,2)),VALUE(MID(A941,1,2)))+TIME(VALUE(MID(A941,12,2)),VALUE(MID(A941,15,2)),VALUE(MID(A941,18,2))),"")))</f>
        <v/>
      </c>
    </row>
    <row r="942" customFormat="false" ht="15" hidden="false" customHeight="false" outlineLevel="0" collapsed="false">
      <c r="I942" s="15" t="str">
        <f aca="false">IF(N942="","",INT(N942))</f>
        <v/>
      </c>
      <c r="J942" s="16" t="str">
        <f aca="false">IF(B942="","",IF(N942=_xlfn.MINIFS($N$2:$N$5001,$B$2:$B$5001,B942),1,0))</f>
        <v/>
      </c>
      <c r="K942" s="16" t="str">
        <f aca="false">IF(B942="","",IF(AND(D942="Formalização",E942="Concluído"),IF(COUNTIFS($B$2:$B$5001,B942,$E$2:$E$5001,"Em ajustes",$N$2:$N$5001,"&lt;"&amp;I942)&gt;0,1,0),0))</f>
        <v/>
      </c>
      <c r="L942" s="16" t="str">
        <f aca="false">IF(B942="","",IF(N942=_xlfn.MAXIFS($N$2:$N$5001,$B$2:$B$5001,B942,$I$2:$I$5001,I942),1,0))</f>
        <v/>
      </c>
      <c r="M942" s="16" t="str">
        <f aca="false">IF(B942="","",IF(E942="Em ajustes",IF(N942=_xlfn.MINIFS($N$2:$N$5001,$B$2:$B$5001,B942,$E$2:$E$5001,"Em ajustes"),1,0),0))</f>
        <v/>
      </c>
      <c r="N942" s="17" t="str">
        <f aca="false">IF(A942="","",IF(ISNUMBER(A942),A942,IFERROR(DATE(VALUE(MID(A942,7,4)),VALUE(MID(A942,4,2)),VALUE(MID(A942,1,2)))+TIME(VALUE(MID(A942,12,2)),VALUE(MID(A942,15,2)),VALUE(MID(A942,18,2))),"")))</f>
        <v/>
      </c>
    </row>
    <row r="943" customFormat="false" ht="15" hidden="false" customHeight="false" outlineLevel="0" collapsed="false">
      <c r="I943" s="15" t="str">
        <f aca="false">IF(N943="","",INT(N943))</f>
        <v/>
      </c>
      <c r="J943" s="16" t="str">
        <f aca="false">IF(B943="","",IF(N943=_xlfn.MINIFS($N$2:$N$5001,$B$2:$B$5001,B943),1,0))</f>
        <v/>
      </c>
      <c r="K943" s="16" t="str">
        <f aca="false">IF(B943="","",IF(AND(D943="Formalização",E943="Concluído"),IF(COUNTIFS($B$2:$B$5001,B943,$E$2:$E$5001,"Em ajustes",$N$2:$N$5001,"&lt;"&amp;I943)&gt;0,1,0),0))</f>
        <v/>
      </c>
      <c r="L943" s="16" t="str">
        <f aca="false">IF(B943="","",IF(N943=_xlfn.MAXIFS($N$2:$N$5001,$B$2:$B$5001,B943,$I$2:$I$5001,I943),1,0))</f>
        <v/>
      </c>
      <c r="M943" s="16" t="str">
        <f aca="false">IF(B943="","",IF(E943="Em ajustes",IF(N943=_xlfn.MINIFS($N$2:$N$5001,$B$2:$B$5001,B943,$E$2:$E$5001,"Em ajustes"),1,0),0))</f>
        <v/>
      </c>
      <c r="N943" s="17" t="str">
        <f aca="false">IF(A943="","",IF(ISNUMBER(A943),A943,IFERROR(DATE(VALUE(MID(A943,7,4)),VALUE(MID(A943,4,2)),VALUE(MID(A943,1,2)))+TIME(VALUE(MID(A943,12,2)),VALUE(MID(A943,15,2)),VALUE(MID(A943,18,2))),"")))</f>
        <v/>
      </c>
    </row>
    <row r="944" customFormat="false" ht="15" hidden="false" customHeight="false" outlineLevel="0" collapsed="false">
      <c r="I944" s="15" t="str">
        <f aca="false">IF(N944="","",INT(N944))</f>
        <v/>
      </c>
      <c r="J944" s="16" t="str">
        <f aca="false">IF(B944="","",IF(N944=_xlfn.MINIFS($N$2:$N$5001,$B$2:$B$5001,B944),1,0))</f>
        <v/>
      </c>
      <c r="K944" s="16" t="str">
        <f aca="false">IF(B944="","",IF(AND(D944="Formalização",E944="Concluído"),IF(COUNTIFS($B$2:$B$5001,B944,$E$2:$E$5001,"Em ajustes",$N$2:$N$5001,"&lt;"&amp;I944)&gt;0,1,0),0))</f>
        <v/>
      </c>
      <c r="L944" s="16" t="str">
        <f aca="false">IF(B944="","",IF(N944=_xlfn.MAXIFS($N$2:$N$5001,$B$2:$B$5001,B944,$I$2:$I$5001,I944),1,0))</f>
        <v/>
      </c>
      <c r="M944" s="16" t="str">
        <f aca="false">IF(B944="","",IF(E944="Em ajustes",IF(N944=_xlfn.MINIFS($N$2:$N$5001,$B$2:$B$5001,B944,$E$2:$E$5001,"Em ajustes"),1,0),0))</f>
        <v/>
      </c>
      <c r="N944" s="17" t="str">
        <f aca="false">IF(A944="","",IF(ISNUMBER(A944),A944,IFERROR(DATE(VALUE(MID(A944,7,4)),VALUE(MID(A944,4,2)),VALUE(MID(A944,1,2)))+TIME(VALUE(MID(A944,12,2)),VALUE(MID(A944,15,2)),VALUE(MID(A944,18,2))),"")))</f>
        <v/>
      </c>
    </row>
    <row r="945" customFormat="false" ht="15" hidden="false" customHeight="false" outlineLevel="0" collapsed="false">
      <c r="I945" s="15" t="str">
        <f aca="false">IF(N945="","",INT(N945))</f>
        <v/>
      </c>
      <c r="J945" s="16" t="str">
        <f aca="false">IF(B945="","",IF(N945=_xlfn.MINIFS($N$2:$N$5001,$B$2:$B$5001,B945),1,0))</f>
        <v/>
      </c>
      <c r="K945" s="16" t="str">
        <f aca="false">IF(B945="","",IF(AND(D945="Formalização",E945="Concluído"),IF(COUNTIFS($B$2:$B$5001,B945,$E$2:$E$5001,"Em ajustes",$N$2:$N$5001,"&lt;"&amp;I945)&gt;0,1,0),0))</f>
        <v/>
      </c>
      <c r="L945" s="16" t="str">
        <f aca="false">IF(B945="","",IF(N945=_xlfn.MAXIFS($N$2:$N$5001,$B$2:$B$5001,B945,$I$2:$I$5001,I945),1,0))</f>
        <v/>
      </c>
      <c r="M945" s="16" t="str">
        <f aca="false">IF(B945="","",IF(E945="Em ajustes",IF(N945=_xlfn.MINIFS($N$2:$N$5001,$B$2:$B$5001,B945,$E$2:$E$5001,"Em ajustes"),1,0),0))</f>
        <v/>
      </c>
      <c r="N945" s="17" t="str">
        <f aca="false">IF(A945="","",IF(ISNUMBER(A945),A945,IFERROR(DATE(VALUE(MID(A945,7,4)),VALUE(MID(A945,4,2)),VALUE(MID(A945,1,2)))+TIME(VALUE(MID(A945,12,2)),VALUE(MID(A945,15,2)),VALUE(MID(A945,18,2))),"")))</f>
        <v/>
      </c>
    </row>
    <row r="946" customFormat="false" ht="15" hidden="false" customHeight="false" outlineLevel="0" collapsed="false">
      <c r="I946" s="15" t="str">
        <f aca="false">IF(N946="","",INT(N946))</f>
        <v/>
      </c>
      <c r="J946" s="16" t="str">
        <f aca="false">IF(B946="","",IF(N946=_xlfn.MINIFS($N$2:$N$5001,$B$2:$B$5001,B946),1,0))</f>
        <v/>
      </c>
      <c r="K946" s="16" t="str">
        <f aca="false">IF(B946="","",IF(AND(D946="Formalização",E946="Concluído"),IF(COUNTIFS($B$2:$B$5001,B946,$E$2:$E$5001,"Em ajustes",$N$2:$N$5001,"&lt;"&amp;I946)&gt;0,1,0),0))</f>
        <v/>
      </c>
      <c r="L946" s="16" t="str">
        <f aca="false">IF(B946="","",IF(N946=_xlfn.MAXIFS($N$2:$N$5001,$B$2:$B$5001,B946,$I$2:$I$5001,I946),1,0))</f>
        <v/>
      </c>
      <c r="M946" s="16" t="str">
        <f aca="false">IF(B946="","",IF(E946="Em ajustes",IF(N946=_xlfn.MINIFS($N$2:$N$5001,$B$2:$B$5001,B946,$E$2:$E$5001,"Em ajustes"),1,0),0))</f>
        <v/>
      </c>
      <c r="N946" s="17" t="str">
        <f aca="false">IF(A946="","",IF(ISNUMBER(A946),A946,IFERROR(DATE(VALUE(MID(A946,7,4)),VALUE(MID(A946,4,2)),VALUE(MID(A946,1,2)))+TIME(VALUE(MID(A946,12,2)),VALUE(MID(A946,15,2)),VALUE(MID(A946,18,2))),"")))</f>
        <v/>
      </c>
    </row>
    <row r="947" customFormat="false" ht="15" hidden="false" customHeight="false" outlineLevel="0" collapsed="false">
      <c r="I947" s="15" t="str">
        <f aca="false">IF(N947="","",INT(N947))</f>
        <v/>
      </c>
      <c r="J947" s="16" t="str">
        <f aca="false">IF(B947="","",IF(N947=_xlfn.MINIFS($N$2:$N$5001,$B$2:$B$5001,B947),1,0))</f>
        <v/>
      </c>
      <c r="K947" s="16" t="str">
        <f aca="false">IF(B947="","",IF(AND(D947="Formalização",E947="Concluído"),IF(COUNTIFS($B$2:$B$5001,B947,$E$2:$E$5001,"Em ajustes",$N$2:$N$5001,"&lt;"&amp;I947)&gt;0,1,0),0))</f>
        <v/>
      </c>
      <c r="L947" s="16" t="str">
        <f aca="false">IF(B947="","",IF(N947=_xlfn.MAXIFS($N$2:$N$5001,$B$2:$B$5001,B947,$I$2:$I$5001,I947),1,0))</f>
        <v/>
      </c>
      <c r="M947" s="16" t="str">
        <f aca="false">IF(B947="","",IF(E947="Em ajustes",IF(N947=_xlfn.MINIFS($N$2:$N$5001,$B$2:$B$5001,B947,$E$2:$E$5001,"Em ajustes"),1,0),0))</f>
        <v/>
      </c>
      <c r="N947" s="17" t="str">
        <f aca="false">IF(A947="","",IF(ISNUMBER(A947),A947,IFERROR(DATE(VALUE(MID(A947,7,4)),VALUE(MID(A947,4,2)),VALUE(MID(A947,1,2)))+TIME(VALUE(MID(A947,12,2)),VALUE(MID(A947,15,2)),VALUE(MID(A947,18,2))),"")))</f>
        <v/>
      </c>
    </row>
    <row r="948" customFormat="false" ht="15" hidden="false" customHeight="false" outlineLevel="0" collapsed="false">
      <c r="I948" s="15" t="str">
        <f aca="false">IF(N948="","",INT(N948))</f>
        <v/>
      </c>
      <c r="J948" s="16" t="str">
        <f aca="false">IF(B948="","",IF(N948=_xlfn.MINIFS($N$2:$N$5001,$B$2:$B$5001,B948),1,0))</f>
        <v/>
      </c>
      <c r="K948" s="16" t="str">
        <f aca="false">IF(B948="","",IF(AND(D948="Formalização",E948="Concluído"),IF(COUNTIFS($B$2:$B$5001,B948,$E$2:$E$5001,"Em ajustes",$N$2:$N$5001,"&lt;"&amp;I948)&gt;0,1,0),0))</f>
        <v/>
      </c>
      <c r="L948" s="16" t="str">
        <f aca="false">IF(B948="","",IF(N948=_xlfn.MAXIFS($N$2:$N$5001,$B$2:$B$5001,B948,$I$2:$I$5001,I948),1,0))</f>
        <v/>
      </c>
      <c r="M948" s="16" t="str">
        <f aca="false">IF(B948="","",IF(E948="Em ajustes",IF(N948=_xlfn.MINIFS($N$2:$N$5001,$B$2:$B$5001,B948,$E$2:$E$5001,"Em ajustes"),1,0),0))</f>
        <v/>
      </c>
      <c r="N948" s="17" t="str">
        <f aca="false">IF(A948="","",IF(ISNUMBER(A948),A948,IFERROR(DATE(VALUE(MID(A948,7,4)),VALUE(MID(A948,4,2)),VALUE(MID(A948,1,2)))+TIME(VALUE(MID(A948,12,2)),VALUE(MID(A948,15,2)),VALUE(MID(A948,18,2))),"")))</f>
        <v/>
      </c>
    </row>
    <row r="949" customFormat="false" ht="15" hidden="false" customHeight="false" outlineLevel="0" collapsed="false">
      <c r="I949" s="15" t="str">
        <f aca="false">IF(N949="","",INT(N949))</f>
        <v/>
      </c>
      <c r="J949" s="16" t="str">
        <f aca="false">IF(B949="","",IF(N949=_xlfn.MINIFS($N$2:$N$5001,$B$2:$B$5001,B949),1,0))</f>
        <v/>
      </c>
      <c r="K949" s="16" t="str">
        <f aca="false">IF(B949="","",IF(AND(D949="Formalização",E949="Concluído"),IF(COUNTIFS($B$2:$B$5001,B949,$E$2:$E$5001,"Em ajustes",$N$2:$N$5001,"&lt;"&amp;I949)&gt;0,1,0),0))</f>
        <v/>
      </c>
      <c r="L949" s="16" t="str">
        <f aca="false">IF(B949="","",IF(N949=_xlfn.MAXIFS($N$2:$N$5001,$B$2:$B$5001,B949,$I$2:$I$5001,I949),1,0))</f>
        <v/>
      </c>
      <c r="M949" s="16" t="str">
        <f aca="false">IF(B949="","",IF(E949="Em ajustes",IF(N949=_xlfn.MINIFS($N$2:$N$5001,$B$2:$B$5001,B949,$E$2:$E$5001,"Em ajustes"),1,0),0))</f>
        <v/>
      </c>
      <c r="N949" s="17" t="str">
        <f aca="false">IF(A949="","",IF(ISNUMBER(A949),A949,IFERROR(DATE(VALUE(MID(A949,7,4)),VALUE(MID(A949,4,2)),VALUE(MID(A949,1,2)))+TIME(VALUE(MID(A949,12,2)),VALUE(MID(A949,15,2)),VALUE(MID(A949,18,2))),"")))</f>
        <v/>
      </c>
    </row>
    <row r="950" customFormat="false" ht="15" hidden="false" customHeight="false" outlineLevel="0" collapsed="false">
      <c r="I950" s="15" t="str">
        <f aca="false">IF(N950="","",INT(N950))</f>
        <v/>
      </c>
      <c r="J950" s="16" t="str">
        <f aca="false">IF(B950="","",IF(N950=_xlfn.MINIFS($N$2:$N$5001,$B$2:$B$5001,B950),1,0))</f>
        <v/>
      </c>
      <c r="K950" s="16" t="str">
        <f aca="false">IF(B950="","",IF(AND(D950="Formalização",E950="Concluído"),IF(COUNTIFS($B$2:$B$5001,B950,$E$2:$E$5001,"Em ajustes",$N$2:$N$5001,"&lt;"&amp;I950)&gt;0,1,0),0))</f>
        <v/>
      </c>
      <c r="L950" s="16" t="str">
        <f aca="false">IF(B950="","",IF(N950=_xlfn.MAXIFS($N$2:$N$5001,$B$2:$B$5001,B950,$I$2:$I$5001,I950),1,0))</f>
        <v/>
      </c>
      <c r="M950" s="16" t="str">
        <f aca="false">IF(B950="","",IF(E950="Em ajustes",IF(N950=_xlfn.MINIFS($N$2:$N$5001,$B$2:$B$5001,B950,$E$2:$E$5001,"Em ajustes"),1,0),0))</f>
        <v/>
      </c>
      <c r="N950" s="17" t="str">
        <f aca="false">IF(A950="","",IF(ISNUMBER(A950),A950,IFERROR(DATE(VALUE(MID(A950,7,4)),VALUE(MID(A950,4,2)),VALUE(MID(A950,1,2)))+TIME(VALUE(MID(A950,12,2)),VALUE(MID(A950,15,2)),VALUE(MID(A950,18,2))),"")))</f>
        <v/>
      </c>
    </row>
    <row r="951" customFormat="false" ht="15" hidden="false" customHeight="false" outlineLevel="0" collapsed="false">
      <c r="I951" s="15" t="str">
        <f aca="false">IF(N951="","",INT(N951))</f>
        <v/>
      </c>
      <c r="J951" s="16" t="str">
        <f aca="false">IF(B951="","",IF(N951=_xlfn.MINIFS($N$2:$N$5001,$B$2:$B$5001,B951),1,0))</f>
        <v/>
      </c>
      <c r="K951" s="16" t="str">
        <f aca="false">IF(B951="","",IF(AND(D951="Formalização",E951="Concluído"),IF(COUNTIFS($B$2:$B$5001,B951,$E$2:$E$5001,"Em ajustes",$N$2:$N$5001,"&lt;"&amp;I951)&gt;0,1,0),0))</f>
        <v/>
      </c>
      <c r="L951" s="16" t="str">
        <f aca="false">IF(B951="","",IF(N951=_xlfn.MAXIFS($N$2:$N$5001,$B$2:$B$5001,B951,$I$2:$I$5001,I951),1,0))</f>
        <v/>
      </c>
      <c r="M951" s="16" t="str">
        <f aca="false">IF(B951="","",IF(E951="Em ajustes",IF(N951=_xlfn.MINIFS($N$2:$N$5001,$B$2:$B$5001,B951,$E$2:$E$5001,"Em ajustes"),1,0),0))</f>
        <v/>
      </c>
      <c r="N951" s="17" t="str">
        <f aca="false">IF(A951="","",IF(ISNUMBER(A951),A951,IFERROR(DATE(VALUE(MID(A951,7,4)),VALUE(MID(A951,4,2)),VALUE(MID(A951,1,2)))+TIME(VALUE(MID(A951,12,2)),VALUE(MID(A951,15,2)),VALUE(MID(A951,18,2))),"")))</f>
        <v/>
      </c>
    </row>
    <row r="952" customFormat="false" ht="15" hidden="false" customHeight="false" outlineLevel="0" collapsed="false">
      <c r="I952" s="15" t="str">
        <f aca="false">IF(N952="","",INT(N952))</f>
        <v/>
      </c>
      <c r="J952" s="16" t="str">
        <f aca="false">IF(B952="","",IF(N952=_xlfn.MINIFS($N$2:$N$5001,$B$2:$B$5001,B952),1,0))</f>
        <v/>
      </c>
      <c r="K952" s="16" t="str">
        <f aca="false">IF(B952="","",IF(AND(D952="Formalização",E952="Concluído"),IF(COUNTIFS($B$2:$B$5001,B952,$E$2:$E$5001,"Em ajustes",$N$2:$N$5001,"&lt;"&amp;I952)&gt;0,1,0),0))</f>
        <v/>
      </c>
      <c r="L952" s="16" t="str">
        <f aca="false">IF(B952="","",IF(N952=_xlfn.MAXIFS($N$2:$N$5001,$B$2:$B$5001,B952,$I$2:$I$5001,I952),1,0))</f>
        <v/>
      </c>
      <c r="M952" s="16" t="str">
        <f aca="false">IF(B952="","",IF(E952="Em ajustes",IF(N952=_xlfn.MINIFS($N$2:$N$5001,$B$2:$B$5001,B952,$E$2:$E$5001,"Em ajustes"),1,0),0))</f>
        <v/>
      </c>
      <c r="N952" s="17" t="str">
        <f aca="false">IF(A952="","",IF(ISNUMBER(A952),A952,IFERROR(DATE(VALUE(MID(A952,7,4)),VALUE(MID(A952,4,2)),VALUE(MID(A952,1,2)))+TIME(VALUE(MID(A952,12,2)),VALUE(MID(A952,15,2)),VALUE(MID(A952,18,2))),"")))</f>
        <v/>
      </c>
    </row>
    <row r="953" customFormat="false" ht="15" hidden="false" customHeight="false" outlineLevel="0" collapsed="false">
      <c r="I953" s="15" t="str">
        <f aca="false">IF(N953="","",INT(N953))</f>
        <v/>
      </c>
      <c r="J953" s="16" t="str">
        <f aca="false">IF(B953="","",IF(N953=_xlfn.MINIFS($N$2:$N$5001,$B$2:$B$5001,B953),1,0))</f>
        <v/>
      </c>
      <c r="K953" s="16" t="str">
        <f aca="false">IF(B953="","",IF(AND(D953="Formalização",E953="Concluído"),IF(COUNTIFS($B$2:$B$5001,B953,$E$2:$E$5001,"Em ajustes",$N$2:$N$5001,"&lt;"&amp;I953)&gt;0,1,0),0))</f>
        <v/>
      </c>
      <c r="L953" s="16" t="str">
        <f aca="false">IF(B953="","",IF(N953=_xlfn.MAXIFS($N$2:$N$5001,$B$2:$B$5001,B953,$I$2:$I$5001,I953),1,0))</f>
        <v/>
      </c>
      <c r="M953" s="16" t="str">
        <f aca="false">IF(B953="","",IF(E953="Em ajustes",IF(N953=_xlfn.MINIFS($N$2:$N$5001,$B$2:$B$5001,B953,$E$2:$E$5001,"Em ajustes"),1,0),0))</f>
        <v/>
      </c>
      <c r="N953" s="17" t="str">
        <f aca="false">IF(A953="","",IF(ISNUMBER(A953),A953,IFERROR(DATE(VALUE(MID(A953,7,4)),VALUE(MID(A953,4,2)),VALUE(MID(A953,1,2)))+TIME(VALUE(MID(A953,12,2)),VALUE(MID(A953,15,2)),VALUE(MID(A953,18,2))),"")))</f>
        <v/>
      </c>
    </row>
    <row r="954" customFormat="false" ht="15" hidden="false" customHeight="false" outlineLevel="0" collapsed="false">
      <c r="I954" s="15" t="str">
        <f aca="false">IF(N954="","",INT(N954))</f>
        <v/>
      </c>
      <c r="J954" s="16" t="str">
        <f aca="false">IF(B954="","",IF(N954=_xlfn.MINIFS($N$2:$N$5001,$B$2:$B$5001,B954),1,0))</f>
        <v/>
      </c>
      <c r="K954" s="16" t="str">
        <f aca="false">IF(B954="","",IF(AND(D954="Formalização",E954="Concluído"),IF(COUNTIFS($B$2:$B$5001,B954,$E$2:$E$5001,"Em ajustes",$N$2:$N$5001,"&lt;"&amp;I954)&gt;0,1,0),0))</f>
        <v/>
      </c>
      <c r="L954" s="16" t="str">
        <f aca="false">IF(B954="","",IF(N954=_xlfn.MAXIFS($N$2:$N$5001,$B$2:$B$5001,B954,$I$2:$I$5001,I954),1,0))</f>
        <v/>
      </c>
      <c r="M954" s="16" t="str">
        <f aca="false">IF(B954="","",IF(E954="Em ajustes",IF(N954=_xlfn.MINIFS($N$2:$N$5001,$B$2:$B$5001,B954,$E$2:$E$5001,"Em ajustes"),1,0),0))</f>
        <v/>
      </c>
      <c r="N954" s="17" t="str">
        <f aca="false">IF(A954="","",IF(ISNUMBER(A954),A954,IFERROR(DATE(VALUE(MID(A954,7,4)),VALUE(MID(A954,4,2)),VALUE(MID(A954,1,2)))+TIME(VALUE(MID(A954,12,2)),VALUE(MID(A954,15,2)),VALUE(MID(A954,18,2))),"")))</f>
        <v/>
      </c>
    </row>
    <row r="955" customFormat="false" ht="15" hidden="false" customHeight="false" outlineLevel="0" collapsed="false">
      <c r="I955" s="15" t="str">
        <f aca="false">IF(N955="","",INT(N955))</f>
        <v/>
      </c>
      <c r="J955" s="16" t="str">
        <f aca="false">IF(B955="","",IF(N955=_xlfn.MINIFS($N$2:$N$5001,$B$2:$B$5001,B955),1,0))</f>
        <v/>
      </c>
      <c r="K955" s="16" t="str">
        <f aca="false">IF(B955="","",IF(AND(D955="Formalização",E955="Concluído"),IF(COUNTIFS($B$2:$B$5001,B955,$E$2:$E$5001,"Em ajustes",$N$2:$N$5001,"&lt;"&amp;I955)&gt;0,1,0),0))</f>
        <v/>
      </c>
      <c r="L955" s="16" t="str">
        <f aca="false">IF(B955="","",IF(N955=_xlfn.MAXIFS($N$2:$N$5001,$B$2:$B$5001,B955,$I$2:$I$5001,I955),1,0))</f>
        <v/>
      </c>
      <c r="M955" s="16" t="str">
        <f aca="false">IF(B955="","",IF(E955="Em ajustes",IF(N955=_xlfn.MINIFS($N$2:$N$5001,$B$2:$B$5001,B955,$E$2:$E$5001,"Em ajustes"),1,0),0))</f>
        <v/>
      </c>
      <c r="N955" s="17" t="str">
        <f aca="false">IF(A955="","",IF(ISNUMBER(A955),A955,IFERROR(DATE(VALUE(MID(A955,7,4)),VALUE(MID(A955,4,2)),VALUE(MID(A955,1,2)))+TIME(VALUE(MID(A955,12,2)),VALUE(MID(A955,15,2)),VALUE(MID(A955,18,2))),"")))</f>
        <v/>
      </c>
    </row>
    <row r="956" customFormat="false" ht="15" hidden="false" customHeight="false" outlineLevel="0" collapsed="false">
      <c r="I956" s="15" t="str">
        <f aca="false">IF(N956="","",INT(N956))</f>
        <v/>
      </c>
      <c r="J956" s="16" t="str">
        <f aca="false">IF(B956="","",IF(N956=_xlfn.MINIFS($N$2:$N$5001,$B$2:$B$5001,B956),1,0))</f>
        <v/>
      </c>
      <c r="K956" s="16" t="str">
        <f aca="false">IF(B956="","",IF(AND(D956="Formalização",E956="Concluído"),IF(COUNTIFS($B$2:$B$5001,B956,$E$2:$E$5001,"Em ajustes",$N$2:$N$5001,"&lt;"&amp;I956)&gt;0,1,0),0))</f>
        <v/>
      </c>
      <c r="L956" s="16" t="str">
        <f aca="false">IF(B956="","",IF(N956=_xlfn.MAXIFS($N$2:$N$5001,$B$2:$B$5001,B956,$I$2:$I$5001,I956),1,0))</f>
        <v/>
      </c>
      <c r="M956" s="16" t="str">
        <f aca="false">IF(B956="","",IF(E956="Em ajustes",IF(N956=_xlfn.MINIFS($N$2:$N$5001,$B$2:$B$5001,B956,$E$2:$E$5001,"Em ajustes"),1,0),0))</f>
        <v/>
      </c>
      <c r="N956" s="17" t="str">
        <f aca="false">IF(A956="","",IF(ISNUMBER(A956),A956,IFERROR(DATE(VALUE(MID(A956,7,4)),VALUE(MID(A956,4,2)),VALUE(MID(A956,1,2)))+TIME(VALUE(MID(A956,12,2)),VALUE(MID(A956,15,2)),VALUE(MID(A956,18,2))),"")))</f>
        <v/>
      </c>
    </row>
    <row r="957" customFormat="false" ht="15" hidden="false" customHeight="false" outlineLevel="0" collapsed="false">
      <c r="I957" s="15" t="str">
        <f aca="false">IF(N957="","",INT(N957))</f>
        <v/>
      </c>
      <c r="J957" s="16" t="str">
        <f aca="false">IF(B957="","",IF(N957=_xlfn.MINIFS($N$2:$N$5001,$B$2:$B$5001,B957),1,0))</f>
        <v/>
      </c>
      <c r="K957" s="16" t="str">
        <f aca="false">IF(B957="","",IF(AND(D957="Formalização",E957="Concluído"),IF(COUNTIFS($B$2:$B$5001,B957,$E$2:$E$5001,"Em ajustes",$N$2:$N$5001,"&lt;"&amp;I957)&gt;0,1,0),0))</f>
        <v/>
      </c>
      <c r="L957" s="16" t="str">
        <f aca="false">IF(B957="","",IF(N957=_xlfn.MAXIFS($N$2:$N$5001,$B$2:$B$5001,B957,$I$2:$I$5001,I957),1,0))</f>
        <v/>
      </c>
      <c r="M957" s="16" t="str">
        <f aca="false">IF(B957="","",IF(E957="Em ajustes",IF(N957=_xlfn.MINIFS($N$2:$N$5001,$B$2:$B$5001,B957,$E$2:$E$5001,"Em ajustes"),1,0),0))</f>
        <v/>
      </c>
      <c r="N957" s="17" t="str">
        <f aca="false">IF(A957="","",IF(ISNUMBER(A957),A957,IFERROR(DATE(VALUE(MID(A957,7,4)),VALUE(MID(A957,4,2)),VALUE(MID(A957,1,2)))+TIME(VALUE(MID(A957,12,2)),VALUE(MID(A957,15,2)),VALUE(MID(A957,18,2))),"")))</f>
        <v/>
      </c>
    </row>
    <row r="958" customFormat="false" ht="15" hidden="false" customHeight="false" outlineLevel="0" collapsed="false">
      <c r="I958" s="15" t="str">
        <f aca="false">IF(N958="","",INT(N958))</f>
        <v/>
      </c>
      <c r="J958" s="16" t="str">
        <f aca="false">IF(B958="","",IF(N958=_xlfn.MINIFS($N$2:$N$5001,$B$2:$B$5001,B958),1,0))</f>
        <v/>
      </c>
      <c r="K958" s="16" t="str">
        <f aca="false">IF(B958="","",IF(AND(D958="Formalização",E958="Concluído"),IF(COUNTIFS($B$2:$B$5001,B958,$E$2:$E$5001,"Em ajustes",$N$2:$N$5001,"&lt;"&amp;I958)&gt;0,1,0),0))</f>
        <v/>
      </c>
      <c r="L958" s="16" t="str">
        <f aca="false">IF(B958="","",IF(N958=_xlfn.MAXIFS($N$2:$N$5001,$B$2:$B$5001,B958,$I$2:$I$5001,I958),1,0))</f>
        <v/>
      </c>
      <c r="M958" s="16" t="str">
        <f aca="false">IF(B958="","",IF(E958="Em ajustes",IF(N958=_xlfn.MINIFS($N$2:$N$5001,$B$2:$B$5001,B958,$E$2:$E$5001,"Em ajustes"),1,0),0))</f>
        <v/>
      </c>
      <c r="N958" s="17" t="str">
        <f aca="false">IF(A958="","",IF(ISNUMBER(A958),A958,IFERROR(DATE(VALUE(MID(A958,7,4)),VALUE(MID(A958,4,2)),VALUE(MID(A958,1,2)))+TIME(VALUE(MID(A958,12,2)),VALUE(MID(A958,15,2)),VALUE(MID(A958,18,2))),"")))</f>
        <v/>
      </c>
    </row>
    <row r="959" customFormat="false" ht="15" hidden="false" customHeight="false" outlineLevel="0" collapsed="false">
      <c r="I959" s="15" t="str">
        <f aca="false">IF(N959="","",INT(N959))</f>
        <v/>
      </c>
      <c r="J959" s="16" t="str">
        <f aca="false">IF(B959="","",IF(N959=_xlfn.MINIFS($N$2:$N$5001,$B$2:$B$5001,B959),1,0))</f>
        <v/>
      </c>
      <c r="K959" s="16" t="str">
        <f aca="false">IF(B959="","",IF(AND(D959="Formalização",E959="Concluído"),IF(COUNTIFS($B$2:$B$5001,B959,$E$2:$E$5001,"Em ajustes",$N$2:$N$5001,"&lt;"&amp;I959)&gt;0,1,0),0))</f>
        <v/>
      </c>
      <c r="L959" s="16" t="str">
        <f aca="false">IF(B959="","",IF(N959=_xlfn.MAXIFS($N$2:$N$5001,$B$2:$B$5001,B959,$I$2:$I$5001,I959),1,0))</f>
        <v/>
      </c>
      <c r="M959" s="16" t="str">
        <f aca="false">IF(B959="","",IF(E959="Em ajustes",IF(N959=_xlfn.MINIFS($N$2:$N$5001,$B$2:$B$5001,B959,$E$2:$E$5001,"Em ajustes"),1,0),0))</f>
        <v/>
      </c>
      <c r="N959" s="17" t="str">
        <f aca="false">IF(A959="","",IF(ISNUMBER(A959),A959,IFERROR(DATE(VALUE(MID(A959,7,4)),VALUE(MID(A959,4,2)),VALUE(MID(A959,1,2)))+TIME(VALUE(MID(A959,12,2)),VALUE(MID(A959,15,2)),VALUE(MID(A959,18,2))),"")))</f>
        <v/>
      </c>
    </row>
    <row r="960" customFormat="false" ht="15" hidden="false" customHeight="false" outlineLevel="0" collapsed="false">
      <c r="I960" s="15" t="str">
        <f aca="false">IF(N960="","",INT(N960))</f>
        <v/>
      </c>
      <c r="J960" s="16" t="str">
        <f aca="false">IF(B960="","",IF(N960=_xlfn.MINIFS($N$2:$N$5001,$B$2:$B$5001,B960),1,0))</f>
        <v/>
      </c>
      <c r="K960" s="16" t="str">
        <f aca="false">IF(B960="","",IF(AND(D960="Formalização",E960="Concluído"),IF(COUNTIFS($B$2:$B$5001,B960,$E$2:$E$5001,"Em ajustes",$N$2:$N$5001,"&lt;"&amp;I960)&gt;0,1,0),0))</f>
        <v/>
      </c>
      <c r="L960" s="16" t="str">
        <f aca="false">IF(B960="","",IF(N960=_xlfn.MAXIFS($N$2:$N$5001,$B$2:$B$5001,B960,$I$2:$I$5001,I960),1,0))</f>
        <v/>
      </c>
      <c r="M960" s="16" t="str">
        <f aca="false">IF(B960="","",IF(E960="Em ajustes",IF(N960=_xlfn.MINIFS($N$2:$N$5001,$B$2:$B$5001,B960,$E$2:$E$5001,"Em ajustes"),1,0),0))</f>
        <v/>
      </c>
      <c r="N960" s="17" t="str">
        <f aca="false">IF(A960="","",IF(ISNUMBER(A960),A960,IFERROR(DATE(VALUE(MID(A960,7,4)),VALUE(MID(A960,4,2)),VALUE(MID(A960,1,2)))+TIME(VALUE(MID(A960,12,2)),VALUE(MID(A960,15,2)),VALUE(MID(A960,18,2))),"")))</f>
        <v/>
      </c>
    </row>
    <row r="961" customFormat="false" ht="15" hidden="false" customHeight="false" outlineLevel="0" collapsed="false">
      <c r="I961" s="15" t="str">
        <f aca="false">IF(N961="","",INT(N961))</f>
        <v/>
      </c>
      <c r="J961" s="16" t="str">
        <f aca="false">IF(B961="","",IF(N961=_xlfn.MINIFS($N$2:$N$5001,$B$2:$B$5001,B961),1,0))</f>
        <v/>
      </c>
      <c r="K961" s="16" t="str">
        <f aca="false">IF(B961="","",IF(AND(D961="Formalização",E961="Concluído"),IF(COUNTIFS($B$2:$B$5001,B961,$E$2:$E$5001,"Em ajustes",$N$2:$N$5001,"&lt;"&amp;I961)&gt;0,1,0),0))</f>
        <v/>
      </c>
      <c r="L961" s="16" t="str">
        <f aca="false">IF(B961="","",IF(N961=_xlfn.MAXIFS($N$2:$N$5001,$B$2:$B$5001,B961,$I$2:$I$5001,I961),1,0))</f>
        <v/>
      </c>
      <c r="M961" s="16" t="str">
        <f aca="false">IF(B961="","",IF(E961="Em ajustes",IF(N961=_xlfn.MINIFS($N$2:$N$5001,$B$2:$B$5001,B961,$E$2:$E$5001,"Em ajustes"),1,0),0))</f>
        <v/>
      </c>
      <c r="N961" s="17" t="str">
        <f aca="false">IF(A961="","",IF(ISNUMBER(A961),A961,IFERROR(DATE(VALUE(MID(A961,7,4)),VALUE(MID(A961,4,2)),VALUE(MID(A961,1,2)))+TIME(VALUE(MID(A961,12,2)),VALUE(MID(A961,15,2)),VALUE(MID(A961,18,2))),"")))</f>
        <v/>
      </c>
    </row>
    <row r="962" customFormat="false" ht="15" hidden="false" customHeight="false" outlineLevel="0" collapsed="false">
      <c r="I962" s="15" t="str">
        <f aca="false">IF(N962="","",INT(N962))</f>
        <v/>
      </c>
      <c r="J962" s="16" t="str">
        <f aca="false">IF(B962="","",IF(N962=_xlfn.MINIFS($N$2:$N$5001,$B$2:$B$5001,B962),1,0))</f>
        <v/>
      </c>
      <c r="K962" s="16" t="str">
        <f aca="false">IF(B962="","",IF(AND(D962="Formalização",E962="Concluído"),IF(COUNTIFS($B$2:$B$5001,B962,$E$2:$E$5001,"Em ajustes",$N$2:$N$5001,"&lt;"&amp;I962)&gt;0,1,0),0))</f>
        <v/>
      </c>
      <c r="L962" s="16" t="str">
        <f aca="false">IF(B962="","",IF(N962=_xlfn.MAXIFS($N$2:$N$5001,$B$2:$B$5001,B962,$I$2:$I$5001,I962),1,0))</f>
        <v/>
      </c>
      <c r="M962" s="16" t="str">
        <f aca="false">IF(B962="","",IF(E962="Em ajustes",IF(N962=_xlfn.MINIFS($N$2:$N$5001,$B$2:$B$5001,B962,$E$2:$E$5001,"Em ajustes"),1,0),0))</f>
        <v/>
      </c>
      <c r="N962" s="17" t="str">
        <f aca="false">IF(A962="","",IF(ISNUMBER(A962),A962,IFERROR(DATE(VALUE(MID(A962,7,4)),VALUE(MID(A962,4,2)),VALUE(MID(A962,1,2)))+TIME(VALUE(MID(A962,12,2)),VALUE(MID(A962,15,2)),VALUE(MID(A962,18,2))),"")))</f>
        <v/>
      </c>
    </row>
    <row r="963" customFormat="false" ht="15" hidden="false" customHeight="false" outlineLevel="0" collapsed="false">
      <c r="I963" s="15" t="str">
        <f aca="false">IF(N963="","",INT(N963))</f>
        <v/>
      </c>
      <c r="J963" s="16" t="str">
        <f aca="false">IF(B963="","",IF(N963=_xlfn.MINIFS($N$2:$N$5001,$B$2:$B$5001,B963),1,0))</f>
        <v/>
      </c>
      <c r="K963" s="16" t="str">
        <f aca="false">IF(B963="","",IF(AND(D963="Formalização",E963="Concluído"),IF(COUNTIFS($B$2:$B$5001,B963,$E$2:$E$5001,"Em ajustes",$N$2:$N$5001,"&lt;"&amp;I963)&gt;0,1,0),0))</f>
        <v/>
      </c>
      <c r="L963" s="16" t="str">
        <f aca="false">IF(B963="","",IF(N963=_xlfn.MAXIFS($N$2:$N$5001,$B$2:$B$5001,B963,$I$2:$I$5001,I963),1,0))</f>
        <v/>
      </c>
      <c r="M963" s="16" t="str">
        <f aca="false">IF(B963="","",IF(E963="Em ajustes",IF(N963=_xlfn.MINIFS($N$2:$N$5001,$B$2:$B$5001,B963,$E$2:$E$5001,"Em ajustes"),1,0),0))</f>
        <v/>
      </c>
      <c r="N963" s="17" t="str">
        <f aca="false">IF(A963="","",IF(ISNUMBER(A963),A963,IFERROR(DATE(VALUE(MID(A963,7,4)),VALUE(MID(A963,4,2)),VALUE(MID(A963,1,2)))+TIME(VALUE(MID(A963,12,2)),VALUE(MID(A963,15,2)),VALUE(MID(A963,18,2))),"")))</f>
        <v/>
      </c>
    </row>
    <row r="964" customFormat="false" ht="15" hidden="false" customHeight="false" outlineLevel="0" collapsed="false">
      <c r="I964" s="15" t="str">
        <f aca="false">IF(N964="","",INT(N964))</f>
        <v/>
      </c>
      <c r="J964" s="16" t="str">
        <f aca="false">IF(B964="","",IF(N964=_xlfn.MINIFS($N$2:$N$5001,$B$2:$B$5001,B964),1,0))</f>
        <v/>
      </c>
      <c r="K964" s="16" t="str">
        <f aca="false">IF(B964="","",IF(AND(D964="Formalização",E964="Concluído"),IF(COUNTIFS($B$2:$B$5001,B964,$E$2:$E$5001,"Em ajustes",$N$2:$N$5001,"&lt;"&amp;I964)&gt;0,1,0),0))</f>
        <v/>
      </c>
      <c r="L964" s="16" t="str">
        <f aca="false">IF(B964="","",IF(N964=_xlfn.MAXIFS($N$2:$N$5001,$B$2:$B$5001,B964,$I$2:$I$5001,I964),1,0))</f>
        <v/>
      </c>
      <c r="M964" s="16" t="str">
        <f aca="false">IF(B964="","",IF(E964="Em ajustes",IF(N964=_xlfn.MINIFS($N$2:$N$5001,$B$2:$B$5001,B964,$E$2:$E$5001,"Em ajustes"),1,0),0))</f>
        <v/>
      </c>
      <c r="N964" s="17" t="str">
        <f aca="false">IF(A964="","",IF(ISNUMBER(A964),A964,IFERROR(DATE(VALUE(MID(A964,7,4)),VALUE(MID(A964,4,2)),VALUE(MID(A964,1,2)))+TIME(VALUE(MID(A964,12,2)),VALUE(MID(A964,15,2)),VALUE(MID(A964,18,2))),"")))</f>
        <v/>
      </c>
    </row>
    <row r="965" customFormat="false" ht="15" hidden="false" customHeight="false" outlineLevel="0" collapsed="false">
      <c r="I965" s="15" t="str">
        <f aca="false">IF(N965="","",INT(N965))</f>
        <v/>
      </c>
      <c r="J965" s="16" t="str">
        <f aca="false">IF(B965="","",IF(N965=_xlfn.MINIFS($N$2:$N$5001,$B$2:$B$5001,B965),1,0))</f>
        <v/>
      </c>
      <c r="K965" s="16" t="str">
        <f aca="false">IF(B965="","",IF(AND(D965="Formalização",E965="Concluído"),IF(COUNTIFS($B$2:$B$5001,B965,$E$2:$E$5001,"Em ajustes",$N$2:$N$5001,"&lt;"&amp;I965)&gt;0,1,0),0))</f>
        <v/>
      </c>
      <c r="L965" s="16" t="str">
        <f aca="false">IF(B965="","",IF(N965=_xlfn.MAXIFS($N$2:$N$5001,$B$2:$B$5001,B965,$I$2:$I$5001,I965),1,0))</f>
        <v/>
      </c>
      <c r="M965" s="16" t="str">
        <f aca="false">IF(B965="","",IF(E965="Em ajustes",IF(N965=_xlfn.MINIFS($N$2:$N$5001,$B$2:$B$5001,B965,$E$2:$E$5001,"Em ajustes"),1,0),0))</f>
        <v/>
      </c>
      <c r="N965" s="17" t="str">
        <f aca="false">IF(A965="","",IF(ISNUMBER(A965),A965,IFERROR(DATE(VALUE(MID(A965,7,4)),VALUE(MID(A965,4,2)),VALUE(MID(A965,1,2)))+TIME(VALUE(MID(A965,12,2)),VALUE(MID(A965,15,2)),VALUE(MID(A965,18,2))),"")))</f>
        <v/>
      </c>
    </row>
    <row r="966" customFormat="false" ht="15" hidden="false" customHeight="false" outlineLevel="0" collapsed="false">
      <c r="I966" s="15" t="str">
        <f aca="false">IF(N966="","",INT(N966))</f>
        <v/>
      </c>
      <c r="J966" s="16" t="str">
        <f aca="false">IF(B966="","",IF(N966=_xlfn.MINIFS($N$2:$N$5001,$B$2:$B$5001,B966),1,0))</f>
        <v/>
      </c>
      <c r="K966" s="16" t="str">
        <f aca="false">IF(B966="","",IF(AND(D966="Formalização",E966="Concluído"),IF(COUNTIFS($B$2:$B$5001,B966,$E$2:$E$5001,"Em ajustes",$N$2:$N$5001,"&lt;"&amp;I966)&gt;0,1,0),0))</f>
        <v/>
      </c>
      <c r="L966" s="16" t="str">
        <f aca="false">IF(B966="","",IF(N966=_xlfn.MAXIFS($N$2:$N$5001,$B$2:$B$5001,B966,$I$2:$I$5001,I966),1,0))</f>
        <v/>
      </c>
      <c r="M966" s="16" t="str">
        <f aca="false">IF(B966="","",IF(E966="Em ajustes",IF(N966=_xlfn.MINIFS($N$2:$N$5001,$B$2:$B$5001,B966,$E$2:$E$5001,"Em ajustes"),1,0),0))</f>
        <v/>
      </c>
      <c r="N966" s="17" t="str">
        <f aca="false">IF(A966="","",IF(ISNUMBER(A966),A966,IFERROR(DATE(VALUE(MID(A966,7,4)),VALUE(MID(A966,4,2)),VALUE(MID(A966,1,2)))+TIME(VALUE(MID(A966,12,2)),VALUE(MID(A966,15,2)),VALUE(MID(A966,18,2))),"")))</f>
        <v/>
      </c>
    </row>
    <row r="967" customFormat="false" ht="15" hidden="false" customHeight="false" outlineLevel="0" collapsed="false">
      <c r="I967" s="15" t="str">
        <f aca="false">IF(N967="","",INT(N967))</f>
        <v/>
      </c>
      <c r="J967" s="16" t="str">
        <f aca="false">IF(B967="","",IF(N967=_xlfn.MINIFS($N$2:$N$5001,$B$2:$B$5001,B967),1,0))</f>
        <v/>
      </c>
      <c r="K967" s="16" t="str">
        <f aca="false">IF(B967="","",IF(AND(D967="Formalização",E967="Concluído"),IF(COUNTIFS($B$2:$B$5001,B967,$E$2:$E$5001,"Em ajustes",$N$2:$N$5001,"&lt;"&amp;I967)&gt;0,1,0),0))</f>
        <v/>
      </c>
      <c r="L967" s="16" t="str">
        <f aca="false">IF(B967="","",IF(N967=_xlfn.MAXIFS($N$2:$N$5001,$B$2:$B$5001,B967,$I$2:$I$5001,I967),1,0))</f>
        <v/>
      </c>
      <c r="M967" s="16" t="str">
        <f aca="false">IF(B967="","",IF(E967="Em ajustes",IF(N967=_xlfn.MINIFS($N$2:$N$5001,$B$2:$B$5001,B967,$E$2:$E$5001,"Em ajustes"),1,0),0))</f>
        <v/>
      </c>
      <c r="N967" s="17" t="str">
        <f aca="false">IF(A967="","",IF(ISNUMBER(A967),A967,IFERROR(DATE(VALUE(MID(A967,7,4)),VALUE(MID(A967,4,2)),VALUE(MID(A967,1,2)))+TIME(VALUE(MID(A967,12,2)),VALUE(MID(A967,15,2)),VALUE(MID(A967,18,2))),"")))</f>
        <v/>
      </c>
    </row>
    <row r="968" customFormat="false" ht="15" hidden="false" customHeight="false" outlineLevel="0" collapsed="false">
      <c r="I968" s="15" t="str">
        <f aca="false">IF(N968="","",INT(N968))</f>
        <v/>
      </c>
      <c r="J968" s="16" t="str">
        <f aca="false">IF(B968="","",IF(N968=_xlfn.MINIFS($N$2:$N$5001,$B$2:$B$5001,B968),1,0))</f>
        <v/>
      </c>
      <c r="K968" s="16" t="str">
        <f aca="false">IF(B968="","",IF(AND(D968="Formalização",E968="Concluído"),IF(COUNTIFS($B$2:$B$5001,B968,$E$2:$E$5001,"Em ajustes",$N$2:$N$5001,"&lt;"&amp;I968)&gt;0,1,0),0))</f>
        <v/>
      </c>
      <c r="L968" s="16" t="str">
        <f aca="false">IF(B968="","",IF(N968=_xlfn.MAXIFS($N$2:$N$5001,$B$2:$B$5001,B968,$I$2:$I$5001,I968),1,0))</f>
        <v/>
      </c>
      <c r="M968" s="16" t="str">
        <f aca="false">IF(B968="","",IF(E968="Em ajustes",IF(N968=_xlfn.MINIFS($N$2:$N$5001,$B$2:$B$5001,B968,$E$2:$E$5001,"Em ajustes"),1,0),0))</f>
        <v/>
      </c>
      <c r="N968" s="17" t="str">
        <f aca="false">IF(A968="","",IF(ISNUMBER(A968),A968,IFERROR(DATE(VALUE(MID(A968,7,4)),VALUE(MID(A968,4,2)),VALUE(MID(A968,1,2)))+TIME(VALUE(MID(A968,12,2)),VALUE(MID(A968,15,2)),VALUE(MID(A968,18,2))),"")))</f>
        <v/>
      </c>
    </row>
    <row r="969" customFormat="false" ht="15" hidden="false" customHeight="false" outlineLevel="0" collapsed="false">
      <c r="I969" s="15" t="str">
        <f aca="false">IF(N969="","",INT(N969))</f>
        <v/>
      </c>
      <c r="J969" s="16" t="str">
        <f aca="false">IF(B969="","",IF(N969=_xlfn.MINIFS($N$2:$N$5001,$B$2:$B$5001,B969),1,0))</f>
        <v/>
      </c>
      <c r="K969" s="16" t="str">
        <f aca="false">IF(B969="","",IF(AND(D969="Formalização",E969="Concluído"),IF(COUNTIFS($B$2:$B$5001,B969,$E$2:$E$5001,"Em ajustes",$N$2:$N$5001,"&lt;"&amp;I969)&gt;0,1,0),0))</f>
        <v/>
      </c>
      <c r="L969" s="16" t="str">
        <f aca="false">IF(B969="","",IF(N969=_xlfn.MAXIFS($N$2:$N$5001,$B$2:$B$5001,B969,$I$2:$I$5001,I969),1,0))</f>
        <v/>
      </c>
      <c r="M969" s="16" t="str">
        <f aca="false">IF(B969="","",IF(E969="Em ajustes",IF(N969=_xlfn.MINIFS($N$2:$N$5001,$B$2:$B$5001,B969,$E$2:$E$5001,"Em ajustes"),1,0),0))</f>
        <v/>
      </c>
      <c r="N969" s="17" t="str">
        <f aca="false">IF(A969="","",IF(ISNUMBER(A969),A969,IFERROR(DATE(VALUE(MID(A969,7,4)),VALUE(MID(A969,4,2)),VALUE(MID(A969,1,2)))+TIME(VALUE(MID(A969,12,2)),VALUE(MID(A969,15,2)),VALUE(MID(A969,18,2))),"")))</f>
        <v/>
      </c>
    </row>
    <row r="970" customFormat="false" ht="15" hidden="false" customHeight="false" outlineLevel="0" collapsed="false">
      <c r="I970" s="15" t="str">
        <f aca="false">IF(N970="","",INT(N970))</f>
        <v/>
      </c>
      <c r="J970" s="16" t="str">
        <f aca="false">IF(B970="","",IF(N970=_xlfn.MINIFS($N$2:$N$5001,$B$2:$B$5001,B970),1,0))</f>
        <v/>
      </c>
      <c r="K970" s="16" t="str">
        <f aca="false">IF(B970="","",IF(AND(D970="Formalização",E970="Concluído"),IF(COUNTIFS($B$2:$B$5001,B970,$E$2:$E$5001,"Em ajustes",$N$2:$N$5001,"&lt;"&amp;I970)&gt;0,1,0),0))</f>
        <v/>
      </c>
      <c r="L970" s="16" t="str">
        <f aca="false">IF(B970="","",IF(N970=_xlfn.MAXIFS($N$2:$N$5001,$B$2:$B$5001,B970,$I$2:$I$5001,I970),1,0))</f>
        <v/>
      </c>
      <c r="M970" s="16" t="str">
        <f aca="false">IF(B970="","",IF(E970="Em ajustes",IF(N970=_xlfn.MINIFS($N$2:$N$5001,$B$2:$B$5001,B970,$E$2:$E$5001,"Em ajustes"),1,0),0))</f>
        <v/>
      </c>
      <c r="N970" s="17" t="str">
        <f aca="false">IF(A970="","",IF(ISNUMBER(A970),A970,IFERROR(DATE(VALUE(MID(A970,7,4)),VALUE(MID(A970,4,2)),VALUE(MID(A970,1,2)))+TIME(VALUE(MID(A970,12,2)),VALUE(MID(A970,15,2)),VALUE(MID(A970,18,2))),"")))</f>
        <v/>
      </c>
    </row>
    <row r="971" customFormat="false" ht="15" hidden="false" customHeight="false" outlineLevel="0" collapsed="false">
      <c r="I971" s="15" t="str">
        <f aca="false">IF(N971="","",INT(N971))</f>
        <v/>
      </c>
      <c r="J971" s="16" t="str">
        <f aca="false">IF(B971="","",IF(N971=_xlfn.MINIFS($N$2:$N$5001,$B$2:$B$5001,B971),1,0))</f>
        <v/>
      </c>
      <c r="K971" s="16" t="str">
        <f aca="false">IF(B971="","",IF(AND(D971="Formalização",E971="Concluído"),IF(COUNTIFS($B$2:$B$5001,B971,$E$2:$E$5001,"Em ajustes",$N$2:$N$5001,"&lt;"&amp;I971)&gt;0,1,0),0))</f>
        <v/>
      </c>
      <c r="L971" s="16" t="str">
        <f aca="false">IF(B971="","",IF(N971=_xlfn.MAXIFS($N$2:$N$5001,$B$2:$B$5001,B971,$I$2:$I$5001,I971),1,0))</f>
        <v/>
      </c>
      <c r="M971" s="16" t="str">
        <f aca="false">IF(B971="","",IF(E971="Em ajustes",IF(N971=_xlfn.MINIFS($N$2:$N$5001,$B$2:$B$5001,B971,$E$2:$E$5001,"Em ajustes"),1,0),0))</f>
        <v/>
      </c>
      <c r="N971" s="17" t="str">
        <f aca="false">IF(A971="","",IF(ISNUMBER(A971),A971,IFERROR(DATE(VALUE(MID(A971,7,4)),VALUE(MID(A971,4,2)),VALUE(MID(A971,1,2)))+TIME(VALUE(MID(A971,12,2)),VALUE(MID(A971,15,2)),VALUE(MID(A971,18,2))),"")))</f>
        <v/>
      </c>
    </row>
    <row r="972" customFormat="false" ht="15" hidden="false" customHeight="false" outlineLevel="0" collapsed="false">
      <c r="I972" s="15" t="str">
        <f aca="false">IF(N972="","",INT(N972))</f>
        <v/>
      </c>
      <c r="J972" s="16" t="str">
        <f aca="false">IF(B972="","",IF(N972=_xlfn.MINIFS($N$2:$N$5001,$B$2:$B$5001,B972),1,0))</f>
        <v/>
      </c>
      <c r="K972" s="16" t="str">
        <f aca="false">IF(B972="","",IF(AND(D972="Formalização",E972="Concluído"),IF(COUNTIFS($B$2:$B$5001,B972,$E$2:$E$5001,"Em ajustes",$N$2:$N$5001,"&lt;"&amp;I972)&gt;0,1,0),0))</f>
        <v/>
      </c>
      <c r="L972" s="16" t="str">
        <f aca="false">IF(B972="","",IF(N972=_xlfn.MAXIFS($N$2:$N$5001,$B$2:$B$5001,B972,$I$2:$I$5001,I972),1,0))</f>
        <v/>
      </c>
      <c r="M972" s="16" t="str">
        <f aca="false">IF(B972="","",IF(E972="Em ajustes",IF(N972=_xlfn.MINIFS($N$2:$N$5001,$B$2:$B$5001,B972,$E$2:$E$5001,"Em ajustes"),1,0),0))</f>
        <v/>
      </c>
      <c r="N972" s="17" t="str">
        <f aca="false">IF(A972="","",IF(ISNUMBER(A972),A972,IFERROR(DATE(VALUE(MID(A972,7,4)),VALUE(MID(A972,4,2)),VALUE(MID(A972,1,2)))+TIME(VALUE(MID(A972,12,2)),VALUE(MID(A972,15,2)),VALUE(MID(A972,18,2))),"")))</f>
        <v/>
      </c>
    </row>
    <row r="973" customFormat="false" ht="15" hidden="false" customHeight="false" outlineLevel="0" collapsed="false">
      <c r="I973" s="15" t="str">
        <f aca="false">IF(N973="","",INT(N973))</f>
        <v/>
      </c>
      <c r="J973" s="16" t="str">
        <f aca="false">IF(B973="","",IF(N973=_xlfn.MINIFS($N$2:$N$5001,$B$2:$B$5001,B973),1,0))</f>
        <v/>
      </c>
      <c r="K973" s="16" t="str">
        <f aca="false">IF(B973="","",IF(AND(D973="Formalização",E973="Concluído"),IF(COUNTIFS($B$2:$B$5001,B973,$E$2:$E$5001,"Em ajustes",$N$2:$N$5001,"&lt;"&amp;I973)&gt;0,1,0),0))</f>
        <v/>
      </c>
      <c r="L973" s="16" t="str">
        <f aca="false">IF(B973="","",IF(N973=_xlfn.MAXIFS($N$2:$N$5001,$B$2:$B$5001,B973,$I$2:$I$5001,I973),1,0))</f>
        <v/>
      </c>
      <c r="M973" s="16" t="str">
        <f aca="false">IF(B973="","",IF(E973="Em ajustes",IF(N973=_xlfn.MINIFS($N$2:$N$5001,$B$2:$B$5001,B973,$E$2:$E$5001,"Em ajustes"),1,0),0))</f>
        <v/>
      </c>
      <c r="N973" s="17" t="str">
        <f aca="false">IF(A973="","",IF(ISNUMBER(A973),A973,IFERROR(DATE(VALUE(MID(A973,7,4)),VALUE(MID(A973,4,2)),VALUE(MID(A973,1,2)))+TIME(VALUE(MID(A973,12,2)),VALUE(MID(A973,15,2)),VALUE(MID(A973,18,2))),"")))</f>
        <v/>
      </c>
    </row>
    <row r="974" customFormat="false" ht="15" hidden="false" customHeight="false" outlineLevel="0" collapsed="false">
      <c r="I974" s="15" t="str">
        <f aca="false">IF(N974="","",INT(N974))</f>
        <v/>
      </c>
      <c r="J974" s="16" t="str">
        <f aca="false">IF(B974="","",IF(N974=_xlfn.MINIFS($N$2:$N$5001,$B$2:$B$5001,B974),1,0))</f>
        <v/>
      </c>
      <c r="K974" s="16" t="str">
        <f aca="false">IF(B974="","",IF(AND(D974="Formalização",E974="Concluído"),IF(COUNTIFS($B$2:$B$5001,B974,$E$2:$E$5001,"Em ajustes",$N$2:$N$5001,"&lt;"&amp;I974)&gt;0,1,0),0))</f>
        <v/>
      </c>
      <c r="L974" s="16" t="str">
        <f aca="false">IF(B974="","",IF(N974=_xlfn.MAXIFS($N$2:$N$5001,$B$2:$B$5001,B974,$I$2:$I$5001,I974),1,0))</f>
        <v/>
      </c>
      <c r="M974" s="16" t="str">
        <f aca="false">IF(B974="","",IF(E974="Em ajustes",IF(N974=_xlfn.MINIFS($N$2:$N$5001,$B$2:$B$5001,B974,$E$2:$E$5001,"Em ajustes"),1,0),0))</f>
        <v/>
      </c>
      <c r="N974" s="17" t="str">
        <f aca="false">IF(A974="","",IF(ISNUMBER(A974),A974,IFERROR(DATE(VALUE(MID(A974,7,4)),VALUE(MID(A974,4,2)),VALUE(MID(A974,1,2)))+TIME(VALUE(MID(A974,12,2)),VALUE(MID(A974,15,2)),VALUE(MID(A974,18,2))),"")))</f>
        <v/>
      </c>
    </row>
    <row r="975" customFormat="false" ht="15" hidden="false" customHeight="false" outlineLevel="0" collapsed="false">
      <c r="I975" s="15" t="str">
        <f aca="false">IF(N975="","",INT(N975))</f>
        <v/>
      </c>
      <c r="J975" s="16" t="str">
        <f aca="false">IF(B975="","",IF(N975=_xlfn.MINIFS($N$2:$N$5001,$B$2:$B$5001,B975),1,0))</f>
        <v/>
      </c>
      <c r="K975" s="16" t="str">
        <f aca="false">IF(B975="","",IF(AND(D975="Formalização",E975="Concluído"),IF(COUNTIFS($B$2:$B$5001,B975,$E$2:$E$5001,"Em ajustes",$N$2:$N$5001,"&lt;"&amp;I975)&gt;0,1,0),0))</f>
        <v/>
      </c>
      <c r="L975" s="16" t="str">
        <f aca="false">IF(B975="","",IF(N975=_xlfn.MAXIFS($N$2:$N$5001,$B$2:$B$5001,B975,$I$2:$I$5001,I975),1,0))</f>
        <v/>
      </c>
      <c r="M975" s="16" t="str">
        <f aca="false">IF(B975="","",IF(E975="Em ajustes",IF(N975=_xlfn.MINIFS($N$2:$N$5001,$B$2:$B$5001,B975,$E$2:$E$5001,"Em ajustes"),1,0),0))</f>
        <v/>
      </c>
      <c r="N975" s="17" t="str">
        <f aca="false">IF(A975="","",IF(ISNUMBER(A975),A975,IFERROR(DATE(VALUE(MID(A975,7,4)),VALUE(MID(A975,4,2)),VALUE(MID(A975,1,2)))+TIME(VALUE(MID(A975,12,2)),VALUE(MID(A975,15,2)),VALUE(MID(A975,18,2))),"")))</f>
        <v/>
      </c>
    </row>
    <row r="976" customFormat="false" ht="15" hidden="false" customHeight="false" outlineLevel="0" collapsed="false">
      <c r="I976" s="15" t="str">
        <f aca="false">IF(N976="","",INT(N976))</f>
        <v/>
      </c>
      <c r="J976" s="16" t="str">
        <f aca="false">IF(B976="","",IF(N976=_xlfn.MINIFS($N$2:$N$5001,$B$2:$B$5001,B976),1,0))</f>
        <v/>
      </c>
      <c r="K976" s="16" t="str">
        <f aca="false">IF(B976="","",IF(AND(D976="Formalização",E976="Concluído"),IF(COUNTIFS($B$2:$B$5001,B976,$E$2:$E$5001,"Em ajustes",$N$2:$N$5001,"&lt;"&amp;I976)&gt;0,1,0),0))</f>
        <v/>
      </c>
      <c r="L976" s="16" t="str">
        <f aca="false">IF(B976="","",IF(N976=_xlfn.MAXIFS($N$2:$N$5001,$B$2:$B$5001,B976,$I$2:$I$5001,I976),1,0))</f>
        <v/>
      </c>
      <c r="M976" s="16" t="str">
        <f aca="false">IF(B976="","",IF(E976="Em ajustes",IF(N976=_xlfn.MINIFS($N$2:$N$5001,$B$2:$B$5001,B976,$E$2:$E$5001,"Em ajustes"),1,0),0))</f>
        <v/>
      </c>
      <c r="N976" s="17" t="str">
        <f aca="false">IF(A976="","",IF(ISNUMBER(A976),A976,IFERROR(DATE(VALUE(MID(A976,7,4)),VALUE(MID(A976,4,2)),VALUE(MID(A976,1,2)))+TIME(VALUE(MID(A976,12,2)),VALUE(MID(A976,15,2)),VALUE(MID(A976,18,2))),"")))</f>
        <v/>
      </c>
    </row>
    <row r="977" customFormat="false" ht="15" hidden="false" customHeight="false" outlineLevel="0" collapsed="false">
      <c r="I977" s="15" t="str">
        <f aca="false">IF(N977="","",INT(N977))</f>
        <v/>
      </c>
      <c r="J977" s="16" t="str">
        <f aca="false">IF(B977="","",IF(N977=_xlfn.MINIFS($N$2:$N$5001,$B$2:$B$5001,B977),1,0))</f>
        <v/>
      </c>
      <c r="K977" s="16" t="str">
        <f aca="false">IF(B977="","",IF(AND(D977="Formalização",E977="Concluído"),IF(COUNTIFS($B$2:$B$5001,B977,$E$2:$E$5001,"Em ajustes",$N$2:$N$5001,"&lt;"&amp;I977)&gt;0,1,0),0))</f>
        <v/>
      </c>
      <c r="L977" s="16" t="str">
        <f aca="false">IF(B977="","",IF(N977=_xlfn.MAXIFS($N$2:$N$5001,$B$2:$B$5001,B977,$I$2:$I$5001,I977),1,0))</f>
        <v/>
      </c>
      <c r="M977" s="16" t="str">
        <f aca="false">IF(B977="","",IF(E977="Em ajustes",IF(N977=_xlfn.MINIFS($N$2:$N$5001,$B$2:$B$5001,B977,$E$2:$E$5001,"Em ajustes"),1,0),0))</f>
        <v/>
      </c>
      <c r="N977" s="17" t="str">
        <f aca="false">IF(A977="","",IF(ISNUMBER(A977),A977,IFERROR(DATE(VALUE(MID(A977,7,4)),VALUE(MID(A977,4,2)),VALUE(MID(A977,1,2)))+TIME(VALUE(MID(A977,12,2)),VALUE(MID(A977,15,2)),VALUE(MID(A977,18,2))),"")))</f>
        <v/>
      </c>
    </row>
    <row r="978" customFormat="false" ht="15" hidden="false" customHeight="false" outlineLevel="0" collapsed="false">
      <c r="I978" s="15" t="str">
        <f aca="false">IF(N978="","",INT(N978))</f>
        <v/>
      </c>
      <c r="J978" s="16" t="str">
        <f aca="false">IF(B978="","",IF(N978=_xlfn.MINIFS($N$2:$N$5001,$B$2:$B$5001,B978),1,0))</f>
        <v/>
      </c>
      <c r="K978" s="16" t="str">
        <f aca="false">IF(B978="","",IF(AND(D978="Formalização",E978="Concluído"),IF(COUNTIFS($B$2:$B$5001,B978,$E$2:$E$5001,"Em ajustes",$N$2:$N$5001,"&lt;"&amp;I978)&gt;0,1,0),0))</f>
        <v/>
      </c>
      <c r="L978" s="16" t="str">
        <f aca="false">IF(B978="","",IF(N978=_xlfn.MAXIFS($N$2:$N$5001,$B$2:$B$5001,B978,$I$2:$I$5001,I978),1,0))</f>
        <v/>
      </c>
      <c r="M978" s="16" t="str">
        <f aca="false">IF(B978="","",IF(E978="Em ajustes",IF(N978=_xlfn.MINIFS($N$2:$N$5001,$B$2:$B$5001,B978,$E$2:$E$5001,"Em ajustes"),1,0),0))</f>
        <v/>
      </c>
      <c r="N978" s="17" t="str">
        <f aca="false">IF(A978="","",IF(ISNUMBER(A978),A978,IFERROR(DATE(VALUE(MID(A978,7,4)),VALUE(MID(A978,4,2)),VALUE(MID(A978,1,2)))+TIME(VALUE(MID(A978,12,2)),VALUE(MID(A978,15,2)),VALUE(MID(A978,18,2))),"")))</f>
        <v/>
      </c>
    </row>
    <row r="979" customFormat="false" ht="15" hidden="false" customHeight="false" outlineLevel="0" collapsed="false">
      <c r="I979" s="15" t="str">
        <f aca="false">IF(N979="","",INT(N979))</f>
        <v/>
      </c>
      <c r="J979" s="16" t="str">
        <f aca="false">IF(B979="","",IF(N979=_xlfn.MINIFS($N$2:$N$5001,$B$2:$B$5001,B979),1,0))</f>
        <v/>
      </c>
      <c r="K979" s="16" t="str">
        <f aca="false">IF(B979="","",IF(AND(D979="Formalização",E979="Concluído"),IF(COUNTIFS($B$2:$B$5001,B979,$E$2:$E$5001,"Em ajustes",$N$2:$N$5001,"&lt;"&amp;I979)&gt;0,1,0),0))</f>
        <v/>
      </c>
      <c r="L979" s="16" t="str">
        <f aca="false">IF(B979="","",IF(N979=_xlfn.MAXIFS($N$2:$N$5001,$B$2:$B$5001,B979,$I$2:$I$5001,I979),1,0))</f>
        <v/>
      </c>
      <c r="M979" s="16" t="str">
        <f aca="false">IF(B979="","",IF(E979="Em ajustes",IF(N979=_xlfn.MINIFS($N$2:$N$5001,$B$2:$B$5001,B979,$E$2:$E$5001,"Em ajustes"),1,0),0))</f>
        <v/>
      </c>
      <c r="N979" s="17" t="str">
        <f aca="false">IF(A979="","",IF(ISNUMBER(A979),A979,IFERROR(DATE(VALUE(MID(A979,7,4)),VALUE(MID(A979,4,2)),VALUE(MID(A979,1,2)))+TIME(VALUE(MID(A979,12,2)),VALUE(MID(A979,15,2)),VALUE(MID(A979,18,2))),"")))</f>
        <v/>
      </c>
    </row>
    <row r="980" customFormat="false" ht="15" hidden="false" customHeight="false" outlineLevel="0" collapsed="false">
      <c r="I980" s="15" t="str">
        <f aca="false">IF(N980="","",INT(N980))</f>
        <v/>
      </c>
      <c r="J980" s="16" t="str">
        <f aca="false">IF(B980="","",IF(N980=_xlfn.MINIFS($N$2:$N$5001,$B$2:$B$5001,B980),1,0))</f>
        <v/>
      </c>
      <c r="K980" s="16" t="str">
        <f aca="false">IF(B980="","",IF(AND(D980="Formalização",E980="Concluído"),IF(COUNTIFS($B$2:$B$5001,B980,$E$2:$E$5001,"Em ajustes",$N$2:$N$5001,"&lt;"&amp;I980)&gt;0,1,0),0))</f>
        <v/>
      </c>
      <c r="L980" s="16" t="str">
        <f aca="false">IF(B980="","",IF(N980=_xlfn.MAXIFS($N$2:$N$5001,$B$2:$B$5001,B980,$I$2:$I$5001,I980),1,0))</f>
        <v/>
      </c>
      <c r="M980" s="16" t="str">
        <f aca="false">IF(B980="","",IF(E980="Em ajustes",IF(N980=_xlfn.MINIFS($N$2:$N$5001,$B$2:$B$5001,B980,$E$2:$E$5001,"Em ajustes"),1,0),0))</f>
        <v/>
      </c>
      <c r="N980" s="17" t="str">
        <f aca="false">IF(A980="","",IF(ISNUMBER(A980),A980,IFERROR(DATE(VALUE(MID(A980,7,4)),VALUE(MID(A980,4,2)),VALUE(MID(A980,1,2)))+TIME(VALUE(MID(A980,12,2)),VALUE(MID(A980,15,2)),VALUE(MID(A980,18,2))),"")))</f>
        <v/>
      </c>
    </row>
    <row r="981" customFormat="false" ht="15" hidden="false" customHeight="false" outlineLevel="0" collapsed="false">
      <c r="I981" s="15" t="str">
        <f aca="false">IF(N981="","",INT(N981))</f>
        <v/>
      </c>
      <c r="J981" s="16" t="str">
        <f aca="false">IF(B981="","",IF(N981=_xlfn.MINIFS($N$2:$N$5001,$B$2:$B$5001,B981),1,0))</f>
        <v/>
      </c>
      <c r="K981" s="16" t="str">
        <f aca="false">IF(B981="","",IF(AND(D981="Formalização",E981="Concluído"),IF(COUNTIFS($B$2:$B$5001,B981,$E$2:$E$5001,"Em ajustes",$N$2:$N$5001,"&lt;"&amp;I981)&gt;0,1,0),0))</f>
        <v/>
      </c>
      <c r="L981" s="16" t="str">
        <f aca="false">IF(B981="","",IF(N981=_xlfn.MAXIFS($N$2:$N$5001,$B$2:$B$5001,B981,$I$2:$I$5001,I981),1,0))</f>
        <v/>
      </c>
      <c r="M981" s="16" t="str">
        <f aca="false">IF(B981="","",IF(E981="Em ajustes",IF(N981=_xlfn.MINIFS($N$2:$N$5001,$B$2:$B$5001,B981,$E$2:$E$5001,"Em ajustes"),1,0),0))</f>
        <v/>
      </c>
      <c r="N981" s="17" t="str">
        <f aca="false">IF(A981="","",IF(ISNUMBER(A981),A981,IFERROR(DATE(VALUE(MID(A981,7,4)),VALUE(MID(A981,4,2)),VALUE(MID(A981,1,2)))+TIME(VALUE(MID(A981,12,2)),VALUE(MID(A981,15,2)),VALUE(MID(A981,18,2))),"")))</f>
        <v/>
      </c>
    </row>
    <row r="982" customFormat="false" ht="15" hidden="false" customHeight="false" outlineLevel="0" collapsed="false">
      <c r="I982" s="15" t="str">
        <f aca="false">IF(N982="","",INT(N982))</f>
        <v/>
      </c>
      <c r="J982" s="16" t="str">
        <f aca="false">IF(B982="","",IF(N982=_xlfn.MINIFS($N$2:$N$5001,$B$2:$B$5001,B982),1,0))</f>
        <v/>
      </c>
      <c r="K982" s="16" t="str">
        <f aca="false">IF(B982="","",IF(AND(D982="Formalização",E982="Concluído"),IF(COUNTIFS($B$2:$B$5001,B982,$E$2:$E$5001,"Em ajustes",$N$2:$N$5001,"&lt;"&amp;I982)&gt;0,1,0),0))</f>
        <v/>
      </c>
      <c r="L982" s="16" t="str">
        <f aca="false">IF(B982="","",IF(N982=_xlfn.MAXIFS($N$2:$N$5001,$B$2:$B$5001,B982,$I$2:$I$5001,I982),1,0))</f>
        <v/>
      </c>
      <c r="M982" s="16" t="str">
        <f aca="false">IF(B982="","",IF(E982="Em ajustes",IF(N982=_xlfn.MINIFS($N$2:$N$5001,$B$2:$B$5001,B982,$E$2:$E$5001,"Em ajustes"),1,0),0))</f>
        <v/>
      </c>
      <c r="N982" s="17" t="str">
        <f aca="false">IF(A982="","",IF(ISNUMBER(A982),A982,IFERROR(DATE(VALUE(MID(A982,7,4)),VALUE(MID(A982,4,2)),VALUE(MID(A982,1,2)))+TIME(VALUE(MID(A982,12,2)),VALUE(MID(A982,15,2)),VALUE(MID(A982,18,2))),"")))</f>
        <v/>
      </c>
    </row>
    <row r="983" customFormat="false" ht="15" hidden="false" customHeight="false" outlineLevel="0" collapsed="false">
      <c r="I983" s="15" t="str">
        <f aca="false">IF(N983="","",INT(N983))</f>
        <v/>
      </c>
      <c r="J983" s="16" t="str">
        <f aca="false">IF(B983="","",IF(N983=_xlfn.MINIFS($N$2:$N$5001,$B$2:$B$5001,B983),1,0))</f>
        <v/>
      </c>
      <c r="K983" s="16" t="str">
        <f aca="false">IF(B983="","",IF(AND(D983="Formalização",E983="Concluído"),IF(COUNTIFS($B$2:$B$5001,B983,$E$2:$E$5001,"Em ajustes",$N$2:$N$5001,"&lt;"&amp;I983)&gt;0,1,0),0))</f>
        <v/>
      </c>
      <c r="L983" s="16" t="str">
        <f aca="false">IF(B983="","",IF(N983=_xlfn.MAXIFS($N$2:$N$5001,$B$2:$B$5001,B983,$I$2:$I$5001,I983),1,0))</f>
        <v/>
      </c>
      <c r="M983" s="16" t="str">
        <f aca="false">IF(B983="","",IF(E983="Em ajustes",IF(N983=_xlfn.MINIFS($N$2:$N$5001,$B$2:$B$5001,B983,$E$2:$E$5001,"Em ajustes"),1,0),0))</f>
        <v/>
      </c>
      <c r="N983" s="17" t="str">
        <f aca="false">IF(A983="","",IF(ISNUMBER(A983),A983,IFERROR(DATE(VALUE(MID(A983,7,4)),VALUE(MID(A983,4,2)),VALUE(MID(A983,1,2)))+TIME(VALUE(MID(A983,12,2)),VALUE(MID(A983,15,2)),VALUE(MID(A983,18,2))),"")))</f>
        <v/>
      </c>
    </row>
    <row r="984" customFormat="false" ht="15" hidden="false" customHeight="false" outlineLevel="0" collapsed="false">
      <c r="I984" s="15" t="str">
        <f aca="false">IF(N984="","",INT(N984))</f>
        <v/>
      </c>
      <c r="J984" s="16" t="str">
        <f aca="false">IF(B984="","",IF(N984=_xlfn.MINIFS($N$2:$N$5001,$B$2:$B$5001,B984),1,0))</f>
        <v/>
      </c>
      <c r="K984" s="16" t="str">
        <f aca="false">IF(B984="","",IF(AND(D984="Formalização",E984="Concluído"),IF(COUNTIFS($B$2:$B$5001,B984,$E$2:$E$5001,"Em ajustes",$N$2:$N$5001,"&lt;"&amp;I984)&gt;0,1,0),0))</f>
        <v/>
      </c>
      <c r="L984" s="16" t="str">
        <f aca="false">IF(B984="","",IF(N984=_xlfn.MAXIFS($N$2:$N$5001,$B$2:$B$5001,B984,$I$2:$I$5001,I984),1,0))</f>
        <v/>
      </c>
      <c r="M984" s="16" t="str">
        <f aca="false">IF(B984="","",IF(E984="Em ajustes",IF(N984=_xlfn.MINIFS($N$2:$N$5001,$B$2:$B$5001,B984,$E$2:$E$5001,"Em ajustes"),1,0),0))</f>
        <v/>
      </c>
      <c r="N984" s="17" t="str">
        <f aca="false">IF(A984="","",IF(ISNUMBER(A984),A984,IFERROR(DATE(VALUE(MID(A984,7,4)),VALUE(MID(A984,4,2)),VALUE(MID(A984,1,2)))+TIME(VALUE(MID(A984,12,2)),VALUE(MID(A984,15,2)),VALUE(MID(A984,18,2))),"")))</f>
        <v/>
      </c>
    </row>
    <row r="985" customFormat="false" ht="15" hidden="false" customHeight="false" outlineLevel="0" collapsed="false">
      <c r="I985" s="15" t="str">
        <f aca="false">IF(N985="","",INT(N985))</f>
        <v/>
      </c>
      <c r="J985" s="16" t="str">
        <f aca="false">IF(B985="","",IF(N985=_xlfn.MINIFS($N$2:$N$5001,$B$2:$B$5001,B985),1,0))</f>
        <v/>
      </c>
      <c r="K985" s="16" t="str">
        <f aca="false">IF(B985="","",IF(AND(D985="Formalização",E985="Concluído"),IF(COUNTIFS($B$2:$B$5001,B985,$E$2:$E$5001,"Em ajustes",$N$2:$N$5001,"&lt;"&amp;I985)&gt;0,1,0),0))</f>
        <v/>
      </c>
      <c r="L985" s="16" t="str">
        <f aca="false">IF(B985="","",IF(N985=_xlfn.MAXIFS($N$2:$N$5001,$B$2:$B$5001,B985,$I$2:$I$5001,I985),1,0))</f>
        <v/>
      </c>
      <c r="M985" s="16" t="str">
        <f aca="false">IF(B985="","",IF(E985="Em ajustes",IF(N985=_xlfn.MINIFS($N$2:$N$5001,$B$2:$B$5001,B985,$E$2:$E$5001,"Em ajustes"),1,0),0))</f>
        <v/>
      </c>
      <c r="N985" s="17" t="str">
        <f aca="false">IF(A985="","",IF(ISNUMBER(A985),A985,IFERROR(DATE(VALUE(MID(A985,7,4)),VALUE(MID(A985,4,2)),VALUE(MID(A985,1,2)))+TIME(VALUE(MID(A985,12,2)),VALUE(MID(A985,15,2)),VALUE(MID(A985,18,2))),"")))</f>
        <v/>
      </c>
    </row>
    <row r="986" customFormat="false" ht="15" hidden="false" customHeight="false" outlineLevel="0" collapsed="false">
      <c r="I986" s="15" t="str">
        <f aca="false">IF(N986="","",INT(N986))</f>
        <v/>
      </c>
      <c r="J986" s="16" t="str">
        <f aca="false">IF(B986="","",IF(N986=_xlfn.MINIFS($N$2:$N$5001,$B$2:$B$5001,B986),1,0))</f>
        <v/>
      </c>
      <c r="K986" s="16" t="str">
        <f aca="false">IF(B986="","",IF(AND(D986="Formalização",E986="Concluído"),IF(COUNTIFS($B$2:$B$5001,B986,$E$2:$E$5001,"Em ajustes",$N$2:$N$5001,"&lt;"&amp;I986)&gt;0,1,0),0))</f>
        <v/>
      </c>
      <c r="L986" s="16" t="str">
        <f aca="false">IF(B986="","",IF(N986=_xlfn.MAXIFS($N$2:$N$5001,$B$2:$B$5001,B986,$I$2:$I$5001,I986),1,0))</f>
        <v/>
      </c>
      <c r="M986" s="16" t="str">
        <f aca="false">IF(B986="","",IF(E986="Em ajustes",IF(N986=_xlfn.MINIFS($N$2:$N$5001,$B$2:$B$5001,B986,$E$2:$E$5001,"Em ajustes"),1,0),0))</f>
        <v/>
      </c>
      <c r="N986" s="17" t="str">
        <f aca="false">IF(A986="","",IF(ISNUMBER(A986),A986,IFERROR(DATE(VALUE(MID(A986,7,4)),VALUE(MID(A986,4,2)),VALUE(MID(A986,1,2)))+TIME(VALUE(MID(A986,12,2)),VALUE(MID(A986,15,2)),VALUE(MID(A986,18,2))),"")))</f>
        <v/>
      </c>
    </row>
    <row r="987" customFormat="false" ht="15" hidden="false" customHeight="false" outlineLevel="0" collapsed="false">
      <c r="I987" s="15" t="str">
        <f aca="false">IF(N987="","",INT(N987))</f>
        <v/>
      </c>
      <c r="J987" s="16" t="str">
        <f aca="false">IF(B987="","",IF(N987=_xlfn.MINIFS($N$2:$N$5001,$B$2:$B$5001,B987),1,0))</f>
        <v/>
      </c>
      <c r="K987" s="16" t="str">
        <f aca="false">IF(B987="","",IF(AND(D987="Formalização",E987="Concluído"),IF(COUNTIFS($B$2:$B$5001,B987,$E$2:$E$5001,"Em ajustes",$N$2:$N$5001,"&lt;"&amp;I987)&gt;0,1,0),0))</f>
        <v/>
      </c>
      <c r="L987" s="16" t="str">
        <f aca="false">IF(B987="","",IF(N987=_xlfn.MAXIFS($N$2:$N$5001,$B$2:$B$5001,B987,$I$2:$I$5001,I987),1,0))</f>
        <v/>
      </c>
      <c r="M987" s="16" t="str">
        <f aca="false">IF(B987="","",IF(E987="Em ajustes",IF(N987=_xlfn.MINIFS($N$2:$N$5001,$B$2:$B$5001,B987,$E$2:$E$5001,"Em ajustes"),1,0),0))</f>
        <v/>
      </c>
      <c r="N987" s="17" t="str">
        <f aca="false">IF(A987="","",IF(ISNUMBER(A987),A987,IFERROR(DATE(VALUE(MID(A987,7,4)),VALUE(MID(A987,4,2)),VALUE(MID(A987,1,2)))+TIME(VALUE(MID(A987,12,2)),VALUE(MID(A987,15,2)),VALUE(MID(A987,18,2))),"")))</f>
        <v/>
      </c>
    </row>
    <row r="988" customFormat="false" ht="15" hidden="false" customHeight="false" outlineLevel="0" collapsed="false">
      <c r="I988" s="15" t="str">
        <f aca="false">IF(N988="","",INT(N988))</f>
        <v/>
      </c>
      <c r="J988" s="16" t="str">
        <f aca="false">IF(B988="","",IF(N988=_xlfn.MINIFS($N$2:$N$5001,$B$2:$B$5001,B988),1,0))</f>
        <v/>
      </c>
      <c r="K988" s="16" t="str">
        <f aca="false">IF(B988="","",IF(AND(D988="Formalização",E988="Concluído"),IF(COUNTIFS($B$2:$B$5001,B988,$E$2:$E$5001,"Em ajustes",$N$2:$N$5001,"&lt;"&amp;I988)&gt;0,1,0),0))</f>
        <v/>
      </c>
      <c r="L988" s="16" t="str">
        <f aca="false">IF(B988="","",IF(N988=_xlfn.MAXIFS($N$2:$N$5001,$B$2:$B$5001,B988,$I$2:$I$5001,I988),1,0))</f>
        <v/>
      </c>
      <c r="M988" s="16" t="str">
        <f aca="false">IF(B988="","",IF(E988="Em ajustes",IF(N988=_xlfn.MINIFS($N$2:$N$5001,$B$2:$B$5001,B988,$E$2:$E$5001,"Em ajustes"),1,0),0))</f>
        <v/>
      </c>
      <c r="N988" s="17" t="str">
        <f aca="false">IF(A988="","",IF(ISNUMBER(A988),A988,IFERROR(DATE(VALUE(MID(A988,7,4)),VALUE(MID(A988,4,2)),VALUE(MID(A988,1,2)))+TIME(VALUE(MID(A988,12,2)),VALUE(MID(A988,15,2)),VALUE(MID(A988,18,2))),"")))</f>
        <v/>
      </c>
    </row>
    <row r="989" customFormat="false" ht="15" hidden="false" customHeight="false" outlineLevel="0" collapsed="false">
      <c r="I989" s="15" t="str">
        <f aca="false">IF(N989="","",INT(N989))</f>
        <v/>
      </c>
      <c r="J989" s="16" t="str">
        <f aca="false">IF(B989="","",IF(N989=_xlfn.MINIFS($N$2:$N$5001,$B$2:$B$5001,B989),1,0))</f>
        <v/>
      </c>
      <c r="K989" s="16" t="str">
        <f aca="false">IF(B989="","",IF(AND(D989="Formalização",E989="Concluído"),IF(COUNTIFS($B$2:$B$5001,B989,$E$2:$E$5001,"Em ajustes",$N$2:$N$5001,"&lt;"&amp;I989)&gt;0,1,0),0))</f>
        <v/>
      </c>
      <c r="L989" s="16" t="str">
        <f aca="false">IF(B989="","",IF(N989=_xlfn.MAXIFS($N$2:$N$5001,$B$2:$B$5001,B989,$I$2:$I$5001,I989),1,0))</f>
        <v/>
      </c>
      <c r="M989" s="16" t="str">
        <f aca="false">IF(B989="","",IF(E989="Em ajustes",IF(N989=_xlfn.MINIFS($N$2:$N$5001,$B$2:$B$5001,B989,$E$2:$E$5001,"Em ajustes"),1,0),0))</f>
        <v/>
      </c>
      <c r="N989" s="17" t="str">
        <f aca="false">IF(A989="","",IF(ISNUMBER(A989),A989,IFERROR(DATE(VALUE(MID(A989,7,4)),VALUE(MID(A989,4,2)),VALUE(MID(A989,1,2)))+TIME(VALUE(MID(A989,12,2)),VALUE(MID(A989,15,2)),VALUE(MID(A989,18,2))),"")))</f>
        <v/>
      </c>
    </row>
    <row r="990" customFormat="false" ht="15" hidden="false" customHeight="false" outlineLevel="0" collapsed="false">
      <c r="I990" s="15" t="str">
        <f aca="false">IF(N990="","",INT(N990))</f>
        <v/>
      </c>
      <c r="J990" s="16" t="str">
        <f aca="false">IF(B990="","",IF(N990=_xlfn.MINIFS($N$2:$N$5001,$B$2:$B$5001,B990),1,0))</f>
        <v/>
      </c>
      <c r="K990" s="16" t="str">
        <f aca="false">IF(B990="","",IF(AND(D990="Formalização",E990="Concluído"),IF(COUNTIFS($B$2:$B$5001,B990,$E$2:$E$5001,"Em ajustes",$N$2:$N$5001,"&lt;"&amp;I990)&gt;0,1,0),0))</f>
        <v/>
      </c>
      <c r="L990" s="16" t="str">
        <f aca="false">IF(B990="","",IF(N990=_xlfn.MAXIFS($N$2:$N$5001,$B$2:$B$5001,B990,$I$2:$I$5001,I990),1,0))</f>
        <v/>
      </c>
      <c r="M990" s="16" t="str">
        <f aca="false">IF(B990="","",IF(E990="Em ajustes",IF(N990=_xlfn.MINIFS($N$2:$N$5001,$B$2:$B$5001,B990,$E$2:$E$5001,"Em ajustes"),1,0),0))</f>
        <v/>
      </c>
      <c r="N990" s="17" t="str">
        <f aca="false">IF(A990="","",IF(ISNUMBER(A990),A990,IFERROR(DATE(VALUE(MID(A990,7,4)),VALUE(MID(A990,4,2)),VALUE(MID(A990,1,2)))+TIME(VALUE(MID(A990,12,2)),VALUE(MID(A990,15,2)),VALUE(MID(A990,18,2))),"")))</f>
        <v/>
      </c>
    </row>
    <row r="991" customFormat="false" ht="15" hidden="false" customHeight="false" outlineLevel="0" collapsed="false">
      <c r="I991" s="15" t="str">
        <f aca="false">IF(N991="","",INT(N991))</f>
        <v/>
      </c>
      <c r="J991" s="16" t="str">
        <f aca="false">IF(B991="","",IF(N991=_xlfn.MINIFS($N$2:$N$5001,$B$2:$B$5001,B991),1,0))</f>
        <v/>
      </c>
      <c r="K991" s="16" t="str">
        <f aca="false">IF(B991="","",IF(AND(D991="Formalização",E991="Concluído"),IF(COUNTIFS($B$2:$B$5001,B991,$E$2:$E$5001,"Em ajustes",$N$2:$N$5001,"&lt;"&amp;I991)&gt;0,1,0),0))</f>
        <v/>
      </c>
      <c r="L991" s="16" t="str">
        <f aca="false">IF(B991="","",IF(N991=_xlfn.MAXIFS($N$2:$N$5001,$B$2:$B$5001,B991,$I$2:$I$5001,I991),1,0))</f>
        <v/>
      </c>
      <c r="M991" s="16" t="str">
        <f aca="false">IF(B991="","",IF(E991="Em ajustes",IF(N991=_xlfn.MINIFS($N$2:$N$5001,$B$2:$B$5001,B991,$E$2:$E$5001,"Em ajustes"),1,0),0))</f>
        <v/>
      </c>
      <c r="N991" s="17" t="str">
        <f aca="false">IF(A991="","",IF(ISNUMBER(A991),A991,IFERROR(DATE(VALUE(MID(A991,7,4)),VALUE(MID(A991,4,2)),VALUE(MID(A991,1,2)))+TIME(VALUE(MID(A991,12,2)),VALUE(MID(A991,15,2)),VALUE(MID(A991,18,2))),"")))</f>
        <v/>
      </c>
    </row>
    <row r="992" customFormat="false" ht="15" hidden="false" customHeight="false" outlineLevel="0" collapsed="false">
      <c r="I992" s="15" t="str">
        <f aca="false">IF(N992="","",INT(N992))</f>
        <v/>
      </c>
      <c r="J992" s="16" t="str">
        <f aca="false">IF(B992="","",IF(N992=_xlfn.MINIFS($N$2:$N$5001,$B$2:$B$5001,B992),1,0))</f>
        <v/>
      </c>
      <c r="K992" s="16" t="str">
        <f aca="false">IF(B992="","",IF(AND(D992="Formalização",E992="Concluído"),IF(COUNTIFS($B$2:$B$5001,B992,$E$2:$E$5001,"Em ajustes",$N$2:$N$5001,"&lt;"&amp;I992)&gt;0,1,0),0))</f>
        <v/>
      </c>
      <c r="L992" s="16" t="str">
        <f aca="false">IF(B992="","",IF(N992=_xlfn.MAXIFS($N$2:$N$5001,$B$2:$B$5001,B992,$I$2:$I$5001,I992),1,0))</f>
        <v/>
      </c>
      <c r="M992" s="16" t="str">
        <f aca="false">IF(B992="","",IF(E992="Em ajustes",IF(N992=_xlfn.MINIFS($N$2:$N$5001,$B$2:$B$5001,B992,$E$2:$E$5001,"Em ajustes"),1,0),0))</f>
        <v/>
      </c>
      <c r="N992" s="17" t="str">
        <f aca="false">IF(A992="","",IF(ISNUMBER(A992),A992,IFERROR(DATE(VALUE(MID(A992,7,4)),VALUE(MID(A992,4,2)),VALUE(MID(A992,1,2)))+TIME(VALUE(MID(A992,12,2)),VALUE(MID(A992,15,2)),VALUE(MID(A992,18,2))),"")))</f>
        <v/>
      </c>
    </row>
    <row r="993" customFormat="false" ht="15" hidden="false" customHeight="false" outlineLevel="0" collapsed="false">
      <c r="I993" s="15" t="str">
        <f aca="false">IF(N993="","",INT(N993))</f>
        <v/>
      </c>
      <c r="J993" s="16" t="str">
        <f aca="false">IF(B993="","",IF(N993=_xlfn.MINIFS($N$2:$N$5001,$B$2:$B$5001,B993),1,0))</f>
        <v/>
      </c>
      <c r="K993" s="16" t="str">
        <f aca="false">IF(B993="","",IF(AND(D993="Formalização",E993="Concluído"),IF(COUNTIFS($B$2:$B$5001,B993,$E$2:$E$5001,"Em ajustes",$N$2:$N$5001,"&lt;"&amp;I993)&gt;0,1,0),0))</f>
        <v/>
      </c>
      <c r="L993" s="16" t="str">
        <f aca="false">IF(B993="","",IF(N993=_xlfn.MAXIFS($N$2:$N$5001,$B$2:$B$5001,B993,$I$2:$I$5001,I993),1,0))</f>
        <v/>
      </c>
      <c r="M993" s="16" t="str">
        <f aca="false">IF(B993="","",IF(E993="Em ajustes",IF(N993=_xlfn.MINIFS($N$2:$N$5001,$B$2:$B$5001,B993,$E$2:$E$5001,"Em ajustes"),1,0),0))</f>
        <v/>
      </c>
      <c r="N993" s="17" t="str">
        <f aca="false">IF(A993="","",IF(ISNUMBER(A993),A993,IFERROR(DATE(VALUE(MID(A993,7,4)),VALUE(MID(A993,4,2)),VALUE(MID(A993,1,2)))+TIME(VALUE(MID(A993,12,2)),VALUE(MID(A993,15,2)),VALUE(MID(A993,18,2))),"")))</f>
        <v/>
      </c>
    </row>
    <row r="994" customFormat="false" ht="15" hidden="false" customHeight="false" outlineLevel="0" collapsed="false">
      <c r="I994" s="15" t="str">
        <f aca="false">IF(N994="","",INT(N994))</f>
        <v/>
      </c>
      <c r="J994" s="16" t="str">
        <f aca="false">IF(B994="","",IF(N994=_xlfn.MINIFS($N$2:$N$5001,$B$2:$B$5001,B994),1,0))</f>
        <v/>
      </c>
      <c r="K994" s="16" t="str">
        <f aca="false">IF(B994="","",IF(AND(D994="Formalização",E994="Concluído"),IF(COUNTIFS($B$2:$B$5001,B994,$E$2:$E$5001,"Em ajustes",$N$2:$N$5001,"&lt;"&amp;I994)&gt;0,1,0),0))</f>
        <v/>
      </c>
      <c r="L994" s="16" t="str">
        <f aca="false">IF(B994="","",IF(N994=_xlfn.MAXIFS($N$2:$N$5001,$B$2:$B$5001,B994,$I$2:$I$5001,I994),1,0))</f>
        <v/>
      </c>
      <c r="M994" s="16" t="str">
        <f aca="false">IF(B994="","",IF(E994="Em ajustes",IF(N994=_xlfn.MINIFS($N$2:$N$5001,$B$2:$B$5001,B994,$E$2:$E$5001,"Em ajustes"),1,0),0))</f>
        <v/>
      </c>
      <c r="N994" s="17" t="str">
        <f aca="false">IF(A994="","",IF(ISNUMBER(A994),A994,IFERROR(DATE(VALUE(MID(A994,7,4)),VALUE(MID(A994,4,2)),VALUE(MID(A994,1,2)))+TIME(VALUE(MID(A994,12,2)),VALUE(MID(A994,15,2)),VALUE(MID(A994,18,2))),"")))</f>
        <v/>
      </c>
    </row>
    <row r="995" customFormat="false" ht="15" hidden="false" customHeight="false" outlineLevel="0" collapsed="false">
      <c r="I995" s="15" t="str">
        <f aca="false">IF(N995="","",INT(N995))</f>
        <v/>
      </c>
      <c r="J995" s="16" t="str">
        <f aca="false">IF(B995="","",IF(N995=_xlfn.MINIFS($N$2:$N$5001,$B$2:$B$5001,B995),1,0))</f>
        <v/>
      </c>
      <c r="K995" s="16" t="str">
        <f aca="false">IF(B995="","",IF(AND(D995="Formalização",E995="Concluído"),IF(COUNTIFS($B$2:$B$5001,B995,$E$2:$E$5001,"Em ajustes",$N$2:$N$5001,"&lt;"&amp;I995)&gt;0,1,0),0))</f>
        <v/>
      </c>
      <c r="L995" s="16" t="str">
        <f aca="false">IF(B995="","",IF(N995=_xlfn.MAXIFS($N$2:$N$5001,$B$2:$B$5001,B995,$I$2:$I$5001,I995),1,0))</f>
        <v/>
      </c>
      <c r="M995" s="16" t="str">
        <f aca="false">IF(B995="","",IF(E995="Em ajustes",IF(N995=_xlfn.MINIFS($N$2:$N$5001,$B$2:$B$5001,B995,$E$2:$E$5001,"Em ajustes"),1,0),0))</f>
        <v/>
      </c>
      <c r="N995" s="17" t="str">
        <f aca="false">IF(A995="","",IF(ISNUMBER(A995),A995,IFERROR(DATE(VALUE(MID(A995,7,4)),VALUE(MID(A995,4,2)),VALUE(MID(A995,1,2)))+TIME(VALUE(MID(A995,12,2)),VALUE(MID(A995,15,2)),VALUE(MID(A995,18,2))),"")))</f>
        <v/>
      </c>
    </row>
    <row r="996" customFormat="false" ht="15" hidden="false" customHeight="false" outlineLevel="0" collapsed="false">
      <c r="I996" s="15" t="str">
        <f aca="false">IF(N996="","",INT(N996))</f>
        <v/>
      </c>
      <c r="J996" s="16" t="str">
        <f aca="false">IF(B996="","",IF(N996=_xlfn.MINIFS($N$2:$N$5001,$B$2:$B$5001,B996),1,0))</f>
        <v/>
      </c>
      <c r="K996" s="16" t="str">
        <f aca="false">IF(B996="","",IF(AND(D996="Formalização",E996="Concluído"),IF(COUNTIFS($B$2:$B$5001,B996,$E$2:$E$5001,"Em ajustes",$N$2:$N$5001,"&lt;"&amp;I996)&gt;0,1,0),0))</f>
        <v/>
      </c>
      <c r="L996" s="16" t="str">
        <f aca="false">IF(B996="","",IF(N996=_xlfn.MAXIFS($N$2:$N$5001,$B$2:$B$5001,B996,$I$2:$I$5001,I996),1,0))</f>
        <v/>
      </c>
      <c r="M996" s="16" t="str">
        <f aca="false">IF(B996="","",IF(E996="Em ajustes",IF(N996=_xlfn.MINIFS($N$2:$N$5001,$B$2:$B$5001,B996,$E$2:$E$5001,"Em ajustes"),1,0),0))</f>
        <v/>
      </c>
      <c r="N996" s="17" t="str">
        <f aca="false">IF(A996="","",IF(ISNUMBER(A996),A996,IFERROR(DATE(VALUE(MID(A996,7,4)),VALUE(MID(A996,4,2)),VALUE(MID(A996,1,2)))+TIME(VALUE(MID(A996,12,2)),VALUE(MID(A996,15,2)),VALUE(MID(A996,18,2))),"")))</f>
        <v/>
      </c>
    </row>
    <row r="997" customFormat="false" ht="15" hidden="false" customHeight="false" outlineLevel="0" collapsed="false">
      <c r="I997" s="15" t="str">
        <f aca="false">IF(N997="","",INT(N997))</f>
        <v/>
      </c>
      <c r="J997" s="16" t="str">
        <f aca="false">IF(B997="","",IF(N997=_xlfn.MINIFS($N$2:$N$5001,$B$2:$B$5001,B997),1,0))</f>
        <v/>
      </c>
      <c r="K997" s="16" t="str">
        <f aca="false">IF(B997="","",IF(AND(D997="Formalização",E997="Concluído"),IF(COUNTIFS($B$2:$B$5001,B997,$E$2:$E$5001,"Em ajustes",$N$2:$N$5001,"&lt;"&amp;I997)&gt;0,1,0),0))</f>
        <v/>
      </c>
      <c r="L997" s="16" t="str">
        <f aca="false">IF(B997="","",IF(N997=_xlfn.MAXIFS($N$2:$N$5001,$B$2:$B$5001,B997,$I$2:$I$5001,I997),1,0))</f>
        <v/>
      </c>
      <c r="M997" s="16" t="str">
        <f aca="false">IF(B997="","",IF(E997="Em ajustes",IF(N997=_xlfn.MINIFS($N$2:$N$5001,$B$2:$B$5001,B997,$E$2:$E$5001,"Em ajustes"),1,0),0))</f>
        <v/>
      </c>
      <c r="N997" s="17" t="str">
        <f aca="false">IF(A997="","",IF(ISNUMBER(A997),A997,IFERROR(DATE(VALUE(MID(A997,7,4)),VALUE(MID(A997,4,2)),VALUE(MID(A997,1,2)))+TIME(VALUE(MID(A997,12,2)),VALUE(MID(A997,15,2)),VALUE(MID(A997,18,2))),"")))</f>
        <v/>
      </c>
    </row>
    <row r="998" customFormat="false" ht="15" hidden="false" customHeight="false" outlineLevel="0" collapsed="false">
      <c r="I998" s="15" t="str">
        <f aca="false">IF(N998="","",INT(N998))</f>
        <v/>
      </c>
      <c r="J998" s="16" t="str">
        <f aca="false">IF(B998="","",IF(N998=_xlfn.MINIFS($N$2:$N$5001,$B$2:$B$5001,B998),1,0))</f>
        <v/>
      </c>
      <c r="K998" s="16" t="str">
        <f aca="false">IF(B998="","",IF(AND(D998="Formalização",E998="Concluído"),IF(COUNTIFS($B$2:$B$5001,B998,$E$2:$E$5001,"Em ajustes",$N$2:$N$5001,"&lt;"&amp;I998)&gt;0,1,0),0))</f>
        <v/>
      </c>
      <c r="L998" s="16" t="str">
        <f aca="false">IF(B998="","",IF(N998=_xlfn.MAXIFS($N$2:$N$5001,$B$2:$B$5001,B998,$I$2:$I$5001,I998),1,0))</f>
        <v/>
      </c>
      <c r="M998" s="16" t="str">
        <f aca="false">IF(B998="","",IF(E998="Em ajustes",IF(N998=_xlfn.MINIFS($N$2:$N$5001,$B$2:$B$5001,B998,$E$2:$E$5001,"Em ajustes"),1,0),0))</f>
        <v/>
      </c>
      <c r="N998" s="17" t="str">
        <f aca="false">IF(A998="","",IF(ISNUMBER(A998),A998,IFERROR(DATE(VALUE(MID(A998,7,4)),VALUE(MID(A998,4,2)),VALUE(MID(A998,1,2)))+TIME(VALUE(MID(A998,12,2)),VALUE(MID(A998,15,2)),VALUE(MID(A998,18,2))),"")))</f>
        <v/>
      </c>
    </row>
    <row r="999" customFormat="false" ht="15" hidden="false" customHeight="false" outlineLevel="0" collapsed="false">
      <c r="I999" s="15" t="str">
        <f aca="false">IF(N999="","",INT(N999))</f>
        <v/>
      </c>
      <c r="J999" s="16" t="str">
        <f aca="false">IF(B999="","",IF(N999=_xlfn.MINIFS($N$2:$N$5001,$B$2:$B$5001,B999),1,0))</f>
        <v/>
      </c>
      <c r="K999" s="16" t="str">
        <f aca="false">IF(B999="","",IF(AND(D999="Formalização",E999="Concluído"),IF(COUNTIFS($B$2:$B$5001,B999,$E$2:$E$5001,"Em ajustes",$N$2:$N$5001,"&lt;"&amp;I999)&gt;0,1,0),0))</f>
        <v/>
      </c>
      <c r="L999" s="16" t="str">
        <f aca="false">IF(B999="","",IF(N999=_xlfn.MAXIFS($N$2:$N$5001,$B$2:$B$5001,B999,$I$2:$I$5001,I999),1,0))</f>
        <v/>
      </c>
      <c r="M999" s="16" t="str">
        <f aca="false">IF(B999="","",IF(E999="Em ajustes",IF(N999=_xlfn.MINIFS($N$2:$N$5001,$B$2:$B$5001,B999,$E$2:$E$5001,"Em ajustes"),1,0),0))</f>
        <v/>
      </c>
      <c r="N999" s="17" t="str">
        <f aca="false">IF(A999="","",IF(ISNUMBER(A999),A999,IFERROR(DATE(VALUE(MID(A999,7,4)),VALUE(MID(A999,4,2)),VALUE(MID(A999,1,2)))+TIME(VALUE(MID(A999,12,2)),VALUE(MID(A999,15,2)),VALUE(MID(A999,18,2))),"")))</f>
        <v/>
      </c>
    </row>
    <row r="1000" customFormat="false" ht="15" hidden="false" customHeight="false" outlineLevel="0" collapsed="false">
      <c r="I1000" s="15" t="str">
        <f aca="false">IF(N1000="","",INT(N1000))</f>
        <v/>
      </c>
      <c r="J1000" s="16" t="str">
        <f aca="false">IF(B1000="","",IF(N1000=_xlfn.MINIFS($N$2:$N$5001,$B$2:$B$5001,B1000),1,0))</f>
        <v/>
      </c>
      <c r="K1000" s="16" t="str">
        <f aca="false">IF(B1000="","",IF(AND(D1000="Formalização",E1000="Concluído"),IF(COUNTIFS($B$2:$B$5001,B1000,$E$2:$E$5001,"Em ajustes",$N$2:$N$5001,"&lt;"&amp;I1000)&gt;0,1,0),0))</f>
        <v/>
      </c>
      <c r="L1000" s="16" t="str">
        <f aca="false">IF(B1000="","",IF(N1000=_xlfn.MAXIFS($N$2:$N$5001,$B$2:$B$5001,B1000,$I$2:$I$5001,I1000),1,0))</f>
        <v/>
      </c>
      <c r="M1000" s="16" t="str">
        <f aca="false">IF(B1000="","",IF(E1000="Em ajustes",IF(N1000=_xlfn.MINIFS($N$2:$N$5001,$B$2:$B$5001,B1000,$E$2:$E$5001,"Em ajustes"),1,0),0))</f>
        <v/>
      </c>
      <c r="N1000" s="17" t="str">
        <f aca="false">IF(A1000="","",IF(ISNUMBER(A1000),A1000,IFERROR(DATE(VALUE(MID(A1000,7,4)),VALUE(MID(A1000,4,2)),VALUE(MID(A1000,1,2)))+TIME(VALUE(MID(A1000,12,2)),VALUE(MID(A1000,15,2)),VALUE(MID(A1000,18,2))),"")))</f>
        <v/>
      </c>
    </row>
    <row r="1001" customFormat="false" ht="15" hidden="false" customHeight="false" outlineLevel="0" collapsed="false">
      <c r="I1001" s="15" t="str">
        <f aca="false">IF(N1001="","",INT(N1001))</f>
        <v/>
      </c>
      <c r="J1001" s="16" t="str">
        <f aca="false">IF(B1001="","",IF(N1001=_xlfn.MINIFS($N$2:$N$5001,$B$2:$B$5001,B1001),1,0))</f>
        <v/>
      </c>
      <c r="K1001" s="16" t="str">
        <f aca="false">IF(B1001="","",IF(AND(D1001="Formalização",E1001="Concluído"),IF(COUNTIFS($B$2:$B$5001,B1001,$E$2:$E$5001,"Em ajustes",$N$2:$N$5001,"&lt;"&amp;I1001)&gt;0,1,0),0))</f>
        <v/>
      </c>
      <c r="L1001" s="16" t="str">
        <f aca="false">IF(B1001="","",IF(N1001=_xlfn.MAXIFS($N$2:$N$5001,$B$2:$B$5001,B1001,$I$2:$I$5001,I1001),1,0))</f>
        <v/>
      </c>
      <c r="M1001" s="16" t="str">
        <f aca="false">IF(B1001="","",IF(E1001="Em ajustes",IF(N1001=_xlfn.MINIFS($N$2:$N$5001,$B$2:$B$5001,B1001,$E$2:$E$5001,"Em ajustes"),1,0),0))</f>
        <v/>
      </c>
      <c r="N1001" s="17" t="str">
        <f aca="false">IF(A1001="","",IF(ISNUMBER(A1001),A1001,IFERROR(DATE(VALUE(MID(A1001,7,4)),VALUE(MID(A1001,4,2)),VALUE(MID(A1001,1,2)))+TIME(VALUE(MID(A1001,12,2)),VALUE(MID(A1001,15,2)),VALUE(MID(A1001,18,2))),"")))</f>
        <v/>
      </c>
    </row>
    <row r="1002" customFormat="false" ht="15" hidden="false" customHeight="false" outlineLevel="0" collapsed="false">
      <c r="I1002" s="15" t="str">
        <f aca="false">IF(N1002="","",INT(N1002))</f>
        <v/>
      </c>
      <c r="J1002" s="16" t="str">
        <f aca="false">IF(B1002="","",IF(N1002=_xlfn.MINIFS($N$2:$N$5001,$B$2:$B$5001,B1002),1,0))</f>
        <v/>
      </c>
      <c r="K1002" s="16" t="str">
        <f aca="false">IF(B1002="","",IF(AND(D1002="Formalização",E1002="Concluído"),IF(COUNTIFS($B$2:$B$5001,B1002,$E$2:$E$5001,"Em ajustes",$N$2:$N$5001,"&lt;"&amp;I1002)&gt;0,1,0),0))</f>
        <v/>
      </c>
      <c r="L1002" s="16" t="str">
        <f aca="false">IF(B1002="","",IF(N1002=_xlfn.MAXIFS($N$2:$N$5001,$B$2:$B$5001,B1002,$I$2:$I$5001,I1002),1,0))</f>
        <v/>
      </c>
      <c r="M1002" s="16" t="str">
        <f aca="false">IF(B1002="","",IF(E1002="Em ajustes",IF(N1002=_xlfn.MINIFS($N$2:$N$5001,$B$2:$B$5001,B1002,$E$2:$E$5001,"Em ajustes"),1,0),0))</f>
        <v/>
      </c>
      <c r="N1002" s="17" t="str">
        <f aca="false">IF(A1002="","",IF(ISNUMBER(A1002),A1002,IFERROR(DATE(VALUE(MID(A1002,7,4)),VALUE(MID(A1002,4,2)),VALUE(MID(A1002,1,2)))+TIME(VALUE(MID(A1002,12,2)),VALUE(MID(A1002,15,2)),VALUE(MID(A1002,18,2))),"")))</f>
        <v/>
      </c>
    </row>
    <row r="1003" customFormat="false" ht="15" hidden="false" customHeight="false" outlineLevel="0" collapsed="false">
      <c r="I1003" s="15" t="str">
        <f aca="false">IF(N1003="","",INT(N1003))</f>
        <v/>
      </c>
      <c r="J1003" s="16" t="str">
        <f aca="false">IF(B1003="","",IF(N1003=_xlfn.MINIFS($N$2:$N$5001,$B$2:$B$5001,B1003),1,0))</f>
        <v/>
      </c>
      <c r="K1003" s="16" t="str">
        <f aca="false">IF(B1003="","",IF(AND(D1003="Formalização",E1003="Concluído"),IF(COUNTIFS($B$2:$B$5001,B1003,$E$2:$E$5001,"Em ajustes",$N$2:$N$5001,"&lt;"&amp;I1003)&gt;0,1,0),0))</f>
        <v/>
      </c>
      <c r="L1003" s="16" t="str">
        <f aca="false">IF(B1003="","",IF(N1003=_xlfn.MAXIFS($N$2:$N$5001,$B$2:$B$5001,B1003,$I$2:$I$5001,I1003),1,0))</f>
        <v/>
      </c>
      <c r="M1003" s="16" t="str">
        <f aca="false">IF(B1003="","",IF(E1003="Em ajustes",IF(N1003=_xlfn.MINIFS($N$2:$N$5001,$B$2:$B$5001,B1003,$E$2:$E$5001,"Em ajustes"),1,0),0))</f>
        <v/>
      </c>
      <c r="N1003" s="17" t="str">
        <f aca="false">IF(A1003="","",IF(ISNUMBER(A1003),A1003,IFERROR(DATE(VALUE(MID(A1003,7,4)),VALUE(MID(A1003,4,2)),VALUE(MID(A1003,1,2)))+TIME(VALUE(MID(A1003,12,2)),VALUE(MID(A1003,15,2)),VALUE(MID(A1003,18,2))),"")))</f>
        <v/>
      </c>
    </row>
    <row r="1004" customFormat="false" ht="15" hidden="false" customHeight="false" outlineLevel="0" collapsed="false">
      <c r="I1004" s="15" t="str">
        <f aca="false">IF(N1004="","",INT(N1004))</f>
        <v/>
      </c>
      <c r="J1004" s="16" t="str">
        <f aca="false">IF(B1004="","",IF(N1004=_xlfn.MINIFS($N$2:$N$5001,$B$2:$B$5001,B1004),1,0))</f>
        <v/>
      </c>
      <c r="K1004" s="16" t="str">
        <f aca="false">IF(B1004="","",IF(AND(D1004="Formalização",E1004="Concluído"),IF(COUNTIFS($B$2:$B$5001,B1004,$E$2:$E$5001,"Em ajustes",$N$2:$N$5001,"&lt;"&amp;I1004)&gt;0,1,0),0))</f>
        <v/>
      </c>
      <c r="L1004" s="16" t="str">
        <f aca="false">IF(B1004="","",IF(N1004=_xlfn.MAXIFS($N$2:$N$5001,$B$2:$B$5001,B1004,$I$2:$I$5001,I1004),1,0))</f>
        <v/>
      </c>
      <c r="M1004" s="16" t="str">
        <f aca="false">IF(B1004="","",IF(E1004="Em ajustes",IF(N1004=_xlfn.MINIFS($N$2:$N$5001,$B$2:$B$5001,B1004,$E$2:$E$5001,"Em ajustes"),1,0),0))</f>
        <v/>
      </c>
      <c r="N1004" s="17" t="str">
        <f aca="false">IF(A1004="","",IF(ISNUMBER(A1004),A1004,IFERROR(DATE(VALUE(MID(A1004,7,4)),VALUE(MID(A1004,4,2)),VALUE(MID(A1004,1,2)))+TIME(VALUE(MID(A1004,12,2)),VALUE(MID(A1004,15,2)),VALUE(MID(A1004,18,2))),"")))</f>
        <v/>
      </c>
    </row>
    <row r="1005" customFormat="false" ht="15" hidden="false" customHeight="false" outlineLevel="0" collapsed="false">
      <c r="I1005" s="15" t="str">
        <f aca="false">IF(N1005="","",INT(N1005))</f>
        <v/>
      </c>
      <c r="J1005" s="16" t="str">
        <f aca="false">IF(B1005="","",IF(N1005=_xlfn.MINIFS($N$2:$N$5001,$B$2:$B$5001,B1005),1,0))</f>
        <v/>
      </c>
      <c r="K1005" s="16" t="str">
        <f aca="false">IF(B1005="","",IF(AND(D1005="Formalização",E1005="Concluído"),IF(COUNTIFS($B$2:$B$5001,B1005,$E$2:$E$5001,"Em ajustes",$N$2:$N$5001,"&lt;"&amp;I1005)&gt;0,1,0),0))</f>
        <v/>
      </c>
      <c r="L1005" s="16" t="str">
        <f aca="false">IF(B1005="","",IF(N1005=_xlfn.MAXIFS($N$2:$N$5001,$B$2:$B$5001,B1005,$I$2:$I$5001,I1005),1,0))</f>
        <v/>
      </c>
      <c r="M1005" s="16" t="str">
        <f aca="false">IF(B1005="","",IF(E1005="Em ajustes",IF(N1005=_xlfn.MINIFS($N$2:$N$5001,$B$2:$B$5001,B1005,$E$2:$E$5001,"Em ajustes"),1,0),0))</f>
        <v/>
      </c>
      <c r="N1005" s="17" t="str">
        <f aca="false">IF(A1005="","",IF(ISNUMBER(A1005),A1005,IFERROR(DATE(VALUE(MID(A1005,7,4)),VALUE(MID(A1005,4,2)),VALUE(MID(A1005,1,2)))+TIME(VALUE(MID(A1005,12,2)),VALUE(MID(A1005,15,2)),VALUE(MID(A1005,18,2))),"")))</f>
        <v/>
      </c>
    </row>
    <row r="1006" customFormat="false" ht="15" hidden="false" customHeight="false" outlineLevel="0" collapsed="false">
      <c r="I1006" s="15" t="str">
        <f aca="false">IF(N1006="","",INT(N1006))</f>
        <v/>
      </c>
      <c r="J1006" s="16" t="str">
        <f aca="false">IF(B1006="","",IF(N1006=_xlfn.MINIFS($N$2:$N$5001,$B$2:$B$5001,B1006),1,0))</f>
        <v/>
      </c>
      <c r="K1006" s="16" t="str">
        <f aca="false">IF(B1006="","",IF(AND(D1006="Formalização",E1006="Concluído"),IF(COUNTIFS($B$2:$B$5001,B1006,$E$2:$E$5001,"Em ajustes",$N$2:$N$5001,"&lt;"&amp;I1006)&gt;0,1,0),0))</f>
        <v/>
      </c>
      <c r="L1006" s="16" t="str">
        <f aca="false">IF(B1006="","",IF(N1006=_xlfn.MAXIFS($N$2:$N$5001,$B$2:$B$5001,B1006,$I$2:$I$5001,I1006),1,0))</f>
        <v/>
      </c>
      <c r="M1006" s="16" t="str">
        <f aca="false">IF(B1006="","",IF(E1006="Em ajustes",IF(N1006=_xlfn.MINIFS($N$2:$N$5001,$B$2:$B$5001,B1006,$E$2:$E$5001,"Em ajustes"),1,0),0))</f>
        <v/>
      </c>
      <c r="N1006" s="17" t="str">
        <f aca="false">IF(A1006="","",IF(ISNUMBER(A1006),A1006,IFERROR(DATE(VALUE(MID(A1006,7,4)),VALUE(MID(A1006,4,2)),VALUE(MID(A1006,1,2)))+TIME(VALUE(MID(A1006,12,2)),VALUE(MID(A1006,15,2)),VALUE(MID(A1006,18,2))),"")))</f>
        <v/>
      </c>
    </row>
    <row r="1007" customFormat="false" ht="15" hidden="false" customHeight="false" outlineLevel="0" collapsed="false">
      <c r="I1007" s="15" t="str">
        <f aca="false">IF(N1007="","",INT(N1007))</f>
        <v/>
      </c>
      <c r="J1007" s="16" t="str">
        <f aca="false">IF(B1007="","",IF(N1007=_xlfn.MINIFS($N$2:$N$5001,$B$2:$B$5001,B1007),1,0))</f>
        <v/>
      </c>
      <c r="K1007" s="16" t="str">
        <f aca="false">IF(B1007="","",IF(AND(D1007="Formalização",E1007="Concluído"),IF(COUNTIFS($B$2:$B$5001,B1007,$E$2:$E$5001,"Em ajustes",$N$2:$N$5001,"&lt;"&amp;I1007)&gt;0,1,0),0))</f>
        <v/>
      </c>
      <c r="L1007" s="16" t="str">
        <f aca="false">IF(B1007="","",IF(N1007=_xlfn.MAXIFS($N$2:$N$5001,$B$2:$B$5001,B1007,$I$2:$I$5001,I1007),1,0))</f>
        <v/>
      </c>
      <c r="M1007" s="16" t="str">
        <f aca="false">IF(B1007="","",IF(E1007="Em ajustes",IF(N1007=_xlfn.MINIFS($N$2:$N$5001,$B$2:$B$5001,B1007,$E$2:$E$5001,"Em ajustes"),1,0),0))</f>
        <v/>
      </c>
      <c r="N1007" s="17" t="str">
        <f aca="false">IF(A1007="","",IF(ISNUMBER(A1007),A1007,IFERROR(DATE(VALUE(MID(A1007,7,4)),VALUE(MID(A1007,4,2)),VALUE(MID(A1007,1,2)))+TIME(VALUE(MID(A1007,12,2)),VALUE(MID(A1007,15,2)),VALUE(MID(A1007,18,2))),"")))</f>
        <v/>
      </c>
    </row>
    <row r="1008" customFormat="false" ht="15" hidden="false" customHeight="false" outlineLevel="0" collapsed="false">
      <c r="I1008" s="15" t="str">
        <f aca="false">IF(N1008="","",INT(N1008))</f>
        <v/>
      </c>
      <c r="J1008" s="16" t="str">
        <f aca="false">IF(B1008="","",IF(N1008=_xlfn.MINIFS($N$2:$N$5001,$B$2:$B$5001,B1008),1,0))</f>
        <v/>
      </c>
      <c r="K1008" s="16" t="str">
        <f aca="false">IF(B1008="","",IF(AND(D1008="Formalização",E1008="Concluído"),IF(COUNTIFS($B$2:$B$5001,B1008,$E$2:$E$5001,"Em ajustes",$N$2:$N$5001,"&lt;"&amp;I1008)&gt;0,1,0),0))</f>
        <v/>
      </c>
      <c r="L1008" s="16" t="str">
        <f aca="false">IF(B1008="","",IF(N1008=_xlfn.MAXIFS($N$2:$N$5001,$B$2:$B$5001,B1008,$I$2:$I$5001,I1008),1,0))</f>
        <v/>
      </c>
      <c r="M1008" s="16" t="str">
        <f aca="false">IF(B1008="","",IF(E1008="Em ajustes",IF(N1008=_xlfn.MINIFS($N$2:$N$5001,$B$2:$B$5001,B1008,$E$2:$E$5001,"Em ajustes"),1,0),0))</f>
        <v/>
      </c>
      <c r="N1008" s="17" t="str">
        <f aca="false">IF(A1008="","",IF(ISNUMBER(A1008),A1008,IFERROR(DATE(VALUE(MID(A1008,7,4)),VALUE(MID(A1008,4,2)),VALUE(MID(A1008,1,2)))+TIME(VALUE(MID(A1008,12,2)),VALUE(MID(A1008,15,2)),VALUE(MID(A1008,18,2))),"")))</f>
        <v/>
      </c>
    </row>
    <row r="1009" customFormat="false" ht="15" hidden="false" customHeight="false" outlineLevel="0" collapsed="false">
      <c r="I1009" s="15" t="str">
        <f aca="false">IF(N1009="","",INT(N1009))</f>
        <v/>
      </c>
      <c r="J1009" s="16" t="str">
        <f aca="false">IF(B1009="","",IF(N1009=_xlfn.MINIFS($N$2:$N$5001,$B$2:$B$5001,B1009),1,0))</f>
        <v/>
      </c>
      <c r="K1009" s="16" t="str">
        <f aca="false">IF(B1009="","",IF(AND(D1009="Formalização",E1009="Concluído"),IF(COUNTIFS($B$2:$B$5001,B1009,$E$2:$E$5001,"Em ajustes",$N$2:$N$5001,"&lt;"&amp;I1009)&gt;0,1,0),0))</f>
        <v/>
      </c>
      <c r="L1009" s="16" t="str">
        <f aca="false">IF(B1009="","",IF(N1009=_xlfn.MAXIFS($N$2:$N$5001,$B$2:$B$5001,B1009,$I$2:$I$5001,I1009),1,0))</f>
        <v/>
      </c>
      <c r="M1009" s="16" t="str">
        <f aca="false">IF(B1009="","",IF(E1009="Em ajustes",IF(N1009=_xlfn.MINIFS($N$2:$N$5001,$B$2:$B$5001,B1009,$E$2:$E$5001,"Em ajustes"),1,0),0))</f>
        <v/>
      </c>
      <c r="N1009" s="17" t="str">
        <f aca="false">IF(A1009="","",IF(ISNUMBER(A1009),A1009,IFERROR(DATE(VALUE(MID(A1009,7,4)),VALUE(MID(A1009,4,2)),VALUE(MID(A1009,1,2)))+TIME(VALUE(MID(A1009,12,2)),VALUE(MID(A1009,15,2)),VALUE(MID(A1009,18,2))),"")))</f>
        <v/>
      </c>
    </row>
    <row r="1010" customFormat="false" ht="15" hidden="false" customHeight="false" outlineLevel="0" collapsed="false">
      <c r="I1010" s="15" t="str">
        <f aca="false">IF(N1010="","",INT(N1010))</f>
        <v/>
      </c>
      <c r="J1010" s="16" t="str">
        <f aca="false">IF(B1010="","",IF(N1010=_xlfn.MINIFS($N$2:$N$5001,$B$2:$B$5001,B1010),1,0))</f>
        <v/>
      </c>
      <c r="K1010" s="16" t="str">
        <f aca="false">IF(B1010="","",IF(AND(D1010="Formalização",E1010="Concluído"),IF(COUNTIFS($B$2:$B$5001,B1010,$E$2:$E$5001,"Em ajustes",$N$2:$N$5001,"&lt;"&amp;I1010)&gt;0,1,0),0))</f>
        <v/>
      </c>
      <c r="L1010" s="16" t="str">
        <f aca="false">IF(B1010="","",IF(N1010=_xlfn.MAXIFS($N$2:$N$5001,$B$2:$B$5001,B1010,$I$2:$I$5001,I1010),1,0))</f>
        <v/>
      </c>
      <c r="M1010" s="16" t="str">
        <f aca="false">IF(B1010="","",IF(E1010="Em ajustes",IF(N1010=_xlfn.MINIFS($N$2:$N$5001,$B$2:$B$5001,B1010,$E$2:$E$5001,"Em ajustes"),1,0),0))</f>
        <v/>
      </c>
      <c r="N1010" s="17" t="str">
        <f aca="false">IF(A1010="","",IF(ISNUMBER(A1010),A1010,IFERROR(DATE(VALUE(MID(A1010,7,4)),VALUE(MID(A1010,4,2)),VALUE(MID(A1010,1,2)))+TIME(VALUE(MID(A1010,12,2)),VALUE(MID(A1010,15,2)),VALUE(MID(A1010,18,2))),"")))</f>
        <v/>
      </c>
    </row>
    <row r="1011" customFormat="false" ht="15" hidden="false" customHeight="false" outlineLevel="0" collapsed="false">
      <c r="I1011" s="15" t="str">
        <f aca="false">IF(N1011="","",INT(N1011))</f>
        <v/>
      </c>
      <c r="J1011" s="16" t="str">
        <f aca="false">IF(B1011="","",IF(N1011=_xlfn.MINIFS($N$2:$N$5001,$B$2:$B$5001,B1011),1,0))</f>
        <v/>
      </c>
      <c r="K1011" s="16" t="str">
        <f aca="false">IF(B1011="","",IF(AND(D1011="Formalização",E1011="Concluído"),IF(COUNTIFS($B$2:$B$5001,B1011,$E$2:$E$5001,"Em ajustes",$N$2:$N$5001,"&lt;"&amp;I1011)&gt;0,1,0),0))</f>
        <v/>
      </c>
      <c r="L1011" s="16" t="str">
        <f aca="false">IF(B1011="","",IF(N1011=_xlfn.MAXIFS($N$2:$N$5001,$B$2:$B$5001,B1011,$I$2:$I$5001,I1011),1,0))</f>
        <v/>
      </c>
      <c r="M1011" s="16" t="str">
        <f aca="false">IF(B1011="","",IF(E1011="Em ajustes",IF(N1011=_xlfn.MINIFS($N$2:$N$5001,$B$2:$B$5001,B1011,$E$2:$E$5001,"Em ajustes"),1,0),0))</f>
        <v/>
      </c>
      <c r="N1011" s="17" t="str">
        <f aca="false">IF(A1011="","",IF(ISNUMBER(A1011),A1011,IFERROR(DATE(VALUE(MID(A1011,7,4)),VALUE(MID(A1011,4,2)),VALUE(MID(A1011,1,2)))+TIME(VALUE(MID(A1011,12,2)),VALUE(MID(A1011,15,2)),VALUE(MID(A1011,18,2))),"")))</f>
        <v/>
      </c>
    </row>
    <row r="1012" customFormat="false" ht="15" hidden="false" customHeight="false" outlineLevel="0" collapsed="false">
      <c r="I1012" s="15" t="str">
        <f aca="false">IF(N1012="","",INT(N1012))</f>
        <v/>
      </c>
      <c r="J1012" s="16" t="str">
        <f aca="false">IF(B1012="","",IF(N1012=_xlfn.MINIFS($N$2:$N$5001,$B$2:$B$5001,B1012),1,0))</f>
        <v/>
      </c>
      <c r="K1012" s="16" t="str">
        <f aca="false">IF(B1012="","",IF(AND(D1012="Formalização",E1012="Concluído"),IF(COUNTIFS($B$2:$B$5001,B1012,$E$2:$E$5001,"Em ajustes",$N$2:$N$5001,"&lt;"&amp;I1012)&gt;0,1,0),0))</f>
        <v/>
      </c>
      <c r="L1012" s="16" t="str">
        <f aca="false">IF(B1012="","",IF(N1012=_xlfn.MAXIFS($N$2:$N$5001,$B$2:$B$5001,B1012,$I$2:$I$5001,I1012),1,0))</f>
        <v/>
      </c>
      <c r="M1012" s="16" t="str">
        <f aca="false">IF(B1012="","",IF(E1012="Em ajustes",IF(N1012=_xlfn.MINIFS($N$2:$N$5001,$B$2:$B$5001,B1012,$E$2:$E$5001,"Em ajustes"),1,0),0))</f>
        <v/>
      </c>
      <c r="N1012" s="17" t="str">
        <f aca="false">IF(A1012="","",IF(ISNUMBER(A1012),A1012,IFERROR(DATE(VALUE(MID(A1012,7,4)),VALUE(MID(A1012,4,2)),VALUE(MID(A1012,1,2)))+TIME(VALUE(MID(A1012,12,2)),VALUE(MID(A1012,15,2)),VALUE(MID(A1012,18,2))),"")))</f>
        <v/>
      </c>
    </row>
    <row r="1013" customFormat="false" ht="15" hidden="false" customHeight="false" outlineLevel="0" collapsed="false">
      <c r="I1013" s="15" t="str">
        <f aca="false">IF(N1013="","",INT(N1013))</f>
        <v/>
      </c>
      <c r="J1013" s="16" t="str">
        <f aca="false">IF(B1013="","",IF(N1013=_xlfn.MINIFS($N$2:$N$5001,$B$2:$B$5001,B1013),1,0))</f>
        <v/>
      </c>
      <c r="K1013" s="16" t="str">
        <f aca="false">IF(B1013="","",IF(AND(D1013="Formalização",E1013="Concluído"),IF(COUNTIFS($B$2:$B$5001,B1013,$E$2:$E$5001,"Em ajustes",$N$2:$N$5001,"&lt;"&amp;I1013)&gt;0,1,0),0))</f>
        <v/>
      </c>
      <c r="L1013" s="16" t="str">
        <f aca="false">IF(B1013="","",IF(N1013=_xlfn.MAXIFS($N$2:$N$5001,$B$2:$B$5001,B1013,$I$2:$I$5001,I1013),1,0))</f>
        <v/>
      </c>
      <c r="M1013" s="16" t="str">
        <f aca="false">IF(B1013="","",IF(E1013="Em ajustes",IF(N1013=_xlfn.MINIFS($N$2:$N$5001,$B$2:$B$5001,B1013,$E$2:$E$5001,"Em ajustes"),1,0),0))</f>
        <v/>
      </c>
      <c r="N1013" s="17" t="str">
        <f aca="false">IF(A1013="","",IF(ISNUMBER(A1013),A1013,IFERROR(DATE(VALUE(MID(A1013,7,4)),VALUE(MID(A1013,4,2)),VALUE(MID(A1013,1,2)))+TIME(VALUE(MID(A1013,12,2)),VALUE(MID(A1013,15,2)),VALUE(MID(A1013,18,2))),"")))</f>
        <v/>
      </c>
    </row>
    <row r="1014" customFormat="false" ht="15" hidden="false" customHeight="false" outlineLevel="0" collapsed="false">
      <c r="I1014" s="15" t="str">
        <f aca="false">IF(N1014="","",INT(N1014))</f>
        <v/>
      </c>
      <c r="J1014" s="16" t="str">
        <f aca="false">IF(B1014="","",IF(N1014=_xlfn.MINIFS($N$2:$N$5001,$B$2:$B$5001,B1014),1,0))</f>
        <v/>
      </c>
      <c r="K1014" s="16" t="str">
        <f aca="false">IF(B1014="","",IF(AND(D1014="Formalização",E1014="Concluído"),IF(COUNTIFS($B$2:$B$5001,B1014,$E$2:$E$5001,"Em ajustes",$N$2:$N$5001,"&lt;"&amp;I1014)&gt;0,1,0),0))</f>
        <v/>
      </c>
      <c r="L1014" s="16" t="str">
        <f aca="false">IF(B1014="","",IF(N1014=_xlfn.MAXIFS($N$2:$N$5001,$B$2:$B$5001,B1014,$I$2:$I$5001,I1014),1,0))</f>
        <v/>
      </c>
      <c r="M1014" s="16" t="str">
        <f aca="false">IF(B1014="","",IF(E1014="Em ajustes",IF(N1014=_xlfn.MINIFS($N$2:$N$5001,$B$2:$B$5001,B1014,$E$2:$E$5001,"Em ajustes"),1,0),0))</f>
        <v/>
      </c>
      <c r="N1014" s="17" t="str">
        <f aca="false">IF(A1014="","",IF(ISNUMBER(A1014),A1014,IFERROR(DATE(VALUE(MID(A1014,7,4)),VALUE(MID(A1014,4,2)),VALUE(MID(A1014,1,2)))+TIME(VALUE(MID(A1014,12,2)),VALUE(MID(A1014,15,2)),VALUE(MID(A1014,18,2))),"")))</f>
        <v/>
      </c>
    </row>
    <row r="1015" customFormat="false" ht="15" hidden="false" customHeight="false" outlineLevel="0" collapsed="false">
      <c r="I1015" s="15" t="str">
        <f aca="false">IF(N1015="","",INT(N1015))</f>
        <v/>
      </c>
      <c r="J1015" s="16" t="str">
        <f aca="false">IF(B1015="","",IF(N1015=_xlfn.MINIFS($N$2:$N$5001,$B$2:$B$5001,B1015),1,0))</f>
        <v/>
      </c>
      <c r="K1015" s="16" t="str">
        <f aca="false">IF(B1015="","",IF(AND(D1015="Formalização",E1015="Concluído"),IF(COUNTIFS($B$2:$B$5001,B1015,$E$2:$E$5001,"Em ajustes",$N$2:$N$5001,"&lt;"&amp;I1015)&gt;0,1,0),0))</f>
        <v/>
      </c>
      <c r="L1015" s="16" t="str">
        <f aca="false">IF(B1015="","",IF(N1015=_xlfn.MAXIFS($N$2:$N$5001,$B$2:$B$5001,B1015,$I$2:$I$5001,I1015),1,0))</f>
        <v/>
      </c>
      <c r="M1015" s="16" t="str">
        <f aca="false">IF(B1015="","",IF(E1015="Em ajustes",IF(N1015=_xlfn.MINIFS($N$2:$N$5001,$B$2:$B$5001,B1015,$E$2:$E$5001,"Em ajustes"),1,0),0))</f>
        <v/>
      </c>
      <c r="N1015" s="17" t="str">
        <f aca="false">IF(A1015="","",IF(ISNUMBER(A1015),A1015,IFERROR(DATE(VALUE(MID(A1015,7,4)),VALUE(MID(A1015,4,2)),VALUE(MID(A1015,1,2)))+TIME(VALUE(MID(A1015,12,2)),VALUE(MID(A1015,15,2)),VALUE(MID(A1015,18,2))),"")))</f>
        <v/>
      </c>
    </row>
    <row r="1016" customFormat="false" ht="15" hidden="false" customHeight="false" outlineLevel="0" collapsed="false">
      <c r="I1016" s="15" t="str">
        <f aca="false">IF(N1016="","",INT(N1016))</f>
        <v/>
      </c>
      <c r="J1016" s="16" t="str">
        <f aca="false">IF(B1016="","",IF(N1016=_xlfn.MINIFS($N$2:$N$5001,$B$2:$B$5001,B1016),1,0))</f>
        <v/>
      </c>
      <c r="K1016" s="16" t="str">
        <f aca="false">IF(B1016="","",IF(AND(D1016="Formalização",E1016="Concluído"),IF(COUNTIFS($B$2:$B$5001,B1016,$E$2:$E$5001,"Em ajustes",$N$2:$N$5001,"&lt;"&amp;I1016)&gt;0,1,0),0))</f>
        <v/>
      </c>
      <c r="L1016" s="16" t="str">
        <f aca="false">IF(B1016="","",IF(N1016=_xlfn.MAXIFS($N$2:$N$5001,$B$2:$B$5001,B1016,$I$2:$I$5001,I1016),1,0))</f>
        <v/>
      </c>
      <c r="M1016" s="16" t="str">
        <f aca="false">IF(B1016="","",IF(E1016="Em ajustes",IF(N1016=_xlfn.MINIFS($N$2:$N$5001,$B$2:$B$5001,B1016,$E$2:$E$5001,"Em ajustes"),1,0),0))</f>
        <v/>
      </c>
      <c r="N1016" s="17" t="str">
        <f aca="false">IF(A1016="","",IF(ISNUMBER(A1016),A1016,IFERROR(DATE(VALUE(MID(A1016,7,4)),VALUE(MID(A1016,4,2)),VALUE(MID(A1016,1,2)))+TIME(VALUE(MID(A1016,12,2)),VALUE(MID(A1016,15,2)),VALUE(MID(A1016,18,2))),"")))</f>
        <v/>
      </c>
    </row>
    <row r="1017" customFormat="false" ht="15" hidden="false" customHeight="false" outlineLevel="0" collapsed="false">
      <c r="I1017" s="15" t="str">
        <f aca="false">IF(N1017="","",INT(N1017))</f>
        <v/>
      </c>
      <c r="J1017" s="16" t="str">
        <f aca="false">IF(B1017="","",IF(N1017=_xlfn.MINIFS($N$2:$N$5001,$B$2:$B$5001,B1017),1,0))</f>
        <v/>
      </c>
      <c r="K1017" s="16" t="str">
        <f aca="false">IF(B1017="","",IF(AND(D1017="Formalização",E1017="Concluído"),IF(COUNTIFS($B$2:$B$5001,B1017,$E$2:$E$5001,"Em ajustes",$N$2:$N$5001,"&lt;"&amp;I1017)&gt;0,1,0),0))</f>
        <v/>
      </c>
      <c r="L1017" s="16" t="str">
        <f aca="false">IF(B1017="","",IF(N1017=_xlfn.MAXIFS($N$2:$N$5001,$B$2:$B$5001,B1017,$I$2:$I$5001,I1017),1,0))</f>
        <v/>
      </c>
      <c r="M1017" s="16" t="str">
        <f aca="false">IF(B1017="","",IF(E1017="Em ajustes",IF(N1017=_xlfn.MINIFS($N$2:$N$5001,$B$2:$B$5001,B1017,$E$2:$E$5001,"Em ajustes"),1,0),0))</f>
        <v/>
      </c>
      <c r="N1017" s="17" t="str">
        <f aca="false">IF(A1017="","",IF(ISNUMBER(A1017),A1017,IFERROR(DATE(VALUE(MID(A1017,7,4)),VALUE(MID(A1017,4,2)),VALUE(MID(A1017,1,2)))+TIME(VALUE(MID(A1017,12,2)),VALUE(MID(A1017,15,2)),VALUE(MID(A1017,18,2))),"")))</f>
        <v/>
      </c>
    </row>
    <row r="1018" customFormat="false" ht="15" hidden="false" customHeight="false" outlineLevel="0" collapsed="false">
      <c r="I1018" s="15" t="str">
        <f aca="false">IF(N1018="","",INT(N1018))</f>
        <v/>
      </c>
      <c r="J1018" s="16" t="str">
        <f aca="false">IF(B1018="","",IF(N1018=_xlfn.MINIFS($N$2:$N$5001,$B$2:$B$5001,B1018),1,0))</f>
        <v/>
      </c>
      <c r="K1018" s="16" t="str">
        <f aca="false">IF(B1018="","",IF(AND(D1018="Formalização",E1018="Concluído"),IF(COUNTIFS($B$2:$B$5001,B1018,$E$2:$E$5001,"Em ajustes",$N$2:$N$5001,"&lt;"&amp;I1018)&gt;0,1,0),0))</f>
        <v/>
      </c>
      <c r="L1018" s="16" t="str">
        <f aca="false">IF(B1018="","",IF(N1018=_xlfn.MAXIFS($N$2:$N$5001,$B$2:$B$5001,B1018,$I$2:$I$5001,I1018),1,0))</f>
        <v/>
      </c>
      <c r="M1018" s="16" t="str">
        <f aca="false">IF(B1018="","",IF(E1018="Em ajustes",IF(N1018=_xlfn.MINIFS($N$2:$N$5001,$B$2:$B$5001,B1018,$E$2:$E$5001,"Em ajustes"),1,0),0))</f>
        <v/>
      </c>
      <c r="N1018" s="17" t="str">
        <f aca="false">IF(A1018="","",IF(ISNUMBER(A1018),A1018,IFERROR(DATE(VALUE(MID(A1018,7,4)),VALUE(MID(A1018,4,2)),VALUE(MID(A1018,1,2)))+TIME(VALUE(MID(A1018,12,2)),VALUE(MID(A1018,15,2)),VALUE(MID(A1018,18,2))),"")))</f>
        <v/>
      </c>
    </row>
    <row r="1019" customFormat="false" ht="15" hidden="false" customHeight="false" outlineLevel="0" collapsed="false">
      <c r="I1019" s="15" t="str">
        <f aca="false">IF(N1019="","",INT(N1019))</f>
        <v/>
      </c>
      <c r="J1019" s="16" t="str">
        <f aca="false">IF(B1019="","",IF(N1019=_xlfn.MINIFS($N$2:$N$5001,$B$2:$B$5001,B1019),1,0))</f>
        <v/>
      </c>
      <c r="K1019" s="16" t="str">
        <f aca="false">IF(B1019="","",IF(AND(D1019="Formalização",E1019="Concluído"),IF(COUNTIFS($B$2:$B$5001,B1019,$E$2:$E$5001,"Em ajustes",$N$2:$N$5001,"&lt;"&amp;I1019)&gt;0,1,0),0))</f>
        <v/>
      </c>
      <c r="L1019" s="16" t="str">
        <f aca="false">IF(B1019="","",IF(N1019=_xlfn.MAXIFS($N$2:$N$5001,$B$2:$B$5001,B1019,$I$2:$I$5001,I1019),1,0))</f>
        <v/>
      </c>
      <c r="M1019" s="16" t="str">
        <f aca="false">IF(B1019="","",IF(E1019="Em ajustes",IF(N1019=_xlfn.MINIFS($N$2:$N$5001,$B$2:$B$5001,B1019,$E$2:$E$5001,"Em ajustes"),1,0),0))</f>
        <v/>
      </c>
      <c r="N1019" s="17" t="str">
        <f aca="false">IF(A1019="","",IF(ISNUMBER(A1019),A1019,IFERROR(DATE(VALUE(MID(A1019,7,4)),VALUE(MID(A1019,4,2)),VALUE(MID(A1019,1,2)))+TIME(VALUE(MID(A1019,12,2)),VALUE(MID(A1019,15,2)),VALUE(MID(A1019,18,2))),"")))</f>
        <v/>
      </c>
    </row>
    <row r="1020" customFormat="false" ht="15" hidden="false" customHeight="false" outlineLevel="0" collapsed="false">
      <c r="I1020" s="15" t="str">
        <f aca="false">IF(N1020="","",INT(N1020))</f>
        <v/>
      </c>
      <c r="J1020" s="16" t="str">
        <f aca="false">IF(B1020="","",IF(N1020=_xlfn.MINIFS($N$2:$N$5001,$B$2:$B$5001,B1020),1,0))</f>
        <v/>
      </c>
      <c r="K1020" s="16" t="str">
        <f aca="false">IF(B1020="","",IF(AND(D1020="Formalização",E1020="Concluído"),IF(COUNTIFS($B$2:$B$5001,B1020,$E$2:$E$5001,"Em ajustes",$N$2:$N$5001,"&lt;"&amp;I1020)&gt;0,1,0),0))</f>
        <v/>
      </c>
      <c r="L1020" s="16" t="str">
        <f aca="false">IF(B1020="","",IF(N1020=_xlfn.MAXIFS($N$2:$N$5001,$B$2:$B$5001,B1020,$I$2:$I$5001,I1020),1,0))</f>
        <v/>
      </c>
      <c r="M1020" s="16" t="str">
        <f aca="false">IF(B1020="","",IF(E1020="Em ajustes",IF(N1020=_xlfn.MINIFS($N$2:$N$5001,$B$2:$B$5001,B1020,$E$2:$E$5001,"Em ajustes"),1,0),0))</f>
        <v/>
      </c>
      <c r="N1020" s="17" t="str">
        <f aca="false">IF(A1020="","",IF(ISNUMBER(A1020),A1020,IFERROR(DATE(VALUE(MID(A1020,7,4)),VALUE(MID(A1020,4,2)),VALUE(MID(A1020,1,2)))+TIME(VALUE(MID(A1020,12,2)),VALUE(MID(A1020,15,2)),VALUE(MID(A1020,18,2))),"")))</f>
        <v/>
      </c>
    </row>
    <row r="1021" customFormat="false" ht="15" hidden="false" customHeight="false" outlineLevel="0" collapsed="false">
      <c r="I1021" s="15" t="str">
        <f aca="false">IF(N1021="","",INT(N1021))</f>
        <v/>
      </c>
      <c r="J1021" s="16" t="str">
        <f aca="false">IF(B1021="","",IF(N1021=_xlfn.MINIFS($N$2:$N$5001,$B$2:$B$5001,B1021),1,0))</f>
        <v/>
      </c>
      <c r="K1021" s="16" t="str">
        <f aca="false">IF(B1021="","",IF(AND(D1021="Formalização",E1021="Concluído"),IF(COUNTIFS($B$2:$B$5001,B1021,$E$2:$E$5001,"Em ajustes",$N$2:$N$5001,"&lt;"&amp;I1021)&gt;0,1,0),0))</f>
        <v/>
      </c>
      <c r="L1021" s="16" t="str">
        <f aca="false">IF(B1021="","",IF(N1021=_xlfn.MAXIFS($N$2:$N$5001,$B$2:$B$5001,B1021,$I$2:$I$5001,I1021),1,0))</f>
        <v/>
      </c>
      <c r="M1021" s="16" t="str">
        <f aca="false">IF(B1021="","",IF(E1021="Em ajustes",IF(N1021=_xlfn.MINIFS($N$2:$N$5001,$B$2:$B$5001,B1021,$E$2:$E$5001,"Em ajustes"),1,0),0))</f>
        <v/>
      </c>
      <c r="N1021" s="17" t="str">
        <f aca="false">IF(A1021="","",IF(ISNUMBER(A1021),A1021,IFERROR(DATE(VALUE(MID(A1021,7,4)),VALUE(MID(A1021,4,2)),VALUE(MID(A1021,1,2)))+TIME(VALUE(MID(A1021,12,2)),VALUE(MID(A1021,15,2)),VALUE(MID(A1021,18,2))),"")))</f>
        <v/>
      </c>
    </row>
    <row r="1022" customFormat="false" ht="15" hidden="false" customHeight="false" outlineLevel="0" collapsed="false">
      <c r="I1022" s="15" t="str">
        <f aca="false">IF(N1022="","",INT(N1022))</f>
        <v/>
      </c>
      <c r="J1022" s="16" t="str">
        <f aca="false">IF(B1022="","",IF(N1022=_xlfn.MINIFS($N$2:$N$5001,$B$2:$B$5001,B1022),1,0))</f>
        <v/>
      </c>
      <c r="K1022" s="16" t="str">
        <f aca="false">IF(B1022="","",IF(AND(D1022="Formalização",E1022="Concluído"),IF(COUNTIFS($B$2:$B$5001,B1022,$E$2:$E$5001,"Em ajustes",$N$2:$N$5001,"&lt;"&amp;I1022)&gt;0,1,0),0))</f>
        <v/>
      </c>
      <c r="L1022" s="16" t="str">
        <f aca="false">IF(B1022="","",IF(N1022=_xlfn.MAXIFS($N$2:$N$5001,$B$2:$B$5001,B1022,$I$2:$I$5001,I1022),1,0))</f>
        <v/>
      </c>
      <c r="M1022" s="16" t="str">
        <f aca="false">IF(B1022="","",IF(E1022="Em ajustes",IF(N1022=_xlfn.MINIFS($N$2:$N$5001,$B$2:$B$5001,B1022,$E$2:$E$5001,"Em ajustes"),1,0),0))</f>
        <v/>
      </c>
      <c r="N1022" s="17" t="str">
        <f aca="false">IF(A1022="","",IF(ISNUMBER(A1022),A1022,IFERROR(DATE(VALUE(MID(A1022,7,4)),VALUE(MID(A1022,4,2)),VALUE(MID(A1022,1,2)))+TIME(VALUE(MID(A1022,12,2)),VALUE(MID(A1022,15,2)),VALUE(MID(A1022,18,2))),"")))</f>
        <v/>
      </c>
    </row>
    <row r="1023" customFormat="false" ht="15" hidden="false" customHeight="false" outlineLevel="0" collapsed="false">
      <c r="I1023" s="15" t="str">
        <f aca="false">IF(N1023="","",INT(N1023))</f>
        <v/>
      </c>
      <c r="J1023" s="16" t="str">
        <f aca="false">IF(B1023="","",IF(N1023=_xlfn.MINIFS($N$2:$N$5001,$B$2:$B$5001,B1023),1,0))</f>
        <v/>
      </c>
      <c r="K1023" s="16" t="str">
        <f aca="false">IF(B1023="","",IF(AND(D1023="Formalização",E1023="Concluído"),IF(COUNTIFS($B$2:$B$5001,B1023,$E$2:$E$5001,"Em ajustes",$N$2:$N$5001,"&lt;"&amp;I1023)&gt;0,1,0),0))</f>
        <v/>
      </c>
      <c r="L1023" s="16" t="str">
        <f aca="false">IF(B1023="","",IF(N1023=_xlfn.MAXIFS($N$2:$N$5001,$B$2:$B$5001,B1023,$I$2:$I$5001,I1023),1,0))</f>
        <v/>
      </c>
      <c r="M1023" s="16" t="str">
        <f aca="false">IF(B1023="","",IF(E1023="Em ajustes",IF(N1023=_xlfn.MINIFS($N$2:$N$5001,$B$2:$B$5001,B1023,$E$2:$E$5001,"Em ajustes"),1,0),0))</f>
        <v/>
      </c>
      <c r="N1023" s="17" t="str">
        <f aca="false">IF(A1023="","",IF(ISNUMBER(A1023),A1023,IFERROR(DATE(VALUE(MID(A1023,7,4)),VALUE(MID(A1023,4,2)),VALUE(MID(A1023,1,2)))+TIME(VALUE(MID(A1023,12,2)),VALUE(MID(A1023,15,2)),VALUE(MID(A1023,18,2))),"")))</f>
        <v/>
      </c>
    </row>
    <row r="1024" customFormat="false" ht="15" hidden="false" customHeight="false" outlineLevel="0" collapsed="false">
      <c r="I1024" s="15" t="str">
        <f aca="false">IF(N1024="","",INT(N1024))</f>
        <v/>
      </c>
      <c r="J1024" s="16" t="str">
        <f aca="false">IF(B1024="","",IF(N1024=_xlfn.MINIFS($N$2:$N$5001,$B$2:$B$5001,B1024),1,0))</f>
        <v/>
      </c>
      <c r="K1024" s="16" t="str">
        <f aca="false">IF(B1024="","",IF(AND(D1024="Formalização",E1024="Concluído"),IF(COUNTIFS($B$2:$B$5001,B1024,$E$2:$E$5001,"Em ajustes",$N$2:$N$5001,"&lt;"&amp;I1024)&gt;0,1,0),0))</f>
        <v/>
      </c>
      <c r="L1024" s="16" t="str">
        <f aca="false">IF(B1024="","",IF(N1024=_xlfn.MAXIFS($N$2:$N$5001,$B$2:$B$5001,B1024,$I$2:$I$5001,I1024),1,0))</f>
        <v/>
      </c>
      <c r="M1024" s="16" t="str">
        <f aca="false">IF(B1024="","",IF(E1024="Em ajustes",IF(N1024=_xlfn.MINIFS($N$2:$N$5001,$B$2:$B$5001,B1024,$E$2:$E$5001,"Em ajustes"),1,0),0))</f>
        <v/>
      </c>
      <c r="N1024" s="17" t="str">
        <f aca="false">IF(A1024="","",IF(ISNUMBER(A1024),A1024,IFERROR(DATE(VALUE(MID(A1024,7,4)),VALUE(MID(A1024,4,2)),VALUE(MID(A1024,1,2)))+TIME(VALUE(MID(A1024,12,2)),VALUE(MID(A1024,15,2)),VALUE(MID(A1024,18,2))),"")))</f>
        <v/>
      </c>
    </row>
    <row r="1025" customFormat="false" ht="15" hidden="false" customHeight="false" outlineLevel="0" collapsed="false">
      <c r="I1025" s="15" t="str">
        <f aca="false">IF(N1025="","",INT(N1025))</f>
        <v/>
      </c>
      <c r="J1025" s="16" t="str">
        <f aca="false">IF(B1025="","",IF(N1025=_xlfn.MINIFS($N$2:$N$5001,$B$2:$B$5001,B1025),1,0))</f>
        <v/>
      </c>
      <c r="K1025" s="16" t="str">
        <f aca="false">IF(B1025="","",IF(AND(D1025="Formalização",E1025="Concluído"),IF(COUNTIFS($B$2:$B$5001,B1025,$E$2:$E$5001,"Em ajustes",$N$2:$N$5001,"&lt;"&amp;I1025)&gt;0,1,0),0))</f>
        <v/>
      </c>
      <c r="L1025" s="16" t="str">
        <f aca="false">IF(B1025="","",IF(N1025=_xlfn.MAXIFS($N$2:$N$5001,$B$2:$B$5001,B1025,$I$2:$I$5001,I1025),1,0))</f>
        <v/>
      </c>
      <c r="M1025" s="16" t="str">
        <f aca="false">IF(B1025="","",IF(E1025="Em ajustes",IF(N1025=_xlfn.MINIFS($N$2:$N$5001,$B$2:$B$5001,B1025,$E$2:$E$5001,"Em ajustes"),1,0),0))</f>
        <v/>
      </c>
      <c r="N1025" s="17" t="str">
        <f aca="false">IF(A1025="","",IF(ISNUMBER(A1025),A1025,IFERROR(DATE(VALUE(MID(A1025,7,4)),VALUE(MID(A1025,4,2)),VALUE(MID(A1025,1,2)))+TIME(VALUE(MID(A1025,12,2)),VALUE(MID(A1025,15,2)),VALUE(MID(A1025,18,2))),"")))</f>
        <v/>
      </c>
    </row>
    <row r="1026" customFormat="false" ht="15" hidden="false" customHeight="false" outlineLevel="0" collapsed="false">
      <c r="I1026" s="15" t="str">
        <f aca="false">IF(N1026="","",INT(N1026))</f>
        <v/>
      </c>
      <c r="J1026" s="16" t="str">
        <f aca="false">IF(B1026="","",IF(N1026=_xlfn.MINIFS($N$2:$N$5001,$B$2:$B$5001,B1026),1,0))</f>
        <v/>
      </c>
      <c r="K1026" s="16" t="str">
        <f aca="false">IF(B1026="","",IF(AND(D1026="Formalização",E1026="Concluído"),IF(COUNTIFS($B$2:$B$5001,B1026,$E$2:$E$5001,"Em ajustes",$N$2:$N$5001,"&lt;"&amp;I1026)&gt;0,1,0),0))</f>
        <v/>
      </c>
      <c r="L1026" s="16" t="str">
        <f aca="false">IF(B1026="","",IF(N1026=_xlfn.MAXIFS($N$2:$N$5001,$B$2:$B$5001,B1026,$I$2:$I$5001,I1026),1,0))</f>
        <v/>
      </c>
      <c r="M1026" s="16" t="str">
        <f aca="false">IF(B1026="","",IF(E1026="Em ajustes",IF(N1026=_xlfn.MINIFS($N$2:$N$5001,$B$2:$B$5001,B1026,$E$2:$E$5001,"Em ajustes"),1,0),0))</f>
        <v/>
      </c>
      <c r="N1026" s="17" t="str">
        <f aca="false">IF(A1026="","",IF(ISNUMBER(A1026),A1026,IFERROR(DATE(VALUE(MID(A1026,7,4)),VALUE(MID(A1026,4,2)),VALUE(MID(A1026,1,2)))+TIME(VALUE(MID(A1026,12,2)),VALUE(MID(A1026,15,2)),VALUE(MID(A1026,18,2))),"")))</f>
        <v/>
      </c>
    </row>
    <row r="1027" customFormat="false" ht="15" hidden="false" customHeight="false" outlineLevel="0" collapsed="false">
      <c r="I1027" s="15" t="str">
        <f aca="false">IF(N1027="","",INT(N1027))</f>
        <v/>
      </c>
      <c r="J1027" s="16" t="str">
        <f aca="false">IF(B1027="","",IF(N1027=_xlfn.MINIFS($N$2:$N$5001,$B$2:$B$5001,B1027),1,0))</f>
        <v/>
      </c>
      <c r="K1027" s="16" t="str">
        <f aca="false">IF(B1027="","",IF(AND(D1027="Formalização",E1027="Concluído"),IF(COUNTIFS($B$2:$B$5001,B1027,$E$2:$E$5001,"Em ajustes",$N$2:$N$5001,"&lt;"&amp;I1027)&gt;0,1,0),0))</f>
        <v/>
      </c>
      <c r="L1027" s="16" t="str">
        <f aca="false">IF(B1027="","",IF(N1027=_xlfn.MAXIFS($N$2:$N$5001,$B$2:$B$5001,B1027,$I$2:$I$5001,I1027),1,0))</f>
        <v/>
      </c>
      <c r="M1027" s="16" t="str">
        <f aca="false">IF(B1027="","",IF(E1027="Em ajustes",IF(N1027=_xlfn.MINIFS($N$2:$N$5001,$B$2:$B$5001,B1027,$E$2:$E$5001,"Em ajustes"),1,0),0))</f>
        <v/>
      </c>
      <c r="N1027" s="17" t="str">
        <f aca="false">IF(A1027="","",IF(ISNUMBER(A1027),A1027,IFERROR(DATE(VALUE(MID(A1027,7,4)),VALUE(MID(A1027,4,2)),VALUE(MID(A1027,1,2)))+TIME(VALUE(MID(A1027,12,2)),VALUE(MID(A1027,15,2)),VALUE(MID(A1027,18,2))),"")))</f>
        <v/>
      </c>
    </row>
    <row r="1028" customFormat="false" ht="15" hidden="false" customHeight="false" outlineLevel="0" collapsed="false">
      <c r="I1028" s="15" t="str">
        <f aca="false">IF(N1028="","",INT(N1028))</f>
        <v/>
      </c>
      <c r="J1028" s="16" t="str">
        <f aca="false">IF(B1028="","",IF(N1028=_xlfn.MINIFS($N$2:$N$5001,$B$2:$B$5001,B1028),1,0))</f>
        <v/>
      </c>
      <c r="K1028" s="16" t="str">
        <f aca="false">IF(B1028="","",IF(AND(D1028="Formalização",E1028="Concluído"),IF(COUNTIFS($B$2:$B$5001,B1028,$E$2:$E$5001,"Em ajustes",$N$2:$N$5001,"&lt;"&amp;I1028)&gt;0,1,0),0))</f>
        <v/>
      </c>
      <c r="L1028" s="16" t="str">
        <f aca="false">IF(B1028="","",IF(N1028=_xlfn.MAXIFS($N$2:$N$5001,$B$2:$B$5001,B1028,$I$2:$I$5001,I1028),1,0))</f>
        <v/>
      </c>
      <c r="M1028" s="16" t="str">
        <f aca="false">IF(B1028="","",IF(E1028="Em ajustes",IF(N1028=_xlfn.MINIFS($N$2:$N$5001,$B$2:$B$5001,B1028,$E$2:$E$5001,"Em ajustes"),1,0),0))</f>
        <v/>
      </c>
      <c r="N1028" s="17" t="str">
        <f aca="false">IF(A1028="","",IF(ISNUMBER(A1028),A1028,IFERROR(DATE(VALUE(MID(A1028,7,4)),VALUE(MID(A1028,4,2)),VALUE(MID(A1028,1,2)))+TIME(VALUE(MID(A1028,12,2)),VALUE(MID(A1028,15,2)),VALUE(MID(A1028,18,2))),"")))</f>
        <v/>
      </c>
    </row>
    <row r="1029" customFormat="false" ht="15" hidden="false" customHeight="false" outlineLevel="0" collapsed="false">
      <c r="I1029" s="15" t="str">
        <f aca="false">IF(N1029="","",INT(N1029))</f>
        <v/>
      </c>
      <c r="J1029" s="16" t="str">
        <f aca="false">IF(B1029="","",IF(N1029=_xlfn.MINIFS($N$2:$N$5001,$B$2:$B$5001,B1029),1,0))</f>
        <v/>
      </c>
      <c r="K1029" s="16" t="str">
        <f aca="false">IF(B1029="","",IF(AND(D1029="Formalização",E1029="Concluído"),IF(COUNTIFS($B$2:$B$5001,B1029,$E$2:$E$5001,"Em ajustes",$N$2:$N$5001,"&lt;"&amp;I1029)&gt;0,1,0),0))</f>
        <v/>
      </c>
      <c r="L1029" s="16" t="str">
        <f aca="false">IF(B1029="","",IF(N1029=_xlfn.MAXIFS($N$2:$N$5001,$B$2:$B$5001,B1029,$I$2:$I$5001,I1029),1,0))</f>
        <v/>
      </c>
      <c r="M1029" s="16" t="str">
        <f aca="false">IF(B1029="","",IF(E1029="Em ajustes",IF(N1029=_xlfn.MINIFS($N$2:$N$5001,$B$2:$B$5001,B1029,$E$2:$E$5001,"Em ajustes"),1,0),0))</f>
        <v/>
      </c>
      <c r="N1029" s="17" t="str">
        <f aca="false">IF(A1029="","",IF(ISNUMBER(A1029),A1029,IFERROR(DATE(VALUE(MID(A1029,7,4)),VALUE(MID(A1029,4,2)),VALUE(MID(A1029,1,2)))+TIME(VALUE(MID(A1029,12,2)),VALUE(MID(A1029,15,2)),VALUE(MID(A1029,18,2))),"")))</f>
        <v/>
      </c>
    </row>
    <row r="1030" customFormat="false" ht="15" hidden="false" customHeight="false" outlineLevel="0" collapsed="false">
      <c r="I1030" s="15" t="str">
        <f aca="false">IF(N1030="","",INT(N1030))</f>
        <v/>
      </c>
      <c r="J1030" s="16" t="str">
        <f aca="false">IF(B1030="","",IF(N1030=_xlfn.MINIFS($N$2:$N$5001,$B$2:$B$5001,B1030),1,0))</f>
        <v/>
      </c>
      <c r="K1030" s="16" t="str">
        <f aca="false">IF(B1030="","",IF(AND(D1030="Formalização",E1030="Concluído"),IF(COUNTIFS($B$2:$B$5001,B1030,$E$2:$E$5001,"Em ajustes",$N$2:$N$5001,"&lt;"&amp;I1030)&gt;0,1,0),0))</f>
        <v/>
      </c>
      <c r="L1030" s="16" t="str">
        <f aca="false">IF(B1030="","",IF(N1030=_xlfn.MAXIFS($N$2:$N$5001,$B$2:$B$5001,B1030,$I$2:$I$5001,I1030),1,0))</f>
        <v/>
      </c>
      <c r="M1030" s="16" t="str">
        <f aca="false">IF(B1030="","",IF(E1030="Em ajustes",IF(N1030=_xlfn.MINIFS($N$2:$N$5001,$B$2:$B$5001,B1030,$E$2:$E$5001,"Em ajustes"),1,0),0))</f>
        <v/>
      </c>
      <c r="N1030" s="17" t="str">
        <f aca="false">IF(A1030="","",IF(ISNUMBER(A1030),A1030,IFERROR(DATE(VALUE(MID(A1030,7,4)),VALUE(MID(A1030,4,2)),VALUE(MID(A1030,1,2)))+TIME(VALUE(MID(A1030,12,2)),VALUE(MID(A1030,15,2)),VALUE(MID(A1030,18,2))),"")))</f>
        <v/>
      </c>
    </row>
    <row r="1031" customFormat="false" ht="15" hidden="false" customHeight="false" outlineLevel="0" collapsed="false">
      <c r="I1031" s="15" t="str">
        <f aca="false">IF(N1031="","",INT(N1031))</f>
        <v/>
      </c>
      <c r="J1031" s="16" t="str">
        <f aca="false">IF(B1031="","",IF(N1031=_xlfn.MINIFS($N$2:$N$5001,$B$2:$B$5001,B1031),1,0))</f>
        <v/>
      </c>
      <c r="K1031" s="16" t="str">
        <f aca="false">IF(B1031="","",IF(AND(D1031="Formalização",E1031="Concluído"),IF(COUNTIFS($B$2:$B$5001,B1031,$E$2:$E$5001,"Em ajustes",$N$2:$N$5001,"&lt;"&amp;I1031)&gt;0,1,0),0))</f>
        <v/>
      </c>
      <c r="L1031" s="16" t="str">
        <f aca="false">IF(B1031="","",IF(N1031=_xlfn.MAXIFS($N$2:$N$5001,$B$2:$B$5001,B1031,$I$2:$I$5001,I1031),1,0))</f>
        <v/>
      </c>
      <c r="M1031" s="16" t="str">
        <f aca="false">IF(B1031="","",IF(E1031="Em ajustes",IF(N1031=_xlfn.MINIFS($N$2:$N$5001,$B$2:$B$5001,B1031,$E$2:$E$5001,"Em ajustes"),1,0),0))</f>
        <v/>
      </c>
      <c r="N1031" s="17" t="str">
        <f aca="false">IF(A1031="","",IF(ISNUMBER(A1031),A1031,IFERROR(DATE(VALUE(MID(A1031,7,4)),VALUE(MID(A1031,4,2)),VALUE(MID(A1031,1,2)))+TIME(VALUE(MID(A1031,12,2)),VALUE(MID(A1031,15,2)),VALUE(MID(A1031,18,2))),"")))</f>
        <v/>
      </c>
    </row>
    <row r="1032" customFormat="false" ht="15" hidden="false" customHeight="false" outlineLevel="0" collapsed="false">
      <c r="I1032" s="15" t="str">
        <f aca="false">IF(N1032="","",INT(N1032))</f>
        <v/>
      </c>
      <c r="J1032" s="16" t="str">
        <f aca="false">IF(B1032="","",IF(N1032=_xlfn.MINIFS($N$2:$N$5001,$B$2:$B$5001,B1032),1,0))</f>
        <v/>
      </c>
      <c r="K1032" s="16" t="str">
        <f aca="false">IF(B1032="","",IF(AND(D1032="Formalização",E1032="Concluído"),IF(COUNTIFS($B$2:$B$5001,B1032,$E$2:$E$5001,"Em ajustes",$N$2:$N$5001,"&lt;"&amp;I1032)&gt;0,1,0),0))</f>
        <v/>
      </c>
      <c r="L1032" s="16" t="str">
        <f aca="false">IF(B1032="","",IF(N1032=_xlfn.MAXIFS($N$2:$N$5001,$B$2:$B$5001,B1032,$I$2:$I$5001,I1032),1,0))</f>
        <v/>
      </c>
      <c r="M1032" s="16" t="str">
        <f aca="false">IF(B1032="","",IF(E1032="Em ajustes",IF(N1032=_xlfn.MINIFS($N$2:$N$5001,$B$2:$B$5001,B1032,$E$2:$E$5001,"Em ajustes"),1,0),0))</f>
        <v/>
      </c>
      <c r="N1032" s="17" t="str">
        <f aca="false">IF(A1032="","",IF(ISNUMBER(A1032),A1032,IFERROR(DATE(VALUE(MID(A1032,7,4)),VALUE(MID(A1032,4,2)),VALUE(MID(A1032,1,2)))+TIME(VALUE(MID(A1032,12,2)),VALUE(MID(A1032,15,2)),VALUE(MID(A1032,18,2))),"")))</f>
        <v/>
      </c>
    </row>
    <row r="1033" customFormat="false" ht="15" hidden="false" customHeight="false" outlineLevel="0" collapsed="false">
      <c r="I1033" s="15" t="str">
        <f aca="false">IF(N1033="","",INT(N1033))</f>
        <v/>
      </c>
      <c r="J1033" s="16" t="str">
        <f aca="false">IF(B1033="","",IF(N1033=_xlfn.MINIFS($N$2:$N$5001,$B$2:$B$5001,B1033),1,0))</f>
        <v/>
      </c>
      <c r="K1033" s="16" t="str">
        <f aca="false">IF(B1033="","",IF(AND(D1033="Formalização",E1033="Concluído"),IF(COUNTIFS($B$2:$B$5001,B1033,$E$2:$E$5001,"Em ajustes",$N$2:$N$5001,"&lt;"&amp;I1033)&gt;0,1,0),0))</f>
        <v/>
      </c>
      <c r="L1033" s="16" t="str">
        <f aca="false">IF(B1033="","",IF(N1033=_xlfn.MAXIFS($N$2:$N$5001,$B$2:$B$5001,B1033,$I$2:$I$5001,I1033),1,0))</f>
        <v/>
      </c>
      <c r="M1033" s="16" t="str">
        <f aca="false">IF(B1033="","",IF(E1033="Em ajustes",IF(N1033=_xlfn.MINIFS($N$2:$N$5001,$B$2:$B$5001,B1033,$E$2:$E$5001,"Em ajustes"),1,0),0))</f>
        <v/>
      </c>
      <c r="N1033" s="17" t="str">
        <f aca="false">IF(A1033="","",IF(ISNUMBER(A1033),A1033,IFERROR(DATE(VALUE(MID(A1033,7,4)),VALUE(MID(A1033,4,2)),VALUE(MID(A1033,1,2)))+TIME(VALUE(MID(A1033,12,2)),VALUE(MID(A1033,15,2)),VALUE(MID(A1033,18,2))),"")))</f>
        <v/>
      </c>
    </row>
    <row r="1034" customFormat="false" ht="15" hidden="false" customHeight="false" outlineLevel="0" collapsed="false">
      <c r="I1034" s="15" t="str">
        <f aca="false">IF(N1034="","",INT(N1034))</f>
        <v/>
      </c>
      <c r="J1034" s="16" t="str">
        <f aca="false">IF(B1034="","",IF(N1034=_xlfn.MINIFS($N$2:$N$5001,$B$2:$B$5001,B1034),1,0))</f>
        <v/>
      </c>
      <c r="K1034" s="16" t="str">
        <f aca="false">IF(B1034="","",IF(AND(D1034="Formalização",E1034="Concluído"),IF(COUNTIFS($B$2:$B$5001,B1034,$E$2:$E$5001,"Em ajustes",$N$2:$N$5001,"&lt;"&amp;I1034)&gt;0,1,0),0))</f>
        <v/>
      </c>
      <c r="L1034" s="16" t="str">
        <f aca="false">IF(B1034="","",IF(N1034=_xlfn.MAXIFS($N$2:$N$5001,$B$2:$B$5001,B1034,$I$2:$I$5001,I1034),1,0))</f>
        <v/>
      </c>
      <c r="M1034" s="16" t="str">
        <f aca="false">IF(B1034="","",IF(E1034="Em ajustes",IF(N1034=_xlfn.MINIFS($N$2:$N$5001,$B$2:$B$5001,B1034,$E$2:$E$5001,"Em ajustes"),1,0),0))</f>
        <v/>
      </c>
      <c r="N1034" s="17" t="str">
        <f aca="false">IF(A1034="","",IF(ISNUMBER(A1034),A1034,IFERROR(DATE(VALUE(MID(A1034,7,4)),VALUE(MID(A1034,4,2)),VALUE(MID(A1034,1,2)))+TIME(VALUE(MID(A1034,12,2)),VALUE(MID(A1034,15,2)),VALUE(MID(A1034,18,2))),"")))</f>
        <v/>
      </c>
    </row>
    <row r="1035" customFormat="false" ht="15" hidden="false" customHeight="false" outlineLevel="0" collapsed="false">
      <c r="I1035" s="15" t="str">
        <f aca="false">IF(N1035="","",INT(N1035))</f>
        <v/>
      </c>
      <c r="J1035" s="16" t="str">
        <f aca="false">IF(B1035="","",IF(N1035=_xlfn.MINIFS($N$2:$N$5001,$B$2:$B$5001,B1035),1,0))</f>
        <v/>
      </c>
      <c r="K1035" s="16" t="str">
        <f aca="false">IF(B1035="","",IF(AND(D1035="Formalização",E1035="Concluído"),IF(COUNTIFS($B$2:$B$5001,B1035,$E$2:$E$5001,"Em ajustes",$N$2:$N$5001,"&lt;"&amp;I1035)&gt;0,1,0),0))</f>
        <v/>
      </c>
      <c r="L1035" s="16" t="str">
        <f aca="false">IF(B1035="","",IF(N1035=_xlfn.MAXIFS($N$2:$N$5001,$B$2:$B$5001,B1035,$I$2:$I$5001,I1035),1,0))</f>
        <v/>
      </c>
      <c r="M1035" s="16" t="str">
        <f aca="false">IF(B1035="","",IF(E1035="Em ajustes",IF(N1035=_xlfn.MINIFS($N$2:$N$5001,$B$2:$B$5001,B1035,$E$2:$E$5001,"Em ajustes"),1,0),0))</f>
        <v/>
      </c>
      <c r="N1035" s="17" t="str">
        <f aca="false">IF(A1035="","",IF(ISNUMBER(A1035),A1035,IFERROR(DATE(VALUE(MID(A1035,7,4)),VALUE(MID(A1035,4,2)),VALUE(MID(A1035,1,2)))+TIME(VALUE(MID(A1035,12,2)),VALUE(MID(A1035,15,2)),VALUE(MID(A1035,18,2))),"")))</f>
        <v/>
      </c>
    </row>
    <row r="1036" customFormat="false" ht="15" hidden="false" customHeight="false" outlineLevel="0" collapsed="false">
      <c r="I1036" s="15" t="str">
        <f aca="false">IF(N1036="","",INT(N1036))</f>
        <v/>
      </c>
      <c r="J1036" s="16" t="str">
        <f aca="false">IF(B1036="","",IF(N1036=_xlfn.MINIFS($N$2:$N$5001,$B$2:$B$5001,B1036),1,0))</f>
        <v/>
      </c>
      <c r="K1036" s="16" t="str">
        <f aca="false">IF(B1036="","",IF(AND(D1036="Formalização",E1036="Concluído"),IF(COUNTIFS($B$2:$B$5001,B1036,$E$2:$E$5001,"Em ajustes",$N$2:$N$5001,"&lt;"&amp;I1036)&gt;0,1,0),0))</f>
        <v/>
      </c>
      <c r="L1036" s="16" t="str">
        <f aca="false">IF(B1036="","",IF(N1036=_xlfn.MAXIFS($N$2:$N$5001,$B$2:$B$5001,B1036,$I$2:$I$5001,I1036),1,0))</f>
        <v/>
      </c>
      <c r="M1036" s="16" t="str">
        <f aca="false">IF(B1036="","",IF(E1036="Em ajustes",IF(N1036=_xlfn.MINIFS($N$2:$N$5001,$B$2:$B$5001,B1036,$E$2:$E$5001,"Em ajustes"),1,0),0))</f>
        <v/>
      </c>
      <c r="N1036" s="17" t="str">
        <f aca="false">IF(A1036="","",IF(ISNUMBER(A1036),A1036,IFERROR(DATE(VALUE(MID(A1036,7,4)),VALUE(MID(A1036,4,2)),VALUE(MID(A1036,1,2)))+TIME(VALUE(MID(A1036,12,2)),VALUE(MID(A1036,15,2)),VALUE(MID(A1036,18,2))),"")))</f>
        <v/>
      </c>
    </row>
    <row r="1037" customFormat="false" ht="15" hidden="false" customHeight="false" outlineLevel="0" collapsed="false">
      <c r="I1037" s="15" t="str">
        <f aca="false">IF(N1037="","",INT(N1037))</f>
        <v/>
      </c>
      <c r="J1037" s="16" t="str">
        <f aca="false">IF(B1037="","",IF(N1037=_xlfn.MINIFS($N$2:$N$5001,$B$2:$B$5001,B1037),1,0))</f>
        <v/>
      </c>
      <c r="K1037" s="16" t="str">
        <f aca="false">IF(B1037="","",IF(AND(D1037="Formalização",E1037="Concluído"),IF(COUNTIFS($B$2:$B$5001,B1037,$E$2:$E$5001,"Em ajustes",$N$2:$N$5001,"&lt;"&amp;I1037)&gt;0,1,0),0))</f>
        <v/>
      </c>
      <c r="L1037" s="16" t="str">
        <f aca="false">IF(B1037="","",IF(N1037=_xlfn.MAXIFS($N$2:$N$5001,$B$2:$B$5001,B1037,$I$2:$I$5001,I1037),1,0))</f>
        <v/>
      </c>
      <c r="M1037" s="16" t="str">
        <f aca="false">IF(B1037="","",IF(E1037="Em ajustes",IF(N1037=_xlfn.MINIFS($N$2:$N$5001,$B$2:$B$5001,B1037,$E$2:$E$5001,"Em ajustes"),1,0),0))</f>
        <v/>
      </c>
      <c r="N1037" s="17" t="str">
        <f aca="false">IF(A1037="","",IF(ISNUMBER(A1037),A1037,IFERROR(DATE(VALUE(MID(A1037,7,4)),VALUE(MID(A1037,4,2)),VALUE(MID(A1037,1,2)))+TIME(VALUE(MID(A1037,12,2)),VALUE(MID(A1037,15,2)),VALUE(MID(A1037,18,2))),"")))</f>
        <v/>
      </c>
    </row>
    <row r="1038" customFormat="false" ht="15" hidden="false" customHeight="false" outlineLevel="0" collapsed="false">
      <c r="I1038" s="15" t="str">
        <f aca="false">IF(N1038="","",INT(N1038))</f>
        <v/>
      </c>
      <c r="J1038" s="16" t="str">
        <f aca="false">IF(B1038="","",IF(N1038=_xlfn.MINIFS($N$2:$N$5001,$B$2:$B$5001,B1038),1,0))</f>
        <v/>
      </c>
      <c r="K1038" s="16" t="str">
        <f aca="false">IF(B1038="","",IF(AND(D1038="Formalização",E1038="Concluído"),IF(COUNTIFS($B$2:$B$5001,B1038,$E$2:$E$5001,"Em ajustes",$N$2:$N$5001,"&lt;"&amp;I1038)&gt;0,1,0),0))</f>
        <v/>
      </c>
      <c r="L1038" s="16" t="str">
        <f aca="false">IF(B1038="","",IF(N1038=_xlfn.MAXIFS($N$2:$N$5001,$B$2:$B$5001,B1038,$I$2:$I$5001,I1038),1,0))</f>
        <v/>
      </c>
      <c r="M1038" s="16" t="str">
        <f aca="false">IF(B1038="","",IF(E1038="Em ajustes",IF(N1038=_xlfn.MINIFS($N$2:$N$5001,$B$2:$B$5001,B1038,$E$2:$E$5001,"Em ajustes"),1,0),0))</f>
        <v/>
      </c>
      <c r="N1038" s="17" t="str">
        <f aca="false">IF(A1038="","",IF(ISNUMBER(A1038),A1038,IFERROR(DATE(VALUE(MID(A1038,7,4)),VALUE(MID(A1038,4,2)),VALUE(MID(A1038,1,2)))+TIME(VALUE(MID(A1038,12,2)),VALUE(MID(A1038,15,2)),VALUE(MID(A1038,18,2))),"")))</f>
        <v/>
      </c>
    </row>
    <row r="1039" customFormat="false" ht="15" hidden="false" customHeight="false" outlineLevel="0" collapsed="false">
      <c r="I1039" s="15" t="str">
        <f aca="false">IF(N1039="","",INT(N1039))</f>
        <v/>
      </c>
      <c r="J1039" s="16" t="str">
        <f aca="false">IF(B1039="","",IF(N1039=_xlfn.MINIFS($N$2:$N$5001,$B$2:$B$5001,B1039),1,0))</f>
        <v/>
      </c>
      <c r="K1039" s="16" t="str">
        <f aca="false">IF(B1039="","",IF(AND(D1039="Formalização",E1039="Concluído"),IF(COUNTIFS($B$2:$B$5001,B1039,$E$2:$E$5001,"Em ajustes",$N$2:$N$5001,"&lt;"&amp;I1039)&gt;0,1,0),0))</f>
        <v/>
      </c>
      <c r="L1039" s="16" t="str">
        <f aca="false">IF(B1039="","",IF(N1039=_xlfn.MAXIFS($N$2:$N$5001,$B$2:$B$5001,B1039,$I$2:$I$5001,I1039),1,0))</f>
        <v/>
      </c>
      <c r="M1039" s="16" t="str">
        <f aca="false">IF(B1039="","",IF(E1039="Em ajustes",IF(N1039=_xlfn.MINIFS($N$2:$N$5001,$B$2:$B$5001,B1039,$E$2:$E$5001,"Em ajustes"),1,0),0))</f>
        <v/>
      </c>
      <c r="N1039" s="17" t="str">
        <f aca="false">IF(A1039="","",IF(ISNUMBER(A1039),A1039,IFERROR(DATE(VALUE(MID(A1039,7,4)),VALUE(MID(A1039,4,2)),VALUE(MID(A1039,1,2)))+TIME(VALUE(MID(A1039,12,2)),VALUE(MID(A1039,15,2)),VALUE(MID(A1039,18,2))),"")))</f>
        <v/>
      </c>
    </row>
    <row r="1040" customFormat="false" ht="15" hidden="false" customHeight="false" outlineLevel="0" collapsed="false">
      <c r="I1040" s="15" t="str">
        <f aca="false">IF(N1040="","",INT(N1040))</f>
        <v/>
      </c>
      <c r="J1040" s="16" t="str">
        <f aca="false">IF(B1040="","",IF(N1040=_xlfn.MINIFS($N$2:$N$5001,$B$2:$B$5001,B1040),1,0))</f>
        <v/>
      </c>
      <c r="K1040" s="16" t="str">
        <f aca="false">IF(B1040="","",IF(AND(D1040="Formalização",E1040="Concluído"),IF(COUNTIFS($B$2:$B$5001,B1040,$E$2:$E$5001,"Em ajustes",$N$2:$N$5001,"&lt;"&amp;I1040)&gt;0,1,0),0))</f>
        <v/>
      </c>
      <c r="L1040" s="16" t="str">
        <f aca="false">IF(B1040="","",IF(N1040=_xlfn.MAXIFS($N$2:$N$5001,$B$2:$B$5001,B1040,$I$2:$I$5001,I1040),1,0))</f>
        <v/>
      </c>
      <c r="M1040" s="16" t="str">
        <f aca="false">IF(B1040="","",IF(E1040="Em ajustes",IF(N1040=_xlfn.MINIFS($N$2:$N$5001,$B$2:$B$5001,B1040,$E$2:$E$5001,"Em ajustes"),1,0),0))</f>
        <v/>
      </c>
      <c r="N1040" s="17" t="str">
        <f aca="false">IF(A1040="","",IF(ISNUMBER(A1040),A1040,IFERROR(DATE(VALUE(MID(A1040,7,4)),VALUE(MID(A1040,4,2)),VALUE(MID(A1040,1,2)))+TIME(VALUE(MID(A1040,12,2)),VALUE(MID(A1040,15,2)),VALUE(MID(A1040,18,2))),"")))</f>
        <v/>
      </c>
    </row>
    <row r="1041" customFormat="false" ht="15" hidden="false" customHeight="false" outlineLevel="0" collapsed="false">
      <c r="I1041" s="15" t="str">
        <f aca="false">IF(N1041="","",INT(N1041))</f>
        <v/>
      </c>
      <c r="J1041" s="16" t="str">
        <f aca="false">IF(B1041="","",IF(N1041=_xlfn.MINIFS($N$2:$N$5001,$B$2:$B$5001,B1041),1,0))</f>
        <v/>
      </c>
      <c r="K1041" s="16" t="str">
        <f aca="false">IF(B1041="","",IF(AND(D1041="Formalização",E1041="Concluído"),IF(COUNTIFS($B$2:$B$5001,B1041,$E$2:$E$5001,"Em ajustes",$N$2:$N$5001,"&lt;"&amp;I1041)&gt;0,1,0),0))</f>
        <v/>
      </c>
      <c r="L1041" s="16" t="str">
        <f aca="false">IF(B1041="","",IF(N1041=_xlfn.MAXIFS($N$2:$N$5001,$B$2:$B$5001,B1041,$I$2:$I$5001,I1041),1,0))</f>
        <v/>
      </c>
      <c r="M1041" s="16" t="str">
        <f aca="false">IF(B1041="","",IF(E1041="Em ajustes",IF(N1041=_xlfn.MINIFS($N$2:$N$5001,$B$2:$B$5001,B1041,$E$2:$E$5001,"Em ajustes"),1,0),0))</f>
        <v/>
      </c>
      <c r="N1041" s="17" t="str">
        <f aca="false">IF(A1041="","",IF(ISNUMBER(A1041),A1041,IFERROR(DATE(VALUE(MID(A1041,7,4)),VALUE(MID(A1041,4,2)),VALUE(MID(A1041,1,2)))+TIME(VALUE(MID(A1041,12,2)),VALUE(MID(A1041,15,2)),VALUE(MID(A1041,18,2))),"")))</f>
        <v/>
      </c>
    </row>
    <row r="1042" customFormat="false" ht="15" hidden="false" customHeight="false" outlineLevel="0" collapsed="false">
      <c r="I1042" s="15" t="str">
        <f aca="false">IF(N1042="","",INT(N1042))</f>
        <v/>
      </c>
      <c r="J1042" s="16" t="str">
        <f aca="false">IF(B1042="","",IF(N1042=_xlfn.MINIFS($N$2:$N$5001,$B$2:$B$5001,B1042),1,0))</f>
        <v/>
      </c>
      <c r="K1042" s="16" t="str">
        <f aca="false">IF(B1042="","",IF(AND(D1042="Formalização",E1042="Concluído"),IF(COUNTIFS($B$2:$B$5001,B1042,$E$2:$E$5001,"Em ajustes",$N$2:$N$5001,"&lt;"&amp;I1042)&gt;0,1,0),0))</f>
        <v/>
      </c>
      <c r="L1042" s="16" t="str">
        <f aca="false">IF(B1042="","",IF(N1042=_xlfn.MAXIFS($N$2:$N$5001,$B$2:$B$5001,B1042,$I$2:$I$5001,I1042),1,0))</f>
        <v/>
      </c>
      <c r="M1042" s="16" t="str">
        <f aca="false">IF(B1042="","",IF(E1042="Em ajustes",IF(N1042=_xlfn.MINIFS($N$2:$N$5001,$B$2:$B$5001,B1042,$E$2:$E$5001,"Em ajustes"),1,0),0))</f>
        <v/>
      </c>
      <c r="N1042" s="17" t="str">
        <f aca="false">IF(A1042="","",IF(ISNUMBER(A1042),A1042,IFERROR(DATE(VALUE(MID(A1042,7,4)),VALUE(MID(A1042,4,2)),VALUE(MID(A1042,1,2)))+TIME(VALUE(MID(A1042,12,2)),VALUE(MID(A1042,15,2)),VALUE(MID(A1042,18,2))),"")))</f>
        <v/>
      </c>
    </row>
    <row r="1043" customFormat="false" ht="15" hidden="false" customHeight="false" outlineLevel="0" collapsed="false">
      <c r="I1043" s="15" t="str">
        <f aca="false">IF(N1043="","",INT(N1043))</f>
        <v/>
      </c>
      <c r="J1043" s="16" t="str">
        <f aca="false">IF(B1043="","",IF(N1043=_xlfn.MINIFS($N$2:$N$5001,$B$2:$B$5001,B1043),1,0))</f>
        <v/>
      </c>
      <c r="K1043" s="16" t="str">
        <f aca="false">IF(B1043="","",IF(AND(D1043="Formalização",E1043="Concluído"),IF(COUNTIFS($B$2:$B$5001,B1043,$E$2:$E$5001,"Em ajustes",$N$2:$N$5001,"&lt;"&amp;I1043)&gt;0,1,0),0))</f>
        <v/>
      </c>
      <c r="L1043" s="16" t="str">
        <f aca="false">IF(B1043="","",IF(N1043=_xlfn.MAXIFS($N$2:$N$5001,$B$2:$B$5001,B1043,$I$2:$I$5001,I1043),1,0))</f>
        <v/>
      </c>
      <c r="M1043" s="16" t="str">
        <f aca="false">IF(B1043="","",IF(E1043="Em ajustes",IF(N1043=_xlfn.MINIFS($N$2:$N$5001,$B$2:$B$5001,B1043,$E$2:$E$5001,"Em ajustes"),1,0),0))</f>
        <v/>
      </c>
      <c r="N1043" s="17" t="str">
        <f aca="false">IF(A1043="","",IF(ISNUMBER(A1043),A1043,IFERROR(DATE(VALUE(MID(A1043,7,4)),VALUE(MID(A1043,4,2)),VALUE(MID(A1043,1,2)))+TIME(VALUE(MID(A1043,12,2)),VALUE(MID(A1043,15,2)),VALUE(MID(A1043,18,2))),"")))</f>
        <v/>
      </c>
    </row>
    <row r="1044" customFormat="false" ht="15" hidden="false" customHeight="false" outlineLevel="0" collapsed="false">
      <c r="I1044" s="15" t="str">
        <f aca="false">IF(N1044="","",INT(N1044))</f>
        <v/>
      </c>
      <c r="J1044" s="16" t="str">
        <f aca="false">IF(B1044="","",IF(N1044=_xlfn.MINIFS($N$2:$N$5001,$B$2:$B$5001,B1044),1,0))</f>
        <v/>
      </c>
      <c r="K1044" s="16" t="str">
        <f aca="false">IF(B1044="","",IF(AND(D1044="Formalização",E1044="Concluído"),IF(COUNTIFS($B$2:$B$5001,B1044,$E$2:$E$5001,"Em ajustes",$N$2:$N$5001,"&lt;"&amp;I1044)&gt;0,1,0),0))</f>
        <v/>
      </c>
      <c r="L1044" s="16" t="str">
        <f aca="false">IF(B1044="","",IF(N1044=_xlfn.MAXIFS($N$2:$N$5001,$B$2:$B$5001,B1044,$I$2:$I$5001,I1044),1,0))</f>
        <v/>
      </c>
      <c r="M1044" s="16" t="str">
        <f aca="false">IF(B1044="","",IF(E1044="Em ajustes",IF(N1044=_xlfn.MINIFS($N$2:$N$5001,$B$2:$B$5001,B1044,$E$2:$E$5001,"Em ajustes"),1,0),0))</f>
        <v/>
      </c>
      <c r="N1044" s="17" t="str">
        <f aca="false">IF(A1044="","",IF(ISNUMBER(A1044),A1044,IFERROR(DATE(VALUE(MID(A1044,7,4)),VALUE(MID(A1044,4,2)),VALUE(MID(A1044,1,2)))+TIME(VALUE(MID(A1044,12,2)),VALUE(MID(A1044,15,2)),VALUE(MID(A1044,18,2))),"")))</f>
        <v/>
      </c>
    </row>
    <row r="1045" customFormat="false" ht="15" hidden="false" customHeight="false" outlineLevel="0" collapsed="false">
      <c r="I1045" s="15" t="str">
        <f aca="false">IF(N1045="","",INT(N1045))</f>
        <v/>
      </c>
      <c r="J1045" s="16" t="str">
        <f aca="false">IF(B1045="","",IF(N1045=_xlfn.MINIFS($N$2:$N$5001,$B$2:$B$5001,B1045),1,0))</f>
        <v/>
      </c>
      <c r="K1045" s="16" t="str">
        <f aca="false">IF(B1045="","",IF(AND(D1045="Formalização",E1045="Concluído"),IF(COUNTIFS($B$2:$B$5001,B1045,$E$2:$E$5001,"Em ajustes",$N$2:$N$5001,"&lt;"&amp;I1045)&gt;0,1,0),0))</f>
        <v/>
      </c>
      <c r="L1045" s="16" t="str">
        <f aca="false">IF(B1045="","",IF(N1045=_xlfn.MAXIFS($N$2:$N$5001,$B$2:$B$5001,B1045,$I$2:$I$5001,I1045),1,0))</f>
        <v/>
      </c>
      <c r="M1045" s="16" t="str">
        <f aca="false">IF(B1045="","",IF(E1045="Em ajustes",IF(N1045=_xlfn.MINIFS($N$2:$N$5001,$B$2:$B$5001,B1045,$E$2:$E$5001,"Em ajustes"),1,0),0))</f>
        <v/>
      </c>
      <c r="N1045" s="17" t="str">
        <f aca="false">IF(A1045="","",IF(ISNUMBER(A1045),A1045,IFERROR(DATE(VALUE(MID(A1045,7,4)),VALUE(MID(A1045,4,2)),VALUE(MID(A1045,1,2)))+TIME(VALUE(MID(A1045,12,2)),VALUE(MID(A1045,15,2)),VALUE(MID(A1045,18,2))),"")))</f>
        <v/>
      </c>
    </row>
    <row r="1046" customFormat="false" ht="15" hidden="false" customHeight="false" outlineLevel="0" collapsed="false">
      <c r="I1046" s="15" t="str">
        <f aca="false">IF(N1046="","",INT(N1046))</f>
        <v/>
      </c>
      <c r="J1046" s="16" t="str">
        <f aca="false">IF(B1046="","",IF(N1046=_xlfn.MINIFS($N$2:$N$5001,$B$2:$B$5001,B1046),1,0))</f>
        <v/>
      </c>
      <c r="K1046" s="16" t="str">
        <f aca="false">IF(B1046="","",IF(AND(D1046="Formalização",E1046="Concluído"),IF(COUNTIFS($B$2:$B$5001,B1046,$E$2:$E$5001,"Em ajustes",$N$2:$N$5001,"&lt;"&amp;I1046)&gt;0,1,0),0))</f>
        <v/>
      </c>
      <c r="L1046" s="16" t="str">
        <f aca="false">IF(B1046="","",IF(N1046=_xlfn.MAXIFS($N$2:$N$5001,$B$2:$B$5001,B1046,$I$2:$I$5001,I1046),1,0))</f>
        <v/>
      </c>
      <c r="M1046" s="16" t="str">
        <f aca="false">IF(B1046="","",IF(E1046="Em ajustes",IF(N1046=_xlfn.MINIFS($N$2:$N$5001,$B$2:$B$5001,B1046,$E$2:$E$5001,"Em ajustes"),1,0),0))</f>
        <v/>
      </c>
      <c r="N1046" s="17" t="str">
        <f aca="false">IF(A1046="","",IF(ISNUMBER(A1046),A1046,IFERROR(DATE(VALUE(MID(A1046,7,4)),VALUE(MID(A1046,4,2)),VALUE(MID(A1046,1,2)))+TIME(VALUE(MID(A1046,12,2)),VALUE(MID(A1046,15,2)),VALUE(MID(A1046,18,2))),"")))</f>
        <v/>
      </c>
    </row>
    <row r="1047" customFormat="false" ht="15" hidden="false" customHeight="false" outlineLevel="0" collapsed="false">
      <c r="I1047" s="15" t="str">
        <f aca="false">IF(N1047="","",INT(N1047))</f>
        <v/>
      </c>
      <c r="J1047" s="16" t="str">
        <f aca="false">IF(B1047="","",IF(N1047=_xlfn.MINIFS($N$2:$N$5001,$B$2:$B$5001,B1047),1,0))</f>
        <v/>
      </c>
      <c r="K1047" s="16" t="str">
        <f aca="false">IF(B1047="","",IF(AND(D1047="Formalização",E1047="Concluído"),IF(COUNTIFS($B$2:$B$5001,B1047,$E$2:$E$5001,"Em ajustes",$N$2:$N$5001,"&lt;"&amp;I1047)&gt;0,1,0),0))</f>
        <v/>
      </c>
      <c r="L1047" s="16" t="str">
        <f aca="false">IF(B1047="","",IF(N1047=_xlfn.MAXIFS($N$2:$N$5001,$B$2:$B$5001,B1047,$I$2:$I$5001,I1047),1,0))</f>
        <v/>
      </c>
      <c r="M1047" s="16" t="str">
        <f aca="false">IF(B1047="","",IF(E1047="Em ajustes",IF(N1047=_xlfn.MINIFS($N$2:$N$5001,$B$2:$B$5001,B1047,$E$2:$E$5001,"Em ajustes"),1,0),0))</f>
        <v/>
      </c>
      <c r="N1047" s="17" t="str">
        <f aca="false">IF(A1047="","",IF(ISNUMBER(A1047),A1047,IFERROR(DATE(VALUE(MID(A1047,7,4)),VALUE(MID(A1047,4,2)),VALUE(MID(A1047,1,2)))+TIME(VALUE(MID(A1047,12,2)),VALUE(MID(A1047,15,2)),VALUE(MID(A1047,18,2))),"")))</f>
        <v/>
      </c>
    </row>
    <row r="1048" customFormat="false" ht="15" hidden="false" customHeight="false" outlineLevel="0" collapsed="false">
      <c r="I1048" s="15" t="str">
        <f aca="false">IF(N1048="","",INT(N1048))</f>
        <v/>
      </c>
      <c r="J1048" s="16" t="str">
        <f aca="false">IF(B1048="","",IF(N1048=_xlfn.MINIFS($N$2:$N$5001,$B$2:$B$5001,B1048),1,0))</f>
        <v/>
      </c>
      <c r="K1048" s="16" t="str">
        <f aca="false">IF(B1048="","",IF(AND(D1048="Formalização",E1048="Concluído"),IF(COUNTIFS($B$2:$B$5001,B1048,$E$2:$E$5001,"Em ajustes",$N$2:$N$5001,"&lt;"&amp;I1048)&gt;0,1,0),0))</f>
        <v/>
      </c>
      <c r="L1048" s="16" t="str">
        <f aca="false">IF(B1048="","",IF(N1048=_xlfn.MAXIFS($N$2:$N$5001,$B$2:$B$5001,B1048,$I$2:$I$5001,I1048),1,0))</f>
        <v/>
      </c>
      <c r="M1048" s="16" t="str">
        <f aca="false">IF(B1048="","",IF(E1048="Em ajustes",IF(N1048=_xlfn.MINIFS($N$2:$N$5001,$B$2:$B$5001,B1048,$E$2:$E$5001,"Em ajustes"),1,0),0))</f>
        <v/>
      </c>
      <c r="N1048" s="17" t="str">
        <f aca="false">IF(A1048="","",IF(ISNUMBER(A1048),A1048,IFERROR(DATE(VALUE(MID(A1048,7,4)),VALUE(MID(A1048,4,2)),VALUE(MID(A1048,1,2)))+TIME(VALUE(MID(A1048,12,2)),VALUE(MID(A1048,15,2)),VALUE(MID(A1048,18,2))),"")))</f>
        <v/>
      </c>
    </row>
    <row r="1049" customFormat="false" ht="15" hidden="false" customHeight="false" outlineLevel="0" collapsed="false">
      <c r="I1049" s="15" t="str">
        <f aca="false">IF(N1049="","",INT(N1049))</f>
        <v/>
      </c>
      <c r="J1049" s="16" t="str">
        <f aca="false">IF(B1049="","",IF(N1049=_xlfn.MINIFS($N$2:$N$5001,$B$2:$B$5001,B1049),1,0))</f>
        <v/>
      </c>
      <c r="K1049" s="16" t="str">
        <f aca="false">IF(B1049="","",IF(AND(D1049="Formalização",E1049="Concluído"),IF(COUNTIFS($B$2:$B$5001,B1049,$E$2:$E$5001,"Em ajustes",$N$2:$N$5001,"&lt;"&amp;I1049)&gt;0,1,0),0))</f>
        <v/>
      </c>
      <c r="L1049" s="16" t="str">
        <f aca="false">IF(B1049="","",IF(N1049=_xlfn.MAXIFS($N$2:$N$5001,$B$2:$B$5001,B1049,$I$2:$I$5001,I1049),1,0))</f>
        <v/>
      </c>
      <c r="M1049" s="16" t="str">
        <f aca="false">IF(B1049="","",IF(E1049="Em ajustes",IF(N1049=_xlfn.MINIFS($N$2:$N$5001,$B$2:$B$5001,B1049,$E$2:$E$5001,"Em ajustes"),1,0),0))</f>
        <v/>
      </c>
      <c r="N1049" s="17" t="str">
        <f aca="false">IF(A1049="","",IF(ISNUMBER(A1049),A1049,IFERROR(DATE(VALUE(MID(A1049,7,4)),VALUE(MID(A1049,4,2)),VALUE(MID(A1049,1,2)))+TIME(VALUE(MID(A1049,12,2)),VALUE(MID(A1049,15,2)),VALUE(MID(A1049,18,2))),"")))</f>
        <v/>
      </c>
    </row>
    <row r="1050" customFormat="false" ht="15" hidden="false" customHeight="false" outlineLevel="0" collapsed="false">
      <c r="I1050" s="15" t="str">
        <f aca="false">IF(N1050="","",INT(N1050))</f>
        <v/>
      </c>
      <c r="J1050" s="16" t="str">
        <f aca="false">IF(B1050="","",IF(N1050=_xlfn.MINIFS($N$2:$N$5001,$B$2:$B$5001,B1050),1,0))</f>
        <v/>
      </c>
      <c r="K1050" s="16" t="str">
        <f aca="false">IF(B1050="","",IF(AND(D1050="Formalização",E1050="Concluído"),IF(COUNTIFS($B$2:$B$5001,B1050,$E$2:$E$5001,"Em ajustes",$N$2:$N$5001,"&lt;"&amp;I1050)&gt;0,1,0),0))</f>
        <v/>
      </c>
      <c r="L1050" s="16" t="str">
        <f aca="false">IF(B1050="","",IF(N1050=_xlfn.MAXIFS($N$2:$N$5001,$B$2:$B$5001,B1050,$I$2:$I$5001,I1050),1,0))</f>
        <v/>
      </c>
      <c r="M1050" s="16" t="str">
        <f aca="false">IF(B1050="","",IF(E1050="Em ajustes",IF(N1050=_xlfn.MINIFS($N$2:$N$5001,$B$2:$B$5001,B1050,$E$2:$E$5001,"Em ajustes"),1,0),0))</f>
        <v/>
      </c>
      <c r="N1050" s="17" t="str">
        <f aca="false">IF(A1050="","",IF(ISNUMBER(A1050),A1050,IFERROR(DATE(VALUE(MID(A1050,7,4)),VALUE(MID(A1050,4,2)),VALUE(MID(A1050,1,2)))+TIME(VALUE(MID(A1050,12,2)),VALUE(MID(A1050,15,2)),VALUE(MID(A1050,18,2))),"")))</f>
        <v/>
      </c>
    </row>
    <row r="1051" customFormat="false" ht="15" hidden="false" customHeight="false" outlineLevel="0" collapsed="false">
      <c r="I1051" s="15" t="str">
        <f aca="false">IF(N1051="","",INT(N1051))</f>
        <v/>
      </c>
      <c r="J1051" s="16" t="str">
        <f aca="false">IF(B1051="","",IF(N1051=_xlfn.MINIFS($N$2:$N$5001,$B$2:$B$5001,B1051),1,0))</f>
        <v/>
      </c>
      <c r="K1051" s="16" t="str">
        <f aca="false">IF(B1051="","",IF(AND(D1051="Formalização",E1051="Concluído"),IF(COUNTIFS($B$2:$B$5001,B1051,$E$2:$E$5001,"Em ajustes",$N$2:$N$5001,"&lt;"&amp;I1051)&gt;0,1,0),0))</f>
        <v/>
      </c>
      <c r="L1051" s="16" t="str">
        <f aca="false">IF(B1051="","",IF(N1051=_xlfn.MAXIFS($N$2:$N$5001,$B$2:$B$5001,B1051,$I$2:$I$5001,I1051),1,0))</f>
        <v/>
      </c>
      <c r="M1051" s="16" t="str">
        <f aca="false">IF(B1051="","",IF(E1051="Em ajustes",IF(N1051=_xlfn.MINIFS($N$2:$N$5001,$B$2:$B$5001,B1051,$E$2:$E$5001,"Em ajustes"),1,0),0))</f>
        <v/>
      </c>
      <c r="N1051" s="17" t="str">
        <f aca="false">IF(A1051="","",IF(ISNUMBER(A1051),A1051,IFERROR(DATE(VALUE(MID(A1051,7,4)),VALUE(MID(A1051,4,2)),VALUE(MID(A1051,1,2)))+TIME(VALUE(MID(A1051,12,2)),VALUE(MID(A1051,15,2)),VALUE(MID(A1051,18,2))),"")))</f>
        <v/>
      </c>
    </row>
    <row r="1052" customFormat="false" ht="15" hidden="false" customHeight="false" outlineLevel="0" collapsed="false">
      <c r="I1052" s="15" t="str">
        <f aca="false">IF(N1052="","",INT(N1052))</f>
        <v/>
      </c>
      <c r="J1052" s="16" t="str">
        <f aca="false">IF(B1052="","",IF(N1052=_xlfn.MINIFS($N$2:$N$5001,$B$2:$B$5001,B1052),1,0))</f>
        <v/>
      </c>
      <c r="K1052" s="16" t="str">
        <f aca="false">IF(B1052="","",IF(AND(D1052="Formalização",E1052="Concluído"),IF(COUNTIFS($B$2:$B$5001,B1052,$E$2:$E$5001,"Em ajustes",$N$2:$N$5001,"&lt;"&amp;I1052)&gt;0,1,0),0))</f>
        <v/>
      </c>
      <c r="L1052" s="16" t="str">
        <f aca="false">IF(B1052="","",IF(N1052=_xlfn.MAXIFS($N$2:$N$5001,$B$2:$B$5001,B1052,$I$2:$I$5001,I1052),1,0))</f>
        <v/>
      </c>
      <c r="M1052" s="16" t="str">
        <f aca="false">IF(B1052="","",IF(E1052="Em ajustes",IF(N1052=_xlfn.MINIFS($N$2:$N$5001,$B$2:$B$5001,B1052,$E$2:$E$5001,"Em ajustes"),1,0),0))</f>
        <v/>
      </c>
      <c r="N1052" s="17" t="str">
        <f aca="false">IF(A1052="","",IF(ISNUMBER(A1052),A1052,IFERROR(DATE(VALUE(MID(A1052,7,4)),VALUE(MID(A1052,4,2)),VALUE(MID(A1052,1,2)))+TIME(VALUE(MID(A1052,12,2)),VALUE(MID(A1052,15,2)),VALUE(MID(A1052,18,2))),"")))</f>
        <v/>
      </c>
    </row>
    <row r="1053" customFormat="false" ht="15" hidden="false" customHeight="false" outlineLevel="0" collapsed="false">
      <c r="I1053" s="15" t="str">
        <f aca="false">IF(N1053="","",INT(N1053))</f>
        <v/>
      </c>
      <c r="J1053" s="16" t="str">
        <f aca="false">IF(B1053="","",IF(N1053=_xlfn.MINIFS($N$2:$N$5001,$B$2:$B$5001,B1053),1,0))</f>
        <v/>
      </c>
      <c r="K1053" s="16" t="str">
        <f aca="false">IF(B1053="","",IF(AND(D1053="Formalização",E1053="Concluído"),IF(COUNTIFS($B$2:$B$5001,B1053,$E$2:$E$5001,"Em ajustes",$N$2:$N$5001,"&lt;"&amp;I1053)&gt;0,1,0),0))</f>
        <v/>
      </c>
      <c r="L1053" s="16" t="str">
        <f aca="false">IF(B1053="","",IF(N1053=_xlfn.MAXIFS($N$2:$N$5001,$B$2:$B$5001,B1053,$I$2:$I$5001,I1053),1,0))</f>
        <v/>
      </c>
      <c r="M1053" s="16" t="str">
        <f aca="false">IF(B1053="","",IF(E1053="Em ajustes",IF(N1053=_xlfn.MINIFS($N$2:$N$5001,$B$2:$B$5001,B1053,$E$2:$E$5001,"Em ajustes"),1,0),0))</f>
        <v/>
      </c>
      <c r="N1053" s="17" t="str">
        <f aca="false">IF(A1053="","",IF(ISNUMBER(A1053),A1053,IFERROR(DATE(VALUE(MID(A1053,7,4)),VALUE(MID(A1053,4,2)),VALUE(MID(A1053,1,2)))+TIME(VALUE(MID(A1053,12,2)),VALUE(MID(A1053,15,2)),VALUE(MID(A1053,18,2))),"")))</f>
        <v/>
      </c>
    </row>
    <row r="1054" customFormat="false" ht="15" hidden="false" customHeight="false" outlineLevel="0" collapsed="false">
      <c r="I1054" s="15" t="str">
        <f aca="false">IF(N1054="","",INT(N1054))</f>
        <v/>
      </c>
      <c r="J1054" s="16" t="str">
        <f aca="false">IF(B1054="","",IF(N1054=_xlfn.MINIFS($N$2:$N$5001,$B$2:$B$5001,B1054),1,0))</f>
        <v/>
      </c>
      <c r="K1054" s="16" t="str">
        <f aca="false">IF(B1054="","",IF(AND(D1054="Formalização",E1054="Concluído"),IF(COUNTIFS($B$2:$B$5001,B1054,$E$2:$E$5001,"Em ajustes",$N$2:$N$5001,"&lt;"&amp;I1054)&gt;0,1,0),0))</f>
        <v/>
      </c>
      <c r="L1054" s="16" t="str">
        <f aca="false">IF(B1054="","",IF(N1054=_xlfn.MAXIFS($N$2:$N$5001,$B$2:$B$5001,B1054,$I$2:$I$5001,I1054),1,0))</f>
        <v/>
      </c>
      <c r="M1054" s="16" t="str">
        <f aca="false">IF(B1054="","",IF(E1054="Em ajustes",IF(N1054=_xlfn.MINIFS($N$2:$N$5001,$B$2:$B$5001,B1054,$E$2:$E$5001,"Em ajustes"),1,0),0))</f>
        <v/>
      </c>
      <c r="N1054" s="17" t="str">
        <f aca="false">IF(A1054="","",IF(ISNUMBER(A1054),A1054,IFERROR(DATE(VALUE(MID(A1054,7,4)),VALUE(MID(A1054,4,2)),VALUE(MID(A1054,1,2)))+TIME(VALUE(MID(A1054,12,2)),VALUE(MID(A1054,15,2)),VALUE(MID(A1054,18,2))),"")))</f>
        <v/>
      </c>
    </row>
    <row r="1055" customFormat="false" ht="15" hidden="false" customHeight="false" outlineLevel="0" collapsed="false">
      <c r="I1055" s="15" t="str">
        <f aca="false">IF(N1055="","",INT(N1055))</f>
        <v/>
      </c>
      <c r="J1055" s="16" t="str">
        <f aca="false">IF(B1055="","",IF(N1055=_xlfn.MINIFS($N$2:$N$5001,$B$2:$B$5001,B1055),1,0))</f>
        <v/>
      </c>
      <c r="K1055" s="16" t="str">
        <f aca="false">IF(B1055="","",IF(AND(D1055="Formalização",E1055="Concluído"),IF(COUNTIFS($B$2:$B$5001,B1055,$E$2:$E$5001,"Em ajustes",$N$2:$N$5001,"&lt;"&amp;I1055)&gt;0,1,0),0))</f>
        <v/>
      </c>
      <c r="L1055" s="16" t="str">
        <f aca="false">IF(B1055="","",IF(N1055=_xlfn.MAXIFS($N$2:$N$5001,$B$2:$B$5001,B1055,$I$2:$I$5001,I1055),1,0))</f>
        <v/>
      </c>
      <c r="M1055" s="16" t="str">
        <f aca="false">IF(B1055="","",IF(E1055="Em ajustes",IF(N1055=_xlfn.MINIFS($N$2:$N$5001,$B$2:$B$5001,B1055,$E$2:$E$5001,"Em ajustes"),1,0),0))</f>
        <v/>
      </c>
      <c r="N1055" s="17" t="str">
        <f aca="false">IF(A1055="","",IF(ISNUMBER(A1055),A1055,IFERROR(DATE(VALUE(MID(A1055,7,4)),VALUE(MID(A1055,4,2)),VALUE(MID(A1055,1,2)))+TIME(VALUE(MID(A1055,12,2)),VALUE(MID(A1055,15,2)),VALUE(MID(A1055,18,2))),"")))</f>
        <v/>
      </c>
    </row>
    <row r="1056" customFormat="false" ht="15" hidden="false" customHeight="false" outlineLevel="0" collapsed="false">
      <c r="I1056" s="15" t="str">
        <f aca="false">IF(N1056="","",INT(N1056))</f>
        <v/>
      </c>
      <c r="J1056" s="16" t="str">
        <f aca="false">IF(B1056="","",IF(N1056=_xlfn.MINIFS($N$2:$N$5001,$B$2:$B$5001,B1056),1,0))</f>
        <v/>
      </c>
      <c r="K1056" s="16" t="str">
        <f aca="false">IF(B1056="","",IF(AND(D1056="Formalização",E1056="Concluído"),IF(COUNTIFS($B$2:$B$5001,B1056,$E$2:$E$5001,"Em ajustes",$N$2:$N$5001,"&lt;"&amp;I1056)&gt;0,1,0),0))</f>
        <v/>
      </c>
      <c r="L1056" s="16" t="str">
        <f aca="false">IF(B1056="","",IF(N1056=_xlfn.MAXIFS($N$2:$N$5001,$B$2:$B$5001,B1056,$I$2:$I$5001,I1056),1,0))</f>
        <v/>
      </c>
      <c r="M1056" s="16" t="str">
        <f aca="false">IF(B1056="","",IF(E1056="Em ajustes",IF(N1056=_xlfn.MINIFS($N$2:$N$5001,$B$2:$B$5001,B1056,$E$2:$E$5001,"Em ajustes"),1,0),0))</f>
        <v/>
      </c>
      <c r="N1056" s="17" t="str">
        <f aca="false">IF(A1056="","",IF(ISNUMBER(A1056),A1056,IFERROR(DATE(VALUE(MID(A1056,7,4)),VALUE(MID(A1056,4,2)),VALUE(MID(A1056,1,2)))+TIME(VALUE(MID(A1056,12,2)),VALUE(MID(A1056,15,2)),VALUE(MID(A1056,18,2))),"")))</f>
        <v/>
      </c>
    </row>
    <row r="1057" customFormat="false" ht="15" hidden="false" customHeight="false" outlineLevel="0" collapsed="false">
      <c r="I1057" s="15" t="str">
        <f aca="false">IF(N1057="","",INT(N1057))</f>
        <v/>
      </c>
      <c r="J1057" s="16" t="str">
        <f aca="false">IF(B1057="","",IF(N1057=_xlfn.MINIFS($N$2:$N$5001,$B$2:$B$5001,B1057),1,0))</f>
        <v/>
      </c>
      <c r="K1057" s="16" t="str">
        <f aca="false">IF(B1057="","",IF(AND(D1057="Formalização",E1057="Concluído"),IF(COUNTIFS($B$2:$B$5001,B1057,$E$2:$E$5001,"Em ajustes",$N$2:$N$5001,"&lt;"&amp;I1057)&gt;0,1,0),0))</f>
        <v/>
      </c>
      <c r="L1057" s="16" t="str">
        <f aca="false">IF(B1057="","",IF(N1057=_xlfn.MAXIFS($N$2:$N$5001,$B$2:$B$5001,B1057,$I$2:$I$5001,I1057),1,0))</f>
        <v/>
      </c>
      <c r="M1057" s="16" t="str">
        <f aca="false">IF(B1057="","",IF(E1057="Em ajustes",IF(N1057=_xlfn.MINIFS($N$2:$N$5001,$B$2:$B$5001,B1057,$E$2:$E$5001,"Em ajustes"),1,0),0))</f>
        <v/>
      </c>
      <c r="N1057" s="17" t="str">
        <f aca="false">IF(A1057="","",IF(ISNUMBER(A1057),A1057,IFERROR(DATE(VALUE(MID(A1057,7,4)),VALUE(MID(A1057,4,2)),VALUE(MID(A1057,1,2)))+TIME(VALUE(MID(A1057,12,2)),VALUE(MID(A1057,15,2)),VALUE(MID(A1057,18,2))),"")))</f>
        <v/>
      </c>
    </row>
    <row r="1058" customFormat="false" ht="15" hidden="false" customHeight="false" outlineLevel="0" collapsed="false">
      <c r="I1058" s="15" t="str">
        <f aca="false">IF(N1058="","",INT(N1058))</f>
        <v/>
      </c>
      <c r="J1058" s="16" t="str">
        <f aca="false">IF(B1058="","",IF(N1058=_xlfn.MINIFS($N$2:$N$5001,$B$2:$B$5001,B1058),1,0))</f>
        <v/>
      </c>
      <c r="K1058" s="16" t="str">
        <f aca="false">IF(B1058="","",IF(AND(D1058="Formalização",E1058="Concluído"),IF(COUNTIFS($B$2:$B$5001,B1058,$E$2:$E$5001,"Em ajustes",$N$2:$N$5001,"&lt;"&amp;I1058)&gt;0,1,0),0))</f>
        <v/>
      </c>
      <c r="L1058" s="16" t="str">
        <f aca="false">IF(B1058="","",IF(N1058=_xlfn.MAXIFS($N$2:$N$5001,$B$2:$B$5001,B1058,$I$2:$I$5001,I1058),1,0))</f>
        <v/>
      </c>
      <c r="M1058" s="16" t="str">
        <f aca="false">IF(B1058="","",IF(E1058="Em ajustes",IF(N1058=_xlfn.MINIFS($N$2:$N$5001,$B$2:$B$5001,B1058,$E$2:$E$5001,"Em ajustes"),1,0),0))</f>
        <v/>
      </c>
      <c r="N1058" s="17" t="str">
        <f aca="false">IF(A1058="","",IF(ISNUMBER(A1058),A1058,IFERROR(DATE(VALUE(MID(A1058,7,4)),VALUE(MID(A1058,4,2)),VALUE(MID(A1058,1,2)))+TIME(VALUE(MID(A1058,12,2)),VALUE(MID(A1058,15,2)),VALUE(MID(A1058,18,2))),"")))</f>
        <v/>
      </c>
    </row>
    <row r="1059" customFormat="false" ht="15" hidden="false" customHeight="false" outlineLevel="0" collapsed="false">
      <c r="I1059" s="15" t="str">
        <f aca="false">IF(N1059="","",INT(N1059))</f>
        <v/>
      </c>
      <c r="J1059" s="16" t="str">
        <f aca="false">IF(B1059="","",IF(N1059=_xlfn.MINIFS($N$2:$N$5001,$B$2:$B$5001,B1059),1,0))</f>
        <v/>
      </c>
      <c r="K1059" s="16" t="str">
        <f aca="false">IF(B1059="","",IF(AND(D1059="Formalização",E1059="Concluído"),IF(COUNTIFS($B$2:$B$5001,B1059,$E$2:$E$5001,"Em ajustes",$N$2:$N$5001,"&lt;"&amp;I1059)&gt;0,1,0),0))</f>
        <v/>
      </c>
      <c r="L1059" s="16" t="str">
        <f aca="false">IF(B1059="","",IF(N1059=_xlfn.MAXIFS($N$2:$N$5001,$B$2:$B$5001,B1059,$I$2:$I$5001,I1059),1,0))</f>
        <v/>
      </c>
      <c r="M1059" s="16" t="str">
        <f aca="false">IF(B1059="","",IF(E1059="Em ajustes",IF(N1059=_xlfn.MINIFS($N$2:$N$5001,$B$2:$B$5001,B1059,$E$2:$E$5001,"Em ajustes"),1,0),0))</f>
        <v/>
      </c>
      <c r="N1059" s="17" t="str">
        <f aca="false">IF(A1059="","",IF(ISNUMBER(A1059),A1059,IFERROR(DATE(VALUE(MID(A1059,7,4)),VALUE(MID(A1059,4,2)),VALUE(MID(A1059,1,2)))+TIME(VALUE(MID(A1059,12,2)),VALUE(MID(A1059,15,2)),VALUE(MID(A1059,18,2))),"")))</f>
        <v/>
      </c>
    </row>
    <row r="1060" customFormat="false" ht="15" hidden="false" customHeight="false" outlineLevel="0" collapsed="false">
      <c r="I1060" s="15" t="str">
        <f aca="false">IF(N1060="","",INT(N1060))</f>
        <v/>
      </c>
      <c r="J1060" s="16" t="str">
        <f aca="false">IF(B1060="","",IF(N1060=_xlfn.MINIFS($N$2:$N$5001,$B$2:$B$5001,B1060),1,0))</f>
        <v/>
      </c>
      <c r="K1060" s="16" t="str">
        <f aca="false">IF(B1060="","",IF(AND(D1060="Formalização",E1060="Concluído"),IF(COUNTIFS($B$2:$B$5001,B1060,$E$2:$E$5001,"Em ajustes",$N$2:$N$5001,"&lt;"&amp;I1060)&gt;0,1,0),0))</f>
        <v/>
      </c>
      <c r="L1060" s="16" t="str">
        <f aca="false">IF(B1060="","",IF(N1060=_xlfn.MAXIFS($N$2:$N$5001,$B$2:$B$5001,B1060,$I$2:$I$5001,I1060),1,0))</f>
        <v/>
      </c>
      <c r="M1060" s="16" t="str">
        <f aca="false">IF(B1060="","",IF(E1060="Em ajustes",IF(N1060=_xlfn.MINIFS($N$2:$N$5001,$B$2:$B$5001,B1060,$E$2:$E$5001,"Em ajustes"),1,0),0))</f>
        <v/>
      </c>
      <c r="N1060" s="17" t="str">
        <f aca="false">IF(A1060="","",IF(ISNUMBER(A1060),A1060,IFERROR(DATE(VALUE(MID(A1060,7,4)),VALUE(MID(A1060,4,2)),VALUE(MID(A1060,1,2)))+TIME(VALUE(MID(A1060,12,2)),VALUE(MID(A1060,15,2)),VALUE(MID(A1060,18,2))),"")))</f>
        <v/>
      </c>
    </row>
    <row r="1061" customFormat="false" ht="15" hidden="false" customHeight="false" outlineLevel="0" collapsed="false">
      <c r="I1061" s="15" t="str">
        <f aca="false">IF(N1061="","",INT(N1061))</f>
        <v/>
      </c>
      <c r="J1061" s="16" t="str">
        <f aca="false">IF(B1061="","",IF(N1061=_xlfn.MINIFS($N$2:$N$5001,$B$2:$B$5001,B1061),1,0))</f>
        <v/>
      </c>
      <c r="K1061" s="16" t="str">
        <f aca="false">IF(B1061="","",IF(AND(D1061="Formalização",E1061="Concluído"),IF(COUNTIFS($B$2:$B$5001,B1061,$E$2:$E$5001,"Em ajustes",$N$2:$N$5001,"&lt;"&amp;I1061)&gt;0,1,0),0))</f>
        <v/>
      </c>
      <c r="L1061" s="16" t="str">
        <f aca="false">IF(B1061="","",IF(N1061=_xlfn.MAXIFS($N$2:$N$5001,$B$2:$B$5001,B1061,$I$2:$I$5001,I1061),1,0))</f>
        <v/>
      </c>
      <c r="M1061" s="16" t="str">
        <f aca="false">IF(B1061="","",IF(E1061="Em ajustes",IF(N1061=_xlfn.MINIFS($N$2:$N$5001,$B$2:$B$5001,B1061,$E$2:$E$5001,"Em ajustes"),1,0),0))</f>
        <v/>
      </c>
      <c r="N1061" s="17" t="str">
        <f aca="false">IF(A1061="","",IF(ISNUMBER(A1061),A1061,IFERROR(DATE(VALUE(MID(A1061,7,4)),VALUE(MID(A1061,4,2)),VALUE(MID(A1061,1,2)))+TIME(VALUE(MID(A1061,12,2)),VALUE(MID(A1061,15,2)),VALUE(MID(A1061,18,2))),"")))</f>
        <v/>
      </c>
    </row>
    <row r="1062" customFormat="false" ht="15" hidden="false" customHeight="false" outlineLevel="0" collapsed="false">
      <c r="I1062" s="15" t="str">
        <f aca="false">IF(N1062="","",INT(N1062))</f>
        <v/>
      </c>
      <c r="J1062" s="16" t="str">
        <f aca="false">IF(B1062="","",IF(N1062=_xlfn.MINIFS($N$2:$N$5001,$B$2:$B$5001,B1062),1,0))</f>
        <v/>
      </c>
      <c r="K1062" s="16" t="str">
        <f aca="false">IF(B1062="","",IF(AND(D1062="Formalização",E1062="Concluído"),IF(COUNTIFS($B$2:$B$5001,B1062,$E$2:$E$5001,"Em ajustes",$N$2:$N$5001,"&lt;"&amp;I1062)&gt;0,1,0),0))</f>
        <v/>
      </c>
      <c r="L1062" s="16" t="str">
        <f aca="false">IF(B1062="","",IF(N1062=_xlfn.MAXIFS($N$2:$N$5001,$B$2:$B$5001,B1062,$I$2:$I$5001,I1062),1,0))</f>
        <v/>
      </c>
      <c r="M1062" s="16" t="str">
        <f aca="false">IF(B1062="","",IF(E1062="Em ajustes",IF(N1062=_xlfn.MINIFS($N$2:$N$5001,$B$2:$B$5001,B1062,$E$2:$E$5001,"Em ajustes"),1,0),0))</f>
        <v/>
      </c>
      <c r="N1062" s="17" t="str">
        <f aca="false">IF(A1062="","",IF(ISNUMBER(A1062),A1062,IFERROR(DATE(VALUE(MID(A1062,7,4)),VALUE(MID(A1062,4,2)),VALUE(MID(A1062,1,2)))+TIME(VALUE(MID(A1062,12,2)),VALUE(MID(A1062,15,2)),VALUE(MID(A1062,18,2))),"")))</f>
        <v/>
      </c>
    </row>
    <row r="1063" customFormat="false" ht="15" hidden="false" customHeight="false" outlineLevel="0" collapsed="false">
      <c r="I1063" s="15" t="str">
        <f aca="false">IF(N1063="","",INT(N1063))</f>
        <v/>
      </c>
      <c r="J1063" s="16" t="str">
        <f aca="false">IF(B1063="","",IF(N1063=_xlfn.MINIFS($N$2:$N$5001,$B$2:$B$5001,B1063),1,0))</f>
        <v/>
      </c>
      <c r="K1063" s="16" t="str">
        <f aca="false">IF(B1063="","",IF(AND(D1063="Formalização",E1063="Concluído"),IF(COUNTIFS($B$2:$B$5001,B1063,$E$2:$E$5001,"Em ajustes",$N$2:$N$5001,"&lt;"&amp;I1063)&gt;0,1,0),0))</f>
        <v/>
      </c>
      <c r="L1063" s="16" t="str">
        <f aca="false">IF(B1063="","",IF(N1063=_xlfn.MAXIFS($N$2:$N$5001,$B$2:$B$5001,B1063,$I$2:$I$5001,I1063),1,0))</f>
        <v/>
      </c>
      <c r="M1063" s="16" t="str">
        <f aca="false">IF(B1063="","",IF(E1063="Em ajustes",IF(N1063=_xlfn.MINIFS($N$2:$N$5001,$B$2:$B$5001,B1063,$E$2:$E$5001,"Em ajustes"),1,0),0))</f>
        <v/>
      </c>
      <c r="N1063" s="17" t="str">
        <f aca="false">IF(A1063="","",IF(ISNUMBER(A1063),A1063,IFERROR(DATE(VALUE(MID(A1063,7,4)),VALUE(MID(A1063,4,2)),VALUE(MID(A1063,1,2)))+TIME(VALUE(MID(A1063,12,2)),VALUE(MID(A1063,15,2)),VALUE(MID(A1063,18,2))),"")))</f>
        <v/>
      </c>
    </row>
    <row r="1064" customFormat="false" ht="15" hidden="false" customHeight="false" outlineLevel="0" collapsed="false">
      <c r="I1064" s="15" t="str">
        <f aca="false">IF(N1064="","",INT(N1064))</f>
        <v/>
      </c>
      <c r="J1064" s="16" t="str">
        <f aca="false">IF(B1064="","",IF(N1064=_xlfn.MINIFS($N$2:$N$5001,$B$2:$B$5001,B1064),1,0))</f>
        <v/>
      </c>
      <c r="K1064" s="16" t="str">
        <f aca="false">IF(B1064="","",IF(AND(D1064="Formalização",E1064="Concluído"),IF(COUNTIFS($B$2:$B$5001,B1064,$E$2:$E$5001,"Em ajustes",$N$2:$N$5001,"&lt;"&amp;I1064)&gt;0,1,0),0))</f>
        <v/>
      </c>
      <c r="L1064" s="16" t="str">
        <f aca="false">IF(B1064="","",IF(N1064=_xlfn.MAXIFS($N$2:$N$5001,$B$2:$B$5001,B1064,$I$2:$I$5001,I1064),1,0))</f>
        <v/>
      </c>
      <c r="M1064" s="16" t="str">
        <f aca="false">IF(B1064="","",IF(E1064="Em ajustes",IF(N1064=_xlfn.MINIFS($N$2:$N$5001,$B$2:$B$5001,B1064,$E$2:$E$5001,"Em ajustes"),1,0),0))</f>
        <v/>
      </c>
      <c r="N1064" s="17" t="str">
        <f aca="false">IF(A1064="","",IF(ISNUMBER(A1064),A1064,IFERROR(DATE(VALUE(MID(A1064,7,4)),VALUE(MID(A1064,4,2)),VALUE(MID(A1064,1,2)))+TIME(VALUE(MID(A1064,12,2)),VALUE(MID(A1064,15,2)),VALUE(MID(A1064,18,2))),"")))</f>
        <v/>
      </c>
    </row>
    <row r="1065" customFormat="false" ht="15" hidden="false" customHeight="false" outlineLevel="0" collapsed="false">
      <c r="I1065" s="15" t="str">
        <f aca="false">IF(N1065="","",INT(N1065))</f>
        <v/>
      </c>
      <c r="J1065" s="16" t="str">
        <f aca="false">IF(B1065="","",IF(N1065=_xlfn.MINIFS($N$2:$N$5001,$B$2:$B$5001,B1065),1,0))</f>
        <v/>
      </c>
      <c r="K1065" s="16" t="str">
        <f aca="false">IF(B1065="","",IF(AND(D1065="Formalização",E1065="Concluído"),IF(COUNTIFS($B$2:$B$5001,B1065,$E$2:$E$5001,"Em ajustes",$N$2:$N$5001,"&lt;"&amp;I1065)&gt;0,1,0),0))</f>
        <v/>
      </c>
      <c r="L1065" s="16" t="str">
        <f aca="false">IF(B1065="","",IF(N1065=_xlfn.MAXIFS($N$2:$N$5001,$B$2:$B$5001,B1065,$I$2:$I$5001,I1065),1,0))</f>
        <v/>
      </c>
      <c r="M1065" s="16" t="str">
        <f aca="false">IF(B1065="","",IF(E1065="Em ajustes",IF(N1065=_xlfn.MINIFS($N$2:$N$5001,$B$2:$B$5001,B1065,$E$2:$E$5001,"Em ajustes"),1,0),0))</f>
        <v/>
      </c>
      <c r="N1065" s="17" t="str">
        <f aca="false">IF(A1065="","",IF(ISNUMBER(A1065),A1065,IFERROR(DATE(VALUE(MID(A1065,7,4)),VALUE(MID(A1065,4,2)),VALUE(MID(A1065,1,2)))+TIME(VALUE(MID(A1065,12,2)),VALUE(MID(A1065,15,2)),VALUE(MID(A1065,18,2))),"")))</f>
        <v/>
      </c>
    </row>
    <row r="1066" customFormat="false" ht="15" hidden="false" customHeight="false" outlineLevel="0" collapsed="false">
      <c r="I1066" s="15" t="str">
        <f aca="false">IF(N1066="","",INT(N1066))</f>
        <v/>
      </c>
      <c r="J1066" s="16" t="str">
        <f aca="false">IF(B1066="","",IF(N1066=_xlfn.MINIFS($N$2:$N$5001,$B$2:$B$5001,B1066),1,0))</f>
        <v/>
      </c>
      <c r="K1066" s="16" t="str">
        <f aca="false">IF(B1066="","",IF(AND(D1066="Formalização",E1066="Concluído"),IF(COUNTIFS($B$2:$B$5001,B1066,$E$2:$E$5001,"Em ajustes",$N$2:$N$5001,"&lt;"&amp;I1066)&gt;0,1,0),0))</f>
        <v/>
      </c>
      <c r="L1066" s="16" t="str">
        <f aca="false">IF(B1066="","",IF(N1066=_xlfn.MAXIFS($N$2:$N$5001,$B$2:$B$5001,B1066,$I$2:$I$5001,I1066),1,0))</f>
        <v/>
      </c>
      <c r="M1066" s="16" t="str">
        <f aca="false">IF(B1066="","",IF(E1066="Em ajustes",IF(N1066=_xlfn.MINIFS($N$2:$N$5001,$B$2:$B$5001,B1066,$E$2:$E$5001,"Em ajustes"),1,0),0))</f>
        <v/>
      </c>
      <c r="N1066" s="17" t="str">
        <f aca="false">IF(A1066="","",IF(ISNUMBER(A1066),A1066,IFERROR(DATE(VALUE(MID(A1066,7,4)),VALUE(MID(A1066,4,2)),VALUE(MID(A1066,1,2)))+TIME(VALUE(MID(A1066,12,2)),VALUE(MID(A1066,15,2)),VALUE(MID(A1066,18,2))),"")))</f>
        <v/>
      </c>
    </row>
    <row r="1067" customFormat="false" ht="15" hidden="false" customHeight="false" outlineLevel="0" collapsed="false">
      <c r="I1067" s="15" t="str">
        <f aca="false">IF(N1067="","",INT(N1067))</f>
        <v/>
      </c>
      <c r="J1067" s="16" t="str">
        <f aca="false">IF(B1067="","",IF(N1067=_xlfn.MINIFS($N$2:$N$5001,$B$2:$B$5001,B1067),1,0))</f>
        <v/>
      </c>
      <c r="K1067" s="16" t="str">
        <f aca="false">IF(B1067="","",IF(AND(D1067="Formalização",E1067="Concluído"),IF(COUNTIFS($B$2:$B$5001,B1067,$E$2:$E$5001,"Em ajustes",$N$2:$N$5001,"&lt;"&amp;I1067)&gt;0,1,0),0))</f>
        <v/>
      </c>
      <c r="L1067" s="16" t="str">
        <f aca="false">IF(B1067="","",IF(N1067=_xlfn.MAXIFS($N$2:$N$5001,$B$2:$B$5001,B1067,$I$2:$I$5001,I1067),1,0))</f>
        <v/>
      </c>
      <c r="M1067" s="16" t="str">
        <f aca="false">IF(B1067="","",IF(E1067="Em ajustes",IF(N1067=_xlfn.MINIFS($N$2:$N$5001,$B$2:$B$5001,B1067,$E$2:$E$5001,"Em ajustes"),1,0),0))</f>
        <v/>
      </c>
      <c r="N1067" s="17" t="str">
        <f aca="false">IF(A1067="","",IF(ISNUMBER(A1067),A1067,IFERROR(DATE(VALUE(MID(A1067,7,4)),VALUE(MID(A1067,4,2)),VALUE(MID(A1067,1,2)))+TIME(VALUE(MID(A1067,12,2)),VALUE(MID(A1067,15,2)),VALUE(MID(A1067,18,2))),"")))</f>
        <v/>
      </c>
    </row>
    <row r="1068" customFormat="false" ht="15" hidden="false" customHeight="false" outlineLevel="0" collapsed="false">
      <c r="I1068" s="15" t="str">
        <f aca="false">IF(N1068="","",INT(N1068))</f>
        <v/>
      </c>
      <c r="J1068" s="16" t="str">
        <f aca="false">IF(B1068="","",IF(N1068=_xlfn.MINIFS($N$2:$N$5001,$B$2:$B$5001,B1068),1,0))</f>
        <v/>
      </c>
      <c r="K1068" s="16" t="str">
        <f aca="false">IF(B1068="","",IF(AND(D1068="Formalização",E1068="Concluído"),IF(COUNTIFS($B$2:$B$5001,B1068,$E$2:$E$5001,"Em ajustes",$N$2:$N$5001,"&lt;"&amp;I1068)&gt;0,1,0),0))</f>
        <v/>
      </c>
      <c r="L1068" s="16" t="str">
        <f aca="false">IF(B1068="","",IF(N1068=_xlfn.MAXIFS($N$2:$N$5001,$B$2:$B$5001,B1068,$I$2:$I$5001,I1068),1,0))</f>
        <v/>
      </c>
      <c r="M1068" s="16" t="str">
        <f aca="false">IF(B1068="","",IF(E1068="Em ajustes",IF(N1068=_xlfn.MINIFS($N$2:$N$5001,$B$2:$B$5001,B1068,$E$2:$E$5001,"Em ajustes"),1,0),0))</f>
        <v/>
      </c>
      <c r="N1068" s="17" t="str">
        <f aca="false">IF(A1068="","",IF(ISNUMBER(A1068),A1068,IFERROR(DATE(VALUE(MID(A1068,7,4)),VALUE(MID(A1068,4,2)),VALUE(MID(A1068,1,2)))+TIME(VALUE(MID(A1068,12,2)),VALUE(MID(A1068,15,2)),VALUE(MID(A1068,18,2))),"")))</f>
        <v/>
      </c>
    </row>
    <row r="1069" customFormat="false" ht="15" hidden="false" customHeight="false" outlineLevel="0" collapsed="false">
      <c r="I1069" s="15" t="str">
        <f aca="false">IF(N1069="","",INT(N1069))</f>
        <v/>
      </c>
      <c r="J1069" s="16" t="str">
        <f aca="false">IF(B1069="","",IF(N1069=_xlfn.MINIFS($N$2:$N$5001,$B$2:$B$5001,B1069),1,0))</f>
        <v/>
      </c>
      <c r="K1069" s="16" t="str">
        <f aca="false">IF(B1069="","",IF(AND(D1069="Formalização",E1069="Concluído"),IF(COUNTIFS($B$2:$B$5001,B1069,$E$2:$E$5001,"Em ajustes",$N$2:$N$5001,"&lt;"&amp;I1069)&gt;0,1,0),0))</f>
        <v/>
      </c>
      <c r="L1069" s="16" t="str">
        <f aca="false">IF(B1069="","",IF(N1069=_xlfn.MAXIFS($N$2:$N$5001,$B$2:$B$5001,B1069,$I$2:$I$5001,I1069),1,0))</f>
        <v/>
      </c>
      <c r="M1069" s="16" t="str">
        <f aca="false">IF(B1069="","",IF(E1069="Em ajustes",IF(N1069=_xlfn.MINIFS($N$2:$N$5001,$B$2:$B$5001,B1069,$E$2:$E$5001,"Em ajustes"),1,0),0))</f>
        <v/>
      </c>
      <c r="N1069" s="17" t="str">
        <f aca="false">IF(A1069="","",IF(ISNUMBER(A1069),A1069,IFERROR(DATE(VALUE(MID(A1069,7,4)),VALUE(MID(A1069,4,2)),VALUE(MID(A1069,1,2)))+TIME(VALUE(MID(A1069,12,2)),VALUE(MID(A1069,15,2)),VALUE(MID(A1069,18,2))),"")))</f>
        <v/>
      </c>
    </row>
    <row r="1070" customFormat="false" ht="15" hidden="false" customHeight="false" outlineLevel="0" collapsed="false">
      <c r="I1070" s="15" t="str">
        <f aca="false">IF(N1070="","",INT(N1070))</f>
        <v/>
      </c>
      <c r="J1070" s="16" t="str">
        <f aca="false">IF(B1070="","",IF(N1070=_xlfn.MINIFS($N$2:$N$5001,$B$2:$B$5001,B1070),1,0))</f>
        <v/>
      </c>
      <c r="K1070" s="16" t="str">
        <f aca="false">IF(B1070="","",IF(AND(D1070="Formalização",E1070="Concluído"),IF(COUNTIFS($B$2:$B$5001,B1070,$E$2:$E$5001,"Em ajustes",$N$2:$N$5001,"&lt;"&amp;I1070)&gt;0,1,0),0))</f>
        <v/>
      </c>
      <c r="L1070" s="16" t="str">
        <f aca="false">IF(B1070="","",IF(N1070=_xlfn.MAXIFS($N$2:$N$5001,$B$2:$B$5001,B1070,$I$2:$I$5001,I1070),1,0))</f>
        <v/>
      </c>
      <c r="M1070" s="16" t="str">
        <f aca="false">IF(B1070="","",IF(E1070="Em ajustes",IF(N1070=_xlfn.MINIFS($N$2:$N$5001,$B$2:$B$5001,B1070,$E$2:$E$5001,"Em ajustes"),1,0),0))</f>
        <v/>
      </c>
      <c r="N1070" s="17" t="str">
        <f aca="false">IF(A1070="","",IF(ISNUMBER(A1070),A1070,IFERROR(DATE(VALUE(MID(A1070,7,4)),VALUE(MID(A1070,4,2)),VALUE(MID(A1070,1,2)))+TIME(VALUE(MID(A1070,12,2)),VALUE(MID(A1070,15,2)),VALUE(MID(A1070,18,2))),"")))</f>
        <v/>
      </c>
    </row>
    <row r="1071" customFormat="false" ht="15" hidden="false" customHeight="false" outlineLevel="0" collapsed="false">
      <c r="I1071" s="15" t="str">
        <f aca="false">IF(N1071="","",INT(N1071))</f>
        <v/>
      </c>
      <c r="J1071" s="16" t="str">
        <f aca="false">IF(B1071="","",IF(N1071=_xlfn.MINIFS($N$2:$N$5001,$B$2:$B$5001,B1071),1,0))</f>
        <v/>
      </c>
      <c r="K1071" s="16" t="str">
        <f aca="false">IF(B1071="","",IF(AND(D1071="Formalização",E1071="Concluído"),IF(COUNTIFS($B$2:$B$5001,B1071,$E$2:$E$5001,"Em ajustes",$N$2:$N$5001,"&lt;"&amp;I1071)&gt;0,1,0),0))</f>
        <v/>
      </c>
      <c r="L1071" s="16" t="str">
        <f aca="false">IF(B1071="","",IF(N1071=_xlfn.MAXIFS($N$2:$N$5001,$B$2:$B$5001,B1071,$I$2:$I$5001,I1071),1,0))</f>
        <v/>
      </c>
      <c r="M1071" s="16" t="str">
        <f aca="false">IF(B1071="","",IF(E1071="Em ajustes",IF(N1071=_xlfn.MINIFS($N$2:$N$5001,$B$2:$B$5001,B1071,$E$2:$E$5001,"Em ajustes"),1,0),0))</f>
        <v/>
      </c>
      <c r="N1071" s="17" t="str">
        <f aca="false">IF(A1071="","",IF(ISNUMBER(A1071),A1071,IFERROR(DATE(VALUE(MID(A1071,7,4)),VALUE(MID(A1071,4,2)),VALUE(MID(A1071,1,2)))+TIME(VALUE(MID(A1071,12,2)),VALUE(MID(A1071,15,2)),VALUE(MID(A1071,18,2))),"")))</f>
        <v/>
      </c>
    </row>
    <row r="1072" customFormat="false" ht="15" hidden="false" customHeight="false" outlineLevel="0" collapsed="false">
      <c r="I1072" s="15" t="str">
        <f aca="false">IF(N1072="","",INT(N1072))</f>
        <v/>
      </c>
      <c r="J1072" s="16" t="str">
        <f aca="false">IF(B1072="","",IF(N1072=_xlfn.MINIFS($N$2:$N$5001,$B$2:$B$5001,B1072),1,0))</f>
        <v/>
      </c>
      <c r="K1072" s="16" t="str">
        <f aca="false">IF(B1072="","",IF(AND(D1072="Formalização",E1072="Concluído"),IF(COUNTIFS($B$2:$B$5001,B1072,$E$2:$E$5001,"Em ajustes",$N$2:$N$5001,"&lt;"&amp;I1072)&gt;0,1,0),0))</f>
        <v/>
      </c>
      <c r="L1072" s="16" t="str">
        <f aca="false">IF(B1072="","",IF(N1072=_xlfn.MAXIFS($N$2:$N$5001,$B$2:$B$5001,B1072,$I$2:$I$5001,I1072),1,0))</f>
        <v/>
      </c>
      <c r="M1072" s="16" t="str">
        <f aca="false">IF(B1072="","",IF(E1072="Em ajustes",IF(N1072=_xlfn.MINIFS($N$2:$N$5001,$B$2:$B$5001,B1072,$E$2:$E$5001,"Em ajustes"),1,0),0))</f>
        <v/>
      </c>
      <c r="N1072" s="17" t="str">
        <f aca="false">IF(A1072="","",IF(ISNUMBER(A1072),A1072,IFERROR(DATE(VALUE(MID(A1072,7,4)),VALUE(MID(A1072,4,2)),VALUE(MID(A1072,1,2)))+TIME(VALUE(MID(A1072,12,2)),VALUE(MID(A1072,15,2)),VALUE(MID(A1072,18,2))),"")))</f>
        <v/>
      </c>
    </row>
    <row r="1073" customFormat="false" ht="15" hidden="false" customHeight="false" outlineLevel="0" collapsed="false">
      <c r="I1073" s="15" t="str">
        <f aca="false">IF(N1073="","",INT(N1073))</f>
        <v/>
      </c>
      <c r="J1073" s="16" t="str">
        <f aca="false">IF(B1073="","",IF(N1073=_xlfn.MINIFS($N$2:$N$5001,$B$2:$B$5001,B1073),1,0))</f>
        <v/>
      </c>
      <c r="K1073" s="16" t="str">
        <f aca="false">IF(B1073="","",IF(AND(D1073="Formalização",E1073="Concluído"),IF(COUNTIFS($B$2:$B$5001,B1073,$E$2:$E$5001,"Em ajustes",$N$2:$N$5001,"&lt;"&amp;I1073)&gt;0,1,0),0))</f>
        <v/>
      </c>
      <c r="L1073" s="16" t="str">
        <f aca="false">IF(B1073="","",IF(N1073=_xlfn.MAXIFS($N$2:$N$5001,$B$2:$B$5001,B1073,$I$2:$I$5001,I1073),1,0))</f>
        <v/>
      </c>
      <c r="M1073" s="16" t="str">
        <f aca="false">IF(B1073="","",IF(E1073="Em ajustes",IF(N1073=_xlfn.MINIFS($N$2:$N$5001,$B$2:$B$5001,B1073,$E$2:$E$5001,"Em ajustes"),1,0),0))</f>
        <v/>
      </c>
      <c r="N1073" s="17" t="str">
        <f aca="false">IF(A1073="","",IF(ISNUMBER(A1073),A1073,IFERROR(DATE(VALUE(MID(A1073,7,4)),VALUE(MID(A1073,4,2)),VALUE(MID(A1073,1,2)))+TIME(VALUE(MID(A1073,12,2)),VALUE(MID(A1073,15,2)),VALUE(MID(A1073,18,2))),"")))</f>
        <v/>
      </c>
    </row>
    <row r="1074" customFormat="false" ht="15" hidden="false" customHeight="false" outlineLevel="0" collapsed="false">
      <c r="I1074" s="15" t="str">
        <f aca="false">IF(N1074="","",INT(N1074))</f>
        <v/>
      </c>
      <c r="J1074" s="16" t="str">
        <f aca="false">IF(B1074="","",IF(N1074=_xlfn.MINIFS($N$2:$N$5001,$B$2:$B$5001,B1074),1,0))</f>
        <v/>
      </c>
      <c r="K1074" s="16" t="str">
        <f aca="false">IF(B1074="","",IF(AND(D1074="Formalização",E1074="Concluído"),IF(COUNTIFS($B$2:$B$5001,B1074,$E$2:$E$5001,"Em ajustes",$N$2:$N$5001,"&lt;"&amp;I1074)&gt;0,1,0),0))</f>
        <v/>
      </c>
      <c r="L1074" s="16" t="str">
        <f aca="false">IF(B1074="","",IF(N1074=_xlfn.MAXIFS($N$2:$N$5001,$B$2:$B$5001,B1074,$I$2:$I$5001,I1074),1,0))</f>
        <v/>
      </c>
      <c r="M1074" s="16" t="str">
        <f aca="false">IF(B1074="","",IF(E1074="Em ajustes",IF(N1074=_xlfn.MINIFS($N$2:$N$5001,$B$2:$B$5001,B1074,$E$2:$E$5001,"Em ajustes"),1,0),0))</f>
        <v/>
      </c>
      <c r="N1074" s="17" t="str">
        <f aca="false">IF(A1074="","",IF(ISNUMBER(A1074),A1074,IFERROR(DATE(VALUE(MID(A1074,7,4)),VALUE(MID(A1074,4,2)),VALUE(MID(A1074,1,2)))+TIME(VALUE(MID(A1074,12,2)),VALUE(MID(A1074,15,2)),VALUE(MID(A1074,18,2))),"")))</f>
        <v/>
      </c>
    </row>
    <row r="1075" customFormat="false" ht="15" hidden="false" customHeight="false" outlineLevel="0" collapsed="false">
      <c r="I1075" s="15" t="str">
        <f aca="false">IF(N1075="","",INT(N1075))</f>
        <v/>
      </c>
      <c r="J1075" s="16" t="str">
        <f aca="false">IF(B1075="","",IF(N1075=_xlfn.MINIFS($N$2:$N$5001,$B$2:$B$5001,B1075),1,0))</f>
        <v/>
      </c>
      <c r="K1075" s="16" t="str">
        <f aca="false">IF(B1075="","",IF(AND(D1075="Formalização",E1075="Concluído"),IF(COUNTIFS($B$2:$B$5001,B1075,$E$2:$E$5001,"Em ajustes",$N$2:$N$5001,"&lt;"&amp;I1075)&gt;0,1,0),0))</f>
        <v/>
      </c>
      <c r="L1075" s="16" t="str">
        <f aca="false">IF(B1075="","",IF(N1075=_xlfn.MAXIFS($N$2:$N$5001,$B$2:$B$5001,B1075,$I$2:$I$5001,I1075),1,0))</f>
        <v/>
      </c>
      <c r="M1075" s="16" t="str">
        <f aca="false">IF(B1075="","",IF(E1075="Em ajustes",IF(N1075=_xlfn.MINIFS($N$2:$N$5001,$B$2:$B$5001,B1075,$E$2:$E$5001,"Em ajustes"),1,0),0))</f>
        <v/>
      </c>
      <c r="N1075" s="17" t="str">
        <f aca="false">IF(A1075="","",IF(ISNUMBER(A1075),A1075,IFERROR(DATE(VALUE(MID(A1075,7,4)),VALUE(MID(A1075,4,2)),VALUE(MID(A1075,1,2)))+TIME(VALUE(MID(A1075,12,2)),VALUE(MID(A1075,15,2)),VALUE(MID(A1075,18,2))),"")))</f>
        <v/>
      </c>
    </row>
    <row r="1076" customFormat="false" ht="15" hidden="false" customHeight="false" outlineLevel="0" collapsed="false">
      <c r="I1076" s="15" t="str">
        <f aca="false">IF(N1076="","",INT(N1076))</f>
        <v/>
      </c>
      <c r="J1076" s="16" t="str">
        <f aca="false">IF(B1076="","",IF(N1076=_xlfn.MINIFS($N$2:$N$5001,$B$2:$B$5001,B1076),1,0))</f>
        <v/>
      </c>
      <c r="K1076" s="16" t="str">
        <f aca="false">IF(B1076="","",IF(AND(D1076="Formalização",E1076="Concluído"),IF(COUNTIFS($B$2:$B$5001,B1076,$E$2:$E$5001,"Em ajustes",$N$2:$N$5001,"&lt;"&amp;I1076)&gt;0,1,0),0))</f>
        <v/>
      </c>
      <c r="L1076" s="16" t="str">
        <f aca="false">IF(B1076="","",IF(N1076=_xlfn.MAXIFS($N$2:$N$5001,$B$2:$B$5001,B1076,$I$2:$I$5001,I1076),1,0))</f>
        <v/>
      </c>
      <c r="M1076" s="16" t="str">
        <f aca="false">IF(B1076="","",IF(E1076="Em ajustes",IF(N1076=_xlfn.MINIFS($N$2:$N$5001,$B$2:$B$5001,B1076,$E$2:$E$5001,"Em ajustes"),1,0),0))</f>
        <v/>
      </c>
      <c r="N1076" s="17" t="str">
        <f aca="false">IF(A1076="","",IF(ISNUMBER(A1076),A1076,IFERROR(DATE(VALUE(MID(A1076,7,4)),VALUE(MID(A1076,4,2)),VALUE(MID(A1076,1,2)))+TIME(VALUE(MID(A1076,12,2)),VALUE(MID(A1076,15,2)),VALUE(MID(A1076,18,2))),"")))</f>
        <v/>
      </c>
    </row>
    <row r="1077" customFormat="false" ht="15" hidden="false" customHeight="false" outlineLevel="0" collapsed="false">
      <c r="I1077" s="15" t="str">
        <f aca="false">IF(N1077="","",INT(N1077))</f>
        <v/>
      </c>
      <c r="J1077" s="16" t="str">
        <f aca="false">IF(B1077="","",IF(N1077=_xlfn.MINIFS($N$2:$N$5001,$B$2:$B$5001,B1077),1,0))</f>
        <v/>
      </c>
      <c r="K1077" s="16" t="str">
        <f aca="false">IF(B1077="","",IF(AND(D1077="Formalização",E1077="Concluído"),IF(COUNTIFS($B$2:$B$5001,B1077,$E$2:$E$5001,"Em ajustes",$N$2:$N$5001,"&lt;"&amp;I1077)&gt;0,1,0),0))</f>
        <v/>
      </c>
      <c r="L1077" s="16" t="str">
        <f aca="false">IF(B1077="","",IF(N1077=_xlfn.MAXIFS($N$2:$N$5001,$B$2:$B$5001,B1077,$I$2:$I$5001,I1077),1,0))</f>
        <v/>
      </c>
      <c r="M1077" s="16" t="str">
        <f aca="false">IF(B1077="","",IF(E1077="Em ajustes",IF(N1077=_xlfn.MINIFS($N$2:$N$5001,$B$2:$B$5001,B1077,$E$2:$E$5001,"Em ajustes"),1,0),0))</f>
        <v/>
      </c>
      <c r="N1077" s="17" t="str">
        <f aca="false">IF(A1077="","",IF(ISNUMBER(A1077),A1077,IFERROR(DATE(VALUE(MID(A1077,7,4)),VALUE(MID(A1077,4,2)),VALUE(MID(A1077,1,2)))+TIME(VALUE(MID(A1077,12,2)),VALUE(MID(A1077,15,2)),VALUE(MID(A1077,18,2))),"")))</f>
        <v/>
      </c>
    </row>
    <row r="1078" customFormat="false" ht="15" hidden="false" customHeight="false" outlineLevel="0" collapsed="false">
      <c r="I1078" s="15" t="str">
        <f aca="false">IF(N1078="","",INT(N1078))</f>
        <v/>
      </c>
      <c r="J1078" s="16" t="str">
        <f aca="false">IF(B1078="","",IF(N1078=_xlfn.MINIFS($N$2:$N$5001,$B$2:$B$5001,B1078),1,0))</f>
        <v/>
      </c>
      <c r="K1078" s="16" t="str">
        <f aca="false">IF(B1078="","",IF(AND(D1078="Formalização",E1078="Concluído"),IF(COUNTIFS($B$2:$B$5001,B1078,$E$2:$E$5001,"Em ajustes",$N$2:$N$5001,"&lt;"&amp;I1078)&gt;0,1,0),0))</f>
        <v/>
      </c>
      <c r="L1078" s="16" t="str">
        <f aca="false">IF(B1078="","",IF(N1078=_xlfn.MAXIFS($N$2:$N$5001,$B$2:$B$5001,B1078,$I$2:$I$5001,I1078),1,0))</f>
        <v/>
      </c>
      <c r="M1078" s="16" t="str">
        <f aca="false">IF(B1078="","",IF(E1078="Em ajustes",IF(N1078=_xlfn.MINIFS($N$2:$N$5001,$B$2:$B$5001,B1078,$E$2:$E$5001,"Em ajustes"),1,0),0))</f>
        <v/>
      </c>
      <c r="N1078" s="17" t="str">
        <f aca="false">IF(A1078="","",IF(ISNUMBER(A1078),A1078,IFERROR(DATE(VALUE(MID(A1078,7,4)),VALUE(MID(A1078,4,2)),VALUE(MID(A1078,1,2)))+TIME(VALUE(MID(A1078,12,2)),VALUE(MID(A1078,15,2)),VALUE(MID(A1078,18,2))),"")))</f>
        <v/>
      </c>
    </row>
    <row r="1079" customFormat="false" ht="15" hidden="false" customHeight="false" outlineLevel="0" collapsed="false">
      <c r="I1079" s="15" t="str">
        <f aca="false">IF(N1079="","",INT(N1079))</f>
        <v/>
      </c>
      <c r="J1079" s="16" t="str">
        <f aca="false">IF(B1079="","",IF(N1079=_xlfn.MINIFS($N$2:$N$5001,$B$2:$B$5001,B1079),1,0))</f>
        <v/>
      </c>
      <c r="K1079" s="16" t="str">
        <f aca="false">IF(B1079="","",IF(AND(D1079="Formalização",E1079="Concluído"),IF(COUNTIFS($B$2:$B$5001,B1079,$E$2:$E$5001,"Em ajustes",$N$2:$N$5001,"&lt;"&amp;I1079)&gt;0,1,0),0))</f>
        <v/>
      </c>
      <c r="L1079" s="16" t="str">
        <f aca="false">IF(B1079="","",IF(N1079=_xlfn.MAXIFS($N$2:$N$5001,$B$2:$B$5001,B1079,$I$2:$I$5001,I1079),1,0))</f>
        <v/>
      </c>
      <c r="M1079" s="16" t="str">
        <f aca="false">IF(B1079="","",IF(E1079="Em ajustes",IF(N1079=_xlfn.MINIFS($N$2:$N$5001,$B$2:$B$5001,B1079,$E$2:$E$5001,"Em ajustes"),1,0),0))</f>
        <v/>
      </c>
      <c r="N1079" s="17" t="str">
        <f aca="false">IF(A1079="","",IF(ISNUMBER(A1079),A1079,IFERROR(DATE(VALUE(MID(A1079,7,4)),VALUE(MID(A1079,4,2)),VALUE(MID(A1079,1,2)))+TIME(VALUE(MID(A1079,12,2)),VALUE(MID(A1079,15,2)),VALUE(MID(A1079,18,2))),"")))</f>
        <v/>
      </c>
    </row>
    <row r="1080" customFormat="false" ht="15" hidden="false" customHeight="false" outlineLevel="0" collapsed="false">
      <c r="I1080" s="15" t="str">
        <f aca="false">IF(N1080="","",INT(N1080))</f>
        <v/>
      </c>
      <c r="J1080" s="16" t="str">
        <f aca="false">IF(B1080="","",IF(N1080=_xlfn.MINIFS($N$2:$N$5001,$B$2:$B$5001,B1080),1,0))</f>
        <v/>
      </c>
      <c r="K1080" s="16" t="str">
        <f aca="false">IF(B1080="","",IF(AND(D1080="Formalização",E1080="Concluído"),IF(COUNTIFS($B$2:$B$5001,B1080,$E$2:$E$5001,"Em ajustes",$N$2:$N$5001,"&lt;"&amp;I1080)&gt;0,1,0),0))</f>
        <v/>
      </c>
      <c r="L1080" s="16" t="str">
        <f aca="false">IF(B1080="","",IF(N1080=_xlfn.MAXIFS($N$2:$N$5001,$B$2:$B$5001,B1080,$I$2:$I$5001,I1080),1,0))</f>
        <v/>
      </c>
      <c r="M1080" s="16" t="str">
        <f aca="false">IF(B1080="","",IF(E1080="Em ajustes",IF(N1080=_xlfn.MINIFS($N$2:$N$5001,$B$2:$B$5001,B1080,$E$2:$E$5001,"Em ajustes"),1,0),0))</f>
        <v/>
      </c>
      <c r="N1080" s="17" t="str">
        <f aca="false">IF(A1080="","",IF(ISNUMBER(A1080),A1080,IFERROR(DATE(VALUE(MID(A1080,7,4)),VALUE(MID(A1080,4,2)),VALUE(MID(A1080,1,2)))+TIME(VALUE(MID(A1080,12,2)),VALUE(MID(A1080,15,2)),VALUE(MID(A1080,18,2))),"")))</f>
        <v/>
      </c>
    </row>
    <row r="1081" customFormat="false" ht="15" hidden="false" customHeight="false" outlineLevel="0" collapsed="false">
      <c r="I1081" s="15" t="str">
        <f aca="false">IF(N1081="","",INT(N1081))</f>
        <v/>
      </c>
      <c r="J1081" s="16" t="str">
        <f aca="false">IF(B1081="","",IF(N1081=_xlfn.MINIFS($N$2:$N$5001,$B$2:$B$5001,B1081),1,0))</f>
        <v/>
      </c>
      <c r="K1081" s="16" t="str">
        <f aca="false">IF(B1081="","",IF(AND(D1081="Formalização",E1081="Concluído"),IF(COUNTIFS($B$2:$B$5001,B1081,$E$2:$E$5001,"Em ajustes",$N$2:$N$5001,"&lt;"&amp;I1081)&gt;0,1,0),0))</f>
        <v/>
      </c>
      <c r="L1081" s="16" t="str">
        <f aca="false">IF(B1081="","",IF(N1081=_xlfn.MAXIFS($N$2:$N$5001,$B$2:$B$5001,B1081,$I$2:$I$5001,I1081),1,0))</f>
        <v/>
      </c>
      <c r="M1081" s="16" t="str">
        <f aca="false">IF(B1081="","",IF(E1081="Em ajustes",IF(N1081=_xlfn.MINIFS($N$2:$N$5001,$B$2:$B$5001,B1081,$E$2:$E$5001,"Em ajustes"),1,0),0))</f>
        <v/>
      </c>
      <c r="N1081" s="17" t="str">
        <f aca="false">IF(A1081="","",IF(ISNUMBER(A1081),A1081,IFERROR(DATE(VALUE(MID(A1081,7,4)),VALUE(MID(A1081,4,2)),VALUE(MID(A1081,1,2)))+TIME(VALUE(MID(A1081,12,2)),VALUE(MID(A1081,15,2)),VALUE(MID(A1081,18,2))),"")))</f>
        <v/>
      </c>
    </row>
    <row r="1082" customFormat="false" ht="15" hidden="false" customHeight="false" outlineLevel="0" collapsed="false">
      <c r="I1082" s="15" t="str">
        <f aca="false">IF(N1082="","",INT(N1082))</f>
        <v/>
      </c>
      <c r="J1082" s="16" t="str">
        <f aca="false">IF(B1082="","",IF(N1082=_xlfn.MINIFS($N$2:$N$5001,$B$2:$B$5001,B1082),1,0))</f>
        <v/>
      </c>
      <c r="K1082" s="16" t="str">
        <f aca="false">IF(B1082="","",IF(AND(D1082="Formalização",E1082="Concluído"),IF(COUNTIFS($B$2:$B$5001,B1082,$E$2:$E$5001,"Em ajustes",$N$2:$N$5001,"&lt;"&amp;I1082)&gt;0,1,0),0))</f>
        <v/>
      </c>
      <c r="L1082" s="16" t="str">
        <f aca="false">IF(B1082="","",IF(N1082=_xlfn.MAXIFS($N$2:$N$5001,$B$2:$B$5001,B1082,$I$2:$I$5001,I1082),1,0))</f>
        <v/>
      </c>
      <c r="M1082" s="16" t="str">
        <f aca="false">IF(B1082="","",IF(E1082="Em ajustes",IF(N1082=_xlfn.MINIFS($N$2:$N$5001,$B$2:$B$5001,B1082,$E$2:$E$5001,"Em ajustes"),1,0),0))</f>
        <v/>
      </c>
      <c r="N1082" s="17" t="str">
        <f aca="false">IF(A1082="","",IF(ISNUMBER(A1082),A1082,IFERROR(DATE(VALUE(MID(A1082,7,4)),VALUE(MID(A1082,4,2)),VALUE(MID(A1082,1,2)))+TIME(VALUE(MID(A1082,12,2)),VALUE(MID(A1082,15,2)),VALUE(MID(A1082,18,2))),"")))</f>
        <v/>
      </c>
    </row>
    <row r="1083" customFormat="false" ht="15" hidden="false" customHeight="false" outlineLevel="0" collapsed="false">
      <c r="I1083" s="15" t="str">
        <f aca="false">IF(N1083="","",INT(N1083))</f>
        <v/>
      </c>
      <c r="J1083" s="16" t="str">
        <f aca="false">IF(B1083="","",IF(N1083=_xlfn.MINIFS($N$2:$N$5001,$B$2:$B$5001,B1083),1,0))</f>
        <v/>
      </c>
      <c r="K1083" s="16" t="str">
        <f aca="false">IF(B1083="","",IF(AND(D1083="Formalização",E1083="Concluído"),IF(COUNTIFS($B$2:$B$5001,B1083,$E$2:$E$5001,"Em ajustes",$N$2:$N$5001,"&lt;"&amp;I1083)&gt;0,1,0),0))</f>
        <v/>
      </c>
      <c r="L1083" s="16" t="str">
        <f aca="false">IF(B1083="","",IF(N1083=_xlfn.MAXIFS($N$2:$N$5001,$B$2:$B$5001,B1083,$I$2:$I$5001,I1083),1,0))</f>
        <v/>
      </c>
      <c r="M1083" s="16" t="str">
        <f aca="false">IF(B1083="","",IF(E1083="Em ajustes",IF(N1083=_xlfn.MINIFS($N$2:$N$5001,$B$2:$B$5001,B1083,$E$2:$E$5001,"Em ajustes"),1,0),0))</f>
        <v/>
      </c>
      <c r="N1083" s="17" t="str">
        <f aca="false">IF(A1083="","",IF(ISNUMBER(A1083),A1083,IFERROR(DATE(VALUE(MID(A1083,7,4)),VALUE(MID(A1083,4,2)),VALUE(MID(A1083,1,2)))+TIME(VALUE(MID(A1083,12,2)),VALUE(MID(A1083,15,2)),VALUE(MID(A1083,18,2))),"")))</f>
        <v/>
      </c>
    </row>
    <row r="1084" customFormat="false" ht="15" hidden="false" customHeight="false" outlineLevel="0" collapsed="false">
      <c r="I1084" s="15" t="str">
        <f aca="false">IF(N1084="","",INT(N1084))</f>
        <v/>
      </c>
      <c r="J1084" s="16" t="str">
        <f aca="false">IF(B1084="","",IF(N1084=_xlfn.MINIFS($N$2:$N$5001,$B$2:$B$5001,B1084),1,0))</f>
        <v/>
      </c>
      <c r="K1084" s="16" t="str">
        <f aca="false">IF(B1084="","",IF(AND(D1084="Formalização",E1084="Concluído"),IF(COUNTIFS($B$2:$B$5001,B1084,$E$2:$E$5001,"Em ajustes",$N$2:$N$5001,"&lt;"&amp;I1084)&gt;0,1,0),0))</f>
        <v/>
      </c>
      <c r="L1084" s="16" t="str">
        <f aca="false">IF(B1084="","",IF(N1084=_xlfn.MAXIFS($N$2:$N$5001,$B$2:$B$5001,B1084,$I$2:$I$5001,I1084),1,0))</f>
        <v/>
      </c>
      <c r="M1084" s="16" t="str">
        <f aca="false">IF(B1084="","",IF(E1084="Em ajustes",IF(N1084=_xlfn.MINIFS($N$2:$N$5001,$B$2:$B$5001,B1084,$E$2:$E$5001,"Em ajustes"),1,0),0))</f>
        <v/>
      </c>
      <c r="N1084" s="17" t="str">
        <f aca="false">IF(A1084="","",IF(ISNUMBER(A1084),A1084,IFERROR(DATE(VALUE(MID(A1084,7,4)),VALUE(MID(A1084,4,2)),VALUE(MID(A1084,1,2)))+TIME(VALUE(MID(A1084,12,2)),VALUE(MID(A1084,15,2)),VALUE(MID(A1084,18,2))),"")))</f>
        <v/>
      </c>
    </row>
    <row r="1085" customFormat="false" ht="15" hidden="false" customHeight="false" outlineLevel="0" collapsed="false">
      <c r="I1085" s="15" t="str">
        <f aca="false">IF(N1085="","",INT(N1085))</f>
        <v/>
      </c>
      <c r="J1085" s="16" t="str">
        <f aca="false">IF(B1085="","",IF(N1085=_xlfn.MINIFS($N$2:$N$5001,$B$2:$B$5001,B1085),1,0))</f>
        <v/>
      </c>
      <c r="K1085" s="16" t="str">
        <f aca="false">IF(B1085="","",IF(AND(D1085="Formalização",E1085="Concluído"),IF(COUNTIFS($B$2:$B$5001,B1085,$E$2:$E$5001,"Em ajustes",$N$2:$N$5001,"&lt;"&amp;I1085)&gt;0,1,0),0))</f>
        <v/>
      </c>
      <c r="L1085" s="16" t="str">
        <f aca="false">IF(B1085="","",IF(N1085=_xlfn.MAXIFS($N$2:$N$5001,$B$2:$B$5001,B1085,$I$2:$I$5001,I1085),1,0))</f>
        <v/>
      </c>
      <c r="M1085" s="16" t="str">
        <f aca="false">IF(B1085="","",IF(E1085="Em ajustes",IF(N1085=_xlfn.MINIFS($N$2:$N$5001,$B$2:$B$5001,B1085,$E$2:$E$5001,"Em ajustes"),1,0),0))</f>
        <v/>
      </c>
      <c r="N1085" s="17" t="str">
        <f aca="false">IF(A1085="","",IF(ISNUMBER(A1085),A1085,IFERROR(DATE(VALUE(MID(A1085,7,4)),VALUE(MID(A1085,4,2)),VALUE(MID(A1085,1,2)))+TIME(VALUE(MID(A1085,12,2)),VALUE(MID(A1085,15,2)),VALUE(MID(A1085,18,2))),"")))</f>
        <v/>
      </c>
    </row>
    <row r="1086" customFormat="false" ht="15" hidden="false" customHeight="false" outlineLevel="0" collapsed="false">
      <c r="I1086" s="15" t="str">
        <f aca="false">IF(N1086="","",INT(N1086))</f>
        <v/>
      </c>
      <c r="J1086" s="16" t="str">
        <f aca="false">IF(B1086="","",IF(N1086=_xlfn.MINIFS($N$2:$N$5001,$B$2:$B$5001,B1086),1,0))</f>
        <v/>
      </c>
      <c r="K1086" s="16" t="str">
        <f aca="false">IF(B1086="","",IF(AND(D1086="Formalização",E1086="Concluído"),IF(COUNTIFS($B$2:$B$5001,B1086,$E$2:$E$5001,"Em ajustes",$N$2:$N$5001,"&lt;"&amp;I1086)&gt;0,1,0),0))</f>
        <v/>
      </c>
      <c r="L1086" s="16" t="str">
        <f aca="false">IF(B1086="","",IF(N1086=_xlfn.MAXIFS($N$2:$N$5001,$B$2:$B$5001,B1086,$I$2:$I$5001,I1086),1,0))</f>
        <v/>
      </c>
      <c r="M1086" s="16" t="str">
        <f aca="false">IF(B1086="","",IF(E1086="Em ajustes",IF(N1086=_xlfn.MINIFS($N$2:$N$5001,$B$2:$B$5001,B1086,$E$2:$E$5001,"Em ajustes"),1,0),0))</f>
        <v/>
      </c>
      <c r="N1086" s="17" t="str">
        <f aca="false">IF(A1086="","",IF(ISNUMBER(A1086),A1086,IFERROR(DATE(VALUE(MID(A1086,7,4)),VALUE(MID(A1086,4,2)),VALUE(MID(A1086,1,2)))+TIME(VALUE(MID(A1086,12,2)),VALUE(MID(A1086,15,2)),VALUE(MID(A1086,18,2))),"")))</f>
        <v/>
      </c>
    </row>
    <row r="1087" customFormat="false" ht="15" hidden="false" customHeight="false" outlineLevel="0" collapsed="false">
      <c r="I1087" s="15" t="str">
        <f aca="false">IF(N1087="","",INT(N1087))</f>
        <v/>
      </c>
      <c r="J1087" s="16" t="str">
        <f aca="false">IF(B1087="","",IF(N1087=_xlfn.MINIFS($N$2:$N$5001,$B$2:$B$5001,B1087),1,0))</f>
        <v/>
      </c>
      <c r="K1087" s="16" t="str">
        <f aca="false">IF(B1087="","",IF(AND(D1087="Formalização",E1087="Concluído"),IF(COUNTIFS($B$2:$B$5001,B1087,$E$2:$E$5001,"Em ajustes",$N$2:$N$5001,"&lt;"&amp;I1087)&gt;0,1,0),0))</f>
        <v/>
      </c>
      <c r="L1087" s="16" t="str">
        <f aca="false">IF(B1087="","",IF(N1087=_xlfn.MAXIFS($N$2:$N$5001,$B$2:$B$5001,B1087,$I$2:$I$5001,I1087),1,0))</f>
        <v/>
      </c>
      <c r="M1087" s="16" t="str">
        <f aca="false">IF(B1087="","",IF(E1087="Em ajustes",IF(N1087=_xlfn.MINIFS($N$2:$N$5001,$B$2:$B$5001,B1087,$E$2:$E$5001,"Em ajustes"),1,0),0))</f>
        <v/>
      </c>
      <c r="N1087" s="17" t="str">
        <f aca="false">IF(A1087="","",IF(ISNUMBER(A1087),A1087,IFERROR(DATE(VALUE(MID(A1087,7,4)),VALUE(MID(A1087,4,2)),VALUE(MID(A1087,1,2)))+TIME(VALUE(MID(A1087,12,2)),VALUE(MID(A1087,15,2)),VALUE(MID(A1087,18,2))),"")))</f>
        <v/>
      </c>
    </row>
    <row r="1088" customFormat="false" ht="15" hidden="false" customHeight="false" outlineLevel="0" collapsed="false">
      <c r="I1088" s="15" t="str">
        <f aca="false">IF(N1088="","",INT(N1088))</f>
        <v/>
      </c>
      <c r="J1088" s="16" t="str">
        <f aca="false">IF(B1088="","",IF(N1088=_xlfn.MINIFS($N$2:$N$5001,$B$2:$B$5001,B1088),1,0))</f>
        <v/>
      </c>
      <c r="K1088" s="16" t="str">
        <f aca="false">IF(B1088="","",IF(AND(D1088="Formalização",E1088="Concluído"),IF(COUNTIFS($B$2:$B$5001,B1088,$E$2:$E$5001,"Em ajustes",$N$2:$N$5001,"&lt;"&amp;I1088)&gt;0,1,0),0))</f>
        <v/>
      </c>
      <c r="L1088" s="16" t="str">
        <f aca="false">IF(B1088="","",IF(N1088=_xlfn.MAXIFS($N$2:$N$5001,$B$2:$B$5001,B1088,$I$2:$I$5001,I1088),1,0))</f>
        <v/>
      </c>
      <c r="M1088" s="16" t="str">
        <f aca="false">IF(B1088="","",IF(E1088="Em ajustes",IF(N1088=_xlfn.MINIFS($N$2:$N$5001,$B$2:$B$5001,B1088,$E$2:$E$5001,"Em ajustes"),1,0),0))</f>
        <v/>
      </c>
      <c r="N1088" s="17" t="str">
        <f aca="false">IF(A1088="","",IF(ISNUMBER(A1088),A1088,IFERROR(DATE(VALUE(MID(A1088,7,4)),VALUE(MID(A1088,4,2)),VALUE(MID(A1088,1,2)))+TIME(VALUE(MID(A1088,12,2)),VALUE(MID(A1088,15,2)),VALUE(MID(A1088,18,2))),"")))</f>
        <v/>
      </c>
    </row>
    <row r="1089" customFormat="false" ht="15" hidden="false" customHeight="false" outlineLevel="0" collapsed="false">
      <c r="I1089" s="15" t="str">
        <f aca="false">IF(N1089="","",INT(N1089))</f>
        <v/>
      </c>
      <c r="J1089" s="16" t="str">
        <f aca="false">IF(B1089="","",IF(N1089=_xlfn.MINIFS($N$2:$N$5001,$B$2:$B$5001,B1089),1,0))</f>
        <v/>
      </c>
      <c r="K1089" s="16" t="str">
        <f aca="false">IF(B1089="","",IF(AND(D1089="Formalização",E1089="Concluído"),IF(COUNTIFS($B$2:$B$5001,B1089,$E$2:$E$5001,"Em ajustes",$N$2:$N$5001,"&lt;"&amp;I1089)&gt;0,1,0),0))</f>
        <v/>
      </c>
      <c r="L1089" s="16" t="str">
        <f aca="false">IF(B1089="","",IF(N1089=_xlfn.MAXIFS($N$2:$N$5001,$B$2:$B$5001,B1089,$I$2:$I$5001,I1089),1,0))</f>
        <v/>
      </c>
      <c r="M1089" s="16" t="str">
        <f aca="false">IF(B1089="","",IF(E1089="Em ajustes",IF(N1089=_xlfn.MINIFS($N$2:$N$5001,$B$2:$B$5001,B1089,$E$2:$E$5001,"Em ajustes"),1,0),0))</f>
        <v/>
      </c>
      <c r="N1089" s="17" t="str">
        <f aca="false">IF(A1089="","",IF(ISNUMBER(A1089),A1089,IFERROR(DATE(VALUE(MID(A1089,7,4)),VALUE(MID(A1089,4,2)),VALUE(MID(A1089,1,2)))+TIME(VALUE(MID(A1089,12,2)),VALUE(MID(A1089,15,2)),VALUE(MID(A1089,18,2))),"")))</f>
        <v/>
      </c>
    </row>
    <row r="1090" customFormat="false" ht="15" hidden="false" customHeight="false" outlineLevel="0" collapsed="false">
      <c r="I1090" s="15" t="str">
        <f aca="false">IF(N1090="","",INT(N1090))</f>
        <v/>
      </c>
      <c r="J1090" s="16" t="str">
        <f aca="false">IF(B1090="","",IF(N1090=_xlfn.MINIFS($N$2:$N$5001,$B$2:$B$5001,B1090),1,0))</f>
        <v/>
      </c>
      <c r="K1090" s="16" t="str">
        <f aca="false">IF(B1090="","",IF(AND(D1090="Formalização",E1090="Concluído"),IF(COUNTIFS($B$2:$B$5001,B1090,$E$2:$E$5001,"Em ajustes",$N$2:$N$5001,"&lt;"&amp;I1090)&gt;0,1,0),0))</f>
        <v/>
      </c>
      <c r="L1090" s="16" t="str">
        <f aca="false">IF(B1090="","",IF(N1090=_xlfn.MAXIFS($N$2:$N$5001,$B$2:$B$5001,B1090,$I$2:$I$5001,I1090),1,0))</f>
        <v/>
      </c>
      <c r="M1090" s="16" t="str">
        <f aca="false">IF(B1090="","",IF(E1090="Em ajustes",IF(N1090=_xlfn.MINIFS($N$2:$N$5001,$B$2:$B$5001,B1090,$E$2:$E$5001,"Em ajustes"),1,0),0))</f>
        <v/>
      </c>
      <c r="N1090" s="17" t="str">
        <f aca="false">IF(A1090="","",IF(ISNUMBER(A1090),A1090,IFERROR(DATE(VALUE(MID(A1090,7,4)),VALUE(MID(A1090,4,2)),VALUE(MID(A1090,1,2)))+TIME(VALUE(MID(A1090,12,2)),VALUE(MID(A1090,15,2)),VALUE(MID(A1090,18,2))),"")))</f>
        <v/>
      </c>
    </row>
    <row r="1091" customFormat="false" ht="15" hidden="false" customHeight="false" outlineLevel="0" collapsed="false">
      <c r="I1091" s="15" t="str">
        <f aca="false">IF(N1091="","",INT(N1091))</f>
        <v/>
      </c>
      <c r="J1091" s="16" t="str">
        <f aca="false">IF(B1091="","",IF(N1091=_xlfn.MINIFS($N$2:$N$5001,$B$2:$B$5001,B1091),1,0))</f>
        <v/>
      </c>
      <c r="K1091" s="16" t="str">
        <f aca="false">IF(B1091="","",IF(AND(D1091="Formalização",E1091="Concluído"),IF(COUNTIFS($B$2:$B$5001,B1091,$E$2:$E$5001,"Em ajustes",$N$2:$N$5001,"&lt;"&amp;I1091)&gt;0,1,0),0))</f>
        <v/>
      </c>
      <c r="L1091" s="16" t="str">
        <f aca="false">IF(B1091="","",IF(N1091=_xlfn.MAXIFS($N$2:$N$5001,$B$2:$B$5001,B1091,$I$2:$I$5001,I1091),1,0))</f>
        <v/>
      </c>
      <c r="M1091" s="16" t="str">
        <f aca="false">IF(B1091="","",IF(E1091="Em ajustes",IF(N1091=_xlfn.MINIFS($N$2:$N$5001,$B$2:$B$5001,B1091,$E$2:$E$5001,"Em ajustes"),1,0),0))</f>
        <v/>
      </c>
      <c r="N1091" s="17" t="str">
        <f aca="false">IF(A1091="","",IF(ISNUMBER(A1091),A1091,IFERROR(DATE(VALUE(MID(A1091,7,4)),VALUE(MID(A1091,4,2)),VALUE(MID(A1091,1,2)))+TIME(VALUE(MID(A1091,12,2)),VALUE(MID(A1091,15,2)),VALUE(MID(A1091,18,2))),"")))</f>
        <v/>
      </c>
    </row>
    <row r="1092" customFormat="false" ht="15" hidden="false" customHeight="false" outlineLevel="0" collapsed="false">
      <c r="I1092" s="15" t="str">
        <f aca="false">IF(N1092="","",INT(N1092))</f>
        <v/>
      </c>
      <c r="J1092" s="16" t="str">
        <f aca="false">IF(B1092="","",IF(N1092=_xlfn.MINIFS($N$2:$N$5001,$B$2:$B$5001,B1092),1,0))</f>
        <v/>
      </c>
      <c r="K1092" s="16" t="str">
        <f aca="false">IF(B1092="","",IF(AND(D1092="Formalização",E1092="Concluído"),IF(COUNTIFS($B$2:$B$5001,B1092,$E$2:$E$5001,"Em ajustes",$N$2:$N$5001,"&lt;"&amp;I1092)&gt;0,1,0),0))</f>
        <v/>
      </c>
      <c r="L1092" s="16" t="str">
        <f aca="false">IF(B1092="","",IF(N1092=_xlfn.MAXIFS($N$2:$N$5001,$B$2:$B$5001,B1092,$I$2:$I$5001,I1092),1,0))</f>
        <v/>
      </c>
      <c r="M1092" s="16" t="str">
        <f aca="false">IF(B1092="","",IF(E1092="Em ajustes",IF(N1092=_xlfn.MINIFS($N$2:$N$5001,$B$2:$B$5001,B1092,$E$2:$E$5001,"Em ajustes"),1,0),0))</f>
        <v/>
      </c>
      <c r="N1092" s="17" t="str">
        <f aca="false">IF(A1092="","",IF(ISNUMBER(A1092),A1092,IFERROR(DATE(VALUE(MID(A1092,7,4)),VALUE(MID(A1092,4,2)),VALUE(MID(A1092,1,2)))+TIME(VALUE(MID(A1092,12,2)),VALUE(MID(A1092,15,2)),VALUE(MID(A1092,18,2))),"")))</f>
        <v/>
      </c>
    </row>
    <row r="1093" customFormat="false" ht="15" hidden="false" customHeight="false" outlineLevel="0" collapsed="false">
      <c r="I1093" s="15" t="str">
        <f aca="false">IF(N1093="","",INT(N1093))</f>
        <v/>
      </c>
      <c r="J1093" s="16" t="str">
        <f aca="false">IF(B1093="","",IF(N1093=_xlfn.MINIFS($N$2:$N$5001,$B$2:$B$5001,B1093),1,0))</f>
        <v/>
      </c>
      <c r="K1093" s="16" t="str">
        <f aca="false">IF(B1093="","",IF(AND(D1093="Formalização",E1093="Concluído"),IF(COUNTIFS($B$2:$B$5001,B1093,$E$2:$E$5001,"Em ajustes",$N$2:$N$5001,"&lt;"&amp;I1093)&gt;0,1,0),0))</f>
        <v/>
      </c>
      <c r="L1093" s="16" t="str">
        <f aca="false">IF(B1093="","",IF(N1093=_xlfn.MAXIFS($N$2:$N$5001,$B$2:$B$5001,B1093,$I$2:$I$5001,I1093),1,0))</f>
        <v/>
      </c>
      <c r="M1093" s="16" t="str">
        <f aca="false">IF(B1093="","",IF(E1093="Em ajustes",IF(N1093=_xlfn.MINIFS($N$2:$N$5001,$B$2:$B$5001,B1093,$E$2:$E$5001,"Em ajustes"),1,0),0))</f>
        <v/>
      </c>
      <c r="N1093" s="17" t="str">
        <f aca="false">IF(A1093="","",IF(ISNUMBER(A1093),A1093,IFERROR(DATE(VALUE(MID(A1093,7,4)),VALUE(MID(A1093,4,2)),VALUE(MID(A1093,1,2)))+TIME(VALUE(MID(A1093,12,2)),VALUE(MID(A1093,15,2)),VALUE(MID(A1093,18,2))),"")))</f>
        <v/>
      </c>
    </row>
    <row r="1094" customFormat="false" ht="15" hidden="false" customHeight="false" outlineLevel="0" collapsed="false">
      <c r="I1094" s="15" t="str">
        <f aca="false">IF(N1094="","",INT(N1094))</f>
        <v/>
      </c>
      <c r="J1094" s="16" t="str">
        <f aca="false">IF(B1094="","",IF(N1094=_xlfn.MINIFS($N$2:$N$5001,$B$2:$B$5001,B1094),1,0))</f>
        <v/>
      </c>
      <c r="K1094" s="16" t="str">
        <f aca="false">IF(B1094="","",IF(AND(D1094="Formalização",E1094="Concluído"),IF(COUNTIFS($B$2:$B$5001,B1094,$E$2:$E$5001,"Em ajustes",$N$2:$N$5001,"&lt;"&amp;I1094)&gt;0,1,0),0))</f>
        <v/>
      </c>
      <c r="L1094" s="16" t="str">
        <f aca="false">IF(B1094="","",IF(N1094=_xlfn.MAXIFS($N$2:$N$5001,$B$2:$B$5001,B1094,$I$2:$I$5001,I1094),1,0))</f>
        <v/>
      </c>
      <c r="M1094" s="16" t="str">
        <f aca="false">IF(B1094="","",IF(E1094="Em ajustes",IF(N1094=_xlfn.MINIFS($N$2:$N$5001,$B$2:$B$5001,B1094,$E$2:$E$5001,"Em ajustes"),1,0),0))</f>
        <v/>
      </c>
      <c r="N1094" s="17" t="str">
        <f aca="false">IF(A1094="","",IF(ISNUMBER(A1094),A1094,IFERROR(DATE(VALUE(MID(A1094,7,4)),VALUE(MID(A1094,4,2)),VALUE(MID(A1094,1,2)))+TIME(VALUE(MID(A1094,12,2)),VALUE(MID(A1094,15,2)),VALUE(MID(A1094,18,2))),"")))</f>
        <v/>
      </c>
    </row>
    <row r="1095" customFormat="false" ht="15" hidden="false" customHeight="false" outlineLevel="0" collapsed="false">
      <c r="I1095" s="15" t="str">
        <f aca="false">IF(N1095="","",INT(N1095))</f>
        <v/>
      </c>
      <c r="J1095" s="16" t="str">
        <f aca="false">IF(B1095="","",IF(N1095=_xlfn.MINIFS($N$2:$N$5001,$B$2:$B$5001,B1095),1,0))</f>
        <v/>
      </c>
      <c r="K1095" s="16" t="str">
        <f aca="false">IF(B1095="","",IF(AND(D1095="Formalização",E1095="Concluído"),IF(COUNTIFS($B$2:$B$5001,B1095,$E$2:$E$5001,"Em ajustes",$N$2:$N$5001,"&lt;"&amp;I1095)&gt;0,1,0),0))</f>
        <v/>
      </c>
      <c r="L1095" s="16" t="str">
        <f aca="false">IF(B1095="","",IF(N1095=_xlfn.MAXIFS($N$2:$N$5001,$B$2:$B$5001,B1095,$I$2:$I$5001,I1095),1,0))</f>
        <v/>
      </c>
      <c r="M1095" s="16" t="str">
        <f aca="false">IF(B1095="","",IF(E1095="Em ajustes",IF(N1095=_xlfn.MINIFS($N$2:$N$5001,$B$2:$B$5001,B1095,$E$2:$E$5001,"Em ajustes"),1,0),0))</f>
        <v/>
      </c>
      <c r="N1095" s="17" t="str">
        <f aca="false">IF(A1095="","",IF(ISNUMBER(A1095),A1095,IFERROR(DATE(VALUE(MID(A1095,7,4)),VALUE(MID(A1095,4,2)),VALUE(MID(A1095,1,2)))+TIME(VALUE(MID(A1095,12,2)),VALUE(MID(A1095,15,2)),VALUE(MID(A1095,18,2))),"")))</f>
        <v/>
      </c>
    </row>
    <row r="1096" customFormat="false" ht="15" hidden="false" customHeight="false" outlineLevel="0" collapsed="false">
      <c r="I1096" s="15" t="str">
        <f aca="false">IF(N1096="","",INT(N1096))</f>
        <v/>
      </c>
      <c r="J1096" s="16" t="str">
        <f aca="false">IF(B1096="","",IF(N1096=_xlfn.MINIFS($N$2:$N$5001,$B$2:$B$5001,B1096),1,0))</f>
        <v/>
      </c>
      <c r="K1096" s="16" t="str">
        <f aca="false">IF(B1096="","",IF(AND(D1096="Formalização",E1096="Concluído"),IF(COUNTIFS($B$2:$B$5001,B1096,$E$2:$E$5001,"Em ajustes",$N$2:$N$5001,"&lt;"&amp;I1096)&gt;0,1,0),0))</f>
        <v/>
      </c>
      <c r="L1096" s="16" t="str">
        <f aca="false">IF(B1096="","",IF(N1096=_xlfn.MAXIFS($N$2:$N$5001,$B$2:$B$5001,B1096,$I$2:$I$5001,I1096),1,0))</f>
        <v/>
      </c>
      <c r="M1096" s="16" t="str">
        <f aca="false">IF(B1096="","",IF(E1096="Em ajustes",IF(N1096=_xlfn.MINIFS($N$2:$N$5001,$B$2:$B$5001,B1096,$E$2:$E$5001,"Em ajustes"),1,0),0))</f>
        <v/>
      </c>
      <c r="N1096" s="17" t="str">
        <f aca="false">IF(A1096="","",IF(ISNUMBER(A1096),A1096,IFERROR(DATE(VALUE(MID(A1096,7,4)),VALUE(MID(A1096,4,2)),VALUE(MID(A1096,1,2)))+TIME(VALUE(MID(A1096,12,2)),VALUE(MID(A1096,15,2)),VALUE(MID(A1096,18,2))),"")))</f>
        <v/>
      </c>
    </row>
    <row r="1097" customFormat="false" ht="15" hidden="false" customHeight="false" outlineLevel="0" collapsed="false">
      <c r="I1097" s="15" t="str">
        <f aca="false">IF(N1097="","",INT(N1097))</f>
        <v/>
      </c>
      <c r="J1097" s="16" t="str">
        <f aca="false">IF(B1097="","",IF(N1097=_xlfn.MINIFS($N$2:$N$5001,$B$2:$B$5001,B1097),1,0))</f>
        <v/>
      </c>
      <c r="K1097" s="16" t="str">
        <f aca="false">IF(B1097="","",IF(AND(D1097="Formalização",E1097="Concluído"),IF(COUNTIFS($B$2:$B$5001,B1097,$E$2:$E$5001,"Em ajustes",$N$2:$N$5001,"&lt;"&amp;I1097)&gt;0,1,0),0))</f>
        <v/>
      </c>
      <c r="L1097" s="16" t="str">
        <f aca="false">IF(B1097="","",IF(N1097=_xlfn.MAXIFS($N$2:$N$5001,$B$2:$B$5001,B1097,$I$2:$I$5001,I1097),1,0))</f>
        <v/>
      </c>
      <c r="M1097" s="16" t="str">
        <f aca="false">IF(B1097="","",IF(E1097="Em ajustes",IF(N1097=_xlfn.MINIFS($N$2:$N$5001,$B$2:$B$5001,B1097,$E$2:$E$5001,"Em ajustes"),1,0),0))</f>
        <v/>
      </c>
      <c r="N1097" s="17" t="str">
        <f aca="false">IF(A1097="","",IF(ISNUMBER(A1097),A1097,IFERROR(DATE(VALUE(MID(A1097,7,4)),VALUE(MID(A1097,4,2)),VALUE(MID(A1097,1,2)))+TIME(VALUE(MID(A1097,12,2)),VALUE(MID(A1097,15,2)),VALUE(MID(A1097,18,2))),"")))</f>
        <v/>
      </c>
    </row>
    <row r="1098" customFormat="false" ht="15" hidden="false" customHeight="false" outlineLevel="0" collapsed="false">
      <c r="I1098" s="15" t="str">
        <f aca="false">IF(N1098="","",INT(N1098))</f>
        <v/>
      </c>
      <c r="J1098" s="16" t="str">
        <f aca="false">IF(B1098="","",IF(N1098=_xlfn.MINIFS($N$2:$N$5001,$B$2:$B$5001,B1098),1,0))</f>
        <v/>
      </c>
      <c r="K1098" s="16" t="str">
        <f aca="false">IF(B1098="","",IF(AND(D1098="Formalização",E1098="Concluído"),IF(COUNTIFS($B$2:$B$5001,B1098,$E$2:$E$5001,"Em ajustes",$N$2:$N$5001,"&lt;"&amp;I1098)&gt;0,1,0),0))</f>
        <v/>
      </c>
      <c r="L1098" s="16" t="str">
        <f aca="false">IF(B1098="","",IF(N1098=_xlfn.MAXIFS($N$2:$N$5001,$B$2:$B$5001,B1098,$I$2:$I$5001,I1098),1,0))</f>
        <v/>
      </c>
      <c r="M1098" s="16" t="str">
        <f aca="false">IF(B1098="","",IF(E1098="Em ajustes",IF(N1098=_xlfn.MINIFS($N$2:$N$5001,$B$2:$B$5001,B1098,$E$2:$E$5001,"Em ajustes"),1,0),0))</f>
        <v/>
      </c>
      <c r="N1098" s="17" t="str">
        <f aca="false">IF(A1098="","",IF(ISNUMBER(A1098),A1098,IFERROR(DATE(VALUE(MID(A1098,7,4)),VALUE(MID(A1098,4,2)),VALUE(MID(A1098,1,2)))+TIME(VALUE(MID(A1098,12,2)),VALUE(MID(A1098,15,2)),VALUE(MID(A1098,18,2))),"")))</f>
        <v/>
      </c>
    </row>
    <row r="1099" customFormat="false" ht="15" hidden="false" customHeight="false" outlineLevel="0" collapsed="false">
      <c r="I1099" s="15" t="str">
        <f aca="false">IF(N1099="","",INT(N1099))</f>
        <v/>
      </c>
      <c r="J1099" s="16" t="str">
        <f aca="false">IF(B1099="","",IF(N1099=_xlfn.MINIFS($N$2:$N$5001,$B$2:$B$5001,B1099),1,0))</f>
        <v/>
      </c>
      <c r="K1099" s="16" t="str">
        <f aca="false">IF(B1099="","",IF(AND(D1099="Formalização",E1099="Concluído"),IF(COUNTIFS($B$2:$B$5001,B1099,$E$2:$E$5001,"Em ajustes",$N$2:$N$5001,"&lt;"&amp;I1099)&gt;0,1,0),0))</f>
        <v/>
      </c>
      <c r="L1099" s="16" t="str">
        <f aca="false">IF(B1099="","",IF(N1099=_xlfn.MAXIFS($N$2:$N$5001,$B$2:$B$5001,B1099,$I$2:$I$5001,I1099),1,0))</f>
        <v/>
      </c>
      <c r="M1099" s="16" t="str">
        <f aca="false">IF(B1099="","",IF(E1099="Em ajustes",IF(N1099=_xlfn.MINIFS($N$2:$N$5001,$B$2:$B$5001,B1099,$E$2:$E$5001,"Em ajustes"),1,0),0))</f>
        <v/>
      </c>
      <c r="N1099" s="17" t="str">
        <f aca="false">IF(A1099="","",IF(ISNUMBER(A1099),A1099,IFERROR(DATE(VALUE(MID(A1099,7,4)),VALUE(MID(A1099,4,2)),VALUE(MID(A1099,1,2)))+TIME(VALUE(MID(A1099,12,2)),VALUE(MID(A1099,15,2)),VALUE(MID(A1099,18,2))),"")))</f>
        <v/>
      </c>
    </row>
    <row r="1100" customFormat="false" ht="15" hidden="false" customHeight="false" outlineLevel="0" collapsed="false">
      <c r="I1100" s="15" t="str">
        <f aca="false">IF(N1100="","",INT(N1100))</f>
        <v/>
      </c>
      <c r="J1100" s="16" t="str">
        <f aca="false">IF(B1100="","",IF(N1100=_xlfn.MINIFS($N$2:$N$5001,$B$2:$B$5001,B1100),1,0))</f>
        <v/>
      </c>
      <c r="K1100" s="16" t="str">
        <f aca="false">IF(B1100="","",IF(AND(D1100="Formalização",E1100="Concluído"),IF(COUNTIFS($B$2:$B$5001,B1100,$E$2:$E$5001,"Em ajustes",$N$2:$N$5001,"&lt;"&amp;I1100)&gt;0,1,0),0))</f>
        <v/>
      </c>
      <c r="L1100" s="16" t="str">
        <f aca="false">IF(B1100="","",IF(N1100=_xlfn.MAXIFS($N$2:$N$5001,$B$2:$B$5001,B1100,$I$2:$I$5001,I1100),1,0))</f>
        <v/>
      </c>
      <c r="M1100" s="16" t="str">
        <f aca="false">IF(B1100="","",IF(E1100="Em ajustes",IF(N1100=_xlfn.MINIFS($N$2:$N$5001,$B$2:$B$5001,B1100,$E$2:$E$5001,"Em ajustes"),1,0),0))</f>
        <v/>
      </c>
      <c r="N1100" s="17" t="str">
        <f aca="false">IF(A1100="","",IF(ISNUMBER(A1100),A1100,IFERROR(DATE(VALUE(MID(A1100,7,4)),VALUE(MID(A1100,4,2)),VALUE(MID(A1100,1,2)))+TIME(VALUE(MID(A1100,12,2)),VALUE(MID(A1100,15,2)),VALUE(MID(A1100,18,2))),"")))</f>
        <v/>
      </c>
    </row>
    <row r="1101" customFormat="false" ht="15" hidden="false" customHeight="false" outlineLevel="0" collapsed="false">
      <c r="I1101" s="15" t="str">
        <f aca="false">IF(N1101="","",INT(N1101))</f>
        <v/>
      </c>
      <c r="J1101" s="16" t="str">
        <f aca="false">IF(B1101="","",IF(N1101=_xlfn.MINIFS($N$2:$N$5001,$B$2:$B$5001,B1101),1,0))</f>
        <v/>
      </c>
      <c r="K1101" s="16" t="str">
        <f aca="false">IF(B1101="","",IF(AND(D1101="Formalização",E1101="Concluído"),IF(COUNTIFS($B$2:$B$5001,B1101,$E$2:$E$5001,"Em ajustes",$N$2:$N$5001,"&lt;"&amp;I1101)&gt;0,1,0),0))</f>
        <v/>
      </c>
      <c r="L1101" s="16" t="str">
        <f aca="false">IF(B1101="","",IF(N1101=_xlfn.MAXIFS($N$2:$N$5001,$B$2:$B$5001,B1101,$I$2:$I$5001,I1101),1,0))</f>
        <v/>
      </c>
      <c r="M1101" s="16" t="str">
        <f aca="false">IF(B1101="","",IF(E1101="Em ajustes",IF(N1101=_xlfn.MINIFS($N$2:$N$5001,$B$2:$B$5001,B1101,$E$2:$E$5001,"Em ajustes"),1,0),0))</f>
        <v/>
      </c>
      <c r="N1101" s="17" t="str">
        <f aca="false">IF(A1101="","",IF(ISNUMBER(A1101),A1101,IFERROR(DATE(VALUE(MID(A1101,7,4)),VALUE(MID(A1101,4,2)),VALUE(MID(A1101,1,2)))+TIME(VALUE(MID(A1101,12,2)),VALUE(MID(A1101,15,2)),VALUE(MID(A1101,18,2))),"")))</f>
        <v/>
      </c>
    </row>
    <row r="1102" customFormat="false" ht="15" hidden="false" customHeight="false" outlineLevel="0" collapsed="false">
      <c r="I1102" s="15" t="str">
        <f aca="false">IF(N1102="","",INT(N1102))</f>
        <v/>
      </c>
      <c r="J1102" s="16" t="str">
        <f aca="false">IF(B1102="","",IF(N1102=_xlfn.MINIFS($N$2:$N$5001,$B$2:$B$5001,B1102),1,0))</f>
        <v/>
      </c>
      <c r="K1102" s="16" t="str">
        <f aca="false">IF(B1102="","",IF(AND(D1102="Formalização",E1102="Concluído"),IF(COUNTIFS($B$2:$B$5001,B1102,$E$2:$E$5001,"Em ajustes",$N$2:$N$5001,"&lt;"&amp;I1102)&gt;0,1,0),0))</f>
        <v/>
      </c>
      <c r="L1102" s="16" t="str">
        <f aca="false">IF(B1102="","",IF(N1102=_xlfn.MAXIFS($N$2:$N$5001,$B$2:$B$5001,B1102,$I$2:$I$5001,I1102),1,0))</f>
        <v/>
      </c>
      <c r="M1102" s="16" t="str">
        <f aca="false">IF(B1102="","",IF(E1102="Em ajustes",IF(N1102=_xlfn.MINIFS($N$2:$N$5001,$B$2:$B$5001,B1102,$E$2:$E$5001,"Em ajustes"),1,0),0))</f>
        <v/>
      </c>
      <c r="N1102" s="17" t="str">
        <f aca="false">IF(A1102="","",IF(ISNUMBER(A1102),A1102,IFERROR(DATE(VALUE(MID(A1102,7,4)),VALUE(MID(A1102,4,2)),VALUE(MID(A1102,1,2)))+TIME(VALUE(MID(A1102,12,2)),VALUE(MID(A1102,15,2)),VALUE(MID(A1102,18,2))),"")))</f>
        <v/>
      </c>
    </row>
    <row r="1103" customFormat="false" ht="15" hidden="false" customHeight="false" outlineLevel="0" collapsed="false">
      <c r="I1103" s="15" t="str">
        <f aca="false">IF(N1103="","",INT(N1103))</f>
        <v/>
      </c>
      <c r="J1103" s="16" t="str">
        <f aca="false">IF(B1103="","",IF(N1103=_xlfn.MINIFS($N$2:$N$5001,$B$2:$B$5001,B1103),1,0))</f>
        <v/>
      </c>
      <c r="K1103" s="16" t="str">
        <f aca="false">IF(B1103="","",IF(AND(D1103="Formalização",E1103="Concluído"),IF(COUNTIFS($B$2:$B$5001,B1103,$E$2:$E$5001,"Em ajustes",$N$2:$N$5001,"&lt;"&amp;I1103)&gt;0,1,0),0))</f>
        <v/>
      </c>
      <c r="L1103" s="16" t="str">
        <f aca="false">IF(B1103="","",IF(N1103=_xlfn.MAXIFS($N$2:$N$5001,$B$2:$B$5001,B1103,$I$2:$I$5001,I1103),1,0))</f>
        <v/>
      </c>
      <c r="M1103" s="16" t="str">
        <f aca="false">IF(B1103="","",IF(E1103="Em ajustes",IF(N1103=_xlfn.MINIFS($N$2:$N$5001,$B$2:$B$5001,B1103,$E$2:$E$5001,"Em ajustes"),1,0),0))</f>
        <v/>
      </c>
      <c r="N1103" s="17" t="str">
        <f aca="false">IF(A1103="","",IF(ISNUMBER(A1103),A1103,IFERROR(DATE(VALUE(MID(A1103,7,4)),VALUE(MID(A1103,4,2)),VALUE(MID(A1103,1,2)))+TIME(VALUE(MID(A1103,12,2)),VALUE(MID(A1103,15,2)),VALUE(MID(A1103,18,2))),"")))</f>
        <v/>
      </c>
    </row>
    <row r="1104" customFormat="false" ht="15" hidden="false" customHeight="false" outlineLevel="0" collapsed="false">
      <c r="I1104" s="15" t="str">
        <f aca="false">IF(N1104="","",INT(N1104))</f>
        <v/>
      </c>
      <c r="J1104" s="16" t="str">
        <f aca="false">IF(B1104="","",IF(N1104=_xlfn.MINIFS($N$2:$N$5001,$B$2:$B$5001,B1104),1,0))</f>
        <v/>
      </c>
      <c r="K1104" s="16" t="str">
        <f aca="false">IF(B1104="","",IF(AND(D1104="Formalização",E1104="Concluído"),IF(COUNTIFS($B$2:$B$5001,B1104,$E$2:$E$5001,"Em ajustes",$N$2:$N$5001,"&lt;"&amp;I1104)&gt;0,1,0),0))</f>
        <v/>
      </c>
      <c r="L1104" s="16" t="str">
        <f aca="false">IF(B1104="","",IF(N1104=_xlfn.MAXIFS($N$2:$N$5001,$B$2:$B$5001,B1104,$I$2:$I$5001,I1104),1,0))</f>
        <v/>
      </c>
      <c r="M1104" s="16" t="str">
        <f aca="false">IF(B1104="","",IF(E1104="Em ajustes",IF(N1104=_xlfn.MINIFS($N$2:$N$5001,$B$2:$B$5001,B1104,$E$2:$E$5001,"Em ajustes"),1,0),0))</f>
        <v/>
      </c>
      <c r="N1104" s="17" t="str">
        <f aca="false">IF(A1104="","",IF(ISNUMBER(A1104),A1104,IFERROR(DATE(VALUE(MID(A1104,7,4)),VALUE(MID(A1104,4,2)),VALUE(MID(A1104,1,2)))+TIME(VALUE(MID(A1104,12,2)),VALUE(MID(A1104,15,2)),VALUE(MID(A1104,18,2))),"")))</f>
        <v/>
      </c>
    </row>
    <row r="1105" customFormat="false" ht="15" hidden="false" customHeight="false" outlineLevel="0" collapsed="false">
      <c r="I1105" s="15" t="str">
        <f aca="false">IF(N1105="","",INT(N1105))</f>
        <v/>
      </c>
      <c r="J1105" s="16" t="str">
        <f aca="false">IF(B1105="","",IF(N1105=_xlfn.MINIFS($N$2:$N$5001,$B$2:$B$5001,B1105),1,0))</f>
        <v/>
      </c>
      <c r="K1105" s="16" t="str">
        <f aca="false">IF(B1105="","",IF(AND(D1105="Formalização",E1105="Concluído"),IF(COUNTIFS($B$2:$B$5001,B1105,$E$2:$E$5001,"Em ajustes",$N$2:$N$5001,"&lt;"&amp;I1105)&gt;0,1,0),0))</f>
        <v/>
      </c>
      <c r="L1105" s="16" t="str">
        <f aca="false">IF(B1105="","",IF(N1105=_xlfn.MAXIFS($N$2:$N$5001,$B$2:$B$5001,B1105,$I$2:$I$5001,I1105),1,0))</f>
        <v/>
      </c>
      <c r="M1105" s="16" t="str">
        <f aca="false">IF(B1105="","",IF(E1105="Em ajustes",IF(N1105=_xlfn.MINIFS($N$2:$N$5001,$B$2:$B$5001,B1105,$E$2:$E$5001,"Em ajustes"),1,0),0))</f>
        <v/>
      </c>
      <c r="N1105" s="17" t="str">
        <f aca="false">IF(A1105="","",IF(ISNUMBER(A1105),A1105,IFERROR(DATE(VALUE(MID(A1105,7,4)),VALUE(MID(A1105,4,2)),VALUE(MID(A1105,1,2)))+TIME(VALUE(MID(A1105,12,2)),VALUE(MID(A1105,15,2)),VALUE(MID(A1105,18,2))),"")))</f>
        <v/>
      </c>
    </row>
    <row r="1106" customFormat="false" ht="15" hidden="false" customHeight="false" outlineLevel="0" collapsed="false">
      <c r="I1106" s="15" t="str">
        <f aca="false">IF(N1106="","",INT(N1106))</f>
        <v/>
      </c>
      <c r="J1106" s="16" t="str">
        <f aca="false">IF(B1106="","",IF(N1106=_xlfn.MINIFS($N$2:$N$5001,$B$2:$B$5001,B1106),1,0))</f>
        <v/>
      </c>
      <c r="K1106" s="16" t="str">
        <f aca="false">IF(B1106="","",IF(AND(D1106="Formalização",E1106="Concluído"),IF(COUNTIFS($B$2:$B$5001,B1106,$E$2:$E$5001,"Em ajustes",$N$2:$N$5001,"&lt;"&amp;I1106)&gt;0,1,0),0))</f>
        <v/>
      </c>
      <c r="L1106" s="16" t="str">
        <f aca="false">IF(B1106="","",IF(N1106=_xlfn.MAXIFS($N$2:$N$5001,$B$2:$B$5001,B1106,$I$2:$I$5001,I1106),1,0))</f>
        <v/>
      </c>
      <c r="M1106" s="16" t="str">
        <f aca="false">IF(B1106="","",IF(E1106="Em ajustes",IF(N1106=_xlfn.MINIFS($N$2:$N$5001,$B$2:$B$5001,B1106,$E$2:$E$5001,"Em ajustes"),1,0),0))</f>
        <v/>
      </c>
      <c r="N1106" s="17" t="str">
        <f aca="false">IF(A1106="","",IF(ISNUMBER(A1106),A1106,IFERROR(DATE(VALUE(MID(A1106,7,4)),VALUE(MID(A1106,4,2)),VALUE(MID(A1106,1,2)))+TIME(VALUE(MID(A1106,12,2)),VALUE(MID(A1106,15,2)),VALUE(MID(A1106,18,2))),"")))</f>
        <v/>
      </c>
    </row>
    <row r="1107" customFormat="false" ht="15" hidden="false" customHeight="false" outlineLevel="0" collapsed="false">
      <c r="I1107" s="15" t="str">
        <f aca="false">IF(N1107="","",INT(N1107))</f>
        <v/>
      </c>
      <c r="J1107" s="16" t="str">
        <f aca="false">IF(B1107="","",IF(N1107=_xlfn.MINIFS($N$2:$N$5001,$B$2:$B$5001,B1107),1,0))</f>
        <v/>
      </c>
      <c r="K1107" s="16" t="str">
        <f aca="false">IF(B1107="","",IF(AND(D1107="Formalização",E1107="Concluído"),IF(COUNTIFS($B$2:$B$5001,B1107,$E$2:$E$5001,"Em ajustes",$N$2:$N$5001,"&lt;"&amp;I1107)&gt;0,1,0),0))</f>
        <v/>
      </c>
      <c r="L1107" s="16" t="str">
        <f aca="false">IF(B1107="","",IF(N1107=_xlfn.MAXIFS($N$2:$N$5001,$B$2:$B$5001,B1107,$I$2:$I$5001,I1107),1,0))</f>
        <v/>
      </c>
      <c r="M1107" s="16" t="str">
        <f aca="false">IF(B1107="","",IF(E1107="Em ajustes",IF(N1107=_xlfn.MINIFS($N$2:$N$5001,$B$2:$B$5001,B1107,$E$2:$E$5001,"Em ajustes"),1,0),0))</f>
        <v/>
      </c>
      <c r="N1107" s="17" t="str">
        <f aca="false">IF(A1107="","",IF(ISNUMBER(A1107),A1107,IFERROR(DATE(VALUE(MID(A1107,7,4)),VALUE(MID(A1107,4,2)),VALUE(MID(A1107,1,2)))+TIME(VALUE(MID(A1107,12,2)),VALUE(MID(A1107,15,2)),VALUE(MID(A1107,18,2))),"")))</f>
        <v/>
      </c>
    </row>
    <row r="1108" customFormat="false" ht="15" hidden="false" customHeight="false" outlineLevel="0" collapsed="false">
      <c r="I1108" s="15" t="str">
        <f aca="false">IF(N1108="","",INT(N1108))</f>
        <v/>
      </c>
      <c r="J1108" s="16" t="str">
        <f aca="false">IF(B1108="","",IF(N1108=_xlfn.MINIFS($N$2:$N$5001,$B$2:$B$5001,B1108),1,0))</f>
        <v/>
      </c>
      <c r="K1108" s="16" t="str">
        <f aca="false">IF(B1108="","",IF(AND(D1108="Formalização",E1108="Concluído"),IF(COUNTIFS($B$2:$B$5001,B1108,$E$2:$E$5001,"Em ajustes",$N$2:$N$5001,"&lt;"&amp;I1108)&gt;0,1,0),0))</f>
        <v/>
      </c>
      <c r="L1108" s="16" t="str">
        <f aca="false">IF(B1108="","",IF(N1108=_xlfn.MAXIFS($N$2:$N$5001,$B$2:$B$5001,B1108,$I$2:$I$5001,I1108),1,0))</f>
        <v/>
      </c>
      <c r="M1108" s="16" t="str">
        <f aca="false">IF(B1108="","",IF(E1108="Em ajustes",IF(N1108=_xlfn.MINIFS($N$2:$N$5001,$B$2:$B$5001,B1108,$E$2:$E$5001,"Em ajustes"),1,0),0))</f>
        <v/>
      </c>
      <c r="N1108" s="17" t="str">
        <f aca="false">IF(A1108="","",IF(ISNUMBER(A1108),A1108,IFERROR(DATE(VALUE(MID(A1108,7,4)),VALUE(MID(A1108,4,2)),VALUE(MID(A1108,1,2)))+TIME(VALUE(MID(A1108,12,2)),VALUE(MID(A1108,15,2)),VALUE(MID(A1108,18,2))),"")))</f>
        <v/>
      </c>
    </row>
    <row r="1109" customFormat="false" ht="15" hidden="false" customHeight="false" outlineLevel="0" collapsed="false">
      <c r="I1109" s="15" t="str">
        <f aca="false">IF(N1109="","",INT(N1109))</f>
        <v/>
      </c>
      <c r="J1109" s="16" t="str">
        <f aca="false">IF(B1109="","",IF(N1109=_xlfn.MINIFS($N$2:$N$5001,$B$2:$B$5001,B1109),1,0))</f>
        <v/>
      </c>
      <c r="K1109" s="16" t="str">
        <f aca="false">IF(B1109="","",IF(AND(D1109="Formalização",E1109="Concluído"),IF(COUNTIFS($B$2:$B$5001,B1109,$E$2:$E$5001,"Em ajustes",$N$2:$N$5001,"&lt;"&amp;I1109)&gt;0,1,0),0))</f>
        <v/>
      </c>
      <c r="L1109" s="16" t="str">
        <f aca="false">IF(B1109="","",IF(N1109=_xlfn.MAXIFS($N$2:$N$5001,$B$2:$B$5001,B1109,$I$2:$I$5001,I1109),1,0))</f>
        <v/>
      </c>
      <c r="M1109" s="16" t="str">
        <f aca="false">IF(B1109="","",IF(E1109="Em ajustes",IF(N1109=_xlfn.MINIFS($N$2:$N$5001,$B$2:$B$5001,B1109,$E$2:$E$5001,"Em ajustes"),1,0),0))</f>
        <v/>
      </c>
      <c r="N1109" s="17" t="str">
        <f aca="false">IF(A1109="","",IF(ISNUMBER(A1109),A1109,IFERROR(DATE(VALUE(MID(A1109,7,4)),VALUE(MID(A1109,4,2)),VALUE(MID(A1109,1,2)))+TIME(VALUE(MID(A1109,12,2)),VALUE(MID(A1109,15,2)),VALUE(MID(A1109,18,2))),"")))</f>
        <v/>
      </c>
    </row>
    <row r="1110" customFormat="false" ht="15" hidden="false" customHeight="false" outlineLevel="0" collapsed="false">
      <c r="I1110" s="15" t="str">
        <f aca="false">IF(N1110="","",INT(N1110))</f>
        <v/>
      </c>
      <c r="J1110" s="16" t="str">
        <f aca="false">IF(B1110="","",IF(N1110=_xlfn.MINIFS($N$2:$N$5001,$B$2:$B$5001,B1110),1,0))</f>
        <v/>
      </c>
      <c r="K1110" s="16" t="str">
        <f aca="false">IF(B1110="","",IF(AND(D1110="Formalização",E1110="Concluído"),IF(COUNTIFS($B$2:$B$5001,B1110,$E$2:$E$5001,"Em ajustes",$N$2:$N$5001,"&lt;"&amp;I1110)&gt;0,1,0),0))</f>
        <v/>
      </c>
      <c r="L1110" s="16" t="str">
        <f aca="false">IF(B1110="","",IF(N1110=_xlfn.MAXIFS($N$2:$N$5001,$B$2:$B$5001,B1110,$I$2:$I$5001,I1110),1,0))</f>
        <v/>
      </c>
      <c r="M1110" s="16" t="str">
        <f aca="false">IF(B1110="","",IF(E1110="Em ajustes",IF(N1110=_xlfn.MINIFS($N$2:$N$5001,$B$2:$B$5001,B1110,$E$2:$E$5001,"Em ajustes"),1,0),0))</f>
        <v/>
      </c>
      <c r="N1110" s="17" t="str">
        <f aca="false">IF(A1110="","",IF(ISNUMBER(A1110),A1110,IFERROR(DATE(VALUE(MID(A1110,7,4)),VALUE(MID(A1110,4,2)),VALUE(MID(A1110,1,2)))+TIME(VALUE(MID(A1110,12,2)),VALUE(MID(A1110,15,2)),VALUE(MID(A1110,18,2))),"")))</f>
        <v/>
      </c>
    </row>
    <row r="1111" customFormat="false" ht="15" hidden="false" customHeight="false" outlineLevel="0" collapsed="false">
      <c r="I1111" s="15" t="str">
        <f aca="false">IF(N1111="","",INT(N1111))</f>
        <v/>
      </c>
      <c r="J1111" s="16" t="str">
        <f aca="false">IF(B1111="","",IF(N1111=_xlfn.MINIFS($N$2:$N$5001,$B$2:$B$5001,B1111),1,0))</f>
        <v/>
      </c>
      <c r="K1111" s="16" t="str">
        <f aca="false">IF(B1111="","",IF(AND(D1111="Formalização",E1111="Concluído"),IF(COUNTIFS($B$2:$B$5001,B1111,$E$2:$E$5001,"Em ajustes",$N$2:$N$5001,"&lt;"&amp;I1111)&gt;0,1,0),0))</f>
        <v/>
      </c>
      <c r="L1111" s="16" t="str">
        <f aca="false">IF(B1111="","",IF(N1111=_xlfn.MAXIFS($N$2:$N$5001,$B$2:$B$5001,B1111,$I$2:$I$5001,I1111),1,0))</f>
        <v/>
      </c>
      <c r="M1111" s="16" t="str">
        <f aca="false">IF(B1111="","",IF(E1111="Em ajustes",IF(N1111=_xlfn.MINIFS($N$2:$N$5001,$B$2:$B$5001,B1111,$E$2:$E$5001,"Em ajustes"),1,0),0))</f>
        <v/>
      </c>
      <c r="N1111" s="17" t="str">
        <f aca="false">IF(A1111="","",IF(ISNUMBER(A1111),A1111,IFERROR(DATE(VALUE(MID(A1111,7,4)),VALUE(MID(A1111,4,2)),VALUE(MID(A1111,1,2)))+TIME(VALUE(MID(A1111,12,2)),VALUE(MID(A1111,15,2)),VALUE(MID(A1111,18,2))),"")))</f>
        <v/>
      </c>
    </row>
    <row r="1112" customFormat="false" ht="15" hidden="false" customHeight="false" outlineLevel="0" collapsed="false">
      <c r="I1112" s="15" t="str">
        <f aca="false">IF(N1112="","",INT(N1112))</f>
        <v/>
      </c>
      <c r="J1112" s="16" t="str">
        <f aca="false">IF(B1112="","",IF(N1112=_xlfn.MINIFS($N$2:$N$5001,$B$2:$B$5001,B1112),1,0))</f>
        <v/>
      </c>
      <c r="K1112" s="16" t="str">
        <f aca="false">IF(B1112="","",IF(AND(D1112="Formalização",E1112="Concluído"),IF(COUNTIFS($B$2:$B$5001,B1112,$E$2:$E$5001,"Em ajustes",$N$2:$N$5001,"&lt;"&amp;I1112)&gt;0,1,0),0))</f>
        <v/>
      </c>
      <c r="L1112" s="16" t="str">
        <f aca="false">IF(B1112="","",IF(N1112=_xlfn.MAXIFS($N$2:$N$5001,$B$2:$B$5001,B1112,$I$2:$I$5001,I1112),1,0))</f>
        <v/>
      </c>
      <c r="M1112" s="16" t="str">
        <f aca="false">IF(B1112="","",IF(E1112="Em ajustes",IF(N1112=_xlfn.MINIFS($N$2:$N$5001,$B$2:$B$5001,B1112,$E$2:$E$5001,"Em ajustes"),1,0),0))</f>
        <v/>
      </c>
      <c r="N1112" s="17" t="str">
        <f aca="false">IF(A1112="","",IF(ISNUMBER(A1112),A1112,IFERROR(DATE(VALUE(MID(A1112,7,4)),VALUE(MID(A1112,4,2)),VALUE(MID(A1112,1,2)))+TIME(VALUE(MID(A1112,12,2)),VALUE(MID(A1112,15,2)),VALUE(MID(A1112,18,2))),"")))</f>
        <v/>
      </c>
    </row>
    <row r="1113" customFormat="false" ht="15" hidden="false" customHeight="false" outlineLevel="0" collapsed="false">
      <c r="I1113" s="15" t="str">
        <f aca="false">IF(N1113="","",INT(N1113))</f>
        <v/>
      </c>
      <c r="J1113" s="16" t="str">
        <f aca="false">IF(B1113="","",IF(N1113=_xlfn.MINIFS($N$2:$N$5001,$B$2:$B$5001,B1113),1,0))</f>
        <v/>
      </c>
      <c r="K1113" s="16" t="str">
        <f aca="false">IF(B1113="","",IF(AND(D1113="Formalização",E1113="Concluído"),IF(COUNTIFS($B$2:$B$5001,B1113,$E$2:$E$5001,"Em ajustes",$N$2:$N$5001,"&lt;"&amp;I1113)&gt;0,1,0),0))</f>
        <v/>
      </c>
      <c r="L1113" s="16" t="str">
        <f aca="false">IF(B1113="","",IF(N1113=_xlfn.MAXIFS($N$2:$N$5001,$B$2:$B$5001,B1113,$I$2:$I$5001,I1113),1,0))</f>
        <v/>
      </c>
      <c r="M1113" s="16" t="str">
        <f aca="false">IF(B1113="","",IF(E1113="Em ajustes",IF(N1113=_xlfn.MINIFS($N$2:$N$5001,$B$2:$B$5001,B1113,$E$2:$E$5001,"Em ajustes"),1,0),0))</f>
        <v/>
      </c>
      <c r="N1113" s="17" t="str">
        <f aca="false">IF(A1113="","",IF(ISNUMBER(A1113),A1113,IFERROR(DATE(VALUE(MID(A1113,7,4)),VALUE(MID(A1113,4,2)),VALUE(MID(A1113,1,2)))+TIME(VALUE(MID(A1113,12,2)),VALUE(MID(A1113,15,2)),VALUE(MID(A1113,18,2))),"")))</f>
        <v/>
      </c>
    </row>
    <row r="1114" customFormat="false" ht="15" hidden="false" customHeight="false" outlineLevel="0" collapsed="false">
      <c r="I1114" s="15" t="str">
        <f aca="false">IF(N1114="","",INT(N1114))</f>
        <v/>
      </c>
      <c r="J1114" s="16" t="str">
        <f aca="false">IF(B1114="","",IF(N1114=_xlfn.MINIFS($N$2:$N$5001,$B$2:$B$5001,B1114),1,0))</f>
        <v/>
      </c>
      <c r="K1114" s="16" t="str">
        <f aca="false">IF(B1114="","",IF(AND(D1114="Formalização",E1114="Concluído"),IF(COUNTIFS($B$2:$B$5001,B1114,$E$2:$E$5001,"Em ajustes",$N$2:$N$5001,"&lt;"&amp;I1114)&gt;0,1,0),0))</f>
        <v/>
      </c>
      <c r="L1114" s="16" t="str">
        <f aca="false">IF(B1114="","",IF(N1114=_xlfn.MAXIFS($N$2:$N$5001,$B$2:$B$5001,B1114,$I$2:$I$5001,I1114),1,0))</f>
        <v/>
      </c>
      <c r="M1114" s="16" t="str">
        <f aca="false">IF(B1114="","",IF(E1114="Em ajustes",IF(N1114=_xlfn.MINIFS($N$2:$N$5001,$B$2:$B$5001,B1114,$E$2:$E$5001,"Em ajustes"),1,0),0))</f>
        <v/>
      </c>
      <c r="N1114" s="17" t="str">
        <f aca="false">IF(A1114="","",IF(ISNUMBER(A1114),A1114,IFERROR(DATE(VALUE(MID(A1114,7,4)),VALUE(MID(A1114,4,2)),VALUE(MID(A1114,1,2)))+TIME(VALUE(MID(A1114,12,2)),VALUE(MID(A1114,15,2)),VALUE(MID(A1114,18,2))),"")))</f>
        <v/>
      </c>
    </row>
    <row r="1115" customFormat="false" ht="15" hidden="false" customHeight="false" outlineLevel="0" collapsed="false">
      <c r="I1115" s="15" t="str">
        <f aca="false">IF(N1115="","",INT(N1115))</f>
        <v/>
      </c>
      <c r="J1115" s="16" t="str">
        <f aca="false">IF(B1115="","",IF(N1115=_xlfn.MINIFS($N$2:$N$5001,$B$2:$B$5001,B1115),1,0))</f>
        <v/>
      </c>
      <c r="K1115" s="16" t="str">
        <f aca="false">IF(B1115="","",IF(AND(D1115="Formalização",E1115="Concluído"),IF(COUNTIFS($B$2:$B$5001,B1115,$E$2:$E$5001,"Em ajustes",$N$2:$N$5001,"&lt;"&amp;I1115)&gt;0,1,0),0))</f>
        <v/>
      </c>
      <c r="L1115" s="16" t="str">
        <f aca="false">IF(B1115="","",IF(N1115=_xlfn.MAXIFS($N$2:$N$5001,$B$2:$B$5001,B1115,$I$2:$I$5001,I1115),1,0))</f>
        <v/>
      </c>
      <c r="M1115" s="16" t="str">
        <f aca="false">IF(B1115="","",IF(E1115="Em ajustes",IF(N1115=_xlfn.MINIFS($N$2:$N$5001,$B$2:$B$5001,B1115,$E$2:$E$5001,"Em ajustes"),1,0),0))</f>
        <v/>
      </c>
      <c r="N1115" s="17" t="str">
        <f aca="false">IF(A1115="","",IF(ISNUMBER(A1115),A1115,IFERROR(DATE(VALUE(MID(A1115,7,4)),VALUE(MID(A1115,4,2)),VALUE(MID(A1115,1,2)))+TIME(VALUE(MID(A1115,12,2)),VALUE(MID(A1115,15,2)),VALUE(MID(A1115,18,2))),"")))</f>
        <v/>
      </c>
    </row>
    <row r="1116" customFormat="false" ht="15" hidden="false" customHeight="false" outlineLevel="0" collapsed="false">
      <c r="I1116" s="15" t="str">
        <f aca="false">IF(N1116="","",INT(N1116))</f>
        <v/>
      </c>
      <c r="J1116" s="16" t="str">
        <f aca="false">IF(B1116="","",IF(N1116=_xlfn.MINIFS($N$2:$N$5001,$B$2:$B$5001,B1116),1,0))</f>
        <v/>
      </c>
      <c r="K1116" s="16" t="str">
        <f aca="false">IF(B1116="","",IF(AND(D1116="Formalização",E1116="Concluído"),IF(COUNTIFS($B$2:$B$5001,B1116,$E$2:$E$5001,"Em ajustes",$N$2:$N$5001,"&lt;"&amp;I1116)&gt;0,1,0),0))</f>
        <v/>
      </c>
      <c r="L1116" s="16" t="str">
        <f aca="false">IF(B1116="","",IF(N1116=_xlfn.MAXIFS($N$2:$N$5001,$B$2:$B$5001,B1116,$I$2:$I$5001,I1116),1,0))</f>
        <v/>
      </c>
      <c r="M1116" s="16" t="str">
        <f aca="false">IF(B1116="","",IF(E1116="Em ajustes",IF(N1116=_xlfn.MINIFS($N$2:$N$5001,$B$2:$B$5001,B1116,$E$2:$E$5001,"Em ajustes"),1,0),0))</f>
        <v/>
      </c>
      <c r="N1116" s="17" t="str">
        <f aca="false">IF(A1116="","",IF(ISNUMBER(A1116),A1116,IFERROR(DATE(VALUE(MID(A1116,7,4)),VALUE(MID(A1116,4,2)),VALUE(MID(A1116,1,2)))+TIME(VALUE(MID(A1116,12,2)),VALUE(MID(A1116,15,2)),VALUE(MID(A1116,18,2))),"")))</f>
        <v/>
      </c>
    </row>
    <row r="1117" customFormat="false" ht="15" hidden="false" customHeight="false" outlineLevel="0" collapsed="false">
      <c r="I1117" s="15" t="str">
        <f aca="false">IF(N1117="","",INT(N1117))</f>
        <v/>
      </c>
      <c r="J1117" s="16" t="str">
        <f aca="false">IF(B1117="","",IF(N1117=_xlfn.MINIFS($N$2:$N$5001,$B$2:$B$5001,B1117),1,0))</f>
        <v/>
      </c>
      <c r="K1117" s="16" t="str">
        <f aca="false">IF(B1117="","",IF(AND(D1117="Formalização",E1117="Concluído"),IF(COUNTIFS($B$2:$B$5001,B1117,$E$2:$E$5001,"Em ajustes",$N$2:$N$5001,"&lt;"&amp;I1117)&gt;0,1,0),0))</f>
        <v/>
      </c>
      <c r="L1117" s="16" t="str">
        <f aca="false">IF(B1117="","",IF(N1117=_xlfn.MAXIFS($N$2:$N$5001,$B$2:$B$5001,B1117,$I$2:$I$5001,I1117),1,0))</f>
        <v/>
      </c>
      <c r="M1117" s="16" t="str">
        <f aca="false">IF(B1117="","",IF(E1117="Em ajustes",IF(N1117=_xlfn.MINIFS($N$2:$N$5001,$B$2:$B$5001,B1117,$E$2:$E$5001,"Em ajustes"),1,0),0))</f>
        <v/>
      </c>
      <c r="N1117" s="17" t="str">
        <f aca="false">IF(A1117="","",IF(ISNUMBER(A1117),A1117,IFERROR(DATE(VALUE(MID(A1117,7,4)),VALUE(MID(A1117,4,2)),VALUE(MID(A1117,1,2)))+TIME(VALUE(MID(A1117,12,2)),VALUE(MID(A1117,15,2)),VALUE(MID(A1117,18,2))),"")))</f>
        <v/>
      </c>
    </row>
    <row r="1118" customFormat="false" ht="15" hidden="false" customHeight="false" outlineLevel="0" collapsed="false">
      <c r="I1118" s="15" t="str">
        <f aca="false">IF(N1118="","",INT(N1118))</f>
        <v/>
      </c>
      <c r="J1118" s="16" t="str">
        <f aca="false">IF(B1118="","",IF(N1118=_xlfn.MINIFS($N$2:$N$5001,$B$2:$B$5001,B1118),1,0))</f>
        <v/>
      </c>
      <c r="K1118" s="16" t="str">
        <f aca="false">IF(B1118="","",IF(AND(D1118="Formalização",E1118="Concluído"),IF(COUNTIFS($B$2:$B$5001,B1118,$E$2:$E$5001,"Em ajustes",$N$2:$N$5001,"&lt;"&amp;I1118)&gt;0,1,0),0))</f>
        <v/>
      </c>
      <c r="L1118" s="16" t="str">
        <f aca="false">IF(B1118="","",IF(N1118=_xlfn.MAXIFS($N$2:$N$5001,$B$2:$B$5001,B1118,$I$2:$I$5001,I1118),1,0))</f>
        <v/>
      </c>
      <c r="M1118" s="16" t="str">
        <f aca="false">IF(B1118="","",IF(E1118="Em ajustes",IF(N1118=_xlfn.MINIFS($N$2:$N$5001,$B$2:$B$5001,B1118,$E$2:$E$5001,"Em ajustes"),1,0),0))</f>
        <v/>
      </c>
      <c r="N1118" s="17" t="str">
        <f aca="false">IF(A1118="","",IF(ISNUMBER(A1118),A1118,IFERROR(DATE(VALUE(MID(A1118,7,4)),VALUE(MID(A1118,4,2)),VALUE(MID(A1118,1,2)))+TIME(VALUE(MID(A1118,12,2)),VALUE(MID(A1118,15,2)),VALUE(MID(A1118,18,2))),"")))</f>
        <v/>
      </c>
    </row>
    <row r="1119" customFormat="false" ht="15" hidden="false" customHeight="false" outlineLevel="0" collapsed="false">
      <c r="I1119" s="15" t="str">
        <f aca="false">IF(N1119="","",INT(N1119))</f>
        <v/>
      </c>
      <c r="J1119" s="16" t="str">
        <f aca="false">IF(B1119="","",IF(N1119=_xlfn.MINIFS($N$2:$N$5001,$B$2:$B$5001,B1119),1,0))</f>
        <v/>
      </c>
      <c r="K1119" s="16" t="str">
        <f aca="false">IF(B1119="","",IF(AND(D1119="Formalização",E1119="Concluído"),IF(COUNTIFS($B$2:$B$5001,B1119,$E$2:$E$5001,"Em ajustes",$N$2:$N$5001,"&lt;"&amp;I1119)&gt;0,1,0),0))</f>
        <v/>
      </c>
      <c r="L1119" s="16" t="str">
        <f aca="false">IF(B1119="","",IF(N1119=_xlfn.MAXIFS($N$2:$N$5001,$B$2:$B$5001,B1119,$I$2:$I$5001,I1119),1,0))</f>
        <v/>
      </c>
      <c r="M1119" s="16" t="str">
        <f aca="false">IF(B1119="","",IF(E1119="Em ajustes",IF(N1119=_xlfn.MINIFS($N$2:$N$5001,$B$2:$B$5001,B1119,$E$2:$E$5001,"Em ajustes"),1,0),0))</f>
        <v/>
      </c>
      <c r="N1119" s="17" t="str">
        <f aca="false">IF(A1119="","",IF(ISNUMBER(A1119),A1119,IFERROR(DATE(VALUE(MID(A1119,7,4)),VALUE(MID(A1119,4,2)),VALUE(MID(A1119,1,2)))+TIME(VALUE(MID(A1119,12,2)),VALUE(MID(A1119,15,2)),VALUE(MID(A1119,18,2))),"")))</f>
        <v/>
      </c>
    </row>
    <row r="1120" customFormat="false" ht="15" hidden="false" customHeight="false" outlineLevel="0" collapsed="false">
      <c r="I1120" s="15" t="str">
        <f aca="false">IF(N1120="","",INT(N1120))</f>
        <v/>
      </c>
      <c r="J1120" s="16" t="str">
        <f aca="false">IF(B1120="","",IF(N1120=_xlfn.MINIFS($N$2:$N$5001,$B$2:$B$5001,B1120),1,0))</f>
        <v/>
      </c>
      <c r="K1120" s="16" t="str">
        <f aca="false">IF(B1120="","",IF(AND(D1120="Formalização",E1120="Concluído"),IF(COUNTIFS($B$2:$B$5001,B1120,$E$2:$E$5001,"Em ajustes",$N$2:$N$5001,"&lt;"&amp;I1120)&gt;0,1,0),0))</f>
        <v/>
      </c>
      <c r="L1120" s="16" t="str">
        <f aca="false">IF(B1120="","",IF(N1120=_xlfn.MAXIFS($N$2:$N$5001,$B$2:$B$5001,B1120,$I$2:$I$5001,I1120),1,0))</f>
        <v/>
      </c>
      <c r="M1120" s="16" t="str">
        <f aca="false">IF(B1120="","",IF(E1120="Em ajustes",IF(N1120=_xlfn.MINIFS($N$2:$N$5001,$B$2:$B$5001,B1120,$E$2:$E$5001,"Em ajustes"),1,0),0))</f>
        <v/>
      </c>
      <c r="N1120" s="17" t="str">
        <f aca="false">IF(A1120="","",IF(ISNUMBER(A1120),A1120,IFERROR(DATE(VALUE(MID(A1120,7,4)),VALUE(MID(A1120,4,2)),VALUE(MID(A1120,1,2)))+TIME(VALUE(MID(A1120,12,2)),VALUE(MID(A1120,15,2)),VALUE(MID(A1120,18,2))),"")))</f>
        <v/>
      </c>
    </row>
    <row r="1121" customFormat="false" ht="15" hidden="false" customHeight="false" outlineLevel="0" collapsed="false">
      <c r="I1121" s="15" t="str">
        <f aca="false">IF(N1121="","",INT(N1121))</f>
        <v/>
      </c>
      <c r="J1121" s="16" t="str">
        <f aca="false">IF(B1121="","",IF(N1121=_xlfn.MINIFS($N$2:$N$5001,$B$2:$B$5001,B1121),1,0))</f>
        <v/>
      </c>
      <c r="K1121" s="16" t="str">
        <f aca="false">IF(B1121="","",IF(AND(D1121="Formalização",E1121="Concluído"),IF(COUNTIFS($B$2:$B$5001,B1121,$E$2:$E$5001,"Em ajustes",$N$2:$N$5001,"&lt;"&amp;I1121)&gt;0,1,0),0))</f>
        <v/>
      </c>
      <c r="L1121" s="16" t="str">
        <f aca="false">IF(B1121="","",IF(N1121=_xlfn.MAXIFS($N$2:$N$5001,$B$2:$B$5001,B1121,$I$2:$I$5001,I1121),1,0))</f>
        <v/>
      </c>
      <c r="M1121" s="16" t="str">
        <f aca="false">IF(B1121="","",IF(E1121="Em ajustes",IF(N1121=_xlfn.MINIFS($N$2:$N$5001,$B$2:$B$5001,B1121,$E$2:$E$5001,"Em ajustes"),1,0),0))</f>
        <v/>
      </c>
      <c r="N1121" s="17" t="str">
        <f aca="false">IF(A1121="","",IF(ISNUMBER(A1121),A1121,IFERROR(DATE(VALUE(MID(A1121,7,4)),VALUE(MID(A1121,4,2)),VALUE(MID(A1121,1,2)))+TIME(VALUE(MID(A1121,12,2)),VALUE(MID(A1121,15,2)),VALUE(MID(A1121,18,2))),"")))</f>
        <v/>
      </c>
    </row>
    <row r="1122" customFormat="false" ht="15" hidden="false" customHeight="false" outlineLevel="0" collapsed="false">
      <c r="I1122" s="15" t="str">
        <f aca="false">IF(N1122="","",INT(N1122))</f>
        <v/>
      </c>
      <c r="J1122" s="16" t="str">
        <f aca="false">IF(B1122="","",IF(N1122=_xlfn.MINIFS($N$2:$N$5001,$B$2:$B$5001,B1122),1,0))</f>
        <v/>
      </c>
      <c r="K1122" s="16" t="str">
        <f aca="false">IF(B1122="","",IF(AND(D1122="Formalização",E1122="Concluído"),IF(COUNTIFS($B$2:$B$5001,B1122,$E$2:$E$5001,"Em ajustes",$N$2:$N$5001,"&lt;"&amp;I1122)&gt;0,1,0),0))</f>
        <v/>
      </c>
      <c r="L1122" s="16" t="str">
        <f aca="false">IF(B1122="","",IF(N1122=_xlfn.MAXIFS($N$2:$N$5001,$B$2:$B$5001,B1122,$I$2:$I$5001,I1122),1,0))</f>
        <v/>
      </c>
      <c r="M1122" s="16" t="str">
        <f aca="false">IF(B1122="","",IF(E1122="Em ajustes",IF(N1122=_xlfn.MINIFS($N$2:$N$5001,$B$2:$B$5001,B1122,$E$2:$E$5001,"Em ajustes"),1,0),0))</f>
        <v/>
      </c>
      <c r="N1122" s="17" t="str">
        <f aca="false">IF(A1122="","",IF(ISNUMBER(A1122),A1122,IFERROR(DATE(VALUE(MID(A1122,7,4)),VALUE(MID(A1122,4,2)),VALUE(MID(A1122,1,2)))+TIME(VALUE(MID(A1122,12,2)),VALUE(MID(A1122,15,2)),VALUE(MID(A1122,18,2))),"")))</f>
        <v/>
      </c>
    </row>
    <row r="1123" customFormat="false" ht="15" hidden="false" customHeight="false" outlineLevel="0" collapsed="false">
      <c r="I1123" s="15" t="str">
        <f aca="false">IF(N1123="","",INT(N1123))</f>
        <v/>
      </c>
      <c r="J1123" s="16" t="str">
        <f aca="false">IF(B1123="","",IF(N1123=_xlfn.MINIFS($N$2:$N$5001,$B$2:$B$5001,B1123),1,0))</f>
        <v/>
      </c>
      <c r="K1123" s="16" t="str">
        <f aca="false">IF(B1123="","",IF(AND(D1123="Formalização",E1123="Concluído"),IF(COUNTIFS($B$2:$B$5001,B1123,$E$2:$E$5001,"Em ajustes",$N$2:$N$5001,"&lt;"&amp;I1123)&gt;0,1,0),0))</f>
        <v/>
      </c>
      <c r="L1123" s="16" t="str">
        <f aca="false">IF(B1123="","",IF(N1123=_xlfn.MAXIFS($N$2:$N$5001,$B$2:$B$5001,B1123,$I$2:$I$5001,I1123),1,0))</f>
        <v/>
      </c>
      <c r="M1123" s="16" t="str">
        <f aca="false">IF(B1123="","",IF(E1123="Em ajustes",IF(N1123=_xlfn.MINIFS($N$2:$N$5001,$B$2:$B$5001,B1123,$E$2:$E$5001,"Em ajustes"),1,0),0))</f>
        <v/>
      </c>
      <c r="N1123" s="17" t="str">
        <f aca="false">IF(A1123="","",IF(ISNUMBER(A1123),A1123,IFERROR(DATE(VALUE(MID(A1123,7,4)),VALUE(MID(A1123,4,2)),VALUE(MID(A1123,1,2)))+TIME(VALUE(MID(A1123,12,2)),VALUE(MID(A1123,15,2)),VALUE(MID(A1123,18,2))),"")))</f>
        <v/>
      </c>
    </row>
    <row r="1124" customFormat="false" ht="15" hidden="false" customHeight="false" outlineLevel="0" collapsed="false">
      <c r="I1124" s="15" t="str">
        <f aca="false">IF(N1124="","",INT(N1124))</f>
        <v/>
      </c>
      <c r="J1124" s="16" t="str">
        <f aca="false">IF(B1124="","",IF(N1124=_xlfn.MINIFS($N$2:$N$5001,$B$2:$B$5001,B1124),1,0))</f>
        <v/>
      </c>
      <c r="K1124" s="16" t="str">
        <f aca="false">IF(B1124="","",IF(AND(D1124="Formalização",E1124="Concluído"),IF(COUNTIFS($B$2:$B$5001,B1124,$E$2:$E$5001,"Em ajustes",$N$2:$N$5001,"&lt;"&amp;I1124)&gt;0,1,0),0))</f>
        <v/>
      </c>
      <c r="L1124" s="16" t="str">
        <f aca="false">IF(B1124="","",IF(N1124=_xlfn.MAXIFS($N$2:$N$5001,$B$2:$B$5001,B1124,$I$2:$I$5001,I1124),1,0))</f>
        <v/>
      </c>
      <c r="M1124" s="16" t="str">
        <f aca="false">IF(B1124="","",IF(E1124="Em ajustes",IF(N1124=_xlfn.MINIFS($N$2:$N$5001,$B$2:$B$5001,B1124,$E$2:$E$5001,"Em ajustes"),1,0),0))</f>
        <v/>
      </c>
      <c r="N1124" s="17" t="str">
        <f aca="false">IF(A1124="","",IF(ISNUMBER(A1124),A1124,IFERROR(DATE(VALUE(MID(A1124,7,4)),VALUE(MID(A1124,4,2)),VALUE(MID(A1124,1,2)))+TIME(VALUE(MID(A1124,12,2)),VALUE(MID(A1124,15,2)),VALUE(MID(A1124,18,2))),"")))</f>
        <v/>
      </c>
    </row>
    <row r="1125" customFormat="false" ht="15" hidden="false" customHeight="false" outlineLevel="0" collapsed="false">
      <c r="I1125" s="15" t="str">
        <f aca="false">IF(N1125="","",INT(N1125))</f>
        <v/>
      </c>
      <c r="J1125" s="16" t="str">
        <f aca="false">IF(B1125="","",IF(N1125=_xlfn.MINIFS($N$2:$N$5001,$B$2:$B$5001,B1125),1,0))</f>
        <v/>
      </c>
      <c r="K1125" s="16" t="str">
        <f aca="false">IF(B1125="","",IF(AND(D1125="Formalização",E1125="Concluído"),IF(COUNTIFS($B$2:$B$5001,B1125,$E$2:$E$5001,"Em ajustes",$N$2:$N$5001,"&lt;"&amp;I1125)&gt;0,1,0),0))</f>
        <v/>
      </c>
      <c r="L1125" s="16" t="str">
        <f aca="false">IF(B1125="","",IF(N1125=_xlfn.MAXIFS($N$2:$N$5001,$B$2:$B$5001,B1125,$I$2:$I$5001,I1125),1,0))</f>
        <v/>
      </c>
      <c r="M1125" s="16" t="str">
        <f aca="false">IF(B1125="","",IF(E1125="Em ajustes",IF(N1125=_xlfn.MINIFS($N$2:$N$5001,$B$2:$B$5001,B1125,$E$2:$E$5001,"Em ajustes"),1,0),0))</f>
        <v/>
      </c>
      <c r="N1125" s="17" t="str">
        <f aca="false">IF(A1125="","",IF(ISNUMBER(A1125),A1125,IFERROR(DATE(VALUE(MID(A1125,7,4)),VALUE(MID(A1125,4,2)),VALUE(MID(A1125,1,2)))+TIME(VALUE(MID(A1125,12,2)),VALUE(MID(A1125,15,2)),VALUE(MID(A1125,18,2))),"")))</f>
        <v/>
      </c>
    </row>
    <row r="1126" customFormat="false" ht="15" hidden="false" customHeight="false" outlineLevel="0" collapsed="false">
      <c r="I1126" s="15" t="str">
        <f aca="false">IF(N1126="","",INT(N1126))</f>
        <v/>
      </c>
      <c r="J1126" s="16" t="str">
        <f aca="false">IF(B1126="","",IF(N1126=_xlfn.MINIFS($N$2:$N$5001,$B$2:$B$5001,B1126),1,0))</f>
        <v/>
      </c>
      <c r="K1126" s="16" t="str">
        <f aca="false">IF(B1126="","",IF(AND(D1126="Formalização",E1126="Concluído"),IF(COUNTIFS($B$2:$B$5001,B1126,$E$2:$E$5001,"Em ajustes",$N$2:$N$5001,"&lt;"&amp;I1126)&gt;0,1,0),0))</f>
        <v/>
      </c>
      <c r="L1126" s="16" t="str">
        <f aca="false">IF(B1126="","",IF(N1126=_xlfn.MAXIFS($N$2:$N$5001,$B$2:$B$5001,B1126,$I$2:$I$5001,I1126),1,0))</f>
        <v/>
      </c>
      <c r="M1126" s="16" t="str">
        <f aca="false">IF(B1126="","",IF(E1126="Em ajustes",IF(N1126=_xlfn.MINIFS($N$2:$N$5001,$B$2:$B$5001,B1126,$E$2:$E$5001,"Em ajustes"),1,0),0))</f>
        <v/>
      </c>
      <c r="N1126" s="17" t="str">
        <f aca="false">IF(A1126="","",IF(ISNUMBER(A1126),A1126,IFERROR(DATE(VALUE(MID(A1126,7,4)),VALUE(MID(A1126,4,2)),VALUE(MID(A1126,1,2)))+TIME(VALUE(MID(A1126,12,2)),VALUE(MID(A1126,15,2)),VALUE(MID(A1126,18,2))),"")))</f>
        <v/>
      </c>
    </row>
    <row r="1127" customFormat="false" ht="15" hidden="false" customHeight="false" outlineLevel="0" collapsed="false">
      <c r="I1127" s="15" t="str">
        <f aca="false">IF(N1127="","",INT(N1127))</f>
        <v/>
      </c>
      <c r="J1127" s="16" t="str">
        <f aca="false">IF(B1127="","",IF(N1127=_xlfn.MINIFS($N$2:$N$5001,$B$2:$B$5001,B1127),1,0))</f>
        <v/>
      </c>
      <c r="K1127" s="16" t="str">
        <f aca="false">IF(B1127="","",IF(AND(D1127="Formalização",E1127="Concluído"),IF(COUNTIFS($B$2:$B$5001,B1127,$E$2:$E$5001,"Em ajustes",$N$2:$N$5001,"&lt;"&amp;I1127)&gt;0,1,0),0))</f>
        <v/>
      </c>
      <c r="L1127" s="16" t="str">
        <f aca="false">IF(B1127="","",IF(N1127=_xlfn.MAXIFS($N$2:$N$5001,$B$2:$B$5001,B1127,$I$2:$I$5001,I1127),1,0))</f>
        <v/>
      </c>
      <c r="M1127" s="16" t="str">
        <f aca="false">IF(B1127="","",IF(E1127="Em ajustes",IF(N1127=_xlfn.MINIFS($N$2:$N$5001,$B$2:$B$5001,B1127,$E$2:$E$5001,"Em ajustes"),1,0),0))</f>
        <v/>
      </c>
      <c r="N1127" s="17" t="str">
        <f aca="false">IF(A1127="","",IF(ISNUMBER(A1127),A1127,IFERROR(DATE(VALUE(MID(A1127,7,4)),VALUE(MID(A1127,4,2)),VALUE(MID(A1127,1,2)))+TIME(VALUE(MID(A1127,12,2)),VALUE(MID(A1127,15,2)),VALUE(MID(A1127,18,2))),"")))</f>
        <v/>
      </c>
    </row>
    <row r="1128" customFormat="false" ht="15" hidden="false" customHeight="false" outlineLevel="0" collapsed="false">
      <c r="I1128" s="15" t="str">
        <f aca="false">IF(N1128="","",INT(N1128))</f>
        <v/>
      </c>
      <c r="J1128" s="16" t="str">
        <f aca="false">IF(B1128="","",IF(N1128=_xlfn.MINIFS($N$2:$N$5001,$B$2:$B$5001,B1128),1,0))</f>
        <v/>
      </c>
      <c r="K1128" s="16" t="str">
        <f aca="false">IF(B1128="","",IF(AND(D1128="Formalização",E1128="Concluído"),IF(COUNTIFS($B$2:$B$5001,B1128,$E$2:$E$5001,"Em ajustes",$N$2:$N$5001,"&lt;"&amp;I1128)&gt;0,1,0),0))</f>
        <v/>
      </c>
      <c r="L1128" s="16" t="str">
        <f aca="false">IF(B1128="","",IF(N1128=_xlfn.MAXIFS($N$2:$N$5001,$B$2:$B$5001,B1128,$I$2:$I$5001,I1128),1,0))</f>
        <v/>
      </c>
      <c r="M1128" s="16" t="str">
        <f aca="false">IF(B1128="","",IF(E1128="Em ajustes",IF(N1128=_xlfn.MINIFS($N$2:$N$5001,$B$2:$B$5001,B1128,$E$2:$E$5001,"Em ajustes"),1,0),0))</f>
        <v/>
      </c>
      <c r="N1128" s="17" t="str">
        <f aca="false">IF(A1128="","",IF(ISNUMBER(A1128),A1128,IFERROR(DATE(VALUE(MID(A1128,7,4)),VALUE(MID(A1128,4,2)),VALUE(MID(A1128,1,2)))+TIME(VALUE(MID(A1128,12,2)),VALUE(MID(A1128,15,2)),VALUE(MID(A1128,18,2))),"")))</f>
        <v/>
      </c>
    </row>
    <row r="1129" customFormat="false" ht="15" hidden="false" customHeight="false" outlineLevel="0" collapsed="false">
      <c r="I1129" s="15" t="str">
        <f aca="false">IF(N1129="","",INT(N1129))</f>
        <v/>
      </c>
      <c r="J1129" s="16" t="str">
        <f aca="false">IF(B1129="","",IF(N1129=_xlfn.MINIFS($N$2:$N$5001,$B$2:$B$5001,B1129),1,0))</f>
        <v/>
      </c>
      <c r="K1129" s="16" t="str">
        <f aca="false">IF(B1129="","",IF(AND(D1129="Formalização",E1129="Concluído"),IF(COUNTIFS($B$2:$B$5001,B1129,$E$2:$E$5001,"Em ajustes",$N$2:$N$5001,"&lt;"&amp;I1129)&gt;0,1,0),0))</f>
        <v/>
      </c>
      <c r="L1129" s="16" t="str">
        <f aca="false">IF(B1129="","",IF(N1129=_xlfn.MAXIFS($N$2:$N$5001,$B$2:$B$5001,B1129,$I$2:$I$5001,I1129),1,0))</f>
        <v/>
      </c>
      <c r="M1129" s="16" t="str">
        <f aca="false">IF(B1129="","",IF(E1129="Em ajustes",IF(N1129=_xlfn.MINIFS($N$2:$N$5001,$B$2:$B$5001,B1129,$E$2:$E$5001,"Em ajustes"),1,0),0))</f>
        <v/>
      </c>
      <c r="N1129" s="17" t="str">
        <f aca="false">IF(A1129="","",IF(ISNUMBER(A1129),A1129,IFERROR(DATE(VALUE(MID(A1129,7,4)),VALUE(MID(A1129,4,2)),VALUE(MID(A1129,1,2)))+TIME(VALUE(MID(A1129,12,2)),VALUE(MID(A1129,15,2)),VALUE(MID(A1129,18,2))),"")))</f>
        <v/>
      </c>
    </row>
    <row r="1130" customFormat="false" ht="15" hidden="false" customHeight="false" outlineLevel="0" collapsed="false">
      <c r="I1130" s="15" t="str">
        <f aca="false">IF(N1130="","",INT(N1130))</f>
        <v/>
      </c>
      <c r="J1130" s="16" t="str">
        <f aca="false">IF(B1130="","",IF(N1130=_xlfn.MINIFS($N$2:$N$5001,$B$2:$B$5001,B1130),1,0))</f>
        <v/>
      </c>
      <c r="K1130" s="16" t="str">
        <f aca="false">IF(B1130="","",IF(AND(D1130="Formalização",E1130="Concluído"),IF(COUNTIFS($B$2:$B$5001,B1130,$E$2:$E$5001,"Em ajustes",$N$2:$N$5001,"&lt;"&amp;I1130)&gt;0,1,0),0))</f>
        <v/>
      </c>
      <c r="L1130" s="16" t="str">
        <f aca="false">IF(B1130="","",IF(N1130=_xlfn.MAXIFS($N$2:$N$5001,$B$2:$B$5001,B1130,$I$2:$I$5001,I1130),1,0))</f>
        <v/>
      </c>
      <c r="M1130" s="16" t="str">
        <f aca="false">IF(B1130="","",IF(E1130="Em ajustes",IF(N1130=_xlfn.MINIFS($N$2:$N$5001,$B$2:$B$5001,B1130,$E$2:$E$5001,"Em ajustes"),1,0),0))</f>
        <v/>
      </c>
      <c r="N1130" s="17" t="str">
        <f aca="false">IF(A1130="","",IF(ISNUMBER(A1130),A1130,IFERROR(DATE(VALUE(MID(A1130,7,4)),VALUE(MID(A1130,4,2)),VALUE(MID(A1130,1,2)))+TIME(VALUE(MID(A1130,12,2)),VALUE(MID(A1130,15,2)),VALUE(MID(A1130,18,2))),"")))</f>
        <v/>
      </c>
    </row>
    <row r="1131" customFormat="false" ht="15" hidden="false" customHeight="false" outlineLevel="0" collapsed="false">
      <c r="I1131" s="15" t="str">
        <f aca="false">IF(N1131="","",INT(N1131))</f>
        <v/>
      </c>
      <c r="J1131" s="16" t="str">
        <f aca="false">IF(B1131="","",IF(N1131=_xlfn.MINIFS($N$2:$N$5001,$B$2:$B$5001,B1131),1,0))</f>
        <v/>
      </c>
      <c r="K1131" s="16" t="str">
        <f aca="false">IF(B1131="","",IF(AND(D1131="Formalização",E1131="Concluído"),IF(COUNTIFS($B$2:$B$5001,B1131,$E$2:$E$5001,"Em ajustes",$N$2:$N$5001,"&lt;"&amp;I1131)&gt;0,1,0),0))</f>
        <v/>
      </c>
      <c r="L1131" s="16" t="str">
        <f aca="false">IF(B1131="","",IF(N1131=_xlfn.MAXIFS($N$2:$N$5001,$B$2:$B$5001,B1131,$I$2:$I$5001,I1131),1,0))</f>
        <v/>
      </c>
      <c r="M1131" s="16" t="str">
        <f aca="false">IF(B1131="","",IF(E1131="Em ajustes",IF(N1131=_xlfn.MINIFS($N$2:$N$5001,$B$2:$B$5001,B1131,$E$2:$E$5001,"Em ajustes"),1,0),0))</f>
        <v/>
      </c>
      <c r="N1131" s="17" t="str">
        <f aca="false">IF(A1131="","",IF(ISNUMBER(A1131),A1131,IFERROR(DATE(VALUE(MID(A1131,7,4)),VALUE(MID(A1131,4,2)),VALUE(MID(A1131,1,2)))+TIME(VALUE(MID(A1131,12,2)),VALUE(MID(A1131,15,2)),VALUE(MID(A1131,18,2))),"")))</f>
        <v/>
      </c>
    </row>
    <row r="1132" customFormat="false" ht="15" hidden="false" customHeight="false" outlineLevel="0" collapsed="false">
      <c r="I1132" s="15" t="str">
        <f aca="false">IF(N1132="","",INT(N1132))</f>
        <v/>
      </c>
      <c r="J1132" s="16" t="str">
        <f aca="false">IF(B1132="","",IF(N1132=_xlfn.MINIFS($N$2:$N$5001,$B$2:$B$5001,B1132),1,0))</f>
        <v/>
      </c>
      <c r="K1132" s="16" t="str">
        <f aca="false">IF(B1132="","",IF(AND(D1132="Formalização",E1132="Concluído"),IF(COUNTIFS($B$2:$B$5001,B1132,$E$2:$E$5001,"Em ajustes",$N$2:$N$5001,"&lt;"&amp;I1132)&gt;0,1,0),0))</f>
        <v/>
      </c>
      <c r="L1132" s="16" t="str">
        <f aca="false">IF(B1132="","",IF(N1132=_xlfn.MAXIFS($N$2:$N$5001,$B$2:$B$5001,B1132,$I$2:$I$5001,I1132),1,0))</f>
        <v/>
      </c>
      <c r="M1132" s="16" t="str">
        <f aca="false">IF(B1132="","",IF(E1132="Em ajustes",IF(N1132=_xlfn.MINIFS($N$2:$N$5001,$B$2:$B$5001,B1132,$E$2:$E$5001,"Em ajustes"),1,0),0))</f>
        <v/>
      </c>
      <c r="N1132" s="17" t="str">
        <f aca="false">IF(A1132="","",IF(ISNUMBER(A1132),A1132,IFERROR(DATE(VALUE(MID(A1132,7,4)),VALUE(MID(A1132,4,2)),VALUE(MID(A1132,1,2)))+TIME(VALUE(MID(A1132,12,2)),VALUE(MID(A1132,15,2)),VALUE(MID(A1132,18,2))),"")))</f>
        <v/>
      </c>
    </row>
    <row r="1133" customFormat="false" ht="15" hidden="false" customHeight="false" outlineLevel="0" collapsed="false">
      <c r="I1133" s="15" t="str">
        <f aca="false">IF(N1133="","",INT(N1133))</f>
        <v/>
      </c>
      <c r="J1133" s="16" t="str">
        <f aca="false">IF(B1133="","",IF(N1133=_xlfn.MINIFS($N$2:$N$5001,$B$2:$B$5001,B1133),1,0))</f>
        <v/>
      </c>
      <c r="K1133" s="16" t="str">
        <f aca="false">IF(B1133="","",IF(AND(D1133="Formalização",E1133="Concluído"),IF(COUNTIFS($B$2:$B$5001,B1133,$E$2:$E$5001,"Em ajustes",$N$2:$N$5001,"&lt;"&amp;I1133)&gt;0,1,0),0))</f>
        <v/>
      </c>
      <c r="L1133" s="16" t="str">
        <f aca="false">IF(B1133="","",IF(N1133=_xlfn.MAXIFS($N$2:$N$5001,$B$2:$B$5001,B1133,$I$2:$I$5001,I1133),1,0))</f>
        <v/>
      </c>
      <c r="M1133" s="16" t="str">
        <f aca="false">IF(B1133="","",IF(E1133="Em ajustes",IF(N1133=_xlfn.MINIFS($N$2:$N$5001,$B$2:$B$5001,B1133,$E$2:$E$5001,"Em ajustes"),1,0),0))</f>
        <v/>
      </c>
      <c r="N1133" s="17" t="str">
        <f aca="false">IF(A1133="","",IF(ISNUMBER(A1133),A1133,IFERROR(DATE(VALUE(MID(A1133,7,4)),VALUE(MID(A1133,4,2)),VALUE(MID(A1133,1,2)))+TIME(VALUE(MID(A1133,12,2)),VALUE(MID(A1133,15,2)),VALUE(MID(A1133,18,2))),"")))</f>
        <v/>
      </c>
    </row>
    <row r="1134" customFormat="false" ht="15" hidden="false" customHeight="false" outlineLevel="0" collapsed="false">
      <c r="I1134" s="15" t="str">
        <f aca="false">IF(N1134="","",INT(N1134))</f>
        <v/>
      </c>
      <c r="J1134" s="16" t="str">
        <f aca="false">IF(B1134="","",IF(N1134=_xlfn.MINIFS($N$2:$N$5001,$B$2:$B$5001,B1134),1,0))</f>
        <v/>
      </c>
      <c r="K1134" s="16" t="str">
        <f aca="false">IF(B1134="","",IF(AND(D1134="Formalização",E1134="Concluído"),IF(COUNTIFS($B$2:$B$5001,B1134,$E$2:$E$5001,"Em ajustes",$N$2:$N$5001,"&lt;"&amp;I1134)&gt;0,1,0),0))</f>
        <v/>
      </c>
      <c r="L1134" s="16" t="str">
        <f aca="false">IF(B1134="","",IF(N1134=_xlfn.MAXIFS($N$2:$N$5001,$B$2:$B$5001,B1134,$I$2:$I$5001,I1134),1,0))</f>
        <v/>
      </c>
      <c r="M1134" s="16" t="str">
        <f aca="false">IF(B1134="","",IF(E1134="Em ajustes",IF(N1134=_xlfn.MINIFS($N$2:$N$5001,$B$2:$B$5001,B1134,$E$2:$E$5001,"Em ajustes"),1,0),0))</f>
        <v/>
      </c>
      <c r="N1134" s="17" t="str">
        <f aca="false">IF(A1134="","",IF(ISNUMBER(A1134),A1134,IFERROR(DATE(VALUE(MID(A1134,7,4)),VALUE(MID(A1134,4,2)),VALUE(MID(A1134,1,2)))+TIME(VALUE(MID(A1134,12,2)),VALUE(MID(A1134,15,2)),VALUE(MID(A1134,18,2))),"")))</f>
        <v/>
      </c>
    </row>
    <row r="1135" customFormat="false" ht="15" hidden="false" customHeight="false" outlineLevel="0" collapsed="false">
      <c r="I1135" s="15" t="str">
        <f aca="false">IF(N1135="","",INT(N1135))</f>
        <v/>
      </c>
      <c r="J1135" s="16" t="str">
        <f aca="false">IF(B1135="","",IF(N1135=_xlfn.MINIFS($N$2:$N$5001,$B$2:$B$5001,B1135),1,0))</f>
        <v/>
      </c>
      <c r="K1135" s="16" t="str">
        <f aca="false">IF(B1135="","",IF(AND(D1135="Formalização",E1135="Concluído"),IF(COUNTIFS($B$2:$B$5001,B1135,$E$2:$E$5001,"Em ajustes",$N$2:$N$5001,"&lt;"&amp;I1135)&gt;0,1,0),0))</f>
        <v/>
      </c>
      <c r="L1135" s="16" t="str">
        <f aca="false">IF(B1135="","",IF(N1135=_xlfn.MAXIFS($N$2:$N$5001,$B$2:$B$5001,B1135,$I$2:$I$5001,I1135),1,0))</f>
        <v/>
      </c>
      <c r="M1135" s="16" t="str">
        <f aca="false">IF(B1135="","",IF(E1135="Em ajustes",IF(N1135=_xlfn.MINIFS($N$2:$N$5001,$B$2:$B$5001,B1135,$E$2:$E$5001,"Em ajustes"),1,0),0))</f>
        <v/>
      </c>
      <c r="N1135" s="17" t="str">
        <f aca="false">IF(A1135="","",IF(ISNUMBER(A1135),A1135,IFERROR(DATE(VALUE(MID(A1135,7,4)),VALUE(MID(A1135,4,2)),VALUE(MID(A1135,1,2)))+TIME(VALUE(MID(A1135,12,2)),VALUE(MID(A1135,15,2)),VALUE(MID(A1135,18,2))),"")))</f>
        <v/>
      </c>
    </row>
    <row r="1136" customFormat="false" ht="15" hidden="false" customHeight="false" outlineLevel="0" collapsed="false">
      <c r="I1136" s="15" t="str">
        <f aca="false">IF(N1136="","",INT(N1136))</f>
        <v/>
      </c>
      <c r="J1136" s="16" t="str">
        <f aca="false">IF(B1136="","",IF(N1136=_xlfn.MINIFS($N$2:$N$5001,$B$2:$B$5001,B1136),1,0))</f>
        <v/>
      </c>
      <c r="K1136" s="16" t="str">
        <f aca="false">IF(B1136="","",IF(AND(D1136="Formalização",E1136="Concluído"),IF(COUNTIFS($B$2:$B$5001,B1136,$E$2:$E$5001,"Em ajustes",$N$2:$N$5001,"&lt;"&amp;I1136)&gt;0,1,0),0))</f>
        <v/>
      </c>
      <c r="L1136" s="16" t="str">
        <f aca="false">IF(B1136="","",IF(N1136=_xlfn.MAXIFS($N$2:$N$5001,$B$2:$B$5001,B1136,$I$2:$I$5001,I1136),1,0))</f>
        <v/>
      </c>
      <c r="M1136" s="16" t="str">
        <f aca="false">IF(B1136="","",IF(E1136="Em ajustes",IF(N1136=_xlfn.MINIFS($N$2:$N$5001,$B$2:$B$5001,B1136,$E$2:$E$5001,"Em ajustes"),1,0),0))</f>
        <v/>
      </c>
      <c r="N1136" s="17" t="str">
        <f aca="false">IF(A1136="","",IF(ISNUMBER(A1136),A1136,IFERROR(DATE(VALUE(MID(A1136,7,4)),VALUE(MID(A1136,4,2)),VALUE(MID(A1136,1,2)))+TIME(VALUE(MID(A1136,12,2)),VALUE(MID(A1136,15,2)),VALUE(MID(A1136,18,2))),"")))</f>
        <v/>
      </c>
    </row>
    <row r="1137" customFormat="false" ht="15" hidden="false" customHeight="false" outlineLevel="0" collapsed="false">
      <c r="I1137" s="15" t="str">
        <f aca="false">IF(N1137="","",INT(N1137))</f>
        <v/>
      </c>
      <c r="J1137" s="16" t="str">
        <f aca="false">IF(B1137="","",IF(N1137=_xlfn.MINIFS($N$2:$N$5001,$B$2:$B$5001,B1137),1,0))</f>
        <v/>
      </c>
      <c r="K1137" s="16" t="str">
        <f aca="false">IF(B1137="","",IF(AND(D1137="Formalização",E1137="Concluído"),IF(COUNTIFS($B$2:$B$5001,B1137,$E$2:$E$5001,"Em ajustes",$N$2:$N$5001,"&lt;"&amp;I1137)&gt;0,1,0),0))</f>
        <v/>
      </c>
      <c r="L1137" s="16" t="str">
        <f aca="false">IF(B1137="","",IF(N1137=_xlfn.MAXIFS($N$2:$N$5001,$B$2:$B$5001,B1137,$I$2:$I$5001,I1137),1,0))</f>
        <v/>
      </c>
      <c r="M1137" s="16" t="str">
        <f aca="false">IF(B1137="","",IF(E1137="Em ajustes",IF(N1137=_xlfn.MINIFS($N$2:$N$5001,$B$2:$B$5001,B1137,$E$2:$E$5001,"Em ajustes"),1,0),0))</f>
        <v/>
      </c>
      <c r="N1137" s="17" t="str">
        <f aca="false">IF(A1137="","",IF(ISNUMBER(A1137),A1137,IFERROR(DATE(VALUE(MID(A1137,7,4)),VALUE(MID(A1137,4,2)),VALUE(MID(A1137,1,2)))+TIME(VALUE(MID(A1137,12,2)),VALUE(MID(A1137,15,2)),VALUE(MID(A1137,18,2))),"")))</f>
        <v/>
      </c>
    </row>
    <row r="1138" customFormat="false" ht="15" hidden="false" customHeight="false" outlineLevel="0" collapsed="false">
      <c r="I1138" s="15" t="str">
        <f aca="false">IF(N1138="","",INT(N1138))</f>
        <v/>
      </c>
      <c r="J1138" s="16" t="str">
        <f aca="false">IF(B1138="","",IF(N1138=_xlfn.MINIFS($N$2:$N$5001,$B$2:$B$5001,B1138),1,0))</f>
        <v/>
      </c>
      <c r="K1138" s="16" t="str">
        <f aca="false">IF(B1138="","",IF(AND(D1138="Formalização",E1138="Concluído"),IF(COUNTIFS($B$2:$B$5001,B1138,$E$2:$E$5001,"Em ajustes",$N$2:$N$5001,"&lt;"&amp;I1138)&gt;0,1,0),0))</f>
        <v/>
      </c>
      <c r="L1138" s="16" t="str">
        <f aca="false">IF(B1138="","",IF(N1138=_xlfn.MAXIFS($N$2:$N$5001,$B$2:$B$5001,B1138,$I$2:$I$5001,I1138),1,0))</f>
        <v/>
      </c>
      <c r="M1138" s="16" t="str">
        <f aca="false">IF(B1138="","",IF(E1138="Em ajustes",IF(N1138=_xlfn.MINIFS($N$2:$N$5001,$B$2:$B$5001,B1138,$E$2:$E$5001,"Em ajustes"),1,0),0))</f>
        <v/>
      </c>
      <c r="N1138" s="17" t="str">
        <f aca="false">IF(A1138="","",IF(ISNUMBER(A1138),A1138,IFERROR(DATE(VALUE(MID(A1138,7,4)),VALUE(MID(A1138,4,2)),VALUE(MID(A1138,1,2)))+TIME(VALUE(MID(A1138,12,2)),VALUE(MID(A1138,15,2)),VALUE(MID(A1138,18,2))),"")))</f>
        <v/>
      </c>
    </row>
    <row r="1139" customFormat="false" ht="15" hidden="false" customHeight="false" outlineLevel="0" collapsed="false">
      <c r="I1139" s="15" t="str">
        <f aca="false">IF(N1139="","",INT(N1139))</f>
        <v/>
      </c>
      <c r="J1139" s="16" t="str">
        <f aca="false">IF(B1139="","",IF(N1139=_xlfn.MINIFS($N$2:$N$5001,$B$2:$B$5001,B1139),1,0))</f>
        <v/>
      </c>
      <c r="K1139" s="16" t="str">
        <f aca="false">IF(B1139="","",IF(AND(D1139="Formalização",E1139="Concluído"),IF(COUNTIFS($B$2:$B$5001,B1139,$E$2:$E$5001,"Em ajustes",$N$2:$N$5001,"&lt;"&amp;I1139)&gt;0,1,0),0))</f>
        <v/>
      </c>
      <c r="L1139" s="16" t="str">
        <f aca="false">IF(B1139="","",IF(N1139=_xlfn.MAXIFS($N$2:$N$5001,$B$2:$B$5001,B1139,$I$2:$I$5001,I1139),1,0))</f>
        <v/>
      </c>
      <c r="M1139" s="16" t="str">
        <f aca="false">IF(B1139="","",IF(E1139="Em ajustes",IF(N1139=_xlfn.MINIFS($N$2:$N$5001,$B$2:$B$5001,B1139,$E$2:$E$5001,"Em ajustes"),1,0),0))</f>
        <v/>
      </c>
      <c r="N1139" s="17" t="str">
        <f aca="false">IF(A1139="","",IF(ISNUMBER(A1139),A1139,IFERROR(DATE(VALUE(MID(A1139,7,4)),VALUE(MID(A1139,4,2)),VALUE(MID(A1139,1,2)))+TIME(VALUE(MID(A1139,12,2)),VALUE(MID(A1139,15,2)),VALUE(MID(A1139,18,2))),"")))</f>
        <v/>
      </c>
    </row>
    <row r="1140" customFormat="false" ht="15" hidden="false" customHeight="false" outlineLevel="0" collapsed="false">
      <c r="I1140" s="15" t="str">
        <f aca="false">IF(N1140="","",INT(N1140))</f>
        <v/>
      </c>
      <c r="J1140" s="16" t="str">
        <f aca="false">IF(B1140="","",IF(N1140=_xlfn.MINIFS($N$2:$N$5001,$B$2:$B$5001,B1140),1,0))</f>
        <v/>
      </c>
      <c r="K1140" s="16" t="str">
        <f aca="false">IF(B1140="","",IF(AND(D1140="Formalização",E1140="Concluído"),IF(COUNTIFS($B$2:$B$5001,B1140,$E$2:$E$5001,"Em ajustes",$N$2:$N$5001,"&lt;"&amp;I1140)&gt;0,1,0),0))</f>
        <v/>
      </c>
      <c r="L1140" s="16" t="str">
        <f aca="false">IF(B1140="","",IF(N1140=_xlfn.MAXIFS($N$2:$N$5001,$B$2:$B$5001,B1140,$I$2:$I$5001,I1140),1,0))</f>
        <v/>
      </c>
      <c r="M1140" s="16" t="str">
        <f aca="false">IF(B1140="","",IF(E1140="Em ajustes",IF(N1140=_xlfn.MINIFS($N$2:$N$5001,$B$2:$B$5001,B1140,$E$2:$E$5001,"Em ajustes"),1,0),0))</f>
        <v/>
      </c>
      <c r="N1140" s="17" t="str">
        <f aca="false">IF(A1140="","",IF(ISNUMBER(A1140),A1140,IFERROR(DATE(VALUE(MID(A1140,7,4)),VALUE(MID(A1140,4,2)),VALUE(MID(A1140,1,2)))+TIME(VALUE(MID(A1140,12,2)),VALUE(MID(A1140,15,2)),VALUE(MID(A1140,18,2))),"")))</f>
        <v/>
      </c>
    </row>
    <row r="1141" customFormat="false" ht="15" hidden="false" customHeight="false" outlineLevel="0" collapsed="false">
      <c r="I1141" s="15" t="str">
        <f aca="false">IF(N1141="","",INT(N1141))</f>
        <v/>
      </c>
      <c r="J1141" s="16" t="str">
        <f aca="false">IF(B1141="","",IF(N1141=_xlfn.MINIFS($N$2:$N$5001,$B$2:$B$5001,B1141),1,0))</f>
        <v/>
      </c>
      <c r="K1141" s="16" t="str">
        <f aca="false">IF(B1141="","",IF(AND(D1141="Formalização",E1141="Concluído"),IF(COUNTIFS($B$2:$B$5001,B1141,$E$2:$E$5001,"Em ajustes",$N$2:$N$5001,"&lt;"&amp;I1141)&gt;0,1,0),0))</f>
        <v/>
      </c>
      <c r="L1141" s="16" t="str">
        <f aca="false">IF(B1141="","",IF(N1141=_xlfn.MAXIFS($N$2:$N$5001,$B$2:$B$5001,B1141,$I$2:$I$5001,I1141),1,0))</f>
        <v/>
      </c>
      <c r="M1141" s="16" t="str">
        <f aca="false">IF(B1141="","",IF(E1141="Em ajustes",IF(N1141=_xlfn.MINIFS($N$2:$N$5001,$B$2:$B$5001,B1141,$E$2:$E$5001,"Em ajustes"),1,0),0))</f>
        <v/>
      </c>
      <c r="N1141" s="17" t="str">
        <f aca="false">IF(A1141="","",IF(ISNUMBER(A1141),A1141,IFERROR(DATE(VALUE(MID(A1141,7,4)),VALUE(MID(A1141,4,2)),VALUE(MID(A1141,1,2)))+TIME(VALUE(MID(A1141,12,2)),VALUE(MID(A1141,15,2)),VALUE(MID(A1141,18,2))),"")))</f>
        <v/>
      </c>
    </row>
    <row r="1142" customFormat="false" ht="15" hidden="false" customHeight="false" outlineLevel="0" collapsed="false">
      <c r="I1142" s="15" t="str">
        <f aca="false">IF(N1142="","",INT(N1142))</f>
        <v/>
      </c>
      <c r="J1142" s="16" t="str">
        <f aca="false">IF(B1142="","",IF(N1142=_xlfn.MINIFS($N$2:$N$5001,$B$2:$B$5001,B1142),1,0))</f>
        <v/>
      </c>
      <c r="K1142" s="16" t="str">
        <f aca="false">IF(B1142="","",IF(AND(D1142="Formalização",E1142="Concluído"),IF(COUNTIFS($B$2:$B$5001,B1142,$E$2:$E$5001,"Em ajustes",$N$2:$N$5001,"&lt;"&amp;I1142)&gt;0,1,0),0))</f>
        <v/>
      </c>
      <c r="L1142" s="16" t="str">
        <f aca="false">IF(B1142="","",IF(N1142=_xlfn.MAXIFS($N$2:$N$5001,$B$2:$B$5001,B1142,$I$2:$I$5001,I1142),1,0))</f>
        <v/>
      </c>
      <c r="M1142" s="16" t="str">
        <f aca="false">IF(B1142="","",IF(E1142="Em ajustes",IF(N1142=_xlfn.MINIFS($N$2:$N$5001,$B$2:$B$5001,B1142,$E$2:$E$5001,"Em ajustes"),1,0),0))</f>
        <v/>
      </c>
      <c r="N1142" s="17" t="str">
        <f aca="false">IF(A1142="","",IF(ISNUMBER(A1142),A1142,IFERROR(DATE(VALUE(MID(A1142,7,4)),VALUE(MID(A1142,4,2)),VALUE(MID(A1142,1,2)))+TIME(VALUE(MID(A1142,12,2)),VALUE(MID(A1142,15,2)),VALUE(MID(A1142,18,2))),"")))</f>
        <v/>
      </c>
    </row>
    <row r="1143" customFormat="false" ht="15" hidden="false" customHeight="false" outlineLevel="0" collapsed="false">
      <c r="I1143" s="15" t="str">
        <f aca="false">IF(N1143="","",INT(N1143))</f>
        <v/>
      </c>
      <c r="J1143" s="16" t="str">
        <f aca="false">IF(B1143="","",IF(N1143=_xlfn.MINIFS($N$2:$N$5001,$B$2:$B$5001,B1143),1,0))</f>
        <v/>
      </c>
      <c r="K1143" s="16" t="str">
        <f aca="false">IF(B1143="","",IF(AND(D1143="Formalização",E1143="Concluído"),IF(COUNTIFS($B$2:$B$5001,B1143,$E$2:$E$5001,"Em ajustes",$N$2:$N$5001,"&lt;"&amp;I1143)&gt;0,1,0),0))</f>
        <v/>
      </c>
      <c r="L1143" s="16" t="str">
        <f aca="false">IF(B1143="","",IF(N1143=_xlfn.MAXIFS($N$2:$N$5001,$B$2:$B$5001,B1143,$I$2:$I$5001,I1143),1,0))</f>
        <v/>
      </c>
      <c r="M1143" s="16" t="str">
        <f aca="false">IF(B1143="","",IF(E1143="Em ajustes",IF(N1143=_xlfn.MINIFS($N$2:$N$5001,$B$2:$B$5001,B1143,$E$2:$E$5001,"Em ajustes"),1,0),0))</f>
        <v/>
      </c>
      <c r="N1143" s="17" t="str">
        <f aca="false">IF(A1143="","",IF(ISNUMBER(A1143),A1143,IFERROR(DATE(VALUE(MID(A1143,7,4)),VALUE(MID(A1143,4,2)),VALUE(MID(A1143,1,2)))+TIME(VALUE(MID(A1143,12,2)),VALUE(MID(A1143,15,2)),VALUE(MID(A1143,18,2))),"")))</f>
        <v/>
      </c>
    </row>
    <row r="1144" customFormat="false" ht="15" hidden="false" customHeight="false" outlineLevel="0" collapsed="false">
      <c r="I1144" s="15" t="str">
        <f aca="false">IF(N1144="","",INT(N1144))</f>
        <v/>
      </c>
      <c r="J1144" s="16" t="str">
        <f aca="false">IF(B1144="","",IF(N1144=_xlfn.MINIFS($N$2:$N$5001,$B$2:$B$5001,B1144),1,0))</f>
        <v/>
      </c>
      <c r="K1144" s="16" t="str">
        <f aca="false">IF(B1144="","",IF(AND(D1144="Formalização",E1144="Concluído"),IF(COUNTIFS($B$2:$B$5001,B1144,$E$2:$E$5001,"Em ajustes",$N$2:$N$5001,"&lt;"&amp;I1144)&gt;0,1,0),0))</f>
        <v/>
      </c>
      <c r="L1144" s="16" t="str">
        <f aca="false">IF(B1144="","",IF(N1144=_xlfn.MAXIFS($N$2:$N$5001,$B$2:$B$5001,B1144,$I$2:$I$5001,I1144),1,0))</f>
        <v/>
      </c>
      <c r="M1144" s="16" t="str">
        <f aca="false">IF(B1144="","",IF(E1144="Em ajustes",IF(N1144=_xlfn.MINIFS($N$2:$N$5001,$B$2:$B$5001,B1144,$E$2:$E$5001,"Em ajustes"),1,0),0))</f>
        <v/>
      </c>
      <c r="N1144" s="17" t="str">
        <f aca="false">IF(A1144="","",IF(ISNUMBER(A1144),A1144,IFERROR(DATE(VALUE(MID(A1144,7,4)),VALUE(MID(A1144,4,2)),VALUE(MID(A1144,1,2)))+TIME(VALUE(MID(A1144,12,2)),VALUE(MID(A1144,15,2)),VALUE(MID(A1144,18,2))),"")))</f>
        <v/>
      </c>
    </row>
    <row r="1145" customFormat="false" ht="15" hidden="false" customHeight="false" outlineLevel="0" collapsed="false">
      <c r="I1145" s="15" t="str">
        <f aca="false">IF(N1145="","",INT(N1145))</f>
        <v/>
      </c>
      <c r="J1145" s="16" t="str">
        <f aca="false">IF(B1145="","",IF(N1145=_xlfn.MINIFS($N$2:$N$5001,$B$2:$B$5001,B1145),1,0))</f>
        <v/>
      </c>
      <c r="K1145" s="16" t="str">
        <f aca="false">IF(B1145="","",IF(AND(D1145="Formalização",E1145="Concluído"),IF(COUNTIFS($B$2:$B$5001,B1145,$E$2:$E$5001,"Em ajustes",$N$2:$N$5001,"&lt;"&amp;I1145)&gt;0,1,0),0))</f>
        <v/>
      </c>
      <c r="L1145" s="16" t="str">
        <f aca="false">IF(B1145="","",IF(N1145=_xlfn.MAXIFS($N$2:$N$5001,$B$2:$B$5001,B1145,$I$2:$I$5001,I1145),1,0))</f>
        <v/>
      </c>
      <c r="M1145" s="16" t="str">
        <f aca="false">IF(B1145="","",IF(E1145="Em ajustes",IF(N1145=_xlfn.MINIFS($N$2:$N$5001,$B$2:$B$5001,B1145,$E$2:$E$5001,"Em ajustes"),1,0),0))</f>
        <v/>
      </c>
      <c r="N1145" s="17" t="str">
        <f aca="false">IF(A1145="","",IF(ISNUMBER(A1145),A1145,IFERROR(DATE(VALUE(MID(A1145,7,4)),VALUE(MID(A1145,4,2)),VALUE(MID(A1145,1,2)))+TIME(VALUE(MID(A1145,12,2)),VALUE(MID(A1145,15,2)),VALUE(MID(A1145,18,2))),"")))</f>
        <v/>
      </c>
    </row>
    <row r="1146" customFormat="false" ht="15" hidden="false" customHeight="false" outlineLevel="0" collapsed="false">
      <c r="I1146" s="15" t="str">
        <f aca="false">IF(N1146="","",INT(N1146))</f>
        <v/>
      </c>
      <c r="J1146" s="16" t="str">
        <f aca="false">IF(B1146="","",IF(N1146=_xlfn.MINIFS($N$2:$N$5001,$B$2:$B$5001,B1146),1,0))</f>
        <v/>
      </c>
      <c r="K1146" s="16" t="str">
        <f aca="false">IF(B1146="","",IF(AND(D1146="Formalização",E1146="Concluído"),IF(COUNTIFS($B$2:$B$5001,B1146,$E$2:$E$5001,"Em ajustes",$N$2:$N$5001,"&lt;"&amp;I1146)&gt;0,1,0),0))</f>
        <v/>
      </c>
      <c r="L1146" s="16" t="str">
        <f aca="false">IF(B1146="","",IF(N1146=_xlfn.MAXIFS($N$2:$N$5001,$B$2:$B$5001,B1146,$I$2:$I$5001,I1146),1,0))</f>
        <v/>
      </c>
      <c r="M1146" s="16" t="str">
        <f aca="false">IF(B1146="","",IF(E1146="Em ajustes",IF(N1146=_xlfn.MINIFS($N$2:$N$5001,$B$2:$B$5001,B1146,$E$2:$E$5001,"Em ajustes"),1,0),0))</f>
        <v/>
      </c>
      <c r="N1146" s="17" t="str">
        <f aca="false">IF(A1146="","",IF(ISNUMBER(A1146),A1146,IFERROR(DATE(VALUE(MID(A1146,7,4)),VALUE(MID(A1146,4,2)),VALUE(MID(A1146,1,2)))+TIME(VALUE(MID(A1146,12,2)),VALUE(MID(A1146,15,2)),VALUE(MID(A1146,18,2))),"")))</f>
        <v/>
      </c>
    </row>
    <row r="1147" customFormat="false" ht="15" hidden="false" customHeight="false" outlineLevel="0" collapsed="false">
      <c r="I1147" s="15" t="str">
        <f aca="false">IF(N1147="","",INT(N1147))</f>
        <v/>
      </c>
      <c r="J1147" s="16" t="str">
        <f aca="false">IF(B1147="","",IF(N1147=_xlfn.MINIFS($N$2:$N$5001,$B$2:$B$5001,B1147),1,0))</f>
        <v/>
      </c>
      <c r="K1147" s="16" t="str">
        <f aca="false">IF(B1147="","",IF(AND(D1147="Formalização",E1147="Concluído"),IF(COUNTIFS($B$2:$B$5001,B1147,$E$2:$E$5001,"Em ajustes",$N$2:$N$5001,"&lt;"&amp;I1147)&gt;0,1,0),0))</f>
        <v/>
      </c>
      <c r="L1147" s="16" t="str">
        <f aca="false">IF(B1147="","",IF(N1147=_xlfn.MAXIFS($N$2:$N$5001,$B$2:$B$5001,B1147,$I$2:$I$5001,I1147),1,0))</f>
        <v/>
      </c>
      <c r="M1147" s="16" t="str">
        <f aca="false">IF(B1147="","",IF(E1147="Em ajustes",IF(N1147=_xlfn.MINIFS($N$2:$N$5001,$B$2:$B$5001,B1147,$E$2:$E$5001,"Em ajustes"),1,0),0))</f>
        <v/>
      </c>
      <c r="N1147" s="17" t="str">
        <f aca="false">IF(A1147="","",IF(ISNUMBER(A1147),A1147,IFERROR(DATE(VALUE(MID(A1147,7,4)),VALUE(MID(A1147,4,2)),VALUE(MID(A1147,1,2)))+TIME(VALUE(MID(A1147,12,2)),VALUE(MID(A1147,15,2)),VALUE(MID(A1147,18,2))),"")))</f>
        <v/>
      </c>
    </row>
    <row r="1148" customFormat="false" ht="15" hidden="false" customHeight="false" outlineLevel="0" collapsed="false">
      <c r="I1148" s="15" t="str">
        <f aca="false">IF(N1148="","",INT(N1148))</f>
        <v/>
      </c>
      <c r="J1148" s="16" t="str">
        <f aca="false">IF(B1148="","",IF(N1148=_xlfn.MINIFS($N$2:$N$5001,$B$2:$B$5001,B1148),1,0))</f>
        <v/>
      </c>
      <c r="K1148" s="16" t="str">
        <f aca="false">IF(B1148="","",IF(AND(D1148="Formalização",E1148="Concluído"),IF(COUNTIFS($B$2:$B$5001,B1148,$E$2:$E$5001,"Em ajustes",$N$2:$N$5001,"&lt;"&amp;I1148)&gt;0,1,0),0))</f>
        <v/>
      </c>
      <c r="L1148" s="16" t="str">
        <f aca="false">IF(B1148="","",IF(N1148=_xlfn.MAXIFS($N$2:$N$5001,$B$2:$B$5001,B1148,$I$2:$I$5001,I1148),1,0))</f>
        <v/>
      </c>
      <c r="M1148" s="16" t="str">
        <f aca="false">IF(B1148="","",IF(E1148="Em ajustes",IF(N1148=_xlfn.MINIFS($N$2:$N$5001,$B$2:$B$5001,B1148,$E$2:$E$5001,"Em ajustes"),1,0),0))</f>
        <v/>
      </c>
      <c r="N1148" s="17" t="str">
        <f aca="false">IF(A1148="","",IF(ISNUMBER(A1148),A1148,IFERROR(DATE(VALUE(MID(A1148,7,4)),VALUE(MID(A1148,4,2)),VALUE(MID(A1148,1,2)))+TIME(VALUE(MID(A1148,12,2)),VALUE(MID(A1148,15,2)),VALUE(MID(A1148,18,2))),"")))</f>
        <v/>
      </c>
    </row>
    <row r="1149" customFormat="false" ht="15" hidden="false" customHeight="false" outlineLevel="0" collapsed="false">
      <c r="I1149" s="15" t="str">
        <f aca="false">IF(N1149="","",INT(N1149))</f>
        <v/>
      </c>
      <c r="J1149" s="16" t="str">
        <f aca="false">IF(B1149="","",IF(N1149=_xlfn.MINIFS($N$2:$N$5001,$B$2:$B$5001,B1149),1,0))</f>
        <v/>
      </c>
      <c r="K1149" s="16" t="str">
        <f aca="false">IF(B1149="","",IF(AND(D1149="Formalização",E1149="Concluído"),IF(COUNTIFS($B$2:$B$5001,B1149,$E$2:$E$5001,"Em ajustes",$N$2:$N$5001,"&lt;"&amp;I1149)&gt;0,1,0),0))</f>
        <v/>
      </c>
      <c r="L1149" s="16" t="str">
        <f aca="false">IF(B1149="","",IF(N1149=_xlfn.MAXIFS($N$2:$N$5001,$B$2:$B$5001,B1149,$I$2:$I$5001,I1149),1,0))</f>
        <v/>
      </c>
      <c r="M1149" s="16" t="str">
        <f aca="false">IF(B1149="","",IF(E1149="Em ajustes",IF(N1149=_xlfn.MINIFS($N$2:$N$5001,$B$2:$B$5001,B1149,$E$2:$E$5001,"Em ajustes"),1,0),0))</f>
        <v/>
      </c>
      <c r="N1149" s="17" t="str">
        <f aca="false">IF(A1149="","",IF(ISNUMBER(A1149),A1149,IFERROR(DATE(VALUE(MID(A1149,7,4)),VALUE(MID(A1149,4,2)),VALUE(MID(A1149,1,2)))+TIME(VALUE(MID(A1149,12,2)),VALUE(MID(A1149,15,2)),VALUE(MID(A1149,18,2))),"")))</f>
        <v/>
      </c>
    </row>
    <row r="1150" customFormat="false" ht="15" hidden="false" customHeight="false" outlineLevel="0" collapsed="false">
      <c r="I1150" s="15" t="str">
        <f aca="false">IF(N1150="","",INT(N1150))</f>
        <v/>
      </c>
      <c r="J1150" s="16" t="str">
        <f aca="false">IF(B1150="","",IF(N1150=_xlfn.MINIFS($N$2:$N$5001,$B$2:$B$5001,B1150),1,0))</f>
        <v/>
      </c>
      <c r="K1150" s="16" t="str">
        <f aca="false">IF(B1150="","",IF(AND(D1150="Formalização",E1150="Concluído"),IF(COUNTIFS($B$2:$B$5001,B1150,$E$2:$E$5001,"Em ajustes",$N$2:$N$5001,"&lt;"&amp;I1150)&gt;0,1,0),0))</f>
        <v/>
      </c>
      <c r="L1150" s="16" t="str">
        <f aca="false">IF(B1150="","",IF(N1150=_xlfn.MAXIFS($N$2:$N$5001,$B$2:$B$5001,B1150,$I$2:$I$5001,I1150),1,0))</f>
        <v/>
      </c>
      <c r="M1150" s="16" t="str">
        <f aca="false">IF(B1150="","",IF(E1150="Em ajustes",IF(N1150=_xlfn.MINIFS($N$2:$N$5001,$B$2:$B$5001,B1150,$E$2:$E$5001,"Em ajustes"),1,0),0))</f>
        <v/>
      </c>
      <c r="N1150" s="17" t="str">
        <f aca="false">IF(A1150="","",IF(ISNUMBER(A1150),A1150,IFERROR(DATE(VALUE(MID(A1150,7,4)),VALUE(MID(A1150,4,2)),VALUE(MID(A1150,1,2)))+TIME(VALUE(MID(A1150,12,2)),VALUE(MID(A1150,15,2)),VALUE(MID(A1150,18,2))),"")))</f>
        <v/>
      </c>
    </row>
    <row r="1151" customFormat="false" ht="15" hidden="false" customHeight="false" outlineLevel="0" collapsed="false">
      <c r="I1151" s="15" t="str">
        <f aca="false">IF(N1151="","",INT(N1151))</f>
        <v/>
      </c>
      <c r="J1151" s="16" t="str">
        <f aca="false">IF(B1151="","",IF(N1151=_xlfn.MINIFS($N$2:$N$5001,$B$2:$B$5001,B1151),1,0))</f>
        <v/>
      </c>
      <c r="K1151" s="16" t="str">
        <f aca="false">IF(B1151="","",IF(AND(D1151="Formalização",E1151="Concluído"),IF(COUNTIFS($B$2:$B$5001,B1151,$E$2:$E$5001,"Em ajustes",$N$2:$N$5001,"&lt;"&amp;I1151)&gt;0,1,0),0))</f>
        <v/>
      </c>
      <c r="L1151" s="16" t="str">
        <f aca="false">IF(B1151="","",IF(N1151=_xlfn.MAXIFS($N$2:$N$5001,$B$2:$B$5001,B1151,$I$2:$I$5001,I1151),1,0))</f>
        <v/>
      </c>
      <c r="M1151" s="16" t="str">
        <f aca="false">IF(B1151="","",IF(E1151="Em ajustes",IF(N1151=_xlfn.MINIFS($N$2:$N$5001,$B$2:$B$5001,B1151,$E$2:$E$5001,"Em ajustes"),1,0),0))</f>
        <v/>
      </c>
      <c r="N1151" s="17" t="str">
        <f aca="false">IF(A1151="","",IF(ISNUMBER(A1151),A1151,IFERROR(DATE(VALUE(MID(A1151,7,4)),VALUE(MID(A1151,4,2)),VALUE(MID(A1151,1,2)))+TIME(VALUE(MID(A1151,12,2)),VALUE(MID(A1151,15,2)),VALUE(MID(A1151,18,2))),"")))</f>
        <v/>
      </c>
    </row>
    <row r="1152" customFormat="false" ht="15" hidden="false" customHeight="false" outlineLevel="0" collapsed="false">
      <c r="I1152" s="15" t="str">
        <f aca="false">IF(N1152="","",INT(N1152))</f>
        <v/>
      </c>
      <c r="J1152" s="16" t="str">
        <f aca="false">IF(B1152="","",IF(N1152=_xlfn.MINIFS($N$2:$N$5001,$B$2:$B$5001,B1152),1,0))</f>
        <v/>
      </c>
      <c r="K1152" s="16" t="str">
        <f aca="false">IF(B1152="","",IF(AND(D1152="Formalização",E1152="Concluído"),IF(COUNTIFS($B$2:$B$5001,B1152,$E$2:$E$5001,"Em ajustes",$N$2:$N$5001,"&lt;"&amp;I1152)&gt;0,1,0),0))</f>
        <v/>
      </c>
      <c r="L1152" s="16" t="str">
        <f aca="false">IF(B1152="","",IF(N1152=_xlfn.MAXIFS($N$2:$N$5001,$B$2:$B$5001,B1152,$I$2:$I$5001,I1152),1,0))</f>
        <v/>
      </c>
      <c r="M1152" s="16" t="str">
        <f aca="false">IF(B1152="","",IF(E1152="Em ajustes",IF(N1152=_xlfn.MINIFS($N$2:$N$5001,$B$2:$B$5001,B1152,$E$2:$E$5001,"Em ajustes"),1,0),0))</f>
        <v/>
      </c>
      <c r="N1152" s="17" t="str">
        <f aca="false">IF(A1152="","",IF(ISNUMBER(A1152),A1152,IFERROR(DATE(VALUE(MID(A1152,7,4)),VALUE(MID(A1152,4,2)),VALUE(MID(A1152,1,2)))+TIME(VALUE(MID(A1152,12,2)),VALUE(MID(A1152,15,2)),VALUE(MID(A1152,18,2))),"")))</f>
        <v/>
      </c>
    </row>
    <row r="1153" customFormat="false" ht="15" hidden="false" customHeight="false" outlineLevel="0" collapsed="false">
      <c r="I1153" s="15" t="str">
        <f aca="false">IF(N1153="","",INT(N1153))</f>
        <v/>
      </c>
      <c r="J1153" s="16" t="str">
        <f aca="false">IF(B1153="","",IF(N1153=_xlfn.MINIFS($N$2:$N$5001,$B$2:$B$5001,B1153),1,0))</f>
        <v/>
      </c>
      <c r="K1153" s="16" t="str">
        <f aca="false">IF(B1153="","",IF(AND(D1153="Formalização",E1153="Concluído"),IF(COUNTIFS($B$2:$B$5001,B1153,$E$2:$E$5001,"Em ajustes",$N$2:$N$5001,"&lt;"&amp;I1153)&gt;0,1,0),0))</f>
        <v/>
      </c>
      <c r="L1153" s="16" t="str">
        <f aca="false">IF(B1153="","",IF(N1153=_xlfn.MAXIFS($N$2:$N$5001,$B$2:$B$5001,B1153,$I$2:$I$5001,I1153),1,0))</f>
        <v/>
      </c>
      <c r="M1153" s="16" t="str">
        <f aca="false">IF(B1153="","",IF(E1153="Em ajustes",IF(N1153=_xlfn.MINIFS($N$2:$N$5001,$B$2:$B$5001,B1153,$E$2:$E$5001,"Em ajustes"),1,0),0))</f>
        <v/>
      </c>
      <c r="N1153" s="17" t="str">
        <f aca="false">IF(A1153="","",IF(ISNUMBER(A1153),A1153,IFERROR(DATE(VALUE(MID(A1153,7,4)),VALUE(MID(A1153,4,2)),VALUE(MID(A1153,1,2)))+TIME(VALUE(MID(A1153,12,2)),VALUE(MID(A1153,15,2)),VALUE(MID(A1153,18,2))),"")))</f>
        <v/>
      </c>
    </row>
    <row r="1154" customFormat="false" ht="15" hidden="false" customHeight="false" outlineLevel="0" collapsed="false">
      <c r="I1154" s="15" t="str">
        <f aca="false">IF(N1154="","",INT(N1154))</f>
        <v/>
      </c>
      <c r="J1154" s="16" t="str">
        <f aca="false">IF(B1154="","",IF(N1154=_xlfn.MINIFS($N$2:$N$5001,$B$2:$B$5001,B1154),1,0))</f>
        <v/>
      </c>
      <c r="K1154" s="16" t="str">
        <f aca="false">IF(B1154="","",IF(AND(D1154="Formalização",E1154="Concluído"),IF(COUNTIFS($B$2:$B$5001,B1154,$E$2:$E$5001,"Em ajustes",$N$2:$N$5001,"&lt;"&amp;I1154)&gt;0,1,0),0))</f>
        <v/>
      </c>
      <c r="L1154" s="16" t="str">
        <f aca="false">IF(B1154="","",IF(N1154=_xlfn.MAXIFS($N$2:$N$5001,$B$2:$B$5001,B1154,$I$2:$I$5001,I1154),1,0))</f>
        <v/>
      </c>
      <c r="M1154" s="16" t="str">
        <f aca="false">IF(B1154="","",IF(E1154="Em ajustes",IF(N1154=_xlfn.MINIFS($N$2:$N$5001,$B$2:$B$5001,B1154,$E$2:$E$5001,"Em ajustes"),1,0),0))</f>
        <v/>
      </c>
      <c r="N1154" s="17" t="str">
        <f aca="false">IF(A1154="","",IF(ISNUMBER(A1154),A1154,IFERROR(DATE(VALUE(MID(A1154,7,4)),VALUE(MID(A1154,4,2)),VALUE(MID(A1154,1,2)))+TIME(VALUE(MID(A1154,12,2)),VALUE(MID(A1154,15,2)),VALUE(MID(A1154,18,2))),"")))</f>
        <v/>
      </c>
    </row>
    <row r="1155" customFormat="false" ht="15" hidden="false" customHeight="false" outlineLevel="0" collapsed="false">
      <c r="I1155" s="15" t="str">
        <f aca="false">IF(N1155="","",INT(N1155))</f>
        <v/>
      </c>
      <c r="J1155" s="16" t="str">
        <f aca="false">IF(B1155="","",IF(N1155=_xlfn.MINIFS($N$2:$N$5001,$B$2:$B$5001,B1155),1,0))</f>
        <v/>
      </c>
      <c r="K1155" s="16" t="str">
        <f aca="false">IF(B1155="","",IF(AND(D1155="Formalização",E1155="Concluído"),IF(COUNTIFS($B$2:$B$5001,B1155,$E$2:$E$5001,"Em ajustes",$N$2:$N$5001,"&lt;"&amp;I1155)&gt;0,1,0),0))</f>
        <v/>
      </c>
      <c r="L1155" s="16" t="str">
        <f aca="false">IF(B1155="","",IF(N1155=_xlfn.MAXIFS($N$2:$N$5001,$B$2:$B$5001,B1155,$I$2:$I$5001,I1155),1,0))</f>
        <v/>
      </c>
      <c r="M1155" s="16" t="str">
        <f aca="false">IF(B1155="","",IF(E1155="Em ajustes",IF(N1155=_xlfn.MINIFS($N$2:$N$5001,$B$2:$B$5001,B1155,$E$2:$E$5001,"Em ajustes"),1,0),0))</f>
        <v/>
      </c>
      <c r="N1155" s="17" t="str">
        <f aca="false">IF(A1155="","",IF(ISNUMBER(A1155),A1155,IFERROR(DATE(VALUE(MID(A1155,7,4)),VALUE(MID(A1155,4,2)),VALUE(MID(A1155,1,2)))+TIME(VALUE(MID(A1155,12,2)),VALUE(MID(A1155,15,2)),VALUE(MID(A1155,18,2))),"")))</f>
        <v/>
      </c>
    </row>
    <row r="1156" customFormat="false" ht="15" hidden="false" customHeight="false" outlineLevel="0" collapsed="false">
      <c r="I1156" s="15" t="str">
        <f aca="false">IF(N1156="","",INT(N1156))</f>
        <v/>
      </c>
      <c r="J1156" s="16" t="str">
        <f aca="false">IF(B1156="","",IF(N1156=_xlfn.MINIFS($N$2:$N$5001,$B$2:$B$5001,B1156),1,0))</f>
        <v/>
      </c>
      <c r="K1156" s="16" t="str">
        <f aca="false">IF(B1156="","",IF(AND(D1156="Formalização",E1156="Concluído"),IF(COUNTIFS($B$2:$B$5001,B1156,$E$2:$E$5001,"Em ajustes",$N$2:$N$5001,"&lt;"&amp;I1156)&gt;0,1,0),0))</f>
        <v/>
      </c>
      <c r="L1156" s="16" t="str">
        <f aca="false">IF(B1156="","",IF(N1156=_xlfn.MAXIFS($N$2:$N$5001,$B$2:$B$5001,B1156,$I$2:$I$5001,I1156),1,0))</f>
        <v/>
      </c>
      <c r="M1156" s="16" t="str">
        <f aca="false">IF(B1156="","",IF(E1156="Em ajustes",IF(N1156=_xlfn.MINIFS($N$2:$N$5001,$B$2:$B$5001,B1156,$E$2:$E$5001,"Em ajustes"),1,0),0))</f>
        <v/>
      </c>
      <c r="N1156" s="17" t="str">
        <f aca="false">IF(A1156="","",IF(ISNUMBER(A1156),A1156,IFERROR(DATE(VALUE(MID(A1156,7,4)),VALUE(MID(A1156,4,2)),VALUE(MID(A1156,1,2)))+TIME(VALUE(MID(A1156,12,2)),VALUE(MID(A1156,15,2)),VALUE(MID(A1156,18,2))),"")))</f>
        <v/>
      </c>
    </row>
    <row r="1157" customFormat="false" ht="15" hidden="false" customHeight="false" outlineLevel="0" collapsed="false">
      <c r="I1157" s="15" t="str">
        <f aca="false">IF(N1157="","",INT(N1157))</f>
        <v/>
      </c>
      <c r="J1157" s="16" t="str">
        <f aca="false">IF(B1157="","",IF(N1157=_xlfn.MINIFS($N$2:$N$5001,$B$2:$B$5001,B1157),1,0))</f>
        <v/>
      </c>
      <c r="K1157" s="16" t="str">
        <f aca="false">IF(B1157="","",IF(AND(D1157="Formalização",E1157="Concluído"),IF(COUNTIFS($B$2:$B$5001,B1157,$E$2:$E$5001,"Em ajustes",$N$2:$N$5001,"&lt;"&amp;I1157)&gt;0,1,0),0))</f>
        <v/>
      </c>
      <c r="L1157" s="16" t="str">
        <f aca="false">IF(B1157="","",IF(N1157=_xlfn.MAXIFS($N$2:$N$5001,$B$2:$B$5001,B1157,$I$2:$I$5001,I1157),1,0))</f>
        <v/>
      </c>
      <c r="M1157" s="16" t="str">
        <f aca="false">IF(B1157="","",IF(E1157="Em ajustes",IF(N1157=_xlfn.MINIFS($N$2:$N$5001,$B$2:$B$5001,B1157,$E$2:$E$5001,"Em ajustes"),1,0),0))</f>
        <v/>
      </c>
      <c r="N1157" s="17" t="str">
        <f aca="false">IF(A1157="","",IF(ISNUMBER(A1157),A1157,IFERROR(DATE(VALUE(MID(A1157,7,4)),VALUE(MID(A1157,4,2)),VALUE(MID(A1157,1,2)))+TIME(VALUE(MID(A1157,12,2)),VALUE(MID(A1157,15,2)),VALUE(MID(A1157,18,2))),"")))</f>
        <v/>
      </c>
    </row>
    <row r="1158" customFormat="false" ht="15" hidden="false" customHeight="false" outlineLevel="0" collapsed="false">
      <c r="I1158" s="15" t="str">
        <f aca="false">IF(N1158="","",INT(N1158))</f>
        <v/>
      </c>
      <c r="J1158" s="16" t="str">
        <f aca="false">IF(B1158="","",IF(N1158=_xlfn.MINIFS($N$2:$N$5001,$B$2:$B$5001,B1158),1,0))</f>
        <v/>
      </c>
      <c r="K1158" s="16" t="str">
        <f aca="false">IF(B1158="","",IF(AND(D1158="Formalização",E1158="Concluído"),IF(COUNTIFS($B$2:$B$5001,B1158,$E$2:$E$5001,"Em ajustes",$N$2:$N$5001,"&lt;"&amp;I1158)&gt;0,1,0),0))</f>
        <v/>
      </c>
      <c r="L1158" s="16" t="str">
        <f aca="false">IF(B1158="","",IF(N1158=_xlfn.MAXIFS($N$2:$N$5001,$B$2:$B$5001,B1158,$I$2:$I$5001,I1158),1,0))</f>
        <v/>
      </c>
      <c r="M1158" s="16" t="str">
        <f aca="false">IF(B1158="","",IF(E1158="Em ajustes",IF(N1158=_xlfn.MINIFS($N$2:$N$5001,$B$2:$B$5001,B1158,$E$2:$E$5001,"Em ajustes"),1,0),0))</f>
        <v/>
      </c>
      <c r="N1158" s="17" t="str">
        <f aca="false">IF(A1158="","",IF(ISNUMBER(A1158),A1158,IFERROR(DATE(VALUE(MID(A1158,7,4)),VALUE(MID(A1158,4,2)),VALUE(MID(A1158,1,2)))+TIME(VALUE(MID(A1158,12,2)),VALUE(MID(A1158,15,2)),VALUE(MID(A1158,18,2))),"")))</f>
        <v/>
      </c>
    </row>
    <row r="1159" customFormat="false" ht="15" hidden="false" customHeight="false" outlineLevel="0" collapsed="false">
      <c r="I1159" s="15" t="str">
        <f aca="false">IF(N1159="","",INT(N1159))</f>
        <v/>
      </c>
      <c r="J1159" s="16" t="str">
        <f aca="false">IF(B1159="","",IF(N1159=_xlfn.MINIFS($N$2:$N$5001,$B$2:$B$5001,B1159),1,0))</f>
        <v/>
      </c>
      <c r="K1159" s="16" t="str">
        <f aca="false">IF(B1159="","",IF(AND(D1159="Formalização",E1159="Concluído"),IF(COUNTIFS($B$2:$B$5001,B1159,$E$2:$E$5001,"Em ajustes",$N$2:$N$5001,"&lt;"&amp;I1159)&gt;0,1,0),0))</f>
        <v/>
      </c>
      <c r="L1159" s="16" t="str">
        <f aca="false">IF(B1159="","",IF(N1159=_xlfn.MAXIFS($N$2:$N$5001,$B$2:$B$5001,B1159,$I$2:$I$5001,I1159),1,0))</f>
        <v/>
      </c>
      <c r="M1159" s="16" t="str">
        <f aca="false">IF(B1159="","",IF(E1159="Em ajustes",IF(N1159=_xlfn.MINIFS($N$2:$N$5001,$B$2:$B$5001,B1159,$E$2:$E$5001,"Em ajustes"),1,0),0))</f>
        <v/>
      </c>
      <c r="N1159" s="17" t="str">
        <f aca="false">IF(A1159="","",IF(ISNUMBER(A1159),A1159,IFERROR(DATE(VALUE(MID(A1159,7,4)),VALUE(MID(A1159,4,2)),VALUE(MID(A1159,1,2)))+TIME(VALUE(MID(A1159,12,2)),VALUE(MID(A1159,15,2)),VALUE(MID(A1159,18,2))),"")))</f>
        <v/>
      </c>
    </row>
    <row r="1160" customFormat="false" ht="15" hidden="false" customHeight="false" outlineLevel="0" collapsed="false">
      <c r="I1160" s="15" t="str">
        <f aca="false">IF(N1160="","",INT(N1160))</f>
        <v/>
      </c>
      <c r="J1160" s="16" t="str">
        <f aca="false">IF(B1160="","",IF(N1160=_xlfn.MINIFS($N$2:$N$5001,$B$2:$B$5001,B1160),1,0))</f>
        <v/>
      </c>
      <c r="K1160" s="16" t="str">
        <f aca="false">IF(B1160="","",IF(AND(D1160="Formalização",E1160="Concluído"),IF(COUNTIFS($B$2:$B$5001,B1160,$E$2:$E$5001,"Em ajustes",$N$2:$N$5001,"&lt;"&amp;I1160)&gt;0,1,0),0))</f>
        <v/>
      </c>
      <c r="L1160" s="16" t="str">
        <f aca="false">IF(B1160="","",IF(N1160=_xlfn.MAXIFS($N$2:$N$5001,$B$2:$B$5001,B1160,$I$2:$I$5001,I1160),1,0))</f>
        <v/>
      </c>
      <c r="M1160" s="16" t="str">
        <f aca="false">IF(B1160="","",IF(E1160="Em ajustes",IF(N1160=_xlfn.MINIFS($N$2:$N$5001,$B$2:$B$5001,B1160,$E$2:$E$5001,"Em ajustes"),1,0),0))</f>
        <v/>
      </c>
      <c r="N1160" s="17" t="str">
        <f aca="false">IF(A1160="","",IF(ISNUMBER(A1160),A1160,IFERROR(DATE(VALUE(MID(A1160,7,4)),VALUE(MID(A1160,4,2)),VALUE(MID(A1160,1,2)))+TIME(VALUE(MID(A1160,12,2)),VALUE(MID(A1160,15,2)),VALUE(MID(A1160,18,2))),"")))</f>
        <v/>
      </c>
    </row>
    <row r="1161" customFormat="false" ht="15" hidden="false" customHeight="false" outlineLevel="0" collapsed="false">
      <c r="I1161" s="15" t="str">
        <f aca="false">IF(N1161="","",INT(N1161))</f>
        <v/>
      </c>
      <c r="J1161" s="16" t="str">
        <f aca="false">IF(B1161="","",IF(N1161=_xlfn.MINIFS($N$2:$N$5001,$B$2:$B$5001,B1161),1,0))</f>
        <v/>
      </c>
      <c r="K1161" s="16" t="str">
        <f aca="false">IF(B1161="","",IF(AND(D1161="Formalização",E1161="Concluído"),IF(COUNTIFS($B$2:$B$5001,B1161,$E$2:$E$5001,"Em ajustes",$N$2:$N$5001,"&lt;"&amp;I1161)&gt;0,1,0),0))</f>
        <v/>
      </c>
      <c r="L1161" s="16" t="str">
        <f aca="false">IF(B1161="","",IF(N1161=_xlfn.MAXIFS($N$2:$N$5001,$B$2:$B$5001,B1161,$I$2:$I$5001,I1161),1,0))</f>
        <v/>
      </c>
      <c r="M1161" s="16" t="str">
        <f aca="false">IF(B1161="","",IF(E1161="Em ajustes",IF(N1161=_xlfn.MINIFS($N$2:$N$5001,$B$2:$B$5001,B1161,$E$2:$E$5001,"Em ajustes"),1,0),0))</f>
        <v/>
      </c>
      <c r="N1161" s="17" t="str">
        <f aca="false">IF(A1161="","",IF(ISNUMBER(A1161),A1161,IFERROR(DATE(VALUE(MID(A1161,7,4)),VALUE(MID(A1161,4,2)),VALUE(MID(A1161,1,2)))+TIME(VALUE(MID(A1161,12,2)),VALUE(MID(A1161,15,2)),VALUE(MID(A1161,18,2))),"")))</f>
        <v/>
      </c>
    </row>
    <row r="1162" customFormat="false" ht="15" hidden="false" customHeight="false" outlineLevel="0" collapsed="false">
      <c r="I1162" s="15" t="str">
        <f aca="false">IF(N1162="","",INT(N1162))</f>
        <v/>
      </c>
      <c r="J1162" s="16" t="str">
        <f aca="false">IF(B1162="","",IF(N1162=_xlfn.MINIFS($N$2:$N$5001,$B$2:$B$5001,B1162),1,0))</f>
        <v/>
      </c>
      <c r="K1162" s="16" t="str">
        <f aca="false">IF(B1162="","",IF(AND(D1162="Formalização",E1162="Concluído"),IF(COUNTIFS($B$2:$B$5001,B1162,$E$2:$E$5001,"Em ajustes",$N$2:$N$5001,"&lt;"&amp;I1162)&gt;0,1,0),0))</f>
        <v/>
      </c>
      <c r="L1162" s="16" t="str">
        <f aca="false">IF(B1162="","",IF(N1162=_xlfn.MAXIFS($N$2:$N$5001,$B$2:$B$5001,B1162,$I$2:$I$5001,I1162),1,0))</f>
        <v/>
      </c>
      <c r="M1162" s="16" t="str">
        <f aca="false">IF(B1162="","",IF(E1162="Em ajustes",IF(N1162=_xlfn.MINIFS($N$2:$N$5001,$B$2:$B$5001,B1162,$E$2:$E$5001,"Em ajustes"),1,0),0))</f>
        <v/>
      </c>
      <c r="N1162" s="17" t="str">
        <f aca="false">IF(A1162="","",IF(ISNUMBER(A1162),A1162,IFERROR(DATE(VALUE(MID(A1162,7,4)),VALUE(MID(A1162,4,2)),VALUE(MID(A1162,1,2)))+TIME(VALUE(MID(A1162,12,2)),VALUE(MID(A1162,15,2)),VALUE(MID(A1162,18,2))),"")))</f>
        <v/>
      </c>
    </row>
    <row r="1163" customFormat="false" ht="15" hidden="false" customHeight="false" outlineLevel="0" collapsed="false">
      <c r="I1163" s="15" t="str">
        <f aca="false">IF(N1163="","",INT(N1163))</f>
        <v/>
      </c>
      <c r="J1163" s="16" t="str">
        <f aca="false">IF(B1163="","",IF(N1163=_xlfn.MINIFS($N$2:$N$5001,$B$2:$B$5001,B1163),1,0))</f>
        <v/>
      </c>
      <c r="K1163" s="16" t="str">
        <f aca="false">IF(B1163="","",IF(AND(D1163="Formalização",E1163="Concluído"),IF(COUNTIFS($B$2:$B$5001,B1163,$E$2:$E$5001,"Em ajustes",$N$2:$N$5001,"&lt;"&amp;I1163)&gt;0,1,0),0))</f>
        <v/>
      </c>
      <c r="L1163" s="16" t="str">
        <f aca="false">IF(B1163="","",IF(N1163=_xlfn.MAXIFS($N$2:$N$5001,$B$2:$B$5001,B1163,$I$2:$I$5001,I1163),1,0))</f>
        <v/>
      </c>
      <c r="M1163" s="16" t="str">
        <f aca="false">IF(B1163="","",IF(E1163="Em ajustes",IF(N1163=_xlfn.MINIFS($N$2:$N$5001,$B$2:$B$5001,B1163,$E$2:$E$5001,"Em ajustes"),1,0),0))</f>
        <v/>
      </c>
      <c r="N1163" s="17" t="str">
        <f aca="false">IF(A1163="","",IF(ISNUMBER(A1163),A1163,IFERROR(DATE(VALUE(MID(A1163,7,4)),VALUE(MID(A1163,4,2)),VALUE(MID(A1163,1,2)))+TIME(VALUE(MID(A1163,12,2)),VALUE(MID(A1163,15,2)),VALUE(MID(A1163,18,2))),"")))</f>
        <v/>
      </c>
    </row>
    <row r="1164" customFormat="false" ht="15" hidden="false" customHeight="false" outlineLevel="0" collapsed="false">
      <c r="I1164" s="15" t="str">
        <f aca="false">IF(N1164="","",INT(N1164))</f>
        <v/>
      </c>
      <c r="J1164" s="16" t="str">
        <f aca="false">IF(B1164="","",IF(N1164=_xlfn.MINIFS($N$2:$N$5001,$B$2:$B$5001,B1164),1,0))</f>
        <v/>
      </c>
      <c r="K1164" s="16" t="str">
        <f aca="false">IF(B1164="","",IF(AND(D1164="Formalização",E1164="Concluído"),IF(COUNTIFS($B$2:$B$5001,B1164,$E$2:$E$5001,"Em ajustes",$N$2:$N$5001,"&lt;"&amp;I1164)&gt;0,1,0),0))</f>
        <v/>
      </c>
      <c r="L1164" s="16" t="str">
        <f aca="false">IF(B1164="","",IF(N1164=_xlfn.MAXIFS($N$2:$N$5001,$B$2:$B$5001,B1164,$I$2:$I$5001,I1164),1,0))</f>
        <v/>
      </c>
      <c r="M1164" s="16" t="str">
        <f aca="false">IF(B1164="","",IF(E1164="Em ajustes",IF(N1164=_xlfn.MINIFS($N$2:$N$5001,$B$2:$B$5001,B1164,$E$2:$E$5001,"Em ajustes"),1,0),0))</f>
        <v/>
      </c>
      <c r="N1164" s="17" t="str">
        <f aca="false">IF(A1164="","",IF(ISNUMBER(A1164),A1164,IFERROR(DATE(VALUE(MID(A1164,7,4)),VALUE(MID(A1164,4,2)),VALUE(MID(A1164,1,2)))+TIME(VALUE(MID(A1164,12,2)),VALUE(MID(A1164,15,2)),VALUE(MID(A1164,18,2))),"")))</f>
        <v/>
      </c>
    </row>
    <row r="1165" customFormat="false" ht="15" hidden="false" customHeight="false" outlineLevel="0" collapsed="false">
      <c r="I1165" s="15" t="str">
        <f aca="false">IF(N1165="","",INT(N1165))</f>
        <v/>
      </c>
      <c r="J1165" s="16" t="str">
        <f aca="false">IF(B1165="","",IF(N1165=_xlfn.MINIFS($N$2:$N$5001,$B$2:$B$5001,B1165),1,0))</f>
        <v/>
      </c>
      <c r="K1165" s="16" t="str">
        <f aca="false">IF(B1165="","",IF(AND(D1165="Formalização",E1165="Concluído"),IF(COUNTIFS($B$2:$B$5001,B1165,$E$2:$E$5001,"Em ajustes",$N$2:$N$5001,"&lt;"&amp;I1165)&gt;0,1,0),0))</f>
        <v/>
      </c>
      <c r="L1165" s="16" t="str">
        <f aca="false">IF(B1165="","",IF(N1165=_xlfn.MAXIFS($N$2:$N$5001,$B$2:$B$5001,B1165,$I$2:$I$5001,I1165),1,0))</f>
        <v/>
      </c>
      <c r="M1165" s="16" t="str">
        <f aca="false">IF(B1165="","",IF(E1165="Em ajustes",IF(N1165=_xlfn.MINIFS($N$2:$N$5001,$B$2:$B$5001,B1165,$E$2:$E$5001,"Em ajustes"),1,0),0))</f>
        <v/>
      </c>
      <c r="N1165" s="17" t="str">
        <f aca="false">IF(A1165="","",IF(ISNUMBER(A1165),A1165,IFERROR(DATE(VALUE(MID(A1165,7,4)),VALUE(MID(A1165,4,2)),VALUE(MID(A1165,1,2)))+TIME(VALUE(MID(A1165,12,2)),VALUE(MID(A1165,15,2)),VALUE(MID(A1165,18,2))),"")))</f>
        <v/>
      </c>
    </row>
    <row r="1166" customFormat="false" ht="15" hidden="false" customHeight="false" outlineLevel="0" collapsed="false">
      <c r="I1166" s="15" t="str">
        <f aca="false">IF(N1166="","",INT(N1166))</f>
        <v/>
      </c>
      <c r="J1166" s="16" t="str">
        <f aca="false">IF(B1166="","",IF(N1166=_xlfn.MINIFS($N$2:$N$5001,$B$2:$B$5001,B1166),1,0))</f>
        <v/>
      </c>
      <c r="K1166" s="16" t="str">
        <f aca="false">IF(B1166="","",IF(AND(D1166="Formalização",E1166="Concluído"),IF(COUNTIFS($B$2:$B$5001,B1166,$E$2:$E$5001,"Em ajustes",$N$2:$N$5001,"&lt;"&amp;I1166)&gt;0,1,0),0))</f>
        <v/>
      </c>
      <c r="L1166" s="16" t="str">
        <f aca="false">IF(B1166="","",IF(N1166=_xlfn.MAXIFS($N$2:$N$5001,$B$2:$B$5001,B1166,$I$2:$I$5001,I1166),1,0))</f>
        <v/>
      </c>
      <c r="M1166" s="16" t="str">
        <f aca="false">IF(B1166="","",IF(E1166="Em ajustes",IF(N1166=_xlfn.MINIFS($N$2:$N$5001,$B$2:$B$5001,B1166,$E$2:$E$5001,"Em ajustes"),1,0),0))</f>
        <v/>
      </c>
      <c r="N1166" s="17" t="str">
        <f aca="false">IF(A1166="","",IF(ISNUMBER(A1166),A1166,IFERROR(DATE(VALUE(MID(A1166,7,4)),VALUE(MID(A1166,4,2)),VALUE(MID(A1166,1,2)))+TIME(VALUE(MID(A1166,12,2)),VALUE(MID(A1166,15,2)),VALUE(MID(A1166,18,2))),"")))</f>
        <v/>
      </c>
    </row>
    <row r="1167" customFormat="false" ht="15" hidden="false" customHeight="false" outlineLevel="0" collapsed="false">
      <c r="I1167" s="15" t="str">
        <f aca="false">IF(N1167="","",INT(N1167))</f>
        <v/>
      </c>
      <c r="J1167" s="16" t="str">
        <f aca="false">IF(B1167="","",IF(N1167=_xlfn.MINIFS($N$2:$N$5001,$B$2:$B$5001,B1167),1,0))</f>
        <v/>
      </c>
      <c r="K1167" s="16" t="str">
        <f aca="false">IF(B1167="","",IF(AND(D1167="Formalização",E1167="Concluído"),IF(COUNTIFS($B$2:$B$5001,B1167,$E$2:$E$5001,"Em ajustes",$N$2:$N$5001,"&lt;"&amp;I1167)&gt;0,1,0),0))</f>
        <v/>
      </c>
      <c r="L1167" s="16" t="str">
        <f aca="false">IF(B1167="","",IF(N1167=_xlfn.MAXIFS($N$2:$N$5001,$B$2:$B$5001,B1167,$I$2:$I$5001,I1167),1,0))</f>
        <v/>
      </c>
      <c r="M1167" s="16" t="str">
        <f aca="false">IF(B1167="","",IF(E1167="Em ajustes",IF(N1167=_xlfn.MINIFS($N$2:$N$5001,$B$2:$B$5001,B1167,$E$2:$E$5001,"Em ajustes"),1,0),0))</f>
        <v/>
      </c>
      <c r="N1167" s="17" t="str">
        <f aca="false">IF(A1167="","",IF(ISNUMBER(A1167),A1167,IFERROR(DATE(VALUE(MID(A1167,7,4)),VALUE(MID(A1167,4,2)),VALUE(MID(A1167,1,2)))+TIME(VALUE(MID(A1167,12,2)),VALUE(MID(A1167,15,2)),VALUE(MID(A1167,18,2))),"")))</f>
        <v/>
      </c>
    </row>
    <row r="1168" customFormat="false" ht="15" hidden="false" customHeight="false" outlineLevel="0" collapsed="false">
      <c r="I1168" s="15" t="str">
        <f aca="false">IF(N1168="","",INT(N1168))</f>
        <v/>
      </c>
      <c r="J1168" s="16" t="str">
        <f aca="false">IF(B1168="","",IF(N1168=_xlfn.MINIFS($N$2:$N$5001,$B$2:$B$5001,B1168),1,0))</f>
        <v/>
      </c>
      <c r="K1168" s="16" t="str">
        <f aca="false">IF(B1168="","",IF(AND(D1168="Formalização",E1168="Concluído"),IF(COUNTIFS($B$2:$B$5001,B1168,$E$2:$E$5001,"Em ajustes",$N$2:$N$5001,"&lt;"&amp;I1168)&gt;0,1,0),0))</f>
        <v/>
      </c>
      <c r="L1168" s="16" t="str">
        <f aca="false">IF(B1168="","",IF(N1168=_xlfn.MAXIFS($N$2:$N$5001,$B$2:$B$5001,B1168,$I$2:$I$5001,I1168),1,0))</f>
        <v/>
      </c>
      <c r="M1168" s="16" t="str">
        <f aca="false">IF(B1168="","",IF(E1168="Em ajustes",IF(N1168=_xlfn.MINIFS($N$2:$N$5001,$B$2:$B$5001,B1168,$E$2:$E$5001,"Em ajustes"),1,0),0))</f>
        <v/>
      </c>
      <c r="N1168" s="17" t="str">
        <f aca="false">IF(A1168="","",IF(ISNUMBER(A1168),A1168,IFERROR(DATE(VALUE(MID(A1168,7,4)),VALUE(MID(A1168,4,2)),VALUE(MID(A1168,1,2)))+TIME(VALUE(MID(A1168,12,2)),VALUE(MID(A1168,15,2)),VALUE(MID(A1168,18,2))),"")))</f>
        <v/>
      </c>
    </row>
    <row r="1169" customFormat="false" ht="15" hidden="false" customHeight="false" outlineLevel="0" collapsed="false">
      <c r="I1169" s="15" t="str">
        <f aca="false">IF(N1169="","",INT(N1169))</f>
        <v/>
      </c>
      <c r="J1169" s="16" t="str">
        <f aca="false">IF(B1169="","",IF(N1169=_xlfn.MINIFS($N$2:$N$5001,$B$2:$B$5001,B1169),1,0))</f>
        <v/>
      </c>
      <c r="K1169" s="16" t="str">
        <f aca="false">IF(B1169="","",IF(AND(D1169="Formalização",E1169="Concluído"),IF(COUNTIFS($B$2:$B$5001,B1169,$E$2:$E$5001,"Em ajustes",$N$2:$N$5001,"&lt;"&amp;I1169)&gt;0,1,0),0))</f>
        <v/>
      </c>
      <c r="L1169" s="16" t="str">
        <f aca="false">IF(B1169="","",IF(N1169=_xlfn.MAXIFS($N$2:$N$5001,$B$2:$B$5001,B1169,$I$2:$I$5001,I1169),1,0))</f>
        <v/>
      </c>
      <c r="M1169" s="16" t="str">
        <f aca="false">IF(B1169="","",IF(E1169="Em ajustes",IF(N1169=_xlfn.MINIFS($N$2:$N$5001,$B$2:$B$5001,B1169,$E$2:$E$5001,"Em ajustes"),1,0),0))</f>
        <v/>
      </c>
      <c r="N1169" s="17" t="str">
        <f aca="false">IF(A1169="","",IF(ISNUMBER(A1169),A1169,IFERROR(DATE(VALUE(MID(A1169,7,4)),VALUE(MID(A1169,4,2)),VALUE(MID(A1169,1,2)))+TIME(VALUE(MID(A1169,12,2)),VALUE(MID(A1169,15,2)),VALUE(MID(A1169,18,2))),"")))</f>
        <v/>
      </c>
    </row>
    <row r="1170" customFormat="false" ht="15" hidden="false" customHeight="false" outlineLevel="0" collapsed="false">
      <c r="I1170" s="15" t="str">
        <f aca="false">IF(N1170="","",INT(N1170))</f>
        <v/>
      </c>
      <c r="J1170" s="16" t="str">
        <f aca="false">IF(B1170="","",IF(N1170=_xlfn.MINIFS($N$2:$N$5001,$B$2:$B$5001,B1170),1,0))</f>
        <v/>
      </c>
      <c r="K1170" s="16" t="str">
        <f aca="false">IF(B1170="","",IF(AND(D1170="Formalização",E1170="Concluído"),IF(COUNTIFS($B$2:$B$5001,B1170,$E$2:$E$5001,"Em ajustes",$N$2:$N$5001,"&lt;"&amp;I1170)&gt;0,1,0),0))</f>
        <v/>
      </c>
      <c r="L1170" s="16" t="str">
        <f aca="false">IF(B1170="","",IF(N1170=_xlfn.MAXIFS($N$2:$N$5001,$B$2:$B$5001,B1170,$I$2:$I$5001,I1170),1,0))</f>
        <v/>
      </c>
      <c r="M1170" s="16" t="str">
        <f aca="false">IF(B1170="","",IF(E1170="Em ajustes",IF(N1170=_xlfn.MINIFS($N$2:$N$5001,$B$2:$B$5001,B1170,$E$2:$E$5001,"Em ajustes"),1,0),0))</f>
        <v/>
      </c>
      <c r="N1170" s="17" t="str">
        <f aca="false">IF(A1170="","",IF(ISNUMBER(A1170),A1170,IFERROR(DATE(VALUE(MID(A1170,7,4)),VALUE(MID(A1170,4,2)),VALUE(MID(A1170,1,2)))+TIME(VALUE(MID(A1170,12,2)),VALUE(MID(A1170,15,2)),VALUE(MID(A1170,18,2))),"")))</f>
        <v/>
      </c>
    </row>
    <row r="1171" customFormat="false" ht="15" hidden="false" customHeight="false" outlineLevel="0" collapsed="false">
      <c r="I1171" s="15" t="str">
        <f aca="false">IF(N1171="","",INT(N1171))</f>
        <v/>
      </c>
      <c r="J1171" s="16" t="str">
        <f aca="false">IF(B1171="","",IF(N1171=_xlfn.MINIFS($N$2:$N$5001,$B$2:$B$5001,B1171),1,0))</f>
        <v/>
      </c>
      <c r="K1171" s="16" t="str">
        <f aca="false">IF(B1171="","",IF(AND(D1171="Formalização",E1171="Concluído"),IF(COUNTIFS($B$2:$B$5001,B1171,$E$2:$E$5001,"Em ajustes",$N$2:$N$5001,"&lt;"&amp;I1171)&gt;0,1,0),0))</f>
        <v/>
      </c>
      <c r="L1171" s="16" t="str">
        <f aca="false">IF(B1171="","",IF(N1171=_xlfn.MAXIFS($N$2:$N$5001,$B$2:$B$5001,B1171,$I$2:$I$5001,I1171),1,0))</f>
        <v/>
      </c>
      <c r="M1171" s="16" t="str">
        <f aca="false">IF(B1171="","",IF(E1171="Em ajustes",IF(N1171=_xlfn.MINIFS($N$2:$N$5001,$B$2:$B$5001,B1171,$E$2:$E$5001,"Em ajustes"),1,0),0))</f>
        <v/>
      </c>
      <c r="N1171" s="17" t="str">
        <f aca="false">IF(A1171="","",IF(ISNUMBER(A1171),A1171,IFERROR(DATE(VALUE(MID(A1171,7,4)),VALUE(MID(A1171,4,2)),VALUE(MID(A1171,1,2)))+TIME(VALUE(MID(A1171,12,2)),VALUE(MID(A1171,15,2)),VALUE(MID(A1171,18,2))),"")))</f>
        <v/>
      </c>
    </row>
    <row r="1172" customFormat="false" ht="15" hidden="false" customHeight="false" outlineLevel="0" collapsed="false">
      <c r="I1172" s="15" t="str">
        <f aca="false">IF(N1172="","",INT(N1172))</f>
        <v/>
      </c>
      <c r="J1172" s="16" t="str">
        <f aca="false">IF(B1172="","",IF(N1172=_xlfn.MINIFS($N$2:$N$5001,$B$2:$B$5001,B1172),1,0))</f>
        <v/>
      </c>
      <c r="K1172" s="16" t="str">
        <f aca="false">IF(B1172="","",IF(AND(D1172="Formalização",E1172="Concluído"),IF(COUNTIFS($B$2:$B$5001,B1172,$E$2:$E$5001,"Em ajustes",$N$2:$N$5001,"&lt;"&amp;I1172)&gt;0,1,0),0))</f>
        <v/>
      </c>
      <c r="L1172" s="16" t="str">
        <f aca="false">IF(B1172="","",IF(N1172=_xlfn.MAXIFS($N$2:$N$5001,$B$2:$B$5001,B1172,$I$2:$I$5001,I1172),1,0))</f>
        <v/>
      </c>
      <c r="M1172" s="16" t="str">
        <f aca="false">IF(B1172="","",IF(E1172="Em ajustes",IF(N1172=_xlfn.MINIFS($N$2:$N$5001,$B$2:$B$5001,B1172,$E$2:$E$5001,"Em ajustes"),1,0),0))</f>
        <v/>
      </c>
      <c r="N1172" s="17" t="str">
        <f aca="false">IF(A1172="","",IF(ISNUMBER(A1172),A1172,IFERROR(DATE(VALUE(MID(A1172,7,4)),VALUE(MID(A1172,4,2)),VALUE(MID(A1172,1,2)))+TIME(VALUE(MID(A1172,12,2)),VALUE(MID(A1172,15,2)),VALUE(MID(A1172,18,2))),"")))</f>
        <v/>
      </c>
    </row>
    <row r="1173" customFormat="false" ht="15" hidden="false" customHeight="false" outlineLevel="0" collapsed="false">
      <c r="I1173" s="15" t="str">
        <f aca="false">IF(N1173="","",INT(N1173))</f>
        <v/>
      </c>
      <c r="J1173" s="16" t="str">
        <f aca="false">IF(B1173="","",IF(N1173=_xlfn.MINIFS($N$2:$N$5001,$B$2:$B$5001,B1173),1,0))</f>
        <v/>
      </c>
      <c r="K1173" s="16" t="str">
        <f aca="false">IF(B1173="","",IF(AND(D1173="Formalização",E1173="Concluído"),IF(COUNTIFS($B$2:$B$5001,B1173,$E$2:$E$5001,"Em ajustes",$N$2:$N$5001,"&lt;"&amp;I1173)&gt;0,1,0),0))</f>
        <v/>
      </c>
      <c r="L1173" s="16" t="str">
        <f aca="false">IF(B1173="","",IF(N1173=_xlfn.MAXIFS($N$2:$N$5001,$B$2:$B$5001,B1173,$I$2:$I$5001,I1173),1,0))</f>
        <v/>
      </c>
      <c r="M1173" s="16" t="str">
        <f aca="false">IF(B1173="","",IF(E1173="Em ajustes",IF(N1173=_xlfn.MINIFS($N$2:$N$5001,$B$2:$B$5001,B1173,$E$2:$E$5001,"Em ajustes"),1,0),0))</f>
        <v/>
      </c>
      <c r="N1173" s="17" t="str">
        <f aca="false">IF(A1173="","",IF(ISNUMBER(A1173),A1173,IFERROR(DATE(VALUE(MID(A1173,7,4)),VALUE(MID(A1173,4,2)),VALUE(MID(A1173,1,2)))+TIME(VALUE(MID(A1173,12,2)),VALUE(MID(A1173,15,2)),VALUE(MID(A1173,18,2))),"")))</f>
        <v/>
      </c>
    </row>
    <row r="1174" customFormat="false" ht="15" hidden="false" customHeight="false" outlineLevel="0" collapsed="false">
      <c r="I1174" s="15" t="str">
        <f aca="false">IF(N1174="","",INT(N1174))</f>
        <v/>
      </c>
      <c r="J1174" s="16" t="str">
        <f aca="false">IF(B1174="","",IF(N1174=_xlfn.MINIFS($N$2:$N$5001,$B$2:$B$5001,B1174),1,0))</f>
        <v/>
      </c>
      <c r="K1174" s="16" t="str">
        <f aca="false">IF(B1174="","",IF(AND(D1174="Formalização",E1174="Concluído"),IF(COUNTIFS($B$2:$B$5001,B1174,$E$2:$E$5001,"Em ajustes",$N$2:$N$5001,"&lt;"&amp;I1174)&gt;0,1,0),0))</f>
        <v/>
      </c>
      <c r="L1174" s="16" t="str">
        <f aca="false">IF(B1174="","",IF(N1174=_xlfn.MAXIFS($N$2:$N$5001,$B$2:$B$5001,B1174,$I$2:$I$5001,I1174),1,0))</f>
        <v/>
      </c>
      <c r="M1174" s="16" t="str">
        <f aca="false">IF(B1174="","",IF(E1174="Em ajustes",IF(N1174=_xlfn.MINIFS($N$2:$N$5001,$B$2:$B$5001,B1174,$E$2:$E$5001,"Em ajustes"),1,0),0))</f>
        <v/>
      </c>
      <c r="N1174" s="17" t="str">
        <f aca="false">IF(A1174="","",IF(ISNUMBER(A1174),A1174,IFERROR(DATE(VALUE(MID(A1174,7,4)),VALUE(MID(A1174,4,2)),VALUE(MID(A1174,1,2)))+TIME(VALUE(MID(A1174,12,2)),VALUE(MID(A1174,15,2)),VALUE(MID(A1174,18,2))),"")))</f>
        <v/>
      </c>
    </row>
    <row r="1175" customFormat="false" ht="15" hidden="false" customHeight="false" outlineLevel="0" collapsed="false">
      <c r="I1175" s="15" t="str">
        <f aca="false">IF(N1175="","",INT(N1175))</f>
        <v/>
      </c>
      <c r="J1175" s="16" t="str">
        <f aca="false">IF(B1175="","",IF(N1175=_xlfn.MINIFS($N$2:$N$5001,$B$2:$B$5001,B1175),1,0))</f>
        <v/>
      </c>
      <c r="K1175" s="16" t="str">
        <f aca="false">IF(B1175="","",IF(AND(D1175="Formalização",E1175="Concluído"),IF(COUNTIFS($B$2:$B$5001,B1175,$E$2:$E$5001,"Em ajustes",$N$2:$N$5001,"&lt;"&amp;I1175)&gt;0,1,0),0))</f>
        <v/>
      </c>
      <c r="L1175" s="16" t="str">
        <f aca="false">IF(B1175="","",IF(N1175=_xlfn.MAXIFS($N$2:$N$5001,$B$2:$B$5001,B1175,$I$2:$I$5001,I1175),1,0))</f>
        <v/>
      </c>
      <c r="M1175" s="16" t="str">
        <f aca="false">IF(B1175="","",IF(E1175="Em ajustes",IF(N1175=_xlfn.MINIFS($N$2:$N$5001,$B$2:$B$5001,B1175,$E$2:$E$5001,"Em ajustes"),1,0),0))</f>
        <v/>
      </c>
      <c r="N1175" s="17" t="str">
        <f aca="false">IF(A1175="","",IF(ISNUMBER(A1175),A1175,IFERROR(DATE(VALUE(MID(A1175,7,4)),VALUE(MID(A1175,4,2)),VALUE(MID(A1175,1,2)))+TIME(VALUE(MID(A1175,12,2)),VALUE(MID(A1175,15,2)),VALUE(MID(A1175,18,2))),"")))</f>
        <v/>
      </c>
    </row>
    <row r="1176" customFormat="false" ht="15" hidden="false" customHeight="false" outlineLevel="0" collapsed="false">
      <c r="I1176" s="15" t="str">
        <f aca="false">IF(N1176="","",INT(N1176))</f>
        <v/>
      </c>
      <c r="J1176" s="16" t="str">
        <f aca="false">IF(B1176="","",IF(N1176=_xlfn.MINIFS($N$2:$N$5001,$B$2:$B$5001,B1176),1,0))</f>
        <v/>
      </c>
      <c r="K1176" s="16" t="str">
        <f aca="false">IF(B1176="","",IF(AND(D1176="Formalização",E1176="Concluído"),IF(COUNTIFS($B$2:$B$5001,B1176,$E$2:$E$5001,"Em ajustes",$N$2:$N$5001,"&lt;"&amp;I1176)&gt;0,1,0),0))</f>
        <v/>
      </c>
      <c r="L1176" s="16" t="str">
        <f aca="false">IF(B1176="","",IF(N1176=_xlfn.MAXIFS($N$2:$N$5001,$B$2:$B$5001,B1176,$I$2:$I$5001,I1176),1,0))</f>
        <v/>
      </c>
      <c r="M1176" s="16" t="str">
        <f aca="false">IF(B1176="","",IF(E1176="Em ajustes",IF(N1176=_xlfn.MINIFS($N$2:$N$5001,$B$2:$B$5001,B1176,$E$2:$E$5001,"Em ajustes"),1,0),0))</f>
        <v/>
      </c>
      <c r="N1176" s="17" t="str">
        <f aca="false">IF(A1176="","",IF(ISNUMBER(A1176),A1176,IFERROR(DATE(VALUE(MID(A1176,7,4)),VALUE(MID(A1176,4,2)),VALUE(MID(A1176,1,2)))+TIME(VALUE(MID(A1176,12,2)),VALUE(MID(A1176,15,2)),VALUE(MID(A1176,18,2))),"")))</f>
        <v/>
      </c>
    </row>
    <row r="1177" customFormat="false" ht="15" hidden="false" customHeight="false" outlineLevel="0" collapsed="false">
      <c r="I1177" s="15" t="str">
        <f aca="false">IF(N1177="","",INT(N1177))</f>
        <v/>
      </c>
      <c r="J1177" s="16" t="str">
        <f aca="false">IF(B1177="","",IF(N1177=_xlfn.MINIFS($N$2:$N$5001,$B$2:$B$5001,B1177),1,0))</f>
        <v/>
      </c>
      <c r="K1177" s="16" t="str">
        <f aca="false">IF(B1177="","",IF(AND(D1177="Formalização",E1177="Concluído"),IF(COUNTIFS($B$2:$B$5001,B1177,$E$2:$E$5001,"Em ajustes",$N$2:$N$5001,"&lt;"&amp;I1177)&gt;0,1,0),0))</f>
        <v/>
      </c>
      <c r="L1177" s="16" t="str">
        <f aca="false">IF(B1177="","",IF(N1177=_xlfn.MAXIFS($N$2:$N$5001,$B$2:$B$5001,B1177,$I$2:$I$5001,I1177),1,0))</f>
        <v/>
      </c>
      <c r="M1177" s="16" t="str">
        <f aca="false">IF(B1177="","",IF(E1177="Em ajustes",IF(N1177=_xlfn.MINIFS($N$2:$N$5001,$B$2:$B$5001,B1177,$E$2:$E$5001,"Em ajustes"),1,0),0))</f>
        <v/>
      </c>
      <c r="N1177" s="17" t="str">
        <f aca="false">IF(A1177="","",IF(ISNUMBER(A1177),A1177,IFERROR(DATE(VALUE(MID(A1177,7,4)),VALUE(MID(A1177,4,2)),VALUE(MID(A1177,1,2)))+TIME(VALUE(MID(A1177,12,2)),VALUE(MID(A1177,15,2)),VALUE(MID(A1177,18,2))),"")))</f>
        <v/>
      </c>
    </row>
    <row r="1178" customFormat="false" ht="15" hidden="false" customHeight="false" outlineLevel="0" collapsed="false">
      <c r="I1178" s="15" t="str">
        <f aca="false">IF(N1178="","",INT(N1178))</f>
        <v/>
      </c>
      <c r="J1178" s="16" t="str">
        <f aca="false">IF(B1178="","",IF(N1178=_xlfn.MINIFS($N$2:$N$5001,$B$2:$B$5001,B1178),1,0))</f>
        <v/>
      </c>
      <c r="K1178" s="16" t="str">
        <f aca="false">IF(B1178="","",IF(AND(D1178="Formalização",E1178="Concluído"),IF(COUNTIFS($B$2:$B$5001,B1178,$E$2:$E$5001,"Em ajustes",$N$2:$N$5001,"&lt;"&amp;I1178)&gt;0,1,0),0))</f>
        <v/>
      </c>
      <c r="L1178" s="16" t="str">
        <f aca="false">IF(B1178="","",IF(N1178=_xlfn.MAXIFS($N$2:$N$5001,$B$2:$B$5001,B1178,$I$2:$I$5001,I1178),1,0))</f>
        <v/>
      </c>
      <c r="M1178" s="16" t="str">
        <f aca="false">IF(B1178="","",IF(E1178="Em ajustes",IF(N1178=_xlfn.MINIFS($N$2:$N$5001,$B$2:$B$5001,B1178,$E$2:$E$5001,"Em ajustes"),1,0),0))</f>
        <v/>
      </c>
      <c r="N1178" s="17" t="str">
        <f aca="false">IF(A1178="","",IF(ISNUMBER(A1178),A1178,IFERROR(DATE(VALUE(MID(A1178,7,4)),VALUE(MID(A1178,4,2)),VALUE(MID(A1178,1,2)))+TIME(VALUE(MID(A1178,12,2)),VALUE(MID(A1178,15,2)),VALUE(MID(A1178,18,2))),"")))</f>
        <v/>
      </c>
    </row>
    <row r="1179" customFormat="false" ht="15" hidden="false" customHeight="false" outlineLevel="0" collapsed="false">
      <c r="I1179" s="15" t="str">
        <f aca="false">IF(N1179="","",INT(N1179))</f>
        <v/>
      </c>
      <c r="J1179" s="16" t="str">
        <f aca="false">IF(B1179="","",IF(N1179=_xlfn.MINIFS($N$2:$N$5001,$B$2:$B$5001,B1179),1,0))</f>
        <v/>
      </c>
      <c r="K1179" s="16" t="str">
        <f aca="false">IF(B1179="","",IF(AND(D1179="Formalização",E1179="Concluído"),IF(COUNTIFS($B$2:$B$5001,B1179,$E$2:$E$5001,"Em ajustes",$N$2:$N$5001,"&lt;"&amp;I1179)&gt;0,1,0),0))</f>
        <v/>
      </c>
      <c r="L1179" s="16" t="str">
        <f aca="false">IF(B1179="","",IF(N1179=_xlfn.MAXIFS($N$2:$N$5001,$B$2:$B$5001,B1179,$I$2:$I$5001,I1179),1,0))</f>
        <v/>
      </c>
      <c r="M1179" s="16" t="str">
        <f aca="false">IF(B1179="","",IF(E1179="Em ajustes",IF(N1179=_xlfn.MINIFS($N$2:$N$5001,$B$2:$B$5001,B1179,$E$2:$E$5001,"Em ajustes"),1,0),0))</f>
        <v/>
      </c>
      <c r="N1179" s="17" t="str">
        <f aca="false">IF(A1179="","",IF(ISNUMBER(A1179),A1179,IFERROR(DATE(VALUE(MID(A1179,7,4)),VALUE(MID(A1179,4,2)),VALUE(MID(A1179,1,2)))+TIME(VALUE(MID(A1179,12,2)),VALUE(MID(A1179,15,2)),VALUE(MID(A1179,18,2))),"")))</f>
        <v/>
      </c>
    </row>
    <row r="1180" customFormat="false" ht="15" hidden="false" customHeight="false" outlineLevel="0" collapsed="false">
      <c r="I1180" s="15" t="str">
        <f aca="false">IF(N1180="","",INT(N1180))</f>
        <v/>
      </c>
      <c r="J1180" s="16" t="str">
        <f aca="false">IF(B1180="","",IF(N1180=_xlfn.MINIFS($N$2:$N$5001,$B$2:$B$5001,B1180),1,0))</f>
        <v/>
      </c>
      <c r="K1180" s="16" t="str">
        <f aca="false">IF(B1180="","",IF(AND(D1180="Formalização",E1180="Concluído"),IF(COUNTIFS($B$2:$B$5001,B1180,$E$2:$E$5001,"Em ajustes",$N$2:$N$5001,"&lt;"&amp;I1180)&gt;0,1,0),0))</f>
        <v/>
      </c>
      <c r="L1180" s="16" t="str">
        <f aca="false">IF(B1180="","",IF(N1180=_xlfn.MAXIFS($N$2:$N$5001,$B$2:$B$5001,B1180,$I$2:$I$5001,I1180),1,0))</f>
        <v/>
      </c>
      <c r="M1180" s="16" t="str">
        <f aca="false">IF(B1180="","",IF(E1180="Em ajustes",IF(N1180=_xlfn.MINIFS($N$2:$N$5001,$B$2:$B$5001,B1180,$E$2:$E$5001,"Em ajustes"),1,0),0))</f>
        <v/>
      </c>
      <c r="N1180" s="17" t="str">
        <f aca="false">IF(A1180="","",IF(ISNUMBER(A1180),A1180,IFERROR(DATE(VALUE(MID(A1180,7,4)),VALUE(MID(A1180,4,2)),VALUE(MID(A1180,1,2)))+TIME(VALUE(MID(A1180,12,2)),VALUE(MID(A1180,15,2)),VALUE(MID(A1180,18,2))),"")))</f>
        <v/>
      </c>
    </row>
    <row r="1181" customFormat="false" ht="15" hidden="false" customHeight="false" outlineLevel="0" collapsed="false">
      <c r="I1181" s="15" t="str">
        <f aca="false">IF(N1181="","",INT(N1181))</f>
        <v/>
      </c>
      <c r="J1181" s="16" t="str">
        <f aca="false">IF(B1181="","",IF(N1181=_xlfn.MINIFS($N$2:$N$5001,$B$2:$B$5001,B1181),1,0))</f>
        <v/>
      </c>
      <c r="K1181" s="16" t="str">
        <f aca="false">IF(B1181="","",IF(AND(D1181="Formalização",E1181="Concluído"),IF(COUNTIFS($B$2:$B$5001,B1181,$E$2:$E$5001,"Em ajustes",$N$2:$N$5001,"&lt;"&amp;I1181)&gt;0,1,0),0))</f>
        <v/>
      </c>
      <c r="L1181" s="16" t="str">
        <f aca="false">IF(B1181="","",IF(N1181=_xlfn.MAXIFS($N$2:$N$5001,$B$2:$B$5001,B1181,$I$2:$I$5001,I1181),1,0))</f>
        <v/>
      </c>
      <c r="M1181" s="16" t="str">
        <f aca="false">IF(B1181="","",IF(E1181="Em ajustes",IF(N1181=_xlfn.MINIFS($N$2:$N$5001,$B$2:$B$5001,B1181,$E$2:$E$5001,"Em ajustes"),1,0),0))</f>
        <v/>
      </c>
      <c r="N1181" s="17" t="str">
        <f aca="false">IF(A1181="","",IF(ISNUMBER(A1181),A1181,IFERROR(DATE(VALUE(MID(A1181,7,4)),VALUE(MID(A1181,4,2)),VALUE(MID(A1181,1,2)))+TIME(VALUE(MID(A1181,12,2)),VALUE(MID(A1181,15,2)),VALUE(MID(A1181,18,2))),"")))</f>
        <v/>
      </c>
    </row>
    <row r="1182" customFormat="false" ht="15" hidden="false" customHeight="false" outlineLevel="0" collapsed="false">
      <c r="I1182" s="15" t="str">
        <f aca="false">IF(N1182="","",INT(N1182))</f>
        <v/>
      </c>
      <c r="J1182" s="16" t="str">
        <f aca="false">IF(B1182="","",IF(N1182=_xlfn.MINIFS($N$2:$N$5001,$B$2:$B$5001,B1182),1,0))</f>
        <v/>
      </c>
      <c r="K1182" s="16" t="str">
        <f aca="false">IF(B1182="","",IF(AND(D1182="Formalização",E1182="Concluído"),IF(COUNTIFS($B$2:$B$5001,B1182,$E$2:$E$5001,"Em ajustes",$N$2:$N$5001,"&lt;"&amp;I1182)&gt;0,1,0),0))</f>
        <v/>
      </c>
      <c r="L1182" s="16" t="str">
        <f aca="false">IF(B1182="","",IF(N1182=_xlfn.MAXIFS($N$2:$N$5001,$B$2:$B$5001,B1182,$I$2:$I$5001,I1182),1,0))</f>
        <v/>
      </c>
      <c r="M1182" s="16" t="str">
        <f aca="false">IF(B1182="","",IF(E1182="Em ajustes",IF(N1182=_xlfn.MINIFS($N$2:$N$5001,$B$2:$B$5001,B1182,$E$2:$E$5001,"Em ajustes"),1,0),0))</f>
        <v/>
      </c>
      <c r="N1182" s="17" t="str">
        <f aca="false">IF(A1182="","",IF(ISNUMBER(A1182),A1182,IFERROR(DATE(VALUE(MID(A1182,7,4)),VALUE(MID(A1182,4,2)),VALUE(MID(A1182,1,2)))+TIME(VALUE(MID(A1182,12,2)),VALUE(MID(A1182,15,2)),VALUE(MID(A1182,18,2))),"")))</f>
        <v/>
      </c>
    </row>
    <row r="1183" customFormat="false" ht="15" hidden="false" customHeight="false" outlineLevel="0" collapsed="false">
      <c r="I1183" s="15" t="str">
        <f aca="false">IF(N1183="","",INT(N1183))</f>
        <v/>
      </c>
      <c r="J1183" s="16" t="str">
        <f aca="false">IF(B1183="","",IF(N1183=_xlfn.MINIFS($N$2:$N$5001,$B$2:$B$5001,B1183),1,0))</f>
        <v/>
      </c>
      <c r="K1183" s="16" t="str">
        <f aca="false">IF(B1183="","",IF(AND(D1183="Formalização",E1183="Concluído"),IF(COUNTIFS($B$2:$B$5001,B1183,$E$2:$E$5001,"Em ajustes",$N$2:$N$5001,"&lt;"&amp;I1183)&gt;0,1,0),0))</f>
        <v/>
      </c>
      <c r="L1183" s="16" t="str">
        <f aca="false">IF(B1183="","",IF(N1183=_xlfn.MAXIFS($N$2:$N$5001,$B$2:$B$5001,B1183,$I$2:$I$5001,I1183),1,0))</f>
        <v/>
      </c>
      <c r="M1183" s="16" t="str">
        <f aca="false">IF(B1183="","",IF(E1183="Em ajustes",IF(N1183=_xlfn.MINIFS($N$2:$N$5001,$B$2:$B$5001,B1183,$E$2:$E$5001,"Em ajustes"),1,0),0))</f>
        <v/>
      </c>
      <c r="N1183" s="17" t="str">
        <f aca="false">IF(A1183="","",IF(ISNUMBER(A1183),A1183,IFERROR(DATE(VALUE(MID(A1183,7,4)),VALUE(MID(A1183,4,2)),VALUE(MID(A1183,1,2)))+TIME(VALUE(MID(A1183,12,2)),VALUE(MID(A1183,15,2)),VALUE(MID(A1183,18,2))),"")))</f>
        <v/>
      </c>
    </row>
    <row r="1184" customFormat="false" ht="15" hidden="false" customHeight="false" outlineLevel="0" collapsed="false">
      <c r="I1184" s="15" t="str">
        <f aca="false">IF(N1184="","",INT(N1184))</f>
        <v/>
      </c>
      <c r="J1184" s="16" t="str">
        <f aca="false">IF(B1184="","",IF(N1184=_xlfn.MINIFS($N$2:$N$5001,$B$2:$B$5001,B1184),1,0))</f>
        <v/>
      </c>
      <c r="K1184" s="16" t="str">
        <f aca="false">IF(B1184="","",IF(AND(D1184="Formalização",E1184="Concluído"),IF(COUNTIFS($B$2:$B$5001,B1184,$E$2:$E$5001,"Em ajustes",$N$2:$N$5001,"&lt;"&amp;I1184)&gt;0,1,0),0))</f>
        <v/>
      </c>
      <c r="L1184" s="16" t="str">
        <f aca="false">IF(B1184="","",IF(N1184=_xlfn.MAXIFS($N$2:$N$5001,$B$2:$B$5001,B1184,$I$2:$I$5001,I1184),1,0))</f>
        <v/>
      </c>
      <c r="M1184" s="16" t="str">
        <f aca="false">IF(B1184="","",IF(E1184="Em ajustes",IF(N1184=_xlfn.MINIFS($N$2:$N$5001,$B$2:$B$5001,B1184,$E$2:$E$5001,"Em ajustes"),1,0),0))</f>
        <v/>
      </c>
      <c r="N1184" s="17" t="str">
        <f aca="false">IF(A1184="","",IF(ISNUMBER(A1184),A1184,IFERROR(DATE(VALUE(MID(A1184,7,4)),VALUE(MID(A1184,4,2)),VALUE(MID(A1184,1,2)))+TIME(VALUE(MID(A1184,12,2)),VALUE(MID(A1184,15,2)),VALUE(MID(A1184,18,2))),"")))</f>
        <v/>
      </c>
    </row>
    <row r="1185" customFormat="false" ht="15" hidden="false" customHeight="false" outlineLevel="0" collapsed="false">
      <c r="I1185" s="15" t="str">
        <f aca="false">IF(N1185="","",INT(N1185))</f>
        <v/>
      </c>
      <c r="J1185" s="16" t="str">
        <f aca="false">IF(B1185="","",IF(N1185=_xlfn.MINIFS($N$2:$N$5001,$B$2:$B$5001,B1185),1,0))</f>
        <v/>
      </c>
      <c r="K1185" s="16" t="str">
        <f aca="false">IF(B1185="","",IF(AND(D1185="Formalização",E1185="Concluído"),IF(COUNTIFS($B$2:$B$5001,B1185,$E$2:$E$5001,"Em ajustes",$N$2:$N$5001,"&lt;"&amp;I1185)&gt;0,1,0),0))</f>
        <v/>
      </c>
      <c r="L1185" s="16" t="str">
        <f aca="false">IF(B1185="","",IF(N1185=_xlfn.MAXIFS($N$2:$N$5001,$B$2:$B$5001,B1185,$I$2:$I$5001,I1185),1,0))</f>
        <v/>
      </c>
      <c r="M1185" s="16" t="str">
        <f aca="false">IF(B1185="","",IF(E1185="Em ajustes",IF(N1185=_xlfn.MINIFS($N$2:$N$5001,$B$2:$B$5001,B1185,$E$2:$E$5001,"Em ajustes"),1,0),0))</f>
        <v/>
      </c>
      <c r="N1185" s="17" t="str">
        <f aca="false">IF(A1185="","",IF(ISNUMBER(A1185),A1185,IFERROR(DATE(VALUE(MID(A1185,7,4)),VALUE(MID(A1185,4,2)),VALUE(MID(A1185,1,2)))+TIME(VALUE(MID(A1185,12,2)),VALUE(MID(A1185,15,2)),VALUE(MID(A1185,18,2))),"")))</f>
        <v/>
      </c>
    </row>
    <row r="1186" customFormat="false" ht="15" hidden="false" customHeight="false" outlineLevel="0" collapsed="false">
      <c r="I1186" s="15" t="str">
        <f aca="false">IF(N1186="","",INT(N1186))</f>
        <v/>
      </c>
      <c r="J1186" s="16" t="str">
        <f aca="false">IF(B1186="","",IF(N1186=_xlfn.MINIFS($N$2:$N$5001,$B$2:$B$5001,B1186),1,0))</f>
        <v/>
      </c>
      <c r="K1186" s="16" t="str">
        <f aca="false">IF(B1186="","",IF(AND(D1186="Formalização",E1186="Concluído"),IF(COUNTIFS($B$2:$B$5001,B1186,$E$2:$E$5001,"Em ajustes",$N$2:$N$5001,"&lt;"&amp;I1186)&gt;0,1,0),0))</f>
        <v/>
      </c>
      <c r="L1186" s="16" t="str">
        <f aca="false">IF(B1186="","",IF(N1186=_xlfn.MAXIFS($N$2:$N$5001,$B$2:$B$5001,B1186,$I$2:$I$5001,I1186),1,0))</f>
        <v/>
      </c>
      <c r="M1186" s="16" t="str">
        <f aca="false">IF(B1186="","",IF(E1186="Em ajustes",IF(N1186=_xlfn.MINIFS($N$2:$N$5001,$B$2:$B$5001,B1186,$E$2:$E$5001,"Em ajustes"),1,0),0))</f>
        <v/>
      </c>
      <c r="N1186" s="17" t="str">
        <f aca="false">IF(A1186="","",IF(ISNUMBER(A1186),A1186,IFERROR(DATE(VALUE(MID(A1186,7,4)),VALUE(MID(A1186,4,2)),VALUE(MID(A1186,1,2)))+TIME(VALUE(MID(A1186,12,2)),VALUE(MID(A1186,15,2)),VALUE(MID(A1186,18,2))),"")))</f>
        <v/>
      </c>
    </row>
    <row r="1187" customFormat="false" ht="15" hidden="false" customHeight="false" outlineLevel="0" collapsed="false">
      <c r="I1187" s="15" t="str">
        <f aca="false">IF(N1187="","",INT(N1187))</f>
        <v/>
      </c>
      <c r="J1187" s="16" t="str">
        <f aca="false">IF(B1187="","",IF(N1187=_xlfn.MINIFS($N$2:$N$5001,$B$2:$B$5001,B1187),1,0))</f>
        <v/>
      </c>
      <c r="K1187" s="16" t="str">
        <f aca="false">IF(B1187="","",IF(AND(D1187="Formalização",E1187="Concluído"),IF(COUNTIFS($B$2:$B$5001,B1187,$E$2:$E$5001,"Em ajustes",$N$2:$N$5001,"&lt;"&amp;I1187)&gt;0,1,0),0))</f>
        <v/>
      </c>
      <c r="L1187" s="16" t="str">
        <f aca="false">IF(B1187="","",IF(N1187=_xlfn.MAXIFS($N$2:$N$5001,$B$2:$B$5001,B1187,$I$2:$I$5001,I1187),1,0))</f>
        <v/>
      </c>
      <c r="M1187" s="16" t="str">
        <f aca="false">IF(B1187="","",IF(E1187="Em ajustes",IF(N1187=_xlfn.MINIFS($N$2:$N$5001,$B$2:$B$5001,B1187,$E$2:$E$5001,"Em ajustes"),1,0),0))</f>
        <v/>
      </c>
      <c r="N1187" s="17" t="str">
        <f aca="false">IF(A1187="","",IF(ISNUMBER(A1187),A1187,IFERROR(DATE(VALUE(MID(A1187,7,4)),VALUE(MID(A1187,4,2)),VALUE(MID(A1187,1,2)))+TIME(VALUE(MID(A1187,12,2)),VALUE(MID(A1187,15,2)),VALUE(MID(A1187,18,2))),"")))</f>
        <v/>
      </c>
    </row>
    <row r="1188" customFormat="false" ht="15" hidden="false" customHeight="false" outlineLevel="0" collapsed="false">
      <c r="I1188" s="15" t="str">
        <f aca="false">IF(N1188="","",INT(N1188))</f>
        <v/>
      </c>
      <c r="J1188" s="16" t="str">
        <f aca="false">IF(B1188="","",IF(N1188=_xlfn.MINIFS($N$2:$N$5001,$B$2:$B$5001,B1188),1,0))</f>
        <v/>
      </c>
      <c r="K1188" s="16" t="str">
        <f aca="false">IF(B1188="","",IF(AND(D1188="Formalização",E1188="Concluído"),IF(COUNTIFS($B$2:$B$5001,B1188,$E$2:$E$5001,"Em ajustes",$N$2:$N$5001,"&lt;"&amp;I1188)&gt;0,1,0),0))</f>
        <v/>
      </c>
      <c r="L1188" s="16" t="str">
        <f aca="false">IF(B1188="","",IF(N1188=_xlfn.MAXIFS($N$2:$N$5001,$B$2:$B$5001,B1188,$I$2:$I$5001,I1188),1,0))</f>
        <v/>
      </c>
      <c r="M1188" s="16" t="str">
        <f aca="false">IF(B1188="","",IF(E1188="Em ajustes",IF(N1188=_xlfn.MINIFS($N$2:$N$5001,$B$2:$B$5001,B1188,$E$2:$E$5001,"Em ajustes"),1,0),0))</f>
        <v/>
      </c>
      <c r="N1188" s="17" t="str">
        <f aca="false">IF(A1188="","",IF(ISNUMBER(A1188),A1188,IFERROR(DATE(VALUE(MID(A1188,7,4)),VALUE(MID(A1188,4,2)),VALUE(MID(A1188,1,2)))+TIME(VALUE(MID(A1188,12,2)),VALUE(MID(A1188,15,2)),VALUE(MID(A1188,18,2))),"")))</f>
        <v/>
      </c>
    </row>
    <row r="1189" customFormat="false" ht="15" hidden="false" customHeight="false" outlineLevel="0" collapsed="false">
      <c r="I1189" s="15" t="str">
        <f aca="false">IF(N1189="","",INT(N1189))</f>
        <v/>
      </c>
      <c r="J1189" s="16" t="str">
        <f aca="false">IF(B1189="","",IF(N1189=_xlfn.MINIFS($N$2:$N$5001,$B$2:$B$5001,B1189),1,0))</f>
        <v/>
      </c>
      <c r="K1189" s="16" t="str">
        <f aca="false">IF(B1189="","",IF(AND(D1189="Formalização",E1189="Concluído"),IF(COUNTIFS($B$2:$B$5001,B1189,$E$2:$E$5001,"Em ajustes",$N$2:$N$5001,"&lt;"&amp;I1189)&gt;0,1,0),0))</f>
        <v/>
      </c>
      <c r="L1189" s="16" t="str">
        <f aca="false">IF(B1189="","",IF(N1189=_xlfn.MAXIFS($N$2:$N$5001,$B$2:$B$5001,B1189,$I$2:$I$5001,I1189),1,0))</f>
        <v/>
      </c>
      <c r="M1189" s="16" t="str">
        <f aca="false">IF(B1189="","",IF(E1189="Em ajustes",IF(N1189=_xlfn.MINIFS($N$2:$N$5001,$B$2:$B$5001,B1189,$E$2:$E$5001,"Em ajustes"),1,0),0))</f>
        <v/>
      </c>
      <c r="N1189" s="17" t="str">
        <f aca="false">IF(A1189="","",IF(ISNUMBER(A1189),A1189,IFERROR(DATE(VALUE(MID(A1189,7,4)),VALUE(MID(A1189,4,2)),VALUE(MID(A1189,1,2)))+TIME(VALUE(MID(A1189,12,2)),VALUE(MID(A1189,15,2)),VALUE(MID(A1189,18,2))),"")))</f>
        <v/>
      </c>
    </row>
    <row r="1190" customFormat="false" ht="15" hidden="false" customHeight="false" outlineLevel="0" collapsed="false">
      <c r="I1190" s="15" t="str">
        <f aca="false">IF(N1190="","",INT(N1190))</f>
        <v/>
      </c>
      <c r="J1190" s="16" t="str">
        <f aca="false">IF(B1190="","",IF(N1190=_xlfn.MINIFS($N$2:$N$5001,$B$2:$B$5001,B1190),1,0))</f>
        <v/>
      </c>
      <c r="K1190" s="16" t="str">
        <f aca="false">IF(B1190="","",IF(AND(D1190="Formalização",E1190="Concluído"),IF(COUNTIFS($B$2:$B$5001,B1190,$E$2:$E$5001,"Em ajustes",$N$2:$N$5001,"&lt;"&amp;I1190)&gt;0,1,0),0))</f>
        <v/>
      </c>
      <c r="L1190" s="16" t="str">
        <f aca="false">IF(B1190="","",IF(N1190=_xlfn.MAXIFS($N$2:$N$5001,$B$2:$B$5001,B1190,$I$2:$I$5001,I1190),1,0))</f>
        <v/>
      </c>
      <c r="M1190" s="16" t="str">
        <f aca="false">IF(B1190="","",IF(E1190="Em ajustes",IF(N1190=_xlfn.MINIFS($N$2:$N$5001,$B$2:$B$5001,B1190,$E$2:$E$5001,"Em ajustes"),1,0),0))</f>
        <v/>
      </c>
      <c r="N1190" s="17" t="str">
        <f aca="false">IF(A1190="","",IF(ISNUMBER(A1190),A1190,IFERROR(DATE(VALUE(MID(A1190,7,4)),VALUE(MID(A1190,4,2)),VALUE(MID(A1190,1,2)))+TIME(VALUE(MID(A1190,12,2)),VALUE(MID(A1190,15,2)),VALUE(MID(A1190,18,2))),"")))</f>
        <v/>
      </c>
    </row>
    <row r="1191" customFormat="false" ht="15" hidden="false" customHeight="false" outlineLevel="0" collapsed="false">
      <c r="I1191" s="15" t="str">
        <f aca="false">IF(N1191="","",INT(N1191))</f>
        <v/>
      </c>
      <c r="J1191" s="16" t="str">
        <f aca="false">IF(B1191="","",IF(N1191=_xlfn.MINIFS($N$2:$N$5001,$B$2:$B$5001,B1191),1,0))</f>
        <v/>
      </c>
      <c r="K1191" s="16" t="str">
        <f aca="false">IF(B1191="","",IF(AND(D1191="Formalização",E1191="Concluído"),IF(COUNTIFS($B$2:$B$5001,B1191,$E$2:$E$5001,"Em ajustes",$N$2:$N$5001,"&lt;"&amp;I1191)&gt;0,1,0),0))</f>
        <v/>
      </c>
      <c r="L1191" s="16" t="str">
        <f aca="false">IF(B1191="","",IF(N1191=_xlfn.MAXIFS($N$2:$N$5001,$B$2:$B$5001,B1191,$I$2:$I$5001,I1191),1,0))</f>
        <v/>
      </c>
      <c r="M1191" s="16" t="str">
        <f aca="false">IF(B1191="","",IF(E1191="Em ajustes",IF(N1191=_xlfn.MINIFS($N$2:$N$5001,$B$2:$B$5001,B1191,$E$2:$E$5001,"Em ajustes"),1,0),0))</f>
        <v/>
      </c>
      <c r="N1191" s="17" t="str">
        <f aca="false">IF(A1191="","",IF(ISNUMBER(A1191),A1191,IFERROR(DATE(VALUE(MID(A1191,7,4)),VALUE(MID(A1191,4,2)),VALUE(MID(A1191,1,2)))+TIME(VALUE(MID(A1191,12,2)),VALUE(MID(A1191,15,2)),VALUE(MID(A1191,18,2))),"")))</f>
        <v/>
      </c>
    </row>
    <row r="1192" customFormat="false" ht="15" hidden="false" customHeight="false" outlineLevel="0" collapsed="false">
      <c r="I1192" s="15" t="str">
        <f aca="false">IF(N1192="","",INT(N1192))</f>
        <v/>
      </c>
      <c r="J1192" s="16" t="str">
        <f aca="false">IF(B1192="","",IF(N1192=_xlfn.MINIFS($N$2:$N$5001,$B$2:$B$5001,B1192),1,0))</f>
        <v/>
      </c>
      <c r="K1192" s="16" t="str">
        <f aca="false">IF(B1192="","",IF(AND(D1192="Formalização",E1192="Concluído"),IF(COUNTIFS($B$2:$B$5001,B1192,$E$2:$E$5001,"Em ajustes",$N$2:$N$5001,"&lt;"&amp;I1192)&gt;0,1,0),0))</f>
        <v/>
      </c>
      <c r="L1192" s="16" t="str">
        <f aca="false">IF(B1192="","",IF(N1192=_xlfn.MAXIFS($N$2:$N$5001,$B$2:$B$5001,B1192,$I$2:$I$5001,I1192),1,0))</f>
        <v/>
      </c>
      <c r="M1192" s="16" t="str">
        <f aca="false">IF(B1192="","",IF(E1192="Em ajustes",IF(N1192=_xlfn.MINIFS($N$2:$N$5001,$B$2:$B$5001,B1192,$E$2:$E$5001,"Em ajustes"),1,0),0))</f>
        <v/>
      </c>
      <c r="N1192" s="17" t="str">
        <f aca="false">IF(A1192="","",IF(ISNUMBER(A1192),A1192,IFERROR(DATE(VALUE(MID(A1192,7,4)),VALUE(MID(A1192,4,2)),VALUE(MID(A1192,1,2)))+TIME(VALUE(MID(A1192,12,2)),VALUE(MID(A1192,15,2)),VALUE(MID(A1192,18,2))),"")))</f>
        <v/>
      </c>
    </row>
    <row r="1193" customFormat="false" ht="15" hidden="false" customHeight="false" outlineLevel="0" collapsed="false">
      <c r="I1193" s="15" t="str">
        <f aca="false">IF(N1193="","",INT(N1193))</f>
        <v/>
      </c>
      <c r="J1193" s="16" t="str">
        <f aca="false">IF(B1193="","",IF(N1193=_xlfn.MINIFS($N$2:$N$5001,$B$2:$B$5001,B1193),1,0))</f>
        <v/>
      </c>
      <c r="K1193" s="16" t="str">
        <f aca="false">IF(B1193="","",IF(AND(D1193="Formalização",E1193="Concluído"),IF(COUNTIFS($B$2:$B$5001,B1193,$E$2:$E$5001,"Em ajustes",$N$2:$N$5001,"&lt;"&amp;I1193)&gt;0,1,0),0))</f>
        <v/>
      </c>
      <c r="L1193" s="16" t="str">
        <f aca="false">IF(B1193="","",IF(N1193=_xlfn.MAXIFS($N$2:$N$5001,$B$2:$B$5001,B1193,$I$2:$I$5001,I1193),1,0))</f>
        <v/>
      </c>
      <c r="M1193" s="16" t="str">
        <f aca="false">IF(B1193="","",IF(E1193="Em ajustes",IF(N1193=_xlfn.MINIFS($N$2:$N$5001,$B$2:$B$5001,B1193,$E$2:$E$5001,"Em ajustes"),1,0),0))</f>
        <v/>
      </c>
      <c r="N1193" s="17" t="str">
        <f aca="false">IF(A1193="","",IF(ISNUMBER(A1193),A1193,IFERROR(DATE(VALUE(MID(A1193,7,4)),VALUE(MID(A1193,4,2)),VALUE(MID(A1193,1,2)))+TIME(VALUE(MID(A1193,12,2)),VALUE(MID(A1193,15,2)),VALUE(MID(A1193,18,2))),"")))</f>
        <v/>
      </c>
    </row>
    <row r="1194" customFormat="false" ht="15" hidden="false" customHeight="false" outlineLevel="0" collapsed="false">
      <c r="I1194" s="15" t="str">
        <f aca="false">IF(N1194="","",INT(N1194))</f>
        <v/>
      </c>
      <c r="J1194" s="16" t="str">
        <f aca="false">IF(B1194="","",IF(N1194=_xlfn.MINIFS($N$2:$N$5001,$B$2:$B$5001,B1194),1,0))</f>
        <v/>
      </c>
      <c r="K1194" s="16" t="str">
        <f aca="false">IF(B1194="","",IF(AND(D1194="Formalização",E1194="Concluído"),IF(COUNTIFS($B$2:$B$5001,B1194,$E$2:$E$5001,"Em ajustes",$N$2:$N$5001,"&lt;"&amp;I1194)&gt;0,1,0),0))</f>
        <v/>
      </c>
      <c r="L1194" s="16" t="str">
        <f aca="false">IF(B1194="","",IF(N1194=_xlfn.MAXIFS($N$2:$N$5001,$B$2:$B$5001,B1194,$I$2:$I$5001,I1194),1,0))</f>
        <v/>
      </c>
      <c r="M1194" s="16" t="str">
        <f aca="false">IF(B1194="","",IF(E1194="Em ajustes",IF(N1194=_xlfn.MINIFS($N$2:$N$5001,$B$2:$B$5001,B1194,$E$2:$E$5001,"Em ajustes"),1,0),0))</f>
        <v/>
      </c>
      <c r="N1194" s="17" t="str">
        <f aca="false">IF(A1194="","",IF(ISNUMBER(A1194),A1194,IFERROR(DATE(VALUE(MID(A1194,7,4)),VALUE(MID(A1194,4,2)),VALUE(MID(A1194,1,2)))+TIME(VALUE(MID(A1194,12,2)),VALUE(MID(A1194,15,2)),VALUE(MID(A1194,18,2))),"")))</f>
        <v/>
      </c>
    </row>
    <row r="1195" customFormat="false" ht="15" hidden="false" customHeight="false" outlineLevel="0" collapsed="false">
      <c r="I1195" s="15" t="str">
        <f aca="false">IF(N1195="","",INT(N1195))</f>
        <v/>
      </c>
      <c r="J1195" s="16" t="str">
        <f aca="false">IF(B1195="","",IF(N1195=_xlfn.MINIFS($N$2:$N$5001,$B$2:$B$5001,B1195),1,0))</f>
        <v/>
      </c>
      <c r="K1195" s="16" t="str">
        <f aca="false">IF(B1195="","",IF(AND(D1195="Formalização",E1195="Concluído"),IF(COUNTIFS($B$2:$B$5001,B1195,$E$2:$E$5001,"Em ajustes",$N$2:$N$5001,"&lt;"&amp;I1195)&gt;0,1,0),0))</f>
        <v/>
      </c>
      <c r="L1195" s="16" t="str">
        <f aca="false">IF(B1195="","",IF(N1195=_xlfn.MAXIFS($N$2:$N$5001,$B$2:$B$5001,B1195,$I$2:$I$5001,I1195),1,0))</f>
        <v/>
      </c>
      <c r="M1195" s="16" t="str">
        <f aca="false">IF(B1195="","",IF(E1195="Em ajustes",IF(N1195=_xlfn.MINIFS($N$2:$N$5001,$B$2:$B$5001,B1195,$E$2:$E$5001,"Em ajustes"),1,0),0))</f>
        <v/>
      </c>
      <c r="N1195" s="17" t="str">
        <f aca="false">IF(A1195="","",IF(ISNUMBER(A1195),A1195,IFERROR(DATE(VALUE(MID(A1195,7,4)),VALUE(MID(A1195,4,2)),VALUE(MID(A1195,1,2)))+TIME(VALUE(MID(A1195,12,2)),VALUE(MID(A1195,15,2)),VALUE(MID(A1195,18,2))),"")))</f>
        <v/>
      </c>
    </row>
    <row r="1196" customFormat="false" ht="15" hidden="false" customHeight="false" outlineLevel="0" collapsed="false">
      <c r="I1196" s="15" t="str">
        <f aca="false">IF(N1196="","",INT(N1196))</f>
        <v/>
      </c>
      <c r="J1196" s="16" t="str">
        <f aca="false">IF(B1196="","",IF(N1196=_xlfn.MINIFS($N$2:$N$5001,$B$2:$B$5001,B1196),1,0))</f>
        <v/>
      </c>
      <c r="K1196" s="16" t="str">
        <f aca="false">IF(B1196="","",IF(AND(D1196="Formalização",E1196="Concluído"),IF(COUNTIFS($B$2:$B$5001,B1196,$E$2:$E$5001,"Em ajustes",$N$2:$N$5001,"&lt;"&amp;I1196)&gt;0,1,0),0))</f>
        <v/>
      </c>
      <c r="L1196" s="16" t="str">
        <f aca="false">IF(B1196="","",IF(N1196=_xlfn.MAXIFS($N$2:$N$5001,$B$2:$B$5001,B1196,$I$2:$I$5001,I1196),1,0))</f>
        <v/>
      </c>
      <c r="M1196" s="16" t="str">
        <f aca="false">IF(B1196="","",IF(E1196="Em ajustes",IF(N1196=_xlfn.MINIFS($N$2:$N$5001,$B$2:$B$5001,B1196,$E$2:$E$5001,"Em ajustes"),1,0),0))</f>
        <v/>
      </c>
      <c r="N1196" s="17" t="str">
        <f aca="false">IF(A1196="","",IF(ISNUMBER(A1196),A1196,IFERROR(DATE(VALUE(MID(A1196,7,4)),VALUE(MID(A1196,4,2)),VALUE(MID(A1196,1,2)))+TIME(VALUE(MID(A1196,12,2)),VALUE(MID(A1196,15,2)),VALUE(MID(A1196,18,2))),"")))</f>
        <v/>
      </c>
    </row>
    <row r="1197" customFormat="false" ht="15" hidden="false" customHeight="false" outlineLevel="0" collapsed="false">
      <c r="I1197" s="15" t="str">
        <f aca="false">IF(N1197="","",INT(N1197))</f>
        <v/>
      </c>
      <c r="J1197" s="16" t="str">
        <f aca="false">IF(B1197="","",IF(N1197=_xlfn.MINIFS($N$2:$N$5001,$B$2:$B$5001,B1197),1,0))</f>
        <v/>
      </c>
      <c r="K1197" s="16" t="str">
        <f aca="false">IF(B1197="","",IF(AND(D1197="Formalização",E1197="Concluído"),IF(COUNTIFS($B$2:$B$5001,B1197,$E$2:$E$5001,"Em ajustes",$N$2:$N$5001,"&lt;"&amp;I1197)&gt;0,1,0),0))</f>
        <v/>
      </c>
      <c r="L1197" s="16" t="str">
        <f aca="false">IF(B1197="","",IF(N1197=_xlfn.MAXIFS($N$2:$N$5001,$B$2:$B$5001,B1197,$I$2:$I$5001,I1197),1,0))</f>
        <v/>
      </c>
      <c r="M1197" s="16" t="str">
        <f aca="false">IF(B1197="","",IF(E1197="Em ajustes",IF(N1197=_xlfn.MINIFS($N$2:$N$5001,$B$2:$B$5001,B1197,$E$2:$E$5001,"Em ajustes"),1,0),0))</f>
        <v/>
      </c>
      <c r="N1197" s="17" t="str">
        <f aca="false">IF(A1197="","",IF(ISNUMBER(A1197),A1197,IFERROR(DATE(VALUE(MID(A1197,7,4)),VALUE(MID(A1197,4,2)),VALUE(MID(A1197,1,2)))+TIME(VALUE(MID(A1197,12,2)),VALUE(MID(A1197,15,2)),VALUE(MID(A1197,18,2))),"")))</f>
        <v/>
      </c>
    </row>
    <row r="1198" customFormat="false" ht="15" hidden="false" customHeight="false" outlineLevel="0" collapsed="false">
      <c r="I1198" s="15" t="str">
        <f aca="false">IF(N1198="","",INT(N1198))</f>
        <v/>
      </c>
      <c r="J1198" s="16" t="str">
        <f aca="false">IF(B1198="","",IF(N1198=_xlfn.MINIFS($N$2:$N$5001,$B$2:$B$5001,B1198),1,0))</f>
        <v/>
      </c>
      <c r="K1198" s="16" t="str">
        <f aca="false">IF(B1198="","",IF(AND(D1198="Formalização",E1198="Concluído"),IF(COUNTIFS($B$2:$B$5001,B1198,$E$2:$E$5001,"Em ajustes",$N$2:$N$5001,"&lt;"&amp;I1198)&gt;0,1,0),0))</f>
        <v/>
      </c>
      <c r="L1198" s="16" t="str">
        <f aca="false">IF(B1198="","",IF(N1198=_xlfn.MAXIFS($N$2:$N$5001,$B$2:$B$5001,B1198,$I$2:$I$5001,I1198),1,0))</f>
        <v/>
      </c>
      <c r="M1198" s="16" t="str">
        <f aca="false">IF(B1198="","",IF(E1198="Em ajustes",IF(N1198=_xlfn.MINIFS($N$2:$N$5001,$B$2:$B$5001,B1198,$E$2:$E$5001,"Em ajustes"),1,0),0))</f>
        <v/>
      </c>
      <c r="N1198" s="17" t="str">
        <f aca="false">IF(A1198="","",IF(ISNUMBER(A1198),A1198,IFERROR(DATE(VALUE(MID(A1198,7,4)),VALUE(MID(A1198,4,2)),VALUE(MID(A1198,1,2)))+TIME(VALUE(MID(A1198,12,2)),VALUE(MID(A1198,15,2)),VALUE(MID(A1198,18,2))),"")))</f>
        <v/>
      </c>
    </row>
    <row r="1199" customFormat="false" ht="15" hidden="false" customHeight="false" outlineLevel="0" collapsed="false">
      <c r="I1199" s="15" t="str">
        <f aca="false">IF(N1199="","",INT(N1199))</f>
        <v/>
      </c>
      <c r="J1199" s="16" t="str">
        <f aca="false">IF(B1199="","",IF(N1199=_xlfn.MINIFS($N$2:$N$5001,$B$2:$B$5001,B1199),1,0))</f>
        <v/>
      </c>
      <c r="K1199" s="16" t="str">
        <f aca="false">IF(B1199="","",IF(AND(D1199="Formalização",E1199="Concluído"),IF(COUNTIFS($B$2:$B$5001,B1199,$E$2:$E$5001,"Em ajustes",$N$2:$N$5001,"&lt;"&amp;I1199)&gt;0,1,0),0))</f>
        <v/>
      </c>
      <c r="L1199" s="16" t="str">
        <f aca="false">IF(B1199="","",IF(N1199=_xlfn.MAXIFS($N$2:$N$5001,$B$2:$B$5001,B1199,$I$2:$I$5001,I1199),1,0))</f>
        <v/>
      </c>
      <c r="M1199" s="16" t="str">
        <f aca="false">IF(B1199="","",IF(E1199="Em ajustes",IF(N1199=_xlfn.MINIFS($N$2:$N$5001,$B$2:$B$5001,B1199,$E$2:$E$5001,"Em ajustes"),1,0),0))</f>
        <v/>
      </c>
      <c r="N1199" s="17" t="str">
        <f aca="false">IF(A1199="","",IF(ISNUMBER(A1199),A1199,IFERROR(DATE(VALUE(MID(A1199,7,4)),VALUE(MID(A1199,4,2)),VALUE(MID(A1199,1,2)))+TIME(VALUE(MID(A1199,12,2)),VALUE(MID(A1199,15,2)),VALUE(MID(A1199,18,2))),"")))</f>
        <v/>
      </c>
    </row>
    <row r="1200" customFormat="false" ht="15" hidden="false" customHeight="false" outlineLevel="0" collapsed="false">
      <c r="I1200" s="15" t="str">
        <f aca="false">IF(N1200="","",INT(N1200))</f>
        <v/>
      </c>
      <c r="J1200" s="16" t="str">
        <f aca="false">IF(B1200="","",IF(N1200=_xlfn.MINIFS($N$2:$N$5001,$B$2:$B$5001,B1200),1,0))</f>
        <v/>
      </c>
      <c r="K1200" s="16" t="str">
        <f aca="false">IF(B1200="","",IF(AND(D1200="Formalização",E1200="Concluído"),IF(COUNTIFS($B$2:$B$5001,B1200,$E$2:$E$5001,"Em ajustes",$N$2:$N$5001,"&lt;"&amp;I1200)&gt;0,1,0),0))</f>
        <v/>
      </c>
      <c r="L1200" s="16" t="str">
        <f aca="false">IF(B1200="","",IF(N1200=_xlfn.MAXIFS($N$2:$N$5001,$B$2:$B$5001,B1200,$I$2:$I$5001,I1200),1,0))</f>
        <v/>
      </c>
      <c r="M1200" s="16" t="str">
        <f aca="false">IF(B1200="","",IF(E1200="Em ajustes",IF(N1200=_xlfn.MINIFS($N$2:$N$5001,$B$2:$B$5001,B1200,$E$2:$E$5001,"Em ajustes"),1,0),0))</f>
        <v/>
      </c>
      <c r="N1200" s="17" t="str">
        <f aca="false">IF(A1200="","",IF(ISNUMBER(A1200),A1200,IFERROR(DATE(VALUE(MID(A1200,7,4)),VALUE(MID(A1200,4,2)),VALUE(MID(A1200,1,2)))+TIME(VALUE(MID(A1200,12,2)),VALUE(MID(A1200,15,2)),VALUE(MID(A1200,18,2))),"")))</f>
        <v/>
      </c>
    </row>
    <row r="1201" customFormat="false" ht="15" hidden="false" customHeight="false" outlineLevel="0" collapsed="false">
      <c r="I1201" s="15" t="str">
        <f aca="false">IF(N1201="","",INT(N1201))</f>
        <v/>
      </c>
      <c r="J1201" s="16" t="str">
        <f aca="false">IF(B1201="","",IF(N1201=_xlfn.MINIFS($N$2:$N$5001,$B$2:$B$5001,B1201),1,0))</f>
        <v/>
      </c>
      <c r="K1201" s="16" t="str">
        <f aca="false">IF(B1201="","",IF(AND(D1201="Formalização",E1201="Concluído"),IF(COUNTIFS($B$2:$B$5001,B1201,$E$2:$E$5001,"Em ajustes",$N$2:$N$5001,"&lt;"&amp;I1201)&gt;0,1,0),0))</f>
        <v/>
      </c>
      <c r="L1201" s="16" t="str">
        <f aca="false">IF(B1201="","",IF(N1201=_xlfn.MAXIFS($N$2:$N$5001,$B$2:$B$5001,B1201,$I$2:$I$5001,I1201),1,0))</f>
        <v/>
      </c>
      <c r="M1201" s="16" t="str">
        <f aca="false">IF(B1201="","",IF(E1201="Em ajustes",IF(N1201=_xlfn.MINIFS($N$2:$N$5001,$B$2:$B$5001,B1201,$E$2:$E$5001,"Em ajustes"),1,0),0))</f>
        <v/>
      </c>
      <c r="N1201" s="17" t="str">
        <f aca="false">IF(A1201="","",IF(ISNUMBER(A1201),A1201,IFERROR(DATE(VALUE(MID(A1201,7,4)),VALUE(MID(A1201,4,2)),VALUE(MID(A1201,1,2)))+TIME(VALUE(MID(A1201,12,2)),VALUE(MID(A1201,15,2)),VALUE(MID(A1201,18,2))),"")))</f>
        <v/>
      </c>
    </row>
    <row r="1202" customFormat="false" ht="15" hidden="false" customHeight="false" outlineLevel="0" collapsed="false">
      <c r="I1202" s="15" t="str">
        <f aca="false">IF(N1202="","",INT(N1202))</f>
        <v/>
      </c>
      <c r="J1202" s="16" t="str">
        <f aca="false">IF(B1202="","",IF(N1202=_xlfn.MINIFS($N$2:$N$5001,$B$2:$B$5001,B1202),1,0))</f>
        <v/>
      </c>
      <c r="K1202" s="16" t="str">
        <f aca="false">IF(B1202="","",IF(AND(D1202="Formalização",E1202="Concluído"),IF(COUNTIFS($B$2:$B$5001,B1202,$E$2:$E$5001,"Em ajustes",$N$2:$N$5001,"&lt;"&amp;I1202)&gt;0,1,0),0))</f>
        <v/>
      </c>
      <c r="L1202" s="16" t="str">
        <f aca="false">IF(B1202="","",IF(N1202=_xlfn.MAXIFS($N$2:$N$5001,$B$2:$B$5001,B1202,$I$2:$I$5001,I1202),1,0))</f>
        <v/>
      </c>
      <c r="M1202" s="16" t="str">
        <f aca="false">IF(B1202="","",IF(E1202="Em ajustes",IF(N1202=_xlfn.MINIFS($N$2:$N$5001,$B$2:$B$5001,B1202,$E$2:$E$5001,"Em ajustes"),1,0),0))</f>
        <v/>
      </c>
      <c r="N1202" s="17" t="str">
        <f aca="false">IF(A1202="","",IF(ISNUMBER(A1202),A1202,IFERROR(DATE(VALUE(MID(A1202,7,4)),VALUE(MID(A1202,4,2)),VALUE(MID(A1202,1,2)))+TIME(VALUE(MID(A1202,12,2)),VALUE(MID(A1202,15,2)),VALUE(MID(A1202,18,2))),"")))</f>
        <v/>
      </c>
    </row>
    <row r="1203" customFormat="false" ht="15" hidden="false" customHeight="false" outlineLevel="0" collapsed="false">
      <c r="I1203" s="15" t="str">
        <f aca="false">IF(N1203="","",INT(N1203))</f>
        <v/>
      </c>
      <c r="J1203" s="16" t="str">
        <f aca="false">IF(B1203="","",IF(N1203=_xlfn.MINIFS($N$2:$N$5001,$B$2:$B$5001,B1203),1,0))</f>
        <v/>
      </c>
      <c r="K1203" s="16" t="str">
        <f aca="false">IF(B1203="","",IF(AND(D1203="Formalização",E1203="Concluído"),IF(COUNTIFS($B$2:$B$5001,B1203,$E$2:$E$5001,"Em ajustes",$N$2:$N$5001,"&lt;"&amp;I1203)&gt;0,1,0),0))</f>
        <v/>
      </c>
      <c r="L1203" s="16" t="str">
        <f aca="false">IF(B1203="","",IF(N1203=_xlfn.MAXIFS($N$2:$N$5001,$B$2:$B$5001,B1203,$I$2:$I$5001,I1203),1,0))</f>
        <v/>
      </c>
      <c r="M1203" s="16" t="str">
        <f aca="false">IF(B1203="","",IF(E1203="Em ajustes",IF(N1203=_xlfn.MINIFS($N$2:$N$5001,$B$2:$B$5001,B1203,$E$2:$E$5001,"Em ajustes"),1,0),0))</f>
        <v/>
      </c>
      <c r="N1203" s="17" t="str">
        <f aca="false">IF(A1203="","",IF(ISNUMBER(A1203),A1203,IFERROR(DATE(VALUE(MID(A1203,7,4)),VALUE(MID(A1203,4,2)),VALUE(MID(A1203,1,2)))+TIME(VALUE(MID(A1203,12,2)),VALUE(MID(A1203,15,2)),VALUE(MID(A1203,18,2))),"")))</f>
        <v/>
      </c>
    </row>
    <row r="1204" customFormat="false" ht="15" hidden="false" customHeight="false" outlineLevel="0" collapsed="false">
      <c r="I1204" s="15" t="str">
        <f aca="false">IF(N1204="","",INT(N1204))</f>
        <v/>
      </c>
      <c r="J1204" s="16" t="str">
        <f aca="false">IF(B1204="","",IF(N1204=_xlfn.MINIFS($N$2:$N$5001,$B$2:$B$5001,B1204),1,0))</f>
        <v/>
      </c>
      <c r="K1204" s="16" t="str">
        <f aca="false">IF(B1204="","",IF(AND(D1204="Formalização",E1204="Concluído"),IF(COUNTIFS($B$2:$B$5001,B1204,$E$2:$E$5001,"Em ajustes",$N$2:$N$5001,"&lt;"&amp;I1204)&gt;0,1,0),0))</f>
        <v/>
      </c>
      <c r="L1204" s="16" t="str">
        <f aca="false">IF(B1204="","",IF(N1204=_xlfn.MAXIFS($N$2:$N$5001,$B$2:$B$5001,B1204,$I$2:$I$5001,I1204),1,0))</f>
        <v/>
      </c>
      <c r="M1204" s="16" t="str">
        <f aca="false">IF(B1204="","",IF(E1204="Em ajustes",IF(N1204=_xlfn.MINIFS($N$2:$N$5001,$B$2:$B$5001,B1204,$E$2:$E$5001,"Em ajustes"),1,0),0))</f>
        <v/>
      </c>
      <c r="N1204" s="17" t="str">
        <f aca="false">IF(A1204="","",IF(ISNUMBER(A1204),A1204,IFERROR(DATE(VALUE(MID(A1204,7,4)),VALUE(MID(A1204,4,2)),VALUE(MID(A1204,1,2)))+TIME(VALUE(MID(A1204,12,2)),VALUE(MID(A1204,15,2)),VALUE(MID(A1204,18,2))),"")))</f>
        <v/>
      </c>
    </row>
    <row r="1205" customFormat="false" ht="15" hidden="false" customHeight="false" outlineLevel="0" collapsed="false">
      <c r="I1205" s="15" t="str">
        <f aca="false">IF(N1205="","",INT(N1205))</f>
        <v/>
      </c>
      <c r="J1205" s="16" t="str">
        <f aca="false">IF(B1205="","",IF(N1205=_xlfn.MINIFS($N$2:$N$5001,$B$2:$B$5001,B1205),1,0))</f>
        <v/>
      </c>
      <c r="K1205" s="16" t="str">
        <f aca="false">IF(B1205="","",IF(AND(D1205="Formalização",E1205="Concluído"),IF(COUNTIFS($B$2:$B$5001,B1205,$E$2:$E$5001,"Em ajustes",$N$2:$N$5001,"&lt;"&amp;I1205)&gt;0,1,0),0))</f>
        <v/>
      </c>
      <c r="L1205" s="16" t="str">
        <f aca="false">IF(B1205="","",IF(N1205=_xlfn.MAXIFS($N$2:$N$5001,$B$2:$B$5001,B1205,$I$2:$I$5001,I1205),1,0))</f>
        <v/>
      </c>
      <c r="M1205" s="16" t="str">
        <f aca="false">IF(B1205="","",IF(E1205="Em ajustes",IF(N1205=_xlfn.MINIFS($N$2:$N$5001,$B$2:$B$5001,B1205,$E$2:$E$5001,"Em ajustes"),1,0),0))</f>
        <v/>
      </c>
      <c r="N1205" s="17" t="str">
        <f aca="false">IF(A1205="","",IF(ISNUMBER(A1205),A1205,IFERROR(DATE(VALUE(MID(A1205,7,4)),VALUE(MID(A1205,4,2)),VALUE(MID(A1205,1,2)))+TIME(VALUE(MID(A1205,12,2)),VALUE(MID(A1205,15,2)),VALUE(MID(A1205,18,2))),"")))</f>
        <v/>
      </c>
    </row>
    <row r="1206" customFormat="false" ht="15" hidden="false" customHeight="false" outlineLevel="0" collapsed="false">
      <c r="I1206" s="15" t="str">
        <f aca="false">IF(N1206="","",INT(N1206))</f>
        <v/>
      </c>
      <c r="J1206" s="16" t="str">
        <f aca="false">IF(B1206="","",IF(N1206=_xlfn.MINIFS($N$2:$N$5001,$B$2:$B$5001,B1206),1,0))</f>
        <v/>
      </c>
      <c r="K1206" s="16" t="str">
        <f aca="false">IF(B1206="","",IF(AND(D1206="Formalização",E1206="Concluído"),IF(COUNTIFS($B$2:$B$5001,B1206,$E$2:$E$5001,"Em ajustes",$N$2:$N$5001,"&lt;"&amp;I1206)&gt;0,1,0),0))</f>
        <v/>
      </c>
      <c r="L1206" s="16" t="str">
        <f aca="false">IF(B1206="","",IF(N1206=_xlfn.MAXIFS($N$2:$N$5001,$B$2:$B$5001,B1206,$I$2:$I$5001,I1206),1,0))</f>
        <v/>
      </c>
      <c r="M1206" s="16" t="str">
        <f aca="false">IF(B1206="","",IF(E1206="Em ajustes",IF(N1206=_xlfn.MINIFS($N$2:$N$5001,$B$2:$B$5001,B1206,$E$2:$E$5001,"Em ajustes"),1,0),0))</f>
        <v/>
      </c>
      <c r="N1206" s="17" t="str">
        <f aca="false">IF(A1206="","",IF(ISNUMBER(A1206),A1206,IFERROR(DATE(VALUE(MID(A1206,7,4)),VALUE(MID(A1206,4,2)),VALUE(MID(A1206,1,2)))+TIME(VALUE(MID(A1206,12,2)),VALUE(MID(A1206,15,2)),VALUE(MID(A1206,18,2))),"")))</f>
        <v/>
      </c>
    </row>
    <row r="1207" customFormat="false" ht="15" hidden="false" customHeight="false" outlineLevel="0" collapsed="false">
      <c r="I1207" s="15" t="str">
        <f aca="false">IF(N1207="","",INT(N1207))</f>
        <v/>
      </c>
      <c r="J1207" s="16" t="str">
        <f aca="false">IF(B1207="","",IF(N1207=_xlfn.MINIFS($N$2:$N$5001,$B$2:$B$5001,B1207),1,0))</f>
        <v/>
      </c>
      <c r="K1207" s="16" t="str">
        <f aca="false">IF(B1207="","",IF(AND(D1207="Formalização",E1207="Concluído"),IF(COUNTIFS($B$2:$B$5001,B1207,$E$2:$E$5001,"Em ajustes",$N$2:$N$5001,"&lt;"&amp;I1207)&gt;0,1,0),0))</f>
        <v/>
      </c>
      <c r="L1207" s="16" t="str">
        <f aca="false">IF(B1207="","",IF(N1207=_xlfn.MAXIFS($N$2:$N$5001,$B$2:$B$5001,B1207,$I$2:$I$5001,I1207),1,0))</f>
        <v/>
      </c>
      <c r="M1207" s="16" t="str">
        <f aca="false">IF(B1207="","",IF(E1207="Em ajustes",IF(N1207=_xlfn.MINIFS($N$2:$N$5001,$B$2:$B$5001,B1207,$E$2:$E$5001,"Em ajustes"),1,0),0))</f>
        <v/>
      </c>
      <c r="N1207" s="17" t="str">
        <f aca="false">IF(A1207="","",IF(ISNUMBER(A1207),A1207,IFERROR(DATE(VALUE(MID(A1207,7,4)),VALUE(MID(A1207,4,2)),VALUE(MID(A1207,1,2)))+TIME(VALUE(MID(A1207,12,2)),VALUE(MID(A1207,15,2)),VALUE(MID(A1207,18,2))),"")))</f>
        <v/>
      </c>
    </row>
    <row r="1208" customFormat="false" ht="15" hidden="false" customHeight="false" outlineLevel="0" collapsed="false">
      <c r="I1208" s="15" t="str">
        <f aca="false">IF(N1208="","",INT(N1208))</f>
        <v/>
      </c>
      <c r="J1208" s="16" t="str">
        <f aca="false">IF(B1208="","",IF(N1208=_xlfn.MINIFS($N$2:$N$5001,$B$2:$B$5001,B1208),1,0))</f>
        <v/>
      </c>
      <c r="K1208" s="16" t="str">
        <f aca="false">IF(B1208="","",IF(AND(D1208="Formalização",E1208="Concluído"),IF(COUNTIFS($B$2:$B$5001,B1208,$E$2:$E$5001,"Em ajustes",$N$2:$N$5001,"&lt;"&amp;I1208)&gt;0,1,0),0))</f>
        <v/>
      </c>
      <c r="L1208" s="16" t="str">
        <f aca="false">IF(B1208="","",IF(N1208=_xlfn.MAXIFS($N$2:$N$5001,$B$2:$B$5001,B1208,$I$2:$I$5001,I1208),1,0))</f>
        <v/>
      </c>
      <c r="M1208" s="16" t="str">
        <f aca="false">IF(B1208="","",IF(E1208="Em ajustes",IF(N1208=_xlfn.MINIFS($N$2:$N$5001,$B$2:$B$5001,B1208,$E$2:$E$5001,"Em ajustes"),1,0),0))</f>
        <v/>
      </c>
      <c r="N1208" s="17" t="str">
        <f aca="false">IF(A1208="","",IF(ISNUMBER(A1208),A1208,IFERROR(DATE(VALUE(MID(A1208,7,4)),VALUE(MID(A1208,4,2)),VALUE(MID(A1208,1,2)))+TIME(VALUE(MID(A1208,12,2)),VALUE(MID(A1208,15,2)),VALUE(MID(A1208,18,2))),"")))</f>
        <v/>
      </c>
    </row>
    <row r="1209" customFormat="false" ht="15" hidden="false" customHeight="false" outlineLevel="0" collapsed="false">
      <c r="I1209" s="15" t="str">
        <f aca="false">IF(N1209="","",INT(N1209))</f>
        <v/>
      </c>
      <c r="J1209" s="16" t="str">
        <f aca="false">IF(B1209="","",IF(N1209=_xlfn.MINIFS($N$2:$N$5001,$B$2:$B$5001,B1209),1,0))</f>
        <v/>
      </c>
      <c r="K1209" s="16" t="str">
        <f aca="false">IF(B1209="","",IF(AND(D1209="Formalização",E1209="Concluído"),IF(COUNTIFS($B$2:$B$5001,B1209,$E$2:$E$5001,"Em ajustes",$N$2:$N$5001,"&lt;"&amp;I1209)&gt;0,1,0),0))</f>
        <v/>
      </c>
      <c r="L1209" s="16" t="str">
        <f aca="false">IF(B1209="","",IF(N1209=_xlfn.MAXIFS($N$2:$N$5001,$B$2:$B$5001,B1209,$I$2:$I$5001,I1209),1,0))</f>
        <v/>
      </c>
      <c r="M1209" s="16" t="str">
        <f aca="false">IF(B1209="","",IF(E1209="Em ajustes",IF(N1209=_xlfn.MINIFS($N$2:$N$5001,$B$2:$B$5001,B1209,$E$2:$E$5001,"Em ajustes"),1,0),0))</f>
        <v/>
      </c>
      <c r="N1209" s="17" t="str">
        <f aca="false">IF(A1209="","",IF(ISNUMBER(A1209),A1209,IFERROR(DATE(VALUE(MID(A1209,7,4)),VALUE(MID(A1209,4,2)),VALUE(MID(A1209,1,2)))+TIME(VALUE(MID(A1209,12,2)),VALUE(MID(A1209,15,2)),VALUE(MID(A1209,18,2))),"")))</f>
        <v/>
      </c>
    </row>
    <row r="1210" customFormat="false" ht="15" hidden="false" customHeight="false" outlineLevel="0" collapsed="false">
      <c r="I1210" s="15" t="str">
        <f aca="false">IF(N1210="","",INT(N1210))</f>
        <v/>
      </c>
      <c r="J1210" s="16" t="str">
        <f aca="false">IF(B1210="","",IF(N1210=_xlfn.MINIFS($N$2:$N$5001,$B$2:$B$5001,B1210),1,0))</f>
        <v/>
      </c>
      <c r="K1210" s="16" t="str">
        <f aca="false">IF(B1210="","",IF(AND(D1210="Formalização",E1210="Concluído"),IF(COUNTIFS($B$2:$B$5001,B1210,$E$2:$E$5001,"Em ajustes",$N$2:$N$5001,"&lt;"&amp;I1210)&gt;0,1,0),0))</f>
        <v/>
      </c>
      <c r="L1210" s="16" t="str">
        <f aca="false">IF(B1210="","",IF(N1210=_xlfn.MAXIFS($N$2:$N$5001,$B$2:$B$5001,B1210,$I$2:$I$5001,I1210),1,0))</f>
        <v/>
      </c>
      <c r="M1210" s="16" t="str">
        <f aca="false">IF(B1210="","",IF(E1210="Em ajustes",IF(N1210=_xlfn.MINIFS($N$2:$N$5001,$B$2:$B$5001,B1210,$E$2:$E$5001,"Em ajustes"),1,0),0))</f>
        <v/>
      </c>
      <c r="N1210" s="17" t="str">
        <f aca="false">IF(A1210="","",IF(ISNUMBER(A1210),A1210,IFERROR(DATE(VALUE(MID(A1210,7,4)),VALUE(MID(A1210,4,2)),VALUE(MID(A1210,1,2)))+TIME(VALUE(MID(A1210,12,2)),VALUE(MID(A1210,15,2)),VALUE(MID(A1210,18,2))),"")))</f>
        <v/>
      </c>
    </row>
    <row r="1211" customFormat="false" ht="15" hidden="false" customHeight="false" outlineLevel="0" collapsed="false">
      <c r="I1211" s="15" t="str">
        <f aca="false">IF(N1211="","",INT(N1211))</f>
        <v/>
      </c>
      <c r="J1211" s="16" t="str">
        <f aca="false">IF(B1211="","",IF(N1211=_xlfn.MINIFS($N$2:$N$5001,$B$2:$B$5001,B1211),1,0))</f>
        <v/>
      </c>
      <c r="K1211" s="16" t="str">
        <f aca="false">IF(B1211="","",IF(AND(D1211="Formalização",E1211="Concluído"),IF(COUNTIFS($B$2:$B$5001,B1211,$E$2:$E$5001,"Em ajustes",$N$2:$N$5001,"&lt;"&amp;I1211)&gt;0,1,0),0))</f>
        <v/>
      </c>
      <c r="L1211" s="16" t="str">
        <f aca="false">IF(B1211="","",IF(N1211=_xlfn.MAXIFS($N$2:$N$5001,$B$2:$B$5001,B1211,$I$2:$I$5001,I1211),1,0))</f>
        <v/>
      </c>
      <c r="M1211" s="16" t="str">
        <f aca="false">IF(B1211="","",IF(E1211="Em ajustes",IF(N1211=_xlfn.MINIFS($N$2:$N$5001,$B$2:$B$5001,B1211,$E$2:$E$5001,"Em ajustes"),1,0),0))</f>
        <v/>
      </c>
      <c r="N1211" s="17" t="str">
        <f aca="false">IF(A1211="","",IF(ISNUMBER(A1211),A1211,IFERROR(DATE(VALUE(MID(A1211,7,4)),VALUE(MID(A1211,4,2)),VALUE(MID(A1211,1,2)))+TIME(VALUE(MID(A1211,12,2)),VALUE(MID(A1211,15,2)),VALUE(MID(A1211,18,2))),"")))</f>
        <v/>
      </c>
    </row>
    <row r="1212" customFormat="false" ht="15" hidden="false" customHeight="false" outlineLevel="0" collapsed="false">
      <c r="I1212" s="15" t="str">
        <f aca="false">IF(N1212="","",INT(N1212))</f>
        <v/>
      </c>
      <c r="J1212" s="16" t="str">
        <f aca="false">IF(B1212="","",IF(N1212=_xlfn.MINIFS($N$2:$N$5001,$B$2:$B$5001,B1212),1,0))</f>
        <v/>
      </c>
      <c r="K1212" s="16" t="str">
        <f aca="false">IF(B1212="","",IF(AND(D1212="Formalização",E1212="Concluído"),IF(COUNTIFS($B$2:$B$5001,B1212,$E$2:$E$5001,"Em ajustes",$N$2:$N$5001,"&lt;"&amp;I1212)&gt;0,1,0),0))</f>
        <v/>
      </c>
      <c r="L1212" s="16" t="str">
        <f aca="false">IF(B1212="","",IF(N1212=_xlfn.MAXIFS($N$2:$N$5001,$B$2:$B$5001,B1212,$I$2:$I$5001,I1212),1,0))</f>
        <v/>
      </c>
      <c r="M1212" s="16" t="str">
        <f aca="false">IF(B1212="","",IF(E1212="Em ajustes",IF(N1212=_xlfn.MINIFS($N$2:$N$5001,$B$2:$B$5001,B1212,$E$2:$E$5001,"Em ajustes"),1,0),0))</f>
        <v/>
      </c>
      <c r="N1212" s="17" t="str">
        <f aca="false">IF(A1212="","",IF(ISNUMBER(A1212),A1212,IFERROR(DATE(VALUE(MID(A1212,7,4)),VALUE(MID(A1212,4,2)),VALUE(MID(A1212,1,2)))+TIME(VALUE(MID(A1212,12,2)),VALUE(MID(A1212,15,2)),VALUE(MID(A1212,18,2))),"")))</f>
        <v/>
      </c>
    </row>
    <row r="1213" customFormat="false" ht="15" hidden="false" customHeight="false" outlineLevel="0" collapsed="false">
      <c r="I1213" s="15" t="str">
        <f aca="false">IF(N1213="","",INT(N1213))</f>
        <v/>
      </c>
      <c r="J1213" s="16" t="str">
        <f aca="false">IF(B1213="","",IF(N1213=_xlfn.MINIFS($N$2:$N$5001,$B$2:$B$5001,B1213),1,0))</f>
        <v/>
      </c>
      <c r="K1213" s="16" t="str">
        <f aca="false">IF(B1213="","",IF(AND(D1213="Formalização",E1213="Concluído"),IF(COUNTIFS($B$2:$B$5001,B1213,$E$2:$E$5001,"Em ajustes",$N$2:$N$5001,"&lt;"&amp;I1213)&gt;0,1,0),0))</f>
        <v/>
      </c>
      <c r="L1213" s="16" t="str">
        <f aca="false">IF(B1213="","",IF(N1213=_xlfn.MAXIFS($N$2:$N$5001,$B$2:$B$5001,B1213,$I$2:$I$5001,I1213),1,0))</f>
        <v/>
      </c>
      <c r="M1213" s="16" t="str">
        <f aca="false">IF(B1213="","",IF(E1213="Em ajustes",IF(N1213=_xlfn.MINIFS($N$2:$N$5001,$B$2:$B$5001,B1213,$E$2:$E$5001,"Em ajustes"),1,0),0))</f>
        <v/>
      </c>
      <c r="N1213" s="17" t="str">
        <f aca="false">IF(A1213="","",IF(ISNUMBER(A1213),A1213,IFERROR(DATE(VALUE(MID(A1213,7,4)),VALUE(MID(A1213,4,2)),VALUE(MID(A1213,1,2)))+TIME(VALUE(MID(A1213,12,2)),VALUE(MID(A1213,15,2)),VALUE(MID(A1213,18,2))),"")))</f>
        <v/>
      </c>
    </row>
    <row r="1214" customFormat="false" ht="15" hidden="false" customHeight="false" outlineLevel="0" collapsed="false">
      <c r="I1214" s="15" t="str">
        <f aca="false">IF(N1214="","",INT(N1214))</f>
        <v/>
      </c>
      <c r="J1214" s="16" t="str">
        <f aca="false">IF(B1214="","",IF(N1214=_xlfn.MINIFS($N$2:$N$5001,$B$2:$B$5001,B1214),1,0))</f>
        <v/>
      </c>
      <c r="K1214" s="16" t="str">
        <f aca="false">IF(B1214="","",IF(AND(D1214="Formalização",E1214="Concluído"),IF(COUNTIFS($B$2:$B$5001,B1214,$E$2:$E$5001,"Em ajustes",$N$2:$N$5001,"&lt;"&amp;I1214)&gt;0,1,0),0))</f>
        <v/>
      </c>
      <c r="L1214" s="16" t="str">
        <f aca="false">IF(B1214="","",IF(N1214=_xlfn.MAXIFS($N$2:$N$5001,$B$2:$B$5001,B1214,$I$2:$I$5001,I1214),1,0))</f>
        <v/>
      </c>
      <c r="M1214" s="16" t="str">
        <f aca="false">IF(B1214="","",IF(E1214="Em ajustes",IF(N1214=_xlfn.MINIFS($N$2:$N$5001,$B$2:$B$5001,B1214,$E$2:$E$5001,"Em ajustes"),1,0),0))</f>
        <v/>
      </c>
      <c r="N1214" s="17" t="str">
        <f aca="false">IF(A1214="","",IF(ISNUMBER(A1214),A1214,IFERROR(DATE(VALUE(MID(A1214,7,4)),VALUE(MID(A1214,4,2)),VALUE(MID(A1214,1,2)))+TIME(VALUE(MID(A1214,12,2)),VALUE(MID(A1214,15,2)),VALUE(MID(A1214,18,2))),"")))</f>
        <v/>
      </c>
    </row>
    <row r="1215" customFormat="false" ht="15" hidden="false" customHeight="false" outlineLevel="0" collapsed="false">
      <c r="I1215" s="15" t="str">
        <f aca="false">IF(N1215="","",INT(N1215))</f>
        <v/>
      </c>
      <c r="J1215" s="16" t="str">
        <f aca="false">IF(B1215="","",IF(N1215=_xlfn.MINIFS($N$2:$N$5001,$B$2:$B$5001,B1215),1,0))</f>
        <v/>
      </c>
      <c r="K1215" s="16" t="str">
        <f aca="false">IF(B1215="","",IF(AND(D1215="Formalização",E1215="Concluído"),IF(COUNTIFS($B$2:$B$5001,B1215,$E$2:$E$5001,"Em ajustes",$N$2:$N$5001,"&lt;"&amp;I1215)&gt;0,1,0),0))</f>
        <v/>
      </c>
      <c r="L1215" s="16" t="str">
        <f aca="false">IF(B1215="","",IF(N1215=_xlfn.MAXIFS($N$2:$N$5001,$B$2:$B$5001,B1215,$I$2:$I$5001,I1215),1,0))</f>
        <v/>
      </c>
      <c r="M1215" s="16" t="str">
        <f aca="false">IF(B1215="","",IF(E1215="Em ajustes",IF(N1215=_xlfn.MINIFS($N$2:$N$5001,$B$2:$B$5001,B1215,$E$2:$E$5001,"Em ajustes"),1,0),0))</f>
        <v/>
      </c>
      <c r="N1215" s="17" t="str">
        <f aca="false">IF(A1215="","",IF(ISNUMBER(A1215),A1215,IFERROR(DATE(VALUE(MID(A1215,7,4)),VALUE(MID(A1215,4,2)),VALUE(MID(A1215,1,2)))+TIME(VALUE(MID(A1215,12,2)),VALUE(MID(A1215,15,2)),VALUE(MID(A1215,18,2))),"")))</f>
        <v/>
      </c>
    </row>
    <row r="1216" customFormat="false" ht="15" hidden="false" customHeight="false" outlineLevel="0" collapsed="false">
      <c r="I1216" s="15" t="str">
        <f aca="false">IF(N1216="","",INT(N1216))</f>
        <v/>
      </c>
      <c r="J1216" s="16" t="str">
        <f aca="false">IF(B1216="","",IF(N1216=_xlfn.MINIFS($N$2:$N$5001,$B$2:$B$5001,B1216),1,0))</f>
        <v/>
      </c>
      <c r="K1216" s="16" t="str">
        <f aca="false">IF(B1216="","",IF(AND(D1216="Formalização",E1216="Concluído"),IF(COUNTIFS($B$2:$B$5001,B1216,$E$2:$E$5001,"Em ajustes",$N$2:$N$5001,"&lt;"&amp;I1216)&gt;0,1,0),0))</f>
        <v/>
      </c>
      <c r="L1216" s="16" t="str">
        <f aca="false">IF(B1216="","",IF(N1216=_xlfn.MAXIFS($N$2:$N$5001,$B$2:$B$5001,B1216,$I$2:$I$5001,I1216),1,0))</f>
        <v/>
      </c>
      <c r="M1216" s="16" t="str">
        <f aca="false">IF(B1216="","",IF(E1216="Em ajustes",IF(N1216=_xlfn.MINIFS($N$2:$N$5001,$B$2:$B$5001,B1216,$E$2:$E$5001,"Em ajustes"),1,0),0))</f>
        <v/>
      </c>
      <c r="N1216" s="17" t="str">
        <f aca="false">IF(A1216="","",IF(ISNUMBER(A1216),A1216,IFERROR(DATE(VALUE(MID(A1216,7,4)),VALUE(MID(A1216,4,2)),VALUE(MID(A1216,1,2)))+TIME(VALUE(MID(A1216,12,2)),VALUE(MID(A1216,15,2)),VALUE(MID(A1216,18,2))),"")))</f>
        <v/>
      </c>
    </row>
    <row r="1217" customFormat="false" ht="15" hidden="false" customHeight="false" outlineLevel="0" collapsed="false">
      <c r="I1217" s="15" t="str">
        <f aca="false">IF(N1217="","",INT(N1217))</f>
        <v/>
      </c>
      <c r="J1217" s="16" t="str">
        <f aca="false">IF(B1217="","",IF(N1217=_xlfn.MINIFS($N$2:$N$5001,$B$2:$B$5001,B1217),1,0))</f>
        <v/>
      </c>
      <c r="K1217" s="16" t="str">
        <f aca="false">IF(B1217="","",IF(AND(D1217="Formalização",E1217="Concluído"),IF(COUNTIFS($B$2:$B$5001,B1217,$E$2:$E$5001,"Em ajustes",$N$2:$N$5001,"&lt;"&amp;I1217)&gt;0,1,0),0))</f>
        <v/>
      </c>
      <c r="L1217" s="16" t="str">
        <f aca="false">IF(B1217="","",IF(N1217=_xlfn.MAXIFS($N$2:$N$5001,$B$2:$B$5001,B1217,$I$2:$I$5001,I1217),1,0))</f>
        <v/>
      </c>
      <c r="M1217" s="16" t="str">
        <f aca="false">IF(B1217="","",IF(E1217="Em ajustes",IF(N1217=_xlfn.MINIFS($N$2:$N$5001,$B$2:$B$5001,B1217,$E$2:$E$5001,"Em ajustes"),1,0),0))</f>
        <v/>
      </c>
      <c r="N1217" s="17" t="str">
        <f aca="false">IF(A1217="","",IF(ISNUMBER(A1217),A1217,IFERROR(DATE(VALUE(MID(A1217,7,4)),VALUE(MID(A1217,4,2)),VALUE(MID(A1217,1,2)))+TIME(VALUE(MID(A1217,12,2)),VALUE(MID(A1217,15,2)),VALUE(MID(A1217,18,2))),"")))</f>
        <v/>
      </c>
    </row>
    <row r="1218" customFormat="false" ht="15" hidden="false" customHeight="false" outlineLevel="0" collapsed="false">
      <c r="I1218" s="15" t="str">
        <f aca="false">IF(N1218="","",INT(N1218))</f>
        <v/>
      </c>
      <c r="J1218" s="16" t="str">
        <f aca="false">IF(B1218="","",IF(N1218=_xlfn.MINIFS($N$2:$N$5001,$B$2:$B$5001,B1218),1,0))</f>
        <v/>
      </c>
      <c r="K1218" s="16" t="str">
        <f aca="false">IF(B1218="","",IF(AND(D1218="Formalização",E1218="Concluído"),IF(COUNTIFS($B$2:$B$5001,B1218,$E$2:$E$5001,"Em ajustes",$N$2:$N$5001,"&lt;"&amp;I1218)&gt;0,1,0),0))</f>
        <v/>
      </c>
      <c r="L1218" s="16" t="str">
        <f aca="false">IF(B1218="","",IF(N1218=_xlfn.MAXIFS($N$2:$N$5001,$B$2:$B$5001,B1218,$I$2:$I$5001,I1218),1,0))</f>
        <v/>
      </c>
      <c r="M1218" s="16" t="str">
        <f aca="false">IF(B1218="","",IF(E1218="Em ajustes",IF(N1218=_xlfn.MINIFS($N$2:$N$5001,$B$2:$B$5001,B1218,$E$2:$E$5001,"Em ajustes"),1,0),0))</f>
        <v/>
      </c>
      <c r="N1218" s="17" t="str">
        <f aca="false">IF(A1218="","",IF(ISNUMBER(A1218),A1218,IFERROR(DATE(VALUE(MID(A1218,7,4)),VALUE(MID(A1218,4,2)),VALUE(MID(A1218,1,2)))+TIME(VALUE(MID(A1218,12,2)),VALUE(MID(A1218,15,2)),VALUE(MID(A1218,18,2))),"")))</f>
        <v/>
      </c>
    </row>
    <row r="1219" customFormat="false" ht="15" hidden="false" customHeight="false" outlineLevel="0" collapsed="false">
      <c r="I1219" s="15" t="str">
        <f aca="false">IF(N1219="","",INT(N1219))</f>
        <v/>
      </c>
      <c r="J1219" s="16" t="str">
        <f aca="false">IF(B1219="","",IF(N1219=_xlfn.MINIFS($N$2:$N$5001,$B$2:$B$5001,B1219),1,0))</f>
        <v/>
      </c>
      <c r="K1219" s="16" t="str">
        <f aca="false">IF(B1219="","",IF(AND(D1219="Formalização",E1219="Concluído"),IF(COUNTIFS($B$2:$B$5001,B1219,$E$2:$E$5001,"Em ajustes",$N$2:$N$5001,"&lt;"&amp;I1219)&gt;0,1,0),0))</f>
        <v/>
      </c>
      <c r="L1219" s="16" t="str">
        <f aca="false">IF(B1219="","",IF(N1219=_xlfn.MAXIFS($N$2:$N$5001,$B$2:$B$5001,B1219,$I$2:$I$5001,I1219),1,0))</f>
        <v/>
      </c>
      <c r="M1219" s="16" t="str">
        <f aca="false">IF(B1219="","",IF(E1219="Em ajustes",IF(N1219=_xlfn.MINIFS($N$2:$N$5001,$B$2:$B$5001,B1219,$E$2:$E$5001,"Em ajustes"),1,0),0))</f>
        <v/>
      </c>
      <c r="N1219" s="17" t="str">
        <f aca="false">IF(A1219="","",IF(ISNUMBER(A1219),A1219,IFERROR(DATE(VALUE(MID(A1219,7,4)),VALUE(MID(A1219,4,2)),VALUE(MID(A1219,1,2)))+TIME(VALUE(MID(A1219,12,2)),VALUE(MID(A1219,15,2)),VALUE(MID(A1219,18,2))),"")))</f>
        <v/>
      </c>
    </row>
    <row r="1220" customFormat="false" ht="15" hidden="false" customHeight="false" outlineLevel="0" collapsed="false">
      <c r="I1220" s="15" t="str">
        <f aca="false">IF(N1220="","",INT(N1220))</f>
        <v/>
      </c>
      <c r="J1220" s="16" t="str">
        <f aca="false">IF(B1220="","",IF(N1220=_xlfn.MINIFS($N$2:$N$5001,$B$2:$B$5001,B1220),1,0))</f>
        <v/>
      </c>
      <c r="K1220" s="16" t="str">
        <f aca="false">IF(B1220="","",IF(AND(D1220="Formalização",E1220="Concluído"),IF(COUNTIFS($B$2:$B$5001,B1220,$E$2:$E$5001,"Em ajustes",$N$2:$N$5001,"&lt;"&amp;I1220)&gt;0,1,0),0))</f>
        <v/>
      </c>
      <c r="L1220" s="16" t="str">
        <f aca="false">IF(B1220="","",IF(N1220=_xlfn.MAXIFS($N$2:$N$5001,$B$2:$B$5001,B1220,$I$2:$I$5001,I1220),1,0))</f>
        <v/>
      </c>
      <c r="M1220" s="16" t="str">
        <f aca="false">IF(B1220="","",IF(E1220="Em ajustes",IF(N1220=_xlfn.MINIFS($N$2:$N$5001,$B$2:$B$5001,B1220,$E$2:$E$5001,"Em ajustes"),1,0),0))</f>
        <v/>
      </c>
      <c r="N1220" s="17" t="str">
        <f aca="false">IF(A1220="","",IF(ISNUMBER(A1220),A1220,IFERROR(DATE(VALUE(MID(A1220,7,4)),VALUE(MID(A1220,4,2)),VALUE(MID(A1220,1,2)))+TIME(VALUE(MID(A1220,12,2)),VALUE(MID(A1220,15,2)),VALUE(MID(A1220,18,2))),"")))</f>
        <v/>
      </c>
    </row>
    <row r="1221" customFormat="false" ht="15" hidden="false" customHeight="false" outlineLevel="0" collapsed="false">
      <c r="I1221" s="15" t="str">
        <f aca="false">IF(N1221="","",INT(N1221))</f>
        <v/>
      </c>
      <c r="J1221" s="16" t="str">
        <f aca="false">IF(B1221="","",IF(N1221=_xlfn.MINIFS($N$2:$N$5001,$B$2:$B$5001,B1221),1,0))</f>
        <v/>
      </c>
      <c r="K1221" s="16" t="str">
        <f aca="false">IF(B1221="","",IF(AND(D1221="Formalização",E1221="Concluído"),IF(COUNTIFS($B$2:$B$5001,B1221,$E$2:$E$5001,"Em ajustes",$N$2:$N$5001,"&lt;"&amp;I1221)&gt;0,1,0),0))</f>
        <v/>
      </c>
      <c r="L1221" s="16" t="str">
        <f aca="false">IF(B1221="","",IF(N1221=_xlfn.MAXIFS($N$2:$N$5001,$B$2:$B$5001,B1221,$I$2:$I$5001,I1221),1,0))</f>
        <v/>
      </c>
      <c r="M1221" s="16" t="str">
        <f aca="false">IF(B1221="","",IF(E1221="Em ajustes",IF(N1221=_xlfn.MINIFS($N$2:$N$5001,$B$2:$B$5001,B1221,$E$2:$E$5001,"Em ajustes"),1,0),0))</f>
        <v/>
      </c>
      <c r="N1221" s="17" t="str">
        <f aca="false">IF(A1221="","",IF(ISNUMBER(A1221),A1221,IFERROR(DATE(VALUE(MID(A1221,7,4)),VALUE(MID(A1221,4,2)),VALUE(MID(A1221,1,2)))+TIME(VALUE(MID(A1221,12,2)),VALUE(MID(A1221,15,2)),VALUE(MID(A1221,18,2))),"")))</f>
        <v/>
      </c>
    </row>
    <row r="1222" customFormat="false" ht="15" hidden="false" customHeight="false" outlineLevel="0" collapsed="false">
      <c r="I1222" s="15" t="str">
        <f aca="false">IF(N1222="","",INT(N1222))</f>
        <v/>
      </c>
      <c r="J1222" s="16" t="str">
        <f aca="false">IF(B1222="","",IF(N1222=_xlfn.MINIFS($N$2:$N$5001,$B$2:$B$5001,B1222),1,0))</f>
        <v/>
      </c>
      <c r="K1222" s="16" t="str">
        <f aca="false">IF(B1222="","",IF(AND(D1222="Formalização",E1222="Concluído"),IF(COUNTIFS($B$2:$B$5001,B1222,$E$2:$E$5001,"Em ajustes",$N$2:$N$5001,"&lt;"&amp;I1222)&gt;0,1,0),0))</f>
        <v/>
      </c>
      <c r="L1222" s="16" t="str">
        <f aca="false">IF(B1222="","",IF(N1222=_xlfn.MAXIFS($N$2:$N$5001,$B$2:$B$5001,B1222,$I$2:$I$5001,I1222),1,0))</f>
        <v/>
      </c>
      <c r="M1222" s="16" t="str">
        <f aca="false">IF(B1222="","",IF(E1222="Em ajustes",IF(N1222=_xlfn.MINIFS($N$2:$N$5001,$B$2:$B$5001,B1222,$E$2:$E$5001,"Em ajustes"),1,0),0))</f>
        <v/>
      </c>
      <c r="N1222" s="17" t="str">
        <f aca="false">IF(A1222="","",IF(ISNUMBER(A1222),A1222,IFERROR(DATE(VALUE(MID(A1222,7,4)),VALUE(MID(A1222,4,2)),VALUE(MID(A1222,1,2)))+TIME(VALUE(MID(A1222,12,2)),VALUE(MID(A1222,15,2)),VALUE(MID(A1222,18,2))),"")))</f>
        <v/>
      </c>
    </row>
    <row r="1223" customFormat="false" ht="15" hidden="false" customHeight="false" outlineLevel="0" collapsed="false">
      <c r="I1223" s="15" t="str">
        <f aca="false">IF(N1223="","",INT(N1223))</f>
        <v/>
      </c>
      <c r="J1223" s="16" t="str">
        <f aca="false">IF(B1223="","",IF(N1223=_xlfn.MINIFS($N$2:$N$5001,$B$2:$B$5001,B1223),1,0))</f>
        <v/>
      </c>
      <c r="K1223" s="16" t="str">
        <f aca="false">IF(B1223="","",IF(AND(D1223="Formalização",E1223="Concluído"),IF(COUNTIFS($B$2:$B$5001,B1223,$E$2:$E$5001,"Em ajustes",$N$2:$N$5001,"&lt;"&amp;I1223)&gt;0,1,0),0))</f>
        <v/>
      </c>
      <c r="L1223" s="16" t="str">
        <f aca="false">IF(B1223="","",IF(N1223=_xlfn.MAXIFS($N$2:$N$5001,$B$2:$B$5001,B1223,$I$2:$I$5001,I1223),1,0))</f>
        <v/>
      </c>
      <c r="M1223" s="16" t="str">
        <f aca="false">IF(B1223="","",IF(E1223="Em ajustes",IF(N1223=_xlfn.MINIFS($N$2:$N$5001,$B$2:$B$5001,B1223,$E$2:$E$5001,"Em ajustes"),1,0),0))</f>
        <v/>
      </c>
      <c r="N1223" s="17" t="str">
        <f aca="false">IF(A1223="","",IF(ISNUMBER(A1223),A1223,IFERROR(DATE(VALUE(MID(A1223,7,4)),VALUE(MID(A1223,4,2)),VALUE(MID(A1223,1,2)))+TIME(VALUE(MID(A1223,12,2)),VALUE(MID(A1223,15,2)),VALUE(MID(A1223,18,2))),"")))</f>
        <v/>
      </c>
    </row>
    <row r="1224" customFormat="false" ht="15" hidden="false" customHeight="false" outlineLevel="0" collapsed="false">
      <c r="I1224" s="15" t="str">
        <f aca="false">IF(N1224="","",INT(N1224))</f>
        <v/>
      </c>
      <c r="J1224" s="16" t="str">
        <f aca="false">IF(B1224="","",IF(N1224=_xlfn.MINIFS($N$2:$N$5001,$B$2:$B$5001,B1224),1,0))</f>
        <v/>
      </c>
      <c r="K1224" s="16" t="str">
        <f aca="false">IF(B1224="","",IF(AND(D1224="Formalização",E1224="Concluído"),IF(COUNTIFS($B$2:$B$5001,B1224,$E$2:$E$5001,"Em ajustes",$N$2:$N$5001,"&lt;"&amp;I1224)&gt;0,1,0),0))</f>
        <v/>
      </c>
      <c r="L1224" s="16" t="str">
        <f aca="false">IF(B1224="","",IF(N1224=_xlfn.MAXIFS($N$2:$N$5001,$B$2:$B$5001,B1224,$I$2:$I$5001,I1224),1,0))</f>
        <v/>
      </c>
      <c r="M1224" s="16" t="str">
        <f aca="false">IF(B1224="","",IF(E1224="Em ajustes",IF(N1224=_xlfn.MINIFS($N$2:$N$5001,$B$2:$B$5001,B1224,$E$2:$E$5001,"Em ajustes"),1,0),0))</f>
        <v/>
      </c>
      <c r="N1224" s="17" t="str">
        <f aca="false">IF(A1224="","",IF(ISNUMBER(A1224),A1224,IFERROR(DATE(VALUE(MID(A1224,7,4)),VALUE(MID(A1224,4,2)),VALUE(MID(A1224,1,2)))+TIME(VALUE(MID(A1224,12,2)),VALUE(MID(A1224,15,2)),VALUE(MID(A1224,18,2))),"")))</f>
        <v/>
      </c>
    </row>
    <row r="1225" customFormat="false" ht="15" hidden="false" customHeight="false" outlineLevel="0" collapsed="false">
      <c r="I1225" s="15" t="str">
        <f aca="false">IF(N1225="","",INT(N1225))</f>
        <v/>
      </c>
      <c r="J1225" s="16" t="str">
        <f aca="false">IF(B1225="","",IF(N1225=_xlfn.MINIFS($N$2:$N$5001,$B$2:$B$5001,B1225),1,0))</f>
        <v/>
      </c>
      <c r="K1225" s="16" t="str">
        <f aca="false">IF(B1225="","",IF(AND(D1225="Formalização",E1225="Concluído"),IF(COUNTIFS($B$2:$B$5001,B1225,$E$2:$E$5001,"Em ajustes",$N$2:$N$5001,"&lt;"&amp;I1225)&gt;0,1,0),0))</f>
        <v/>
      </c>
      <c r="L1225" s="16" t="str">
        <f aca="false">IF(B1225="","",IF(N1225=_xlfn.MAXIFS($N$2:$N$5001,$B$2:$B$5001,B1225,$I$2:$I$5001,I1225),1,0))</f>
        <v/>
      </c>
      <c r="M1225" s="16" t="str">
        <f aca="false">IF(B1225="","",IF(E1225="Em ajustes",IF(N1225=_xlfn.MINIFS($N$2:$N$5001,$B$2:$B$5001,B1225,$E$2:$E$5001,"Em ajustes"),1,0),0))</f>
        <v/>
      </c>
      <c r="N1225" s="17" t="str">
        <f aca="false">IF(A1225="","",IF(ISNUMBER(A1225),A1225,IFERROR(DATE(VALUE(MID(A1225,7,4)),VALUE(MID(A1225,4,2)),VALUE(MID(A1225,1,2)))+TIME(VALUE(MID(A1225,12,2)),VALUE(MID(A1225,15,2)),VALUE(MID(A1225,18,2))),"")))</f>
        <v/>
      </c>
    </row>
    <row r="1226" customFormat="false" ht="15" hidden="false" customHeight="false" outlineLevel="0" collapsed="false">
      <c r="I1226" s="15" t="str">
        <f aca="false">IF(N1226="","",INT(N1226))</f>
        <v/>
      </c>
      <c r="J1226" s="16" t="str">
        <f aca="false">IF(B1226="","",IF(N1226=_xlfn.MINIFS($N$2:$N$5001,$B$2:$B$5001,B1226),1,0))</f>
        <v/>
      </c>
      <c r="K1226" s="16" t="str">
        <f aca="false">IF(B1226="","",IF(AND(D1226="Formalização",E1226="Concluído"),IF(COUNTIFS($B$2:$B$5001,B1226,$E$2:$E$5001,"Em ajustes",$N$2:$N$5001,"&lt;"&amp;I1226)&gt;0,1,0),0))</f>
        <v/>
      </c>
      <c r="L1226" s="16" t="str">
        <f aca="false">IF(B1226="","",IF(N1226=_xlfn.MAXIFS($N$2:$N$5001,$B$2:$B$5001,B1226,$I$2:$I$5001,I1226),1,0))</f>
        <v/>
      </c>
      <c r="M1226" s="16" t="str">
        <f aca="false">IF(B1226="","",IF(E1226="Em ajustes",IF(N1226=_xlfn.MINIFS($N$2:$N$5001,$B$2:$B$5001,B1226,$E$2:$E$5001,"Em ajustes"),1,0),0))</f>
        <v/>
      </c>
      <c r="N1226" s="17" t="str">
        <f aca="false">IF(A1226="","",IF(ISNUMBER(A1226),A1226,IFERROR(DATE(VALUE(MID(A1226,7,4)),VALUE(MID(A1226,4,2)),VALUE(MID(A1226,1,2)))+TIME(VALUE(MID(A1226,12,2)),VALUE(MID(A1226,15,2)),VALUE(MID(A1226,18,2))),"")))</f>
        <v/>
      </c>
    </row>
    <row r="1227" customFormat="false" ht="15" hidden="false" customHeight="false" outlineLevel="0" collapsed="false">
      <c r="I1227" s="15" t="str">
        <f aca="false">IF(N1227="","",INT(N1227))</f>
        <v/>
      </c>
      <c r="J1227" s="16" t="str">
        <f aca="false">IF(B1227="","",IF(N1227=_xlfn.MINIFS($N$2:$N$5001,$B$2:$B$5001,B1227),1,0))</f>
        <v/>
      </c>
      <c r="K1227" s="16" t="str">
        <f aca="false">IF(B1227="","",IF(AND(D1227="Formalização",E1227="Concluído"),IF(COUNTIFS($B$2:$B$5001,B1227,$E$2:$E$5001,"Em ajustes",$N$2:$N$5001,"&lt;"&amp;I1227)&gt;0,1,0),0))</f>
        <v/>
      </c>
      <c r="L1227" s="16" t="str">
        <f aca="false">IF(B1227="","",IF(N1227=_xlfn.MAXIFS($N$2:$N$5001,$B$2:$B$5001,B1227,$I$2:$I$5001,I1227),1,0))</f>
        <v/>
      </c>
      <c r="M1227" s="16" t="str">
        <f aca="false">IF(B1227="","",IF(E1227="Em ajustes",IF(N1227=_xlfn.MINIFS($N$2:$N$5001,$B$2:$B$5001,B1227,$E$2:$E$5001,"Em ajustes"),1,0),0))</f>
        <v/>
      </c>
      <c r="N1227" s="17" t="str">
        <f aca="false">IF(A1227="","",IF(ISNUMBER(A1227),A1227,IFERROR(DATE(VALUE(MID(A1227,7,4)),VALUE(MID(A1227,4,2)),VALUE(MID(A1227,1,2)))+TIME(VALUE(MID(A1227,12,2)),VALUE(MID(A1227,15,2)),VALUE(MID(A1227,18,2))),"")))</f>
        <v/>
      </c>
    </row>
    <row r="1228" customFormat="false" ht="15" hidden="false" customHeight="false" outlineLevel="0" collapsed="false">
      <c r="I1228" s="15" t="str">
        <f aca="false">IF(N1228="","",INT(N1228))</f>
        <v/>
      </c>
      <c r="J1228" s="16" t="str">
        <f aca="false">IF(B1228="","",IF(N1228=_xlfn.MINIFS($N$2:$N$5001,$B$2:$B$5001,B1228),1,0))</f>
        <v/>
      </c>
      <c r="K1228" s="16" t="str">
        <f aca="false">IF(B1228="","",IF(AND(D1228="Formalização",E1228="Concluído"),IF(COUNTIFS($B$2:$B$5001,B1228,$E$2:$E$5001,"Em ajustes",$N$2:$N$5001,"&lt;"&amp;I1228)&gt;0,1,0),0))</f>
        <v/>
      </c>
      <c r="L1228" s="16" t="str">
        <f aca="false">IF(B1228="","",IF(N1228=_xlfn.MAXIFS($N$2:$N$5001,$B$2:$B$5001,B1228,$I$2:$I$5001,I1228),1,0))</f>
        <v/>
      </c>
      <c r="M1228" s="16" t="str">
        <f aca="false">IF(B1228="","",IF(E1228="Em ajustes",IF(N1228=_xlfn.MINIFS($N$2:$N$5001,$B$2:$B$5001,B1228,$E$2:$E$5001,"Em ajustes"),1,0),0))</f>
        <v/>
      </c>
      <c r="N1228" s="17" t="str">
        <f aca="false">IF(A1228="","",IF(ISNUMBER(A1228),A1228,IFERROR(DATE(VALUE(MID(A1228,7,4)),VALUE(MID(A1228,4,2)),VALUE(MID(A1228,1,2)))+TIME(VALUE(MID(A1228,12,2)),VALUE(MID(A1228,15,2)),VALUE(MID(A1228,18,2))),"")))</f>
        <v/>
      </c>
    </row>
    <row r="1229" customFormat="false" ht="15" hidden="false" customHeight="false" outlineLevel="0" collapsed="false">
      <c r="I1229" s="15" t="str">
        <f aca="false">IF(N1229="","",INT(N1229))</f>
        <v/>
      </c>
      <c r="J1229" s="16" t="str">
        <f aca="false">IF(B1229="","",IF(N1229=_xlfn.MINIFS($N$2:$N$5001,$B$2:$B$5001,B1229),1,0))</f>
        <v/>
      </c>
      <c r="K1229" s="16" t="str">
        <f aca="false">IF(B1229="","",IF(AND(D1229="Formalização",E1229="Concluído"),IF(COUNTIFS($B$2:$B$5001,B1229,$E$2:$E$5001,"Em ajustes",$N$2:$N$5001,"&lt;"&amp;I1229)&gt;0,1,0),0))</f>
        <v/>
      </c>
      <c r="L1229" s="16" t="str">
        <f aca="false">IF(B1229="","",IF(N1229=_xlfn.MAXIFS($N$2:$N$5001,$B$2:$B$5001,B1229,$I$2:$I$5001,I1229),1,0))</f>
        <v/>
      </c>
      <c r="M1229" s="16" t="str">
        <f aca="false">IF(B1229="","",IF(E1229="Em ajustes",IF(N1229=_xlfn.MINIFS($N$2:$N$5001,$B$2:$B$5001,B1229,$E$2:$E$5001,"Em ajustes"),1,0),0))</f>
        <v/>
      </c>
      <c r="N1229" s="17" t="str">
        <f aca="false">IF(A1229="","",IF(ISNUMBER(A1229),A1229,IFERROR(DATE(VALUE(MID(A1229,7,4)),VALUE(MID(A1229,4,2)),VALUE(MID(A1229,1,2)))+TIME(VALUE(MID(A1229,12,2)),VALUE(MID(A1229,15,2)),VALUE(MID(A1229,18,2))),"")))</f>
        <v/>
      </c>
    </row>
    <row r="1230" customFormat="false" ht="15" hidden="false" customHeight="false" outlineLevel="0" collapsed="false">
      <c r="I1230" s="15" t="str">
        <f aca="false">IF(N1230="","",INT(N1230))</f>
        <v/>
      </c>
      <c r="J1230" s="16" t="str">
        <f aca="false">IF(B1230="","",IF(N1230=_xlfn.MINIFS($N$2:$N$5001,$B$2:$B$5001,B1230),1,0))</f>
        <v/>
      </c>
      <c r="K1230" s="16" t="str">
        <f aca="false">IF(B1230="","",IF(AND(D1230="Formalização",E1230="Concluído"),IF(COUNTIFS($B$2:$B$5001,B1230,$E$2:$E$5001,"Em ajustes",$N$2:$N$5001,"&lt;"&amp;I1230)&gt;0,1,0),0))</f>
        <v/>
      </c>
      <c r="L1230" s="16" t="str">
        <f aca="false">IF(B1230="","",IF(N1230=_xlfn.MAXIFS($N$2:$N$5001,$B$2:$B$5001,B1230,$I$2:$I$5001,I1230),1,0))</f>
        <v/>
      </c>
      <c r="M1230" s="16" t="str">
        <f aca="false">IF(B1230="","",IF(E1230="Em ajustes",IF(N1230=_xlfn.MINIFS($N$2:$N$5001,$B$2:$B$5001,B1230,$E$2:$E$5001,"Em ajustes"),1,0),0))</f>
        <v/>
      </c>
      <c r="N1230" s="17" t="str">
        <f aca="false">IF(A1230="","",IF(ISNUMBER(A1230),A1230,IFERROR(DATE(VALUE(MID(A1230,7,4)),VALUE(MID(A1230,4,2)),VALUE(MID(A1230,1,2)))+TIME(VALUE(MID(A1230,12,2)),VALUE(MID(A1230,15,2)),VALUE(MID(A1230,18,2))),"")))</f>
        <v/>
      </c>
    </row>
    <row r="1231" customFormat="false" ht="15" hidden="false" customHeight="false" outlineLevel="0" collapsed="false">
      <c r="I1231" s="15" t="str">
        <f aca="false">IF(N1231="","",INT(N1231))</f>
        <v/>
      </c>
      <c r="J1231" s="16" t="str">
        <f aca="false">IF(B1231="","",IF(N1231=_xlfn.MINIFS($N$2:$N$5001,$B$2:$B$5001,B1231),1,0))</f>
        <v/>
      </c>
      <c r="K1231" s="16" t="str">
        <f aca="false">IF(B1231="","",IF(AND(D1231="Formalização",E1231="Concluído"),IF(COUNTIFS($B$2:$B$5001,B1231,$E$2:$E$5001,"Em ajustes",$N$2:$N$5001,"&lt;"&amp;I1231)&gt;0,1,0),0))</f>
        <v/>
      </c>
      <c r="L1231" s="16" t="str">
        <f aca="false">IF(B1231="","",IF(N1231=_xlfn.MAXIFS($N$2:$N$5001,$B$2:$B$5001,B1231,$I$2:$I$5001,I1231),1,0))</f>
        <v/>
      </c>
      <c r="M1231" s="16" t="str">
        <f aca="false">IF(B1231="","",IF(E1231="Em ajustes",IF(N1231=_xlfn.MINIFS($N$2:$N$5001,$B$2:$B$5001,B1231,$E$2:$E$5001,"Em ajustes"),1,0),0))</f>
        <v/>
      </c>
      <c r="N1231" s="17" t="str">
        <f aca="false">IF(A1231="","",IF(ISNUMBER(A1231),A1231,IFERROR(DATE(VALUE(MID(A1231,7,4)),VALUE(MID(A1231,4,2)),VALUE(MID(A1231,1,2)))+TIME(VALUE(MID(A1231,12,2)),VALUE(MID(A1231,15,2)),VALUE(MID(A1231,18,2))),"")))</f>
        <v/>
      </c>
    </row>
    <row r="1232" customFormat="false" ht="15" hidden="false" customHeight="false" outlineLevel="0" collapsed="false">
      <c r="I1232" s="15" t="str">
        <f aca="false">IF(N1232="","",INT(N1232))</f>
        <v/>
      </c>
      <c r="J1232" s="16" t="str">
        <f aca="false">IF(B1232="","",IF(N1232=_xlfn.MINIFS($N$2:$N$5001,$B$2:$B$5001,B1232),1,0))</f>
        <v/>
      </c>
      <c r="K1232" s="16" t="str">
        <f aca="false">IF(B1232="","",IF(AND(D1232="Formalização",E1232="Concluído"),IF(COUNTIFS($B$2:$B$5001,B1232,$E$2:$E$5001,"Em ajustes",$N$2:$N$5001,"&lt;"&amp;I1232)&gt;0,1,0),0))</f>
        <v/>
      </c>
      <c r="L1232" s="16" t="str">
        <f aca="false">IF(B1232="","",IF(N1232=_xlfn.MAXIFS($N$2:$N$5001,$B$2:$B$5001,B1232,$I$2:$I$5001,I1232),1,0))</f>
        <v/>
      </c>
      <c r="M1232" s="16" t="str">
        <f aca="false">IF(B1232="","",IF(E1232="Em ajustes",IF(N1232=_xlfn.MINIFS($N$2:$N$5001,$B$2:$B$5001,B1232,$E$2:$E$5001,"Em ajustes"),1,0),0))</f>
        <v/>
      </c>
      <c r="N1232" s="17" t="str">
        <f aca="false">IF(A1232="","",IF(ISNUMBER(A1232),A1232,IFERROR(DATE(VALUE(MID(A1232,7,4)),VALUE(MID(A1232,4,2)),VALUE(MID(A1232,1,2)))+TIME(VALUE(MID(A1232,12,2)),VALUE(MID(A1232,15,2)),VALUE(MID(A1232,18,2))),"")))</f>
        <v/>
      </c>
    </row>
    <row r="1233" customFormat="false" ht="15" hidden="false" customHeight="false" outlineLevel="0" collapsed="false">
      <c r="I1233" s="15" t="str">
        <f aca="false">IF(N1233="","",INT(N1233))</f>
        <v/>
      </c>
      <c r="J1233" s="16" t="str">
        <f aca="false">IF(B1233="","",IF(N1233=_xlfn.MINIFS($N$2:$N$5001,$B$2:$B$5001,B1233),1,0))</f>
        <v/>
      </c>
      <c r="K1233" s="16" t="str">
        <f aca="false">IF(B1233="","",IF(AND(D1233="Formalização",E1233="Concluído"),IF(COUNTIFS($B$2:$B$5001,B1233,$E$2:$E$5001,"Em ajustes",$N$2:$N$5001,"&lt;"&amp;I1233)&gt;0,1,0),0))</f>
        <v/>
      </c>
      <c r="L1233" s="16" t="str">
        <f aca="false">IF(B1233="","",IF(N1233=_xlfn.MAXIFS($N$2:$N$5001,$B$2:$B$5001,B1233,$I$2:$I$5001,I1233),1,0))</f>
        <v/>
      </c>
      <c r="M1233" s="16" t="str">
        <f aca="false">IF(B1233="","",IF(E1233="Em ajustes",IF(N1233=_xlfn.MINIFS($N$2:$N$5001,$B$2:$B$5001,B1233,$E$2:$E$5001,"Em ajustes"),1,0),0))</f>
        <v/>
      </c>
      <c r="N1233" s="17" t="str">
        <f aca="false">IF(A1233="","",IF(ISNUMBER(A1233),A1233,IFERROR(DATE(VALUE(MID(A1233,7,4)),VALUE(MID(A1233,4,2)),VALUE(MID(A1233,1,2)))+TIME(VALUE(MID(A1233,12,2)),VALUE(MID(A1233,15,2)),VALUE(MID(A1233,18,2))),"")))</f>
        <v/>
      </c>
    </row>
    <row r="1234" customFormat="false" ht="15" hidden="false" customHeight="false" outlineLevel="0" collapsed="false">
      <c r="I1234" s="15" t="str">
        <f aca="false">IF(N1234="","",INT(N1234))</f>
        <v/>
      </c>
      <c r="J1234" s="16" t="str">
        <f aca="false">IF(B1234="","",IF(N1234=_xlfn.MINIFS($N$2:$N$5001,$B$2:$B$5001,B1234),1,0))</f>
        <v/>
      </c>
      <c r="K1234" s="16" t="str">
        <f aca="false">IF(B1234="","",IF(AND(D1234="Formalização",E1234="Concluído"),IF(COUNTIFS($B$2:$B$5001,B1234,$E$2:$E$5001,"Em ajustes",$N$2:$N$5001,"&lt;"&amp;I1234)&gt;0,1,0),0))</f>
        <v/>
      </c>
      <c r="L1234" s="16" t="str">
        <f aca="false">IF(B1234="","",IF(N1234=_xlfn.MAXIFS($N$2:$N$5001,$B$2:$B$5001,B1234,$I$2:$I$5001,I1234),1,0))</f>
        <v/>
      </c>
      <c r="M1234" s="16" t="str">
        <f aca="false">IF(B1234="","",IF(E1234="Em ajustes",IF(N1234=_xlfn.MINIFS($N$2:$N$5001,$B$2:$B$5001,B1234,$E$2:$E$5001,"Em ajustes"),1,0),0))</f>
        <v/>
      </c>
      <c r="N1234" s="17" t="str">
        <f aca="false">IF(A1234="","",IF(ISNUMBER(A1234),A1234,IFERROR(DATE(VALUE(MID(A1234,7,4)),VALUE(MID(A1234,4,2)),VALUE(MID(A1234,1,2)))+TIME(VALUE(MID(A1234,12,2)),VALUE(MID(A1234,15,2)),VALUE(MID(A1234,18,2))),"")))</f>
        <v/>
      </c>
    </row>
    <row r="1235" customFormat="false" ht="15" hidden="false" customHeight="false" outlineLevel="0" collapsed="false">
      <c r="I1235" s="15" t="str">
        <f aca="false">IF(N1235="","",INT(N1235))</f>
        <v/>
      </c>
      <c r="J1235" s="16" t="str">
        <f aca="false">IF(B1235="","",IF(N1235=_xlfn.MINIFS($N$2:$N$5001,$B$2:$B$5001,B1235),1,0))</f>
        <v/>
      </c>
      <c r="K1235" s="16" t="str">
        <f aca="false">IF(B1235="","",IF(AND(D1235="Formalização",E1235="Concluído"),IF(COUNTIFS($B$2:$B$5001,B1235,$E$2:$E$5001,"Em ajustes",$N$2:$N$5001,"&lt;"&amp;I1235)&gt;0,1,0),0))</f>
        <v/>
      </c>
      <c r="L1235" s="16" t="str">
        <f aca="false">IF(B1235="","",IF(N1235=_xlfn.MAXIFS($N$2:$N$5001,$B$2:$B$5001,B1235,$I$2:$I$5001,I1235),1,0))</f>
        <v/>
      </c>
      <c r="M1235" s="16" t="str">
        <f aca="false">IF(B1235="","",IF(E1235="Em ajustes",IF(N1235=_xlfn.MINIFS($N$2:$N$5001,$B$2:$B$5001,B1235,$E$2:$E$5001,"Em ajustes"),1,0),0))</f>
        <v/>
      </c>
      <c r="N1235" s="17" t="str">
        <f aca="false">IF(A1235="","",IF(ISNUMBER(A1235),A1235,IFERROR(DATE(VALUE(MID(A1235,7,4)),VALUE(MID(A1235,4,2)),VALUE(MID(A1235,1,2)))+TIME(VALUE(MID(A1235,12,2)),VALUE(MID(A1235,15,2)),VALUE(MID(A1235,18,2))),"")))</f>
        <v/>
      </c>
    </row>
    <row r="1236" customFormat="false" ht="15" hidden="false" customHeight="false" outlineLevel="0" collapsed="false">
      <c r="I1236" s="15" t="str">
        <f aca="false">IF(N1236="","",INT(N1236))</f>
        <v/>
      </c>
      <c r="J1236" s="16" t="str">
        <f aca="false">IF(B1236="","",IF(N1236=_xlfn.MINIFS($N$2:$N$5001,$B$2:$B$5001,B1236),1,0))</f>
        <v/>
      </c>
      <c r="K1236" s="16" t="str">
        <f aca="false">IF(B1236="","",IF(AND(D1236="Formalização",E1236="Concluído"),IF(COUNTIFS($B$2:$B$5001,B1236,$E$2:$E$5001,"Em ajustes",$N$2:$N$5001,"&lt;"&amp;I1236)&gt;0,1,0),0))</f>
        <v/>
      </c>
      <c r="L1236" s="16" t="str">
        <f aca="false">IF(B1236="","",IF(N1236=_xlfn.MAXIFS($N$2:$N$5001,$B$2:$B$5001,B1236,$I$2:$I$5001,I1236),1,0))</f>
        <v/>
      </c>
      <c r="M1236" s="16" t="str">
        <f aca="false">IF(B1236="","",IF(E1236="Em ajustes",IF(N1236=_xlfn.MINIFS($N$2:$N$5001,$B$2:$B$5001,B1236,$E$2:$E$5001,"Em ajustes"),1,0),0))</f>
        <v/>
      </c>
      <c r="N1236" s="17" t="str">
        <f aca="false">IF(A1236="","",IF(ISNUMBER(A1236),A1236,IFERROR(DATE(VALUE(MID(A1236,7,4)),VALUE(MID(A1236,4,2)),VALUE(MID(A1236,1,2)))+TIME(VALUE(MID(A1236,12,2)),VALUE(MID(A1236,15,2)),VALUE(MID(A1236,18,2))),"")))</f>
        <v/>
      </c>
    </row>
    <row r="1237" customFormat="false" ht="15" hidden="false" customHeight="false" outlineLevel="0" collapsed="false">
      <c r="I1237" s="15" t="str">
        <f aca="false">IF(N1237="","",INT(N1237))</f>
        <v/>
      </c>
      <c r="J1237" s="16" t="str">
        <f aca="false">IF(B1237="","",IF(N1237=_xlfn.MINIFS($N$2:$N$5001,$B$2:$B$5001,B1237),1,0))</f>
        <v/>
      </c>
      <c r="K1237" s="16" t="str">
        <f aca="false">IF(B1237="","",IF(AND(D1237="Formalização",E1237="Concluído"),IF(COUNTIFS($B$2:$B$5001,B1237,$E$2:$E$5001,"Em ajustes",$N$2:$N$5001,"&lt;"&amp;I1237)&gt;0,1,0),0))</f>
        <v/>
      </c>
      <c r="L1237" s="16" t="str">
        <f aca="false">IF(B1237="","",IF(N1237=_xlfn.MAXIFS($N$2:$N$5001,$B$2:$B$5001,B1237,$I$2:$I$5001,I1237),1,0))</f>
        <v/>
      </c>
      <c r="M1237" s="16" t="str">
        <f aca="false">IF(B1237="","",IF(E1237="Em ajustes",IF(N1237=_xlfn.MINIFS($N$2:$N$5001,$B$2:$B$5001,B1237,$E$2:$E$5001,"Em ajustes"),1,0),0))</f>
        <v/>
      </c>
      <c r="N1237" s="17" t="str">
        <f aca="false">IF(A1237="","",IF(ISNUMBER(A1237),A1237,IFERROR(DATE(VALUE(MID(A1237,7,4)),VALUE(MID(A1237,4,2)),VALUE(MID(A1237,1,2)))+TIME(VALUE(MID(A1237,12,2)),VALUE(MID(A1237,15,2)),VALUE(MID(A1237,18,2))),"")))</f>
        <v/>
      </c>
    </row>
    <row r="1238" customFormat="false" ht="15" hidden="false" customHeight="false" outlineLevel="0" collapsed="false">
      <c r="I1238" s="15" t="str">
        <f aca="false">IF(N1238="","",INT(N1238))</f>
        <v/>
      </c>
      <c r="J1238" s="16" t="str">
        <f aca="false">IF(B1238="","",IF(N1238=_xlfn.MINIFS($N$2:$N$5001,$B$2:$B$5001,B1238),1,0))</f>
        <v/>
      </c>
      <c r="K1238" s="16" t="str">
        <f aca="false">IF(B1238="","",IF(AND(D1238="Formalização",E1238="Concluído"),IF(COUNTIFS($B$2:$B$5001,B1238,$E$2:$E$5001,"Em ajustes",$N$2:$N$5001,"&lt;"&amp;I1238)&gt;0,1,0),0))</f>
        <v/>
      </c>
      <c r="L1238" s="16" t="str">
        <f aca="false">IF(B1238="","",IF(N1238=_xlfn.MAXIFS($N$2:$N$5001,$B$2:$B$5001,B1238,$I$2:$I$5001,I1238),1,0))</f>
        <v/>
      </c>
      <c r="M1238" s="16" t="str">
        <f aca="false">IF(B1238="","",IF(E1238="Em ajustes",IF(N1238=_xlfn.MINIFS($N$2:$N$5001,$B$2:$B$5001,B1238,$E$2:$E$5001,"Em ajustes"),1,0),0))</f>
        <v/>
      </c>
      <c r="N1238" s="17" t="str">
        <f aca="false">IF(A1238="","",IF(ISNUMBER(A1238),A1238,IFERROR(DATE(VALUE(MID(A1238,7,4)),VALUE(MID(A1238,4,2)),VALUE(MID(A1238,1,2)))+TIME(VALUE(MID(A1238,12,2)),VALUE(MID(A1238,15,2)),VALUE(MID(A1238,18,2))),"")))</f>
        <v/>
      </c>
    </row>
    <row r="1239" customFormat="false" ht="15" hidden="false" customHeight="false" outlineLevel="0" collapsed="false">
      <c r="I1239" s="15" t="str">
        <f aca="false">IF(N1239="","",INT(N1239))</f>
        <v/>
      </c>
      <c r="J1239" s="16" t="str">
        <f aca="false">IF(B1239="","",IF(N1239=_xlfn.MINIFS($N$2:$N$5001,$B$2:$B$5001,B1239),1,0))</f>
        <v/>
      </c>
      <c r="K1239" s="16" t="str">
        <f aca="false">IF(B1239="","",IF(AND(D1239="Formalização",E1239="Concluído"),IF(COUNTIFS($B$2:$B$5001,B1239,$E$2:$E$5001,"Em ajustes",$N$2:$N$5001,"&lt;"&amp;I1239)&gt;0,1,0),0))</f>
        <v/>
      </c>
      <c r="L1239" s="16" t="str">
        <f aca="false">IF(B1239="","",IF(N1239=_xlfn.MAXIFS($N$2:$N$5001,$B$2:$B$5001,B1239,$I$2:$I$5001,I1239),1,0))</f>
        <v/>
      </c>
      <c r="M1239" s="16" t="str">
        <f aca="false">IF(B1239="","",IF(E1239="Em ajustes",IF(N1239=_xlfn.MINIFS($N$2:$N$5001,$B$2:$B$5001,B1239,$E$2:$E$5001,"Em ajustes"),1,0),0))</f>
        <v/>
      </c>
      <c r="N1239" s="17" t="str">
        <f aca="false">IF(A1239="","",IF(ISNUMBER(A1239),A1239,IFERROR(DATE(VALUE(MID(A1239,7,4)),VALUE(MID(A1239,4,2)),VALUE(MID(A1239,1,2)))+TIME(VALUE(MID(A1239,12,2)),VALUE(MID(A1239,15,2)),VALUE(MID(A1239,18,2))),"")))</f>
        <v/>
      </c>
    </row>
    <row r="1240" customFormat="false" ht="15" hidden="false" customHeight="false" outlineLevel="0" collapsed="false">
      <c r="I1240" s="15" t="str">
        <f aca="false">IF(N1240="","",INT(N1240))</f>
        <v/>
      </c>
      <c r="J1240" s="16" t="str">
        <f aca="false">IF(B1240="","",IF(N1240=_xlfn.MINIFS($N$2:$N$5001,$B$2:$B$5001,B1240),1,0))</f>
        <v/>
      </c>
      <c r="K1240" s="16" t="str">
        <f aca="false">IF(B1240="","",IF(AND(D1240="Formalização",E1240="Concluído"),IF(COUNTIFS($B$2:$B$5001,B1240,$E$2:$E$5001,"Em ajustes",$N$2:$N$5001,"&lt;"&amp;I1240)&gt;0,1,0),0))</f>
        <v/>
      </c>
      <c r="L1240" s="16" t="str">
        <f aca="false">IF(B1240="","",IF(N1240=_xlfn.MAXIFS($N$2:$N$5001,$B$2:$B$5001,B1240,$I$2:$I$5001,I1240),1,0))</f>
        <v/>
      </c>
      <c r="M1240" s="16" t="str">
        <f aca="false">IF(B1240="","",IF(E1240="Em ajustes",IF(N1240=_xlfn.MINIFS($N$2:$N$5001,$B$2:$B$5001,B1240,$E$2:$E$5001,"Em ajustes"),1,0),0))</f>
        <v/>
      </c>
      <c r="N1240" s="17" t="str">
        <f aca="false">IF(A1240="","",IF(ISNUMBER(A1240),A1240,IFERROR(DATE(VALUE(MID(A1240,7,4)),VALUE(MID(A1240,4,2)),VALUE(MID(A1240,1,2)))+TIME(VALUE(MID(A1240,12,2)),VALUE(MID(A1240,15,2)),VALUE(MID(A1240,18,2))),"")))</f>
        <v/>
      </c>
    </row>
    <row r="1241" customFormat="false" ht="15" hidden="false" customHeight="false" outlineLevel="0" collapsed="false">
      <c r="I1241" s="15" t="str">
        <f aca="false">IF(N1241="","",INT(N1241))</f>
        <v/>
      </c>
      <c r="J1241" s="16" t="str">
        <f aca="false">IF(B1241="","",IF(N1241=_xlfn.MINIFS($N$2:$N$5001,$B$2:$B$5001,B1241),1,0))</f>
        <v/>
      </c>
      <c r="K1241" s="16" t="str">
        <f aca="false">IF(B1241="","",IF(AND(D1241="Formalização",E1241="Concluído"),IF(COUNTIFS($B$2:$B$5001,B1241,$E$2:$E$5001,"Em ajustes",$N$2:$N$5001,"&lt;"&amp;I1241)&gt;0,1,0),0))</f>
        <v/>
      </c>
      <c r="L1241" s="16" t="str">
        <f aca="false">IF(B1241="","",IF(N1241=_xlfn.MAXIFS($N$2:$N$5001,$B$2:$B$5001,B1241,$I$2:$I$5001,I1241),1,0))</f>
        <v/>
      </c>
      <c r="M1241" s="16" t="str">
        <f aca="false">IF(B1241="","",IF(E1241="Em ajustes",IF(N1241=_xlfn.MINIFS($N$2:$N$5001,$B$2:$B$5001,B1241,$E$2:$E$5001,"Em ajustes"),1,0),0))</f>
        <v/>
      </c>
      <c r="N1241" s="17" t="str">
        <f aca="false">IF(A1241="","",IF(ISNUMBER(A1241),A1241,IFERROR(DATE(VALUE(MID(A1241,7,4)),VALUE(MID(A1241,4,2)),VALUE(MID(A1241,1,2)))+TIME(VALUE(MID(A1241,12,2)),VALUE(MID(A1241,15,2)),VALUE(MID(A1241,18,2))),"")))</f>
        <v/>
      </c>
    </row>
    <row r="1242" customFormat="false" ht="15" hidden="false" customHeight="false" outlineLevel="0" collapsed="false">
      <c r="I1242" s="15" t="str">
        <f aca="false">IF(N1242="","",INT(N1242))</f>
        <v/>
      </c>
      <c r="J1242" s="16" t="str">
        <f aca="false">IF(B1242="","",IF(N1242=_xlfn.MINIFS($N$2:$N$5001,$B$2:$B$5001,B1242),1,0))</f>
        <v/>
      </c>
      <c r="K1242" s="16" t="str">
        <f aca="false">IF(B1242="","",IF(AND(D1242="Formalização",E1242="Concluído"),IF(COUNTIFS($B$2:$B$5001,B1242,$E$2:$E$5001,"Em ajustes",$N$2:$N$5001,"&lt;"&amp;I1242)&gt;0,1,0),0))</f>
        <v/>
      </c>
      <c r="L1242" s="16" t="str">
        <f aca="false">IF(B1242="","",IF(N1242=_xlfn.MAXIFS($N$2:$N$5001,$B$2:$B$5001,B1242,$I$2:$I$5001,I1242),1,0))</f>
        <v/>
      </c>
      <c r="M1242" s="16" t="str">
        <f aca="false">IF(B1242="","",IF(E1242="Em ajustes",IF(N1242=_xlfn.MINIFS($N$2:$N$5001,$B$2:$B$5001,B1242,$E$2:$E$5001,"Em ajustes"),1,0),0))</f>
        <v/>
      </c>
      <c r="N1242" s="17" t="str">
        <f aca="false">IF(A1242="","",IF(ISNUMBER(A1242),A1242,IFERROR(DATE(VALUE(MID(A1242,7,4)),VALUE(MID(A1242,4,2)),VALUE(MID(A1242,1,2)))+TIME(VALUE(MID(A1242,12,2)),VALUE(MID(A1242,15,2)),VALUE(MID(A1242,18,2))),"")))</f>
        <v/>
      </c>
    </row>
    <row r="1243" customFormat="false" ht="15" hidden="false" customHeight="false" outlineLevel="0" collapsed="false">
      <c r="I1243" s="15" t="str">
        <f aca="false">IF(N1243="","",INT(N1243))</f>
        <v/>
      </c>
      <c r="J1243" s="16" t="str">
        <f aca="false">IF(B1243="","",IF(N1243=_xlfn.MINIFS($N$2:$N$5001,$B$2:$B$5001,B1243),1,0))</f>
        <v/>
      </c>
      <c r="K1243" s="16" t="str">
        <f aca="false">IF(B1243="","",IF(AND(D1243="Formalização",E1243="Concluído"),IF(COUNTIFS($B$2:$B$5001,B1243,$E$2:$E$5001,"Em ajustes",$N$2:$N$5001,"&lt;"&amp;I1243)&gt;0,1,0),0))</f>
        <v/>
      </c>
      <c r="L1243" s="16" t="str">
        <f aca="false">IF(B1243="","",IF(N1243=_xlfn.MAXIFS($N$2:$N$5001,$B$2:$B$5001,B1243,$I$2:$I$5001,I1243),1,0))</f>
        <v/>
      </c>
      <c r="M1243" s="16" t="str">
        <f aca="false">IF(B1243="","",IF(E1243="Em ajustes",IF(N1243=_xlfn.MINIFS($N$2:$N$5001,$B$2:$B$5001,B1243,$E$2:$E$5001,"Em ajustes"),1,0),0))</f>
        <v/>
      </c>
      <c r="N1243" s="17" t="str">
        <f aca="false">IF(A1243="","",IF(ISNUMBER(A1243),A1243,IFERROR(DATE(VALUE(MID(A1243,7,4)),VALUE(MID(A1243,4,2)),VALUE(MID(A1243,1,2)))+TIME(VALUE(MID(A1243,12,2)),VALUE(MID(A1243,15,2)),VALUE(MID(A1243,18,2))),"")))</f>
        <v/>
      </c>
    </row>
    <row r="1244" customFormat="false" ht="15" hidden="false" customHeight="false" outlineLevel="0" collapsed="false">
      <c r="I1244" s="15" t="str">
        <f aca="false">IF(N1244="","",INT(N1244))</f>
        <v/>
      </c>
      <c r="J1244" s="16" t="str">
        <f aca="false">IF(B1244="","",IF(N1244=_xlfn.MINIFS($N$2:$N$5001,$B$2:$B$5001,B1244),1,0))</f>
        <v/>
      </c>
      <c r="K1244" s="16" t="str">
        <f aca="false">IF(B1244="","",IF(AND(D1244="Formalização",E1244="Concluído"),IF(COUNTIFS($B$2:$B$5001,B1244,$E$2:$E$5001,"Em ajustes",$N$2:$N$5001,"&lt;"&amp;I1244)&gt;0,1,0),0))</f>
        <v/>
      </c>
      <c r="L1244" s="16" t="str">
        <f aca="false">IF(B1244="","",IF(N1244=_xlfn.MAXIFS($N$2:$N$5001,$B$2:$B$5001,B1244,$I$2:$I$5001,I1244),1,0))</f>
        <v/>
      </c>
      <c r="M1244" s="16" t="str">
        <f aca="false">IF(B1244="","",IF(E1244="Em ajustes",IF(N1244=_xlfn.MINIFS($N$2:$N$5001,$B$2:$B$5001,B1244,$E$2:$E$5001,"Em ajustes"),1,0),0))</f>
        <v/>
      </c>
      <c r="N1244" s="17" t="str">
        <f aca="false">IF(A1244="","",IF(ISNUMBER(A1244),A1244,IFERROR(DATE(VALUE(MID(A1244,7,4)),VALUE(MID(A1244,4,2)),VALUE(MID(A1244,1,2)))+TIME(VALUE(MID(A1244,12,2)),VALUE(MID(A1244,15,2)),VALUE(MID(A1244,18,2))),"")))</f>
        <v/>
      </c>
    </row>
    <row r="1245" customFormat="false" ht="15" hidden="false" customHeight="false" outlineLevel="0" collapsed="false">
      <c r="I1245" s="15" t="str">
        <f aca="false">IF(N1245="","",INT(N1245))</f>
        <v/>
      </c>
      <c r="J1245" s="16" t="str">
        <f aca="false">IF(B1245="","",IF(N1245=_xlfn.MINIFS($N$2:$N$5001,$B$2:$B$5001,B1245),1,0))</f>
        <v/>
      </c>
      <c r="K1245" s="16" t="str">
        <f aca="false">IF(B1245="","",IF(AND(D1245="Formalização",E1245="Concluído"),IF(COUNTIFS($B$2:$B$5001,B1245,$E$2:$E$5001,"Em ajustes",$N$2:$N$5001,"&lt;"&amp;I1245)&gt;0,1,0),0))</f>
        <v/>
      </c>
      <c r="L1245" s="16" t="str">
        <f aca="false">IF(B1245="","",IF(N1245=_xlfn.MAXIFS($N$2:$N$5001,$B$2:$B$5001,B1245,$I$2:$I$5001,I1245),1,0))</f>
        <v/>
      </c>
      <c r="M1245" s="16" t="str">
        <f aca="false">IF(B1245="","",IF(E1245="Em ajustes",IF(N1245=_xlfn.MINIFS($N$2:$N$5001,$B$2:$B$5001,B1245,$E$2:$E$5001,"Em ajustes"),1,0),0))</f>
        <v/>
      </c>
      <c r="N1245" s="17" t="str">
        <f aca="false">IF(A1245="","",IF(ISNUMBER(A1245),A1245,IFERROR(DATE(VALUE(MID(A1245,7,4)),VALUE(MID(A1245,4,2)),VALUE(MID(A1245,1,2)))+TIME(VALUE(MID(A1245,12,2)),VALUE(MID(A1245,15,2)),VALUE(MID(A1245,18,2))),"")))</f>
        <v/>
      </c>
    </row>
    <row r="1246" customFormat="false" ht="15" hidden="false" customHeight="false" outlineLevel="0" collapsed="false">
      <c r="I1246" s="15" t="str">
        <f aca="false">IF(N1246="","",INT(N1246))</f>
        <v/>
      </c>
      <c r="J1246" s="16" t="str">
        <f aca="false">IF(B1246="","",IF(N1246=_xlfn.MINIFS($N$2:$N$5001,$B$2:$B$5001,B1246),1,0))</f>
        <v/>
      </c>
      <c r="K1246" s="16" t="str">
        <f aca="false">IF(B1246="","",IF(AND(D1246="Formalização",E1246="Concluído"),IF(COUNTIFS($B$2:$B$5001,B1246,$E$2:$E$5001,"Em ajustes",$N$2:$N$5001,"&lt;"&amp;I1246)&gt;0,1,0),0))</f>
        <v/>
      </c>
      <c r="L1246" s="16" t="str">
        <f aca="false">IF(B1246="","",IF(N1246=_xlfn.MAXIFS($N$2:$N$5001,$B$2:$B$5001,B1246,$I$2:$I$5001,I1246),1,0))</f>
        <v/>
      </c>
      <c r="M1246" s="16" t="str">
        <f aca="false">IF(B1246="","",IF(E1246="Em ajustes",IF(N1246=_xlfn.MINIFS($N$2:$N$5001,$B$2:$B$5001,B1246,$E$2:$E$5001,"Em ajustes"),1,0),0))</f>
        <v/>
      </c>
      <c r="N1246" s="17" t="str">
        <f aca="false">IF(A1246="","",IF(ISNUMBER(A1246),A1246,IFERROR(DATE(VALUE(MID(A1246,7,4)),VALUE(MID(A1246,4,2)),VALUE(MID(A1246,1,2)))+TIME(VALUE(MID(A1246,12,2)),VALUE(MID(A1246,15,2)),VALUE(MID(A1246,18,2))),"")))</f>
        <v/>
      </c>
    </row>
    <row r="1247" customFormat="false" ht="15" hidden="false" customHeight="false" outlineLevel="0" collapsed="false">
      <c r="I1247" s="15" t="str">
        <f aca="false">IF(N1247="","",INT(N1247))</f>
        <v/>
      </c>
      <c r="J1247" s="16" t="str">
        <f aca="false">IF(B1247="","",IF(N1247=_xlfn.MINIFS($N$2:$N$5001,$B$2:$B$5001,B1247),1,0))</f>
        <v/>
      </c>
      <c r="K1247" s="16" t="str">
        <f aca="false">IF(B1247="","",IF(AND(D1247="Formalização",E1247="Concluído"),IF(COUNTIFS($B$2:$B$5001,B1247,$E$2:$E$5001,"Em ajustes",$N$2:$N$5001,"&lt;"&amp;I1247)&gt;0,1,0),0))</f>
        <v/>
      </c>
      <c r="L1247" s="16" t="str">
        <f aca="false">IF(B1247="","",IF(N1247=_xlfn.MAXIFS($N$2:$N$5001,$B$2:$B$5001,B1247,$I$2:$I$5001,I1247),1,0))</f>
        <v/>
      </c>
      <c r="M1247" s="16" t="str">
        <f aca="false">IF(B1247="","",IF(E1247="Em ajustes",IF(N1247=_xlfn.MINIFS($N$2:$N$5001,$B$2:$B$5001,B1247,$E$2:$E$5001,"Em ajustes"),1,0),0))</f>
        <v/>
      </c>
      <c r="N1247" s="17" t="str">
        <f aca="false">IF(A1247="","",IF(ISNUMBER(A1247),A1247,IFERROR(DATE(VALUE(MID(A1247,7,4)),VALUE(MID(A1247,4,2)),VALUE(MID(A1247,1,2)))+TIME(VALUE(MID(A1247,12,2)),VALUE(MID(A1247,15,2)),VALUE(MID(A1247,18,2))),"")))</f>
        <v/>
      </c>
    </row>
    <row r="1248" customFormat="false" ht="15" hidden="false" customHeight="false" outlineLevel="0" collapsed="false">
      <c r="I1248" s="15" t="str">
        <f aca="false">IF(N1248="","",INT(N1248))</f>
        <v/>
      </c>
      <c r="J1248" s="16" t="str">
        <f aca="false">IF(B1248="","",IF(N1248=_xlfn.MINIFS($N$2:$N$5001,$B$2:$B$5001,B1248),1,0))</f>
        <v/>
      </c>
      <c r="K1248" s="16" t="str">
        <f aca="false">IF(B1248="","",IF(AND(D1248="Formalização",E1248="Concluído"),IF(COUNTIFS($B$2:$B$5001,B1248,$E$2:$E$5001,"Em ajustes",$N$2:$N$5001,"&lt;"&amp;I1248)&gt;0,1,0),0))</f>
        <v/>
      </c>
      <c r="L1248" s="16" t="str">
        <f aca="false">IF(B1248="","",IF(N1248=_xlfn.MAXIFS($N$2:$N$5001,$B$2:$B$5001,B1248,$I$2:$I$5001,I1248),1,0))</f>
        <v/>
      </c>
      <c r="M1248" s="16" t="str">
        <f aca="false">IF(B1248="","",IF(E1248="Em ajustes",IF(N1248=_xlfn.MINIFS($N$2:$N$5001,$B$2:$B$5001,B1248,$E$2:$E$5001,"Em ajustes"),1,0),0))</f>
        <v/>
      </c>
      <c r="N1248" s="17" t="str">
        <f aca="false">IF(A1248="","",IF(ISNUMBER(A1248),A1248,IFERROR(DATE(VALUE(MID(A1248,7,4)),VALUE(MID(A1248,4,2)),VALUE(MID(A1248,1,2)))+TIME(VALUE(MID(A1248,12,2)),VALUE(MID(A1248,15,2)),VALUE(MID(A1248,18,2))),"")))</f>
        <v/>
      </c>
    </row>
    <row r="1249" customFormat="false" ht="15" hidden="false" customHeight="false" outlineLevel="0" collapsed="false">
      <c r="I1249" s="15" t="str">
        <f aca="false">IF(N1249="","",INT(N1249))</f>
        <v/>
      </c>
      <c r="J1249" s="16" t="str">
        <f aca="false">IF(B1249="","",IF(N1249=_xlfn.MINIFS($N$2:$N$5001,$B$2:$B$5001,B1249),1,0))</f>
        <v/>
      </c>
      <c r="K1249" s="16" t="str">
        <f aca="false">IF(B1249="","",IF(AND(D1249="Formalização",E1249="Concluído"),IF(COUNTIFS($B$2:$B$5001,B1249,$E$2:$E$5001,"Em ajustes",$N$2:$N$5001,"&lt;"&amp;I1249)&gt;0,1,0),0))</f>
        <v/>
      </c>
      <c r="L1249" s="16" t="str">
        <f aca="false">IF(B1249="","",IF(N1249=_xlfn.MAXIFS($N$2:$N$5001,$B$2:$B$5001,B1249,$I$2:$I$5001,I1249),1,0))</f>
        <v/>
      </c>
      <c r="M1249" s="16" t="str">
        <f aca="false">IF(B1249="","",IF(E1249="Em ajustes",IF(N1249=_xlfn.MINIFS($N$2:$N$5001,$B$2:$B$5001,B1249,$E$2:$E$5001,"Em ajustes"),1,0),0))</f>
        <v/>
      </c>
      <c r="N1249" s="17" t="str">
        <f aca="false">IF(A1249="","",IF(ISNUMBER(A1249),A1249,IFERROR(DATE(VALUE(MID(A1249,7,4)),VALUE(MID(A1249,4,2)),VALUE(MID(A1249,1,2)))+TIME(VALUE(MID(A1249,12,2)),VALUE(MID(A1249,15,2)),VALUE(MID(A1249,18,2))),"")))</f>
        <v/>
      </c>
    </row>
    <row r="1250" customFormat="false" ht="15" hidden="false" customHeight="false" outlineLevel="0" collapsed="false">
      <c r="I1250" s="15" t="str">
        <f aca="false">IF(N1250="","",INT(N1250))</f>
        <v/>
      </c>
      <c r="J1250" s="16" t="str">
        <f aca="false">IF(B1250="","",IF(N1250=_xlfn.MINIFS($N$2:$N$5001,$B$2:$B$5001,B1250),1,0))</f>
        <v/>
      </c>
      <c r="K1250" s="16" t="str">
        <f aca="false">IF(B1250="","",IF(AND(D1250="Formalização",E1250="Concluído"),IF(COUNTIFS($B$2:$B$5001,B1250,$E$2:$E$5001,"Em ajustes",$N$2:$N$5001,"&lt;"&amp;I1250)&gt;0,1,0),0))</f>
        <v/>
      </c>
      <c r="L1250" s="16" t="str">
        <f aca="false">IF(B1250="","",IF(N1250=_xlfn.MAXIFS($N$2:$N$5001,$B$2:$B$5001,B1250,$I$2:$I$5001,I1250),1,0))</f>
        <v/>
      </c>
      <c r="M1250" s="16" t="str">
        <f aca="false">IF(B1250="","",IF(E1250="Em ajustes",IF(N1250=_xlfn.MINIFS($N$2:$N$5001,$B$2:$B$5001,B1250,$E$2:$E$5001,"Em ajustes"),1,0),0))</f>
        <v/>
      </c>
      <c r="N1250" s="17" t="str">
        <f aca="false">IF(A1250="","",IF(ISNUMBER(A1250),A1250,IFERROR(DATE(VALUE(MID(A1250,7,4)),VALUE(MID(A1250,4,2)),VALUE(MID(A1250,1,2)))+TIME(VALUE(MID(A1250,12,2)),VALUE(MID(A1250,15,2)),VALUE(MID(A1250,18,2))),"")))</f>
        <v/>
      </c>
    </row>
    <row r="1251" customFormat="false" ht="15" hidden="false" customHeight="false" outlineLevel="0" collapsed="false">
      <c r="I1251" s="15" t="str">
        <f aca="false">IF(N1251="","",INT(N1251))</f>
        <v/>
      </c>
      <c r="J1251" s="16" t="str">
        <f aca="false">IF(B1251="","",IF(N1251=_xlfn.MINIFS($N$2:$N$5001,$B$2:$B$5001,B1251),1,0))</f>
        <v/>
      </c>
      <c r="K1251" s="16" t="str">
        <f aca="false">IF(B1251="","",IF(AND(D1251="Formalização",E1251="Concluído"),IF(COUNTIFS($B$2:$B$5001,B1251,$E$2:$E$5001,"Em ajustes",$N$2:$N$5001,"&lt;"&amp;I1251)&gt;0,1,0),0))</f>
        <v/>
      </c>
      <c r="L1251" s="16" t="str">
        <f aca="false">IF(B1251="","",IF(N1251=_xlfn.MAXIFS($N$2:$N$5001,$B$2:$B$5001,B1251,$I$2:$I$5001,I1251),1,0))</f>
        <v/>
      </c>
      <c r="M1251" s="16" t="str">
        <f aca="false">IF(B1251="","",IF(E1251="Em ajustes",IF(N1251=_xlfn.MINIFS($N$2:$N$5001,$B$2:$B$5001,B1251,$E$2:$E$5001,"Em ajustes"),1,0),0))</f>
        <v/>
      </c>
      <c r="N1251" s="17" t="str">
        <f aca="false">IF(A1251="","",IF(ISNUMBER(A1251),A1251,IFERROR(DATE(VALUE(MID(A1251,7,4)),VALUE(MID(A1251,4,2)),VALUE(MID(A1251,1,2)))+TIME(VALUE(MID(A1251,12,2)),VALUE(MID(A1251,15,2)),VALUE(MID(A1251,18,2))),"")))</f>
        <v/>
      </c>
    </row>
    <row r="1252" customFormat="false" ht="15" hidden="false" customHeight="false" outlineLevel="0" collapsed="false">
      <c r="I1252" s="15" t="str">
        <f aca="false">IF(N1252="","",INT(N1252))</f>
        <v/>
      </c>
      <c r="J1252" s="16" t="str">
        <f aca="false">IF(B1252="","",IF(N1252=_xlfn.MINIFS($N$2:$N$5001,$B$2:$B$5001,B1252),1,0))</f>
        <v/>
      </c>
      <c r="K1252" s="16" t="str">
        <f aca="false">IF(B1252="","",IF(AND(D1252="Formalização",E1252="Concluído"),IF(COUNTIFS($B$2:$B$5001,B1252,$E$2:$E$5001,"Em ajustes",$N$2:$N$5001,"&lt;"&amp;I1252)&gt;0,1,0),0))</f>
        <v/>
      </c>
      <c r="L1252" s="16" t="str">
        <f aca="false">IF(B1252="","",IF(N1252=_xlfn.MAXIFS($N$2:$N$5001,$B$2:$B$5001,B1252,$I$2:$I$5001,I1252),1,0))</f>
        <v/>
      </c>
      <c r="M1252" s="16" t="str">
        <f aca="false">IF(B1252="","",IF(E1252="Em ajustes",IF(N1252=_xlfn.MINIFS($N$2:$N$5001,$B$2:$B$5001,B1252,$E$2:$E$5001,"Em ajustes"),1,0),0))</f>
        <v/>
      </c>
      <c r="N1252" s="17" t="str">
        <f aca="false">IF(A1252="","",IF(ISNUMBER(A1252),A1252,IFERROR(DATE(VALUE(MID(A1252,7,4)),VALUE(MID(A1252,4,2)),VALUE(MID(A1252,1,2)))+TIME(VALUE(MID(A1252,12,2)),VALUE(MID(A1252,15,2)),VALUE(MID(A1252,18,2))),"")))</f>
        <v/>
      </c>
    </row>
    <row r="1253" customFormat="false" ht="15" hidden="false" customHeight="false" outlineLevel="0" collapsed="false">
      <c r="I1253" s="15" t="str">
        <f aca="false">IF(N1253="","",INT(N1253))</f>
        <v/>
      </c>
      <c r="J1253" s="16" t="str">
        <f aca="false">IF(B1253="","",IF(N1253=_xlfn.MINIFS($N$2:$N$5001,$B$2:$B$5001,B1253),1,0))</f>
        <v/>
      </c>
      <c r="K1253" s="16" t="str">
        <f aca="false">IF(B1253="","",IF(AND(D1253="Formalização",E1253="Concluído"),IF(COUNTIFS($B$2:$B$5001,B1253,$E$2:$E$5001,"Em ajustes",$N$2:$N$5001,"&lt;"&amp;I1253)&gt;0,1,0),0))</f>
        <v/>
      </c>
      <c r="L1253" s="16" t="str">
        <f aca="false">IF(B1253="","",IF(N1253=_xlfn.MAXIFS($N$2:$N$5001,$B$2:$B$5001,B1253,$I$2:$I$5001,I1253),1,0))</f>
        <v/>
      </c>
      <c r="M1253" s="16" t="str">
        <f aca="false">IF(B1253="","",IF(E1253="Em ajustes",IF(N1253=_xlfn.MINIFS($N$2:$N$5001,$B$2:$B$5001,B1253,$E$2:$E$5001,"Em ajustes"),1,0),0))</f>
        <v/>
      </c>
      <c r="N1253" s="17" t="str">
        <f aca="false">IF(A1253="","",IF(ISNUMBER(A1253),A1253,IFERROR(DATE(VALUE(MID(A1253,7,4)),VALUE(MID(A1253,4,2)),VALUE(MID(A1253,1,2)))+TIME(VALUE(MID(A1253,12,2)),VALUE(MID(A1253,15,2)),VALUE(MID(A1253,18,2))),"")))</f>
        <v/>
      </c>
    </row>
    <row r="1254" customFormat="false" ht="15" hidden="false" customHeight="false" outlineLevel="0" collapsed="false">
      <c r="I1254" s="15" t="str">
        <f aca="false">IF(N1254="","",INT(N1254))</f>
        <v/>
      </c>
      <c r="J1254" s="16" t="str">
        <f aca="false">IF(B1254="","",IF(N1254=_xlfn.MINIFS($N$2:$N$5001,$B$2:$B$5001,B1254),1,0))</f>
        <v/>
      </c>
      <c r="K1254" s="16" t="str">
        <f aca="false">IF(B1254="","",IF(AND(D1254="Formalização",E1254="Concluído"),IF(COUNTIFS($B$2:$B$5001,B1254,$E$2:$E$5001,"Em ajustes",$N$2:$N$5001,"&lt;"&amp;I1254)&gt;0,1,0),0))</f>
        <v/>
      </c>
      <c r="L1254" s="16" t="str">
        <f aca="false">IF(B1254="","",IF(N1254=_xlfn.MAXIFS($N$2:$N$5001,$B$2:$B$5001,B1254,$I$2:$I$5001,I1254),1,0))</f>
        <v/>
      </c>
      <c r="M1254" s="16" t="str">
        <f aca="false">IF(B1254="","",IF(E1254="Em ajustes",IF(N1254=_xlfn.MINIFS($N$2:$N$5001,$B$2:$B$5001,B1254,$E$2:$E$5001,"Em ajustes"),1,0),0))</f>
        <v/>
      </c>
      <c r="N1254" s="17" t="str">
        <f aca="false">IF(A1254="","",IF(ISNUMBER(A1254),A1254,IFERROR(DATE(VALUE(MID(A1254,7,4)),VALUE(MID(A1254,4,2)),VALUE(MID(A1254,1,2)))+TIME(VALUE(MID(A1254,12,2)),VALUE(MID(A1254,15,2)),VALUE(MID(A1254,18,2))),"")))</f>
        <v/>
      </c>
    </row>
    <row r="1255" customFormat="false" ht="15" hidden="false" customHeight="false" outlineLevel="0" collapsed="false">
      <c r="I1255" s="15" t="str">
        <f aca="false">IF(N1255="","",INT(N1255))</f>
        <v/>
      </c>
      <c r="J1255" s="16" t="str">
        <f aca="false">IF(B1255="","",IF(N1255=_xlfn.MINIFS($N$2:$N$5001,$B$2:$B$5001,B1255),1,0))</f>
        <v/>
      </c>
      <c r="K1255" s="16" t="str">
        <f aca="false">IF(B1255="","",IF(AND(D1255="Formalização",E1255="Concluído"),IF(COUNTIFS($B$2:$B$5001,B1255,$E$2:$E$5001,"Em ajustes",$N$2:$N$5001,"&lt;"&amp;I1255)&gt;0,1,0),0))</f>
        <v/>
      </c>
      <c r="L1255" s="16" t="str">
        <f aca="false">IF(B1255="","",IF(N1255=_xlfn.MAXIFS($N$2:$N$5001,$B$2:$B$5001,B1255,$I$2:$I$5001,I1255),1,0))</f>
        <v/>
      </c>
      <c r="M1255" s="16" t="str">
        <f aca="false">IF(B1255="","",IF(E1255="Em ajustes",IF(N1255=_xlfn.MINIFS($N$2:$N$5001,$B$2:$B$5001,B1255,$E$2:$E$5001,"Em ajustes"),1,0),0))</f>
        <v/>
      </c>
      <c r="N1255" s="17" t="str">
        <f aca="false">IF(A1255="","",IF(ISNUMBER(A1255),A1255,IFERROR(DATE(VALUE(MID(A1255,7,4)),VALUE(MID(A1255,4,2)),VALUE(MID(A1255,1,2)))+TIME(VALUE(MID(A1255,12,2)),VALUE(MID(A1255,15,2)),VALUE(MID(A1255,18,2))),"")))</f>
        <v/>
      </c>
    </row>
    <row r="1256" customFormat="false" ht="15" hidden="false" customHeight="false" outlineLevel="0" collapsed="false">
      <c r="I1256" s="15" t="str">
        <f aca="false">IF(N1256="","",INT(N1256))</f>
        <v/>
      </c>
      <c r="J1256" s="16" t="str">
        <f aca="false">IF(B1256="","",IF(N1256=_xlfn.MINIFS($N$2:$N$5001,$B$2:$B$5001,B1256),1,0))</f>
        <v/>
      </c>
      <c r="K1256" s="16" t="str">
        <f aca="false">IF(B1256="","",IF(AND(D1256="Formalização",E1256="Concluído"),IF(COUNTIFS($B$2:$B$5001,B1256,$E$2:$E$5001,"Em ajustes",$N$2:$N$5001,"&lt;"&amp;I1256)&gt;0,1,0),0))</f>
        <v/>
      </c>
      <c r="L1256" s="16" t="str">
        <f aca="false">IF(B1256="","",IF(N1256=_xlfn.MAXIFS($N$2:$N$5001,$B$2:$B$5001,B1256,$I$2:$I$5001,I1256),1,0))</f>
        <v/>
      </c>
      <c r="M1256" s="16" t="str">
        <f aca="false">IF(B1256="","",IF(E1256="Em ajustes",IF(N1256=_xlfn.MINIFS($N$2:$N$5001,$B$2:$B$5001,B1256,$E$2:$E$5001,"Em ajustes"),1,0),0))</f>
        <v/>
      </c>
      <c r="N1256" s="17" t="str">
        <f aca="false">IF(A1256="","",IF(ISNUMBER(A1256),A1256,IFERROR(DATE(VALUE(MID(A1256,7,4)),VALUE(MID(A1256,4,2)),VALUE(MID(A1256,1,2)))+TIME(VALUE(MID(A1256,12,2)),VALUE(MID(A1256,15,2)),VALUE(MID(A1256,18,2))),"")))</f>
        <v/>
      </c>
    </row>
    <row r="1257" customFormat="false" ht="15" hidden="false" customHeight="false" outlineLevel="0" collapsed="false">
      <c r="I1257" s="15" t="str">
        <f aca="false">IF(N1257="","",INT(N1257))</f>
        <v/>
      </c>
      <c r="J1257" s="16" t="str">
        <f aca="false">IF(B1257="","",IF(N1257=_xlfn.MINIFS($N$2:$N$5001,$B$2:$B$5001,B1257),1,0))</f>
        <v/>
      </c>
      <c r="K1257" s="16" t="str">
        <f aca="false">IF(B1257="","",IF(AND(D1257="Formalização",E1257="Concluído"),IF(COUNTIFS($B$2:$B$5001,B1257,$E$2:$E$5001,"Em ajustes",$N$2:$N$5001,"&lt;"&amp;I1257)&gt;0,1,0),0))</f>
        <v/>
      </c>
      <c r="L1257" s="16" t="str">
        <f aca="false">IF(B1257="","",IF(N1257=_xlfn.MAXIFS($N$2:$N$5001,$B$2:$B$5001,B1257,$I$2:$I$5001,I1257),1,0))</f>
        <v/>
      </c>
      <c r="M1257" s="16" t="str">
        <f aca="false">IF(B1257="","",IF(E1257="Em ajustes",IF(N1257=_xlfn.MINIFS($N$2:$N$5001,$B$2:$B$5001,B1257,$E$2:$E$5001,"Em ajustes"),1,0),0))</f>
        <v/>
      </c>
      <c r="N1257" s="17" t="str">
        <f aca="false">IF(A1257="","",IF(ISNUMBER(A1257),A1257,IFERROR(DATE(VALUE(MID(A1257,7,4)),VALUE(MID(A1257,4,2)),VALUE(MID(A1257,1,2)))+TIME(VALUE(MID(A1257,12,2)),VALUE(MID(A1257,15,2)),VALUE(MID(A1257,18,2))),"")))</f>
        <v/>
      </c>
    </row>
    <row r="1258" customFormat="false" ht="15" hidden="false" customHeight="false" outlineLevel="0" collapsed="false">
      <c r="I1258" s="15" t="str">
        <f aca="false">IF(N1258="","",INT(N1258))</f>
        <v/>
      </c>
      <c r="J1258" s="16" t="str">
        <f aca="false">IF(B1258="","",IF(N1258=_xlfn.MINIFS($N$2:$N$5001,$B$2:$B$5001,B1258),1,0))</f>
        <v/>
      </c>
      <c r="K1258" s="16" t="str">
        <f aca="false">IF(B1258="","",IF(AND(D1258="Formalização",E1258="Concluído"),IF(COUNTIFS($B$2:$B$5001,B1258,$E$2:$E$5001,"Em ajustes",$N$2:$N$5001,"&lt;"&amp;I1258)&gt;0,1,0),0))</f>
        <v/>
      </c>
      <c r="L1258" s="16" t="str">
        <f aca="false">IF(B1258="","",IF(N1258=_xlfn.MAXIFS($N$2:$N$5001,$B$2:$B$5001,B1258,$I$2:$I$5001,I1258),1,0))</f>
        <v/>
      </c>
      <c r="M1258" s="16" t="str">
        <f aca="false">IF(B1258="","",IF(E1258="Em ajustes",IF(N1258=_xlfn.MINIFS($N$2:$N$5001,$B$2:$B$5001,B1258,$E$2:$E$5001,"Em ajustes"),1,0),0))</f>
        <v/>
      </c>
      <c r="N1258" s="17" t="str">
        <f aca="false">IF(A1258="","",IF(ISNUMBER(A1258),A1258,IFERROR(DATE(VALUE(MID(A1258,7,4)),VALUE(MID(A1258,4,2)),VALUE(MID(A1258,1,2)))+TIME(VALUE(MID(A1258,12,2)),VALUE(MID(A1258,15,2)),VALUE(MID(A1258,18,2))),"")))</f>
        <v/>
      </c>
    </row>
    <row r="1259" customFormat="false" ht="15" hidden="false" customHeight="false" outlineLevel="0" collapsed="false">
      <c r="I1259" s="15" t="str">
        <f aca="false">IF(N1259="","",INT(N1259))</f>
        <v/>
      </c>
      <c r="J1259" s="16" t="str">
        <f aca="false">IF(B1259="","",IF(N1259=_xlfn.MINIFS($N$2:$N$5001,$B$2:$B$5001,B1259),1,0))</f>
        <v/>
      </c>
      <c r="K1259" s="16" t="str">
        <f aca="false">IF(B1259="","",IF(AND(D1259="Formalização",E1259="Concluído"),IF(COUNTIFS($B$2:$B$5001,B1259,$E$2:$E$5001,"Em ajustes",$N$2:$N$5001,"&lt;"&amp;I1259)&gt;0,1,0),0))</f>
        <v/>
      </c>
      <c r="L1259" s="16" t="str">
        <f aca="false">IF(B1259="","",IF(N1259=_xlfn.MAXIFS($N$2:$N$5001,$B$2:$B$5001,B1259,$I$2:$I$5001,I1259),1,0))</f>
        <v/>
      </c>
      <c r="M1259" s="16" t="str">
        <f aca="false">IF(B1259="","",IF(E1259="Em ajustes",IF(N1259=_xlfn.MINIFS($N$2:$N$5001,$B$2:$B$5001,B1259,$E$2:$E$5001,"Em ajustes"),1,0),0))</f>
        <v/>
      </c>
      <c r="N1259" s="17" t="str">
        <f aca="false">IF(A1259="","",IF(ISNUMBER(A1259),A1259,IFERROR(DATE(VALUE(MID(A1259,7,4)),VALUE(MID(A1259,4,2)),VALUE(MID(A1259,1,2)))+TIME(VALUE(MID(A1259,12,2)),VALUE(MID(A1259,15,2)),VALUE(MID(A1259,18,2))),"")))</f>
        <v/>
      </c>
    </row>
    <row r="1260" customFormat="false" ht="15" hidden="false" customHeight="false" outlineLevel="0" collapsed="false">
      <c r="I1260" s="15" t="str">
        <f aca="false">IF(N1260="","",INT(N1260))</f>
        <v/>
      </c>
      <c r="J1260" s="16" t="str">
        <f aca="false">IF(B1260="","",IF(N1260=_xlfn.MINIFS($N$2:$N$5001,$B$2:$B$5001,B1260),1,0))</f>
        <v/>
      </c>
      <c r="K1260" s="16" t="str">
        <f aca="false">IF(B1260="","",IF(AND(D1260="Formalização",E1260="Concluído"),IF(COUNTIFS($B$2:$B$5001,B1260,$E$2:$E$5001,"Em ajustes",$N$2:$N$5001,"&lt;"&amp;I1260)&gt;0,1,0),0))</f>
        <v/>
      </c>
      <c r="L1260" s="16" t="str">
        <f aca="false">IF(B1260="","",IF(N1260=_xlfn.MAXIFS($N$2:$N$5001,$B$2:$B$5001,B1260,$I$2:$I$5001,I1260),1,0))</f>
        <v/>
      </c>
      <c r="M1260" s="16" t="str">
        <f aca="false">IF(B1260="","",IF(E1260="Em ajustes",IF(N1260=_xlfn.MINIFS($N$2:$N$5001,$B$2:$B$5001,B1260,$E$2:$E$5001,"Em ajustes"),1,0),0))</f>
        <v/>
      </c>
      <c r="N1260" s="17" t="str">
        <f aca="false">IF(A1260="","",IF(ISNUMBER(A1260),A1260,IFERROR(DATE(VALUE(MID(A1260,7,4)),VALUE(MID(A1260,4,2)),VALUE(MID(A1260,1,2)))+TIME(VALUE(MID(A1260,12,2)),VALUE(MID(A1260,15,2)),VALUE(MID(A1260,18,2))),"")))</f>
        <v/>
      </c>
    </row>
    <row r="1261" customFormat="false" ht="15" hidden="false" customHeight="false" outlineLevel="0" collapsed="false">
      <c r="I1261" s="15" t="str">
        <f aca="false">IF(N1261="","",INT(N1261))</f>
        <v/>
      </c>
      <c r="J1261" s="16" t="str">
        <f aca="false">IF(B1261="","",IF(N1261=_xlfn.MINIFS($N$2:$N$5001,$B$2:$B$5001,B1261),1,0))</f>
        <v/>
      </c>
      <c r="K1261" s="16" t="str">
        <f aca="false">IF(B1261="","",IF(AND(D1261="Formalização",E1261="Concluído"),IF(COUNTIFS($B$2:$B$5001,B1261,$E$2:$E$5001,"Em ajustes",$N$2:$N$5001,"&lt;"&amp;I1261)&gt;0,1,0),0))</f>
        <v/>
      </c>
      <c r="L1261" s="16" t="str">
        <f aca="false">IF(B1261="","",IF(N1261=_xlfn.MAXIFS($N$2:$N$5001,$B$2:$B$5001,B1261,$I$2:$I$5001,I1261),1,0))</f>
        <v/>
      </c>
      <c r="M1261" s="16" t="str">
        <f aca="false">IF(B1261="","",IF(E1261="Em ajustes",IF(N1261=_xlfn.MINIFS($N$2:$N$5001,$B$2:$B$5001,B1261,$E$2:$E$5001,"Em ajustes"),1,0),0))</f>
        <v/>
      </c>
      <c r="N1261" s="17" t="str">
        <f aca="false">IF(A1261="","",IF(ISNUMBER(A1261),A1261,IFERROR(DATE(VALUE(MID(A1261,7,4)),VALUE(MID(A1261,4,2)),VALUE(MID(A1261,1,2)))+TIME(VALUE(MID(A1261,12,2)),VALUE(MID(A1261,15,2)),VALUE(MID(A1261,18,2))),"")))</f>
        <v/>
      </c>
    </row>
    <row r="1262" customFormat="false" ht="15" hidden="false" customHeight="false" outlineLevel="0" collapsed="false">
      <c r="I1262" s="15" t="str">
        <f aca="false">IF(N1262="","",INT(N1262))</f>
        <v/>
      </c>
      <c r="J1262" s="16" t="str">
        <f aca="false">IF(B1262="","",IF(N1262=_xlfn.MINIFS($N$2:$N$5001,$B$2:$B$5001,B1262),1,0))</f>
        <v/>
      </c>
      <c r="K1262" s="16" t="str">
        <f aca="false">IF(B1262="","",IF(AND(D1262="Formalização",E1262="Concluído"),IF(COUNTIFS($B$2:$B$5001,B1262,$E$2:$E$5001,"Em ajustes",$N$2:$N$5001,"&lt;"&amp;I1262)&gt;0,1,0),0))</f>
        <v/>
      </c>
      <c r="L1262" s="16" t="str">
        <f aca="false">IF(B1262="","",IF(N1262=_xlfn.MAXIFS($N$2:$N$5001,$B$2:$B$5001,B1262,$I$2:$I$5001,I1262),1,0))</f>
        <v/>
      </c>
      <c r="M1262" s="16" t="str">
        <f aca="false">IF(B1262="","",IF(E1262="Em ajustes",IF(N1262=_xlfn.MINIFS($N$2:$N$5001,$B$2:$B$5001,B1262,$E$2:$E$5001,"Em ajustes"),1,0),0))</f>
        <v/>
      </c>
      <c r="N1262" s="17" t="str">
        <f aca="false">IF(A1262="","",IF(ISNUMBER(A1262),A1262,IFERROR(DATE(VALUE(MID(A1262,7,4)),VALUE(MID(A1262,4,2)),VALUE(MID(A1262,1,2)))+TIME(VALUE(MID(A1262,12,2)),VALUE(MID(A1262,15,2)),VALUE(MID(A1262,18,2))),"")))</f>
        <v/>
      </c>
    </row>
    <row r="1263" customFormat="false" ht="15" hidden="false" customHeight="false" outlineLevel="0" collapsed="false">
      <c r="I1263" s="15" t="str">
        <f aca="false">IF(N1263="","",INT(N1263))</f>
        <v/>
      </c>
      <c r="J1263" s="16" t="str">
        <f aca="false">IF(B1263="","",IF(N1263=_xlfn.MINIFS($N$2:$N$5001,$B$2:$B$5001,B1263),1,0))</f>
        <v/>
      </c>
      <c r="K1263" s="16" t="str">
        <f aca="false">IF(B1263="","",IF(AND(D1263="Formalização",E1263="Concluído"),IF(COUNTIFS($B$2:$B$5001,B1263,$E$2:$E$5001,"Em ajustes",$N$2:$N$5001,"&lt;"&amp;I1263)&gt;0,1,0),0))</f>
        <v/>
      </c>
      <c r="L1263" s="16" t="str">
        <f aca="false">IF(B1263="","",IF(N1263=_xlfn.MAXIFS($N$2:$N$5001,$B$2:$B$5001,B1263,$I$2:$I$5001,I1263),1,0))</f>
        <v/>
      </c>
      <c r="M1263" s="16" t="str">
        <f aca="false">IF(B1263="","",IF(E1263="Em ajustes",IF(N1263=_xlfn.MINIFS($N$2:$N$5001,$B$2:$B$5001,B1263,$E$2:$E$5001,"Em ajustes"),1,0),0))</f>
        <v/>
      </c>
      <c r="N1263" s="17" t="str">
        <f aca="false">IF(A1263="","",IF(ISNUMBER(A1263),A1263,IFERROR(DATE(VALUE(MID(A1263,7,4)),VALUE(MID(A1263,4,2)),VALUE(MID(A1263,1,2)))+TIME(VALUE(MID(A1263,12,2)),VALUE(MID(A1263,15,2)),VALUE(MID(A1263,18,2))),"")))</f>
        <v/>
      </c>
    </row>
    <row r="1264" customFormat="false" ht="15" hidden="false" customHeight="false" outlineLevel="0" collapsed="false">
      <c r="I1264" s="15" t="str">
        <f aca="false">IF(N1264="","",INT(N1264))</f>
        <v/>
      </c>
      <c r="J1264" s="16" t="str">
        <f aca="false">IF(B1264="","",IF(N1264=_xlfn.MINIFS($N$2:$N$5001,$B$2:$B$5001,B1264),1,0))</f>
        <v/>
      </c>
      <c r="K1264" s="16" t="str">
        <f aca="false">IF(B1264="","",IF(AND(D1264="Formalização",E1264="Concluído"),IF(COUNTIFS($B$2:$B$5001,B1264,$E$2:$E$5001,"Em ajustes",$N$2:$N$5001,"&lt;"&amp;I1264)&gt;0,1,0),0))</f>
        <v/>
      </c>
      <c r="L1264" s="16" t="str">
        <f aca="false">IF(B1264="","",IF(N1264=_xlfn.MAXIFS($N$2:$N$5001,$B$2:$B$5001,B1264,$I$2:$I$5001,I1264),1,0))</f>
        <v/>
      </c>
      <c r="M1264" s="16" t="str">
        <f aca="false">IF(B1264="","",IF(E1264="Em ajustes",IF(N1264=_xlfn.MINIFS($N$2:$N$5001,$B$2:$B$5001,B1264,$E$2:$E$5001,"Em ajustes"),1,0),0))</f>
        <v/>
      </c>
      <c r="N1264" s="17" t="str">
        <f aca="false">IF(A1264="","",IF(ISNUMBER(A1264),A1264,IFERROR(DATE(VALUE(MID(A1264,7,4)),VALUE(MID(A1264,4,2)),VALUE(MID(A1264,1,2)))+TIME(VALUE(MID(A1264,12,2)),VALUE(MID(A1264,15,2)),VALUE(MID(A1264,18,2))),"")))</f>
        <v/>
      </c>
    </row>
    <row r="1265" customFormat="false" ht="15" hidden="false" customHeight="false" outlineLevel="0" collapsed="false">
      <c r="I1265" s="15" t="str">
        <f aca="false">IF(N1265="","",INT(N1265))</f>
        <v/>
      </c>
      <c r="J1265" s="16" t="str">
        <f aca="false">IF(B1265="","",IF(N1265=_xlfn.MINIFS($N$2:$N$5001,$B$2:$B$5001,B1265),1,0))</f>
        <v/>
      </c>
      <c r="K1265" s="16" t="str">
        <f aca="false">IF(B1265="","",IF(AND(D1265="Formalização",E1265="Concluído"),IF(COUNTIFS($B$2:$B$5001,B1265,$E$2:$E$5001,"Em ajustes",$N$2:$N$5001,"&lt;"&amp;I1265)&gt;0,1,0),0))</f>
        <v/>
      </c>
      <c r="L1265" s="16" t="str">
        <f aca="false">IF(B1265="","",IF(N1265=_xlfn.MAXIFS($N$2:$N$5001,$B$2:$B$5001,B1265,$I$2:$I$5001,I1265),1,0))</f>
        <v/>
      </c>
      <c r="M1265" s="16" t="str">
        <f aca="false">IF(B1265="","",IF(E1265="Em ajustes",IF(N1265=_xlfn.MINIFS($N$2:$N$5001,$B$2:$B$5001,B1265,$E$2:$E$5001,"Em ajustes"),1,0),0))</f>
        <v/>
      </c>
      <c r="N1265" s="17" t="str">
        <f aca="false">IF(A1265="","",IF(ISNUMBER(A1265),A1265,IFERROR(DATE(VALUE(MID(A1265,7,4)),VALUE(MID(A1265,4,2)),VALUE(MID(A1265,1,2)))+TIME(VALUE(MID(A1265,12,2)),VALUE(MID(A1265,15,2)),VALUE(MID(A1265,18,2))),"")))</f>
        <v/>
      </c>
    </row>
    <row r="1266" customFormat="false" ht="15" hidden="false" customHeight="false" outlineLevel="0" collapsed="false">
      <c r="I1266" s="15" t="str">
        <f aca="false">IF(N1266="","",INT(N1266))</f>
        <v/>
      </c>
      <c r="J1266" s="16" t="str">
        <f aca="false">IF(B1266="","",IF(N1266=_xlfn.MINIFS($N$2:$N$5001,$B$2:$B$5001,B1266),1,0))</f>
        <v/>
      </c>
      <c r="K1266" s="16" t="str">
        <f aca="false">IF(B1266="","",IF(AND(D1266="Formalização",E1266="Concluído"),IF(COUNTIFS($B$2:$B$5001,B1266,$E$2:$E$5001,"Em ajustes",$N$2:$N$5001,"&lt;"&amp;I1266)&gt;0,1,0),0))</f>
        <v/>
      </c>
      <c r="L1266" s="16" t="str">
        <f aca="false">IF(B1266="","",IF(N1266=_xlfn.MAXIFS($N$2:$N$5001,$B$2:$B$5001,B1266,$I$2:$I$5001,I1266),1,0))</f>
        <v/>
      </c>
      <c r="M1266" s="16" t="str">
        <f aca="false">IF(B1266="","",IF(E1266="Em ajustes",IF(N1266=_xlfn.MINIFS($N$2:$N$5001,$B$2:$B$5001,B1266,$E$2:$E$5001,"Em ajustes"),1,0),0))</f>
        <v/>
      </c>
      <c r="N1266" s="17" t="str">
        <f aca="false">IF(A1266="","",IF(ISNUMBER(A1266),A1266,IFERROR(DATE(VALUE(MID(A1266,7,4)),VALUE(MID(A1266,4,2)),VALUE(MID(A1266,1,2)))+TIME(VALUE(MID(A1266,12,2)),VALUE(MID(A1266,15,2)),VALUE(MID(A1266,18,2))),"")))</f>
        <v/>
      </c>
    </row>
    <row r="1267" customFormat="false" ht="15" hidden="false" customHeight="false" outlineLevel="0" collapsed="false">
      <c r="I1267" s="15" t="str">
        <f aca="false">IF(N1267="","",INT(N1267))</f>
        <v/>
      </c>
      <c r="J1267" s="16" t="str">
        <f aca="false">IF(B1267="","",IF(N1267=_xlfn.MINIFS($N$2:$N$5001,$B$2:$B$5001,B1267),1,0))</f>
        <v/>
      </c>
      <c r="K1267" s="16" t="str">
        <f aca="false">IF(B1267="","",IF(AND(D1267="Formalização",E1267="Concluído"),IF(COUNTIFS($B$2:$B$5001,B1267,$E$2:$E$5001,"Em ajustes",$N$2:$N$5001,"&lt;"&amp;I1267)&gt;0,1,0),0))</f>
        <v/>
      </c>
      <c r="L1267" s="16" t="str">
        <f aca="false">IF(B1267="","",IF(N1267=_xlfn.MAXIFS($N$2:$N$5001,$B$2:$B$5001,B1267,$I$2:$I$5001,I1267),1,0))</f>
        <v/>
      </c>
      <c r="M1267" s="16" t="str">
        <f aca="false">IF(B1267="","",IF(E1267="Em ajustes",IF(N1267=_xlfn.MINIFS($N$2:$N$5001,$B$2:$B$5001,B1267,$E$2:$E$5001,"Em ajustes"),1,0),0))</f>
        <v/>
      </c>
      <c r="N1267" s="17" t="str">
        <f aca="false">IF(A1267="","",IF(ISNUMBER(A1267),A1267,IFERROR(DATE(VALUE(MID(A1267,7,4)),VALUE(MID(A1267,4,2)),VALUE(MID(A1267,1,2)))+TIME(VALUE(MID(A1267,12,2)),VALUE(MID(A1267,15,2)),VALUE(MID(A1267,18,2))),"")))</f>
        <v/>
      </c>
    </row>
    <row r="1268" customFormat="false" ht="15" hidden="false" customHeight="false" outlineLevel="0" collapsed="false">
      <c r="I1268" s="15" t="str">
        <f aca="false">IF(N1268="","",INT(N1268))</f>
        <v/>
      </c>
      <c r="J1268" s="16" t="str">
        <f aca="false">IF(B1268="","",IF(N1268=_xlfn.MINIFS($N$2:$N$5001,$B$2:$B$5001,B1268),1,0))</f>
        <v/>
      </c>
      <c r="K1268" s="16" t="str">
        <f aca="false">IF(B1268="","",IF(AND(D1268="Formalização",E1268="Concluído"),IF(COUNTIFS($B$2:$B$5001,B1268,$E$2:$E$5001,"Em ajustes",$N$2:$N$5001,"&lt;"&amp;I1268)&gt;0,1,0),0))</f>
        <v/>
      </c>
      <c r="L1268" s="16" t="str">
        <f aca="false">IF(B1268="","",IF(N1268=_xlfn.MAXIFS($N$2:$N$5001,$B$2:$B$5001,B1268,$I$2:$I$5001,I1268),1,0))</f>
        <v/>
      </c>
      <c r="M1268" s="16" t="str">
        <f aca="false">IF(B1268="","",IF(E1268="Em ajustes",IF(N1268=_xlfn.MINIFS($N$2:$N$5001,$B$2:$B$5001,B1268,$E$2:$E$5001,"Em ajustes"),1,0),0))</f>
        <v/>
      </c>
      <c r="N1268" s="17" t="str">
        <f aca="false">IF(A1268="","",IF(ISNUMBER(A1268),A1268,IFERROR(DATE(VALUE(MID(A1268,7,4)),VALUE(MID(A1268,4,2)),VALUE(MID(A1268,1,2)))+TIME(VALUE(MID(A1268,12,2)),VALUE(MID(A1268,15,2)),VALUE(MID(A1268,18,2))),"")))</f>
        <v/>
      </c>
    </row>
    <row r="1269" customFormat="false" ht="15" hidden="false" customHeight="false" outlineLevel="0" collapsed="false">
      <c r="I1269" s="15" t="str">
        <f aca="false">IF(N1269="","",INT(N1269))</f>
        <v/>
      </c>
      <c r="J1269" s="16" t="str">
        <f aca="false">IF(B1269="","",IF(N1269=_xlfn.MINIFS($N$2:$N$5001,$B$2:$B$5001,B1269),1,0))</f>
        <v/>
      </c>
      <c r="K1269" s="16" t="str">
        <f aca="false">IF(B1269="","",IF(AND(D1269="Formalização",E1269="Concluído"),IF(COUNTIFS($B$2:$B$5001,B1269,$E$2:$E$5001,"Em ajustes",$N$2:$N$5001,"&lt;"&amp;I1269)&gt;0,1,0),0))</f>
        <v/>
      </c>
      <c r="L1269" s="16" t="str">
        <f aca="false">IF(B1269="","",IF(N1269=_xlfn.MAXIFS($N$2:$N$5001,$B$2:$B$5001,B1269,$I$2:$I$5001,I1269),1,0))</f>
        <v/>
      </c>
      <c r="M1269" s="16" t="str">
        <f aca="false">IF(B1269="","",IF(E1269="Em ajustes",IF(N1269=_xlfn.MINIFS($N$2:$N$5001,$B$2:$B$5001,B1269,$E$2:$E$5001,"Em ajustes"),1,0),0))</f>
        <v/>
      </c>
      <c r="N1269" s="17" t="str">
        <f aca="false">IF(A1269="","",IF(ISNUMBER(A1269),A1269,IFERROR(DATE(VALUE(MID(A1269,7,4)),VALUE(MID(A1269,4,2)),VALUE(MID(A1269,1,2)))+TIME(VALUE(MID(A1269,12,2)),VALUE(MID(A1269,15,2)),VALUE(MID(A1269,18,2))),"")))</f>
        <v/>
      </c>
    </row>
    <row r="1270" customFormat="false" ht="15" hidden="false" customHeight="false" outlineLevel="0" collapsed="false">
      <c r="I1270" s="15" t="str">
        <f aca="false">IF(N1270="","",INT(N1270))</f>
        <v/>
      </c>
      <c r="J1270" s="16" t="str">
        <f aca="false">IF(B1270="","",IF(N1270=_xlfn.MINIFS($N$2:$N$5001,$B$2:$B$5001,B1270),1,0))</f>
        <v/>
      </c>
      <c r="K1270" s="16" t="str">
        <f aca="false">IF(B1270="","",IF(AND(D1270="Formalização",E1270="Concluído"),IF(COUNTIFS($B$2:$B$5001,B1270,$E$2:$E$5001,"Em ajustes",$N$2:$N$5001,"&lt;"&amp;I1270)&gt;0,1,0),0))</f>
        <v/>
      </c>
      <c r="L1270" s="16" t="str">
        <f aca="false">IF(B1270="","",IF(N1270=_xlfn.MAXIFS($N$2:$N$5001,$B$2:$B$5001,B1270,$I$2:$I$5001,I1270),1,0))</f>
        <v/>
      </c>
      <c r="M1270" s="16" t="str">
        <f aca="false">IF(B1270="","",IF(E1270="Em ajustes",IF(N1270=_xlfn.MINIFS($N$2:$N$5001,$B$2:$B$5001,B1270,$E$2:$E$5001,"Em ajustes"),1,0),0))</f>
        <v/>
      </c>
      <c r="N1270" s="17" t="str">
        <f aca="false">IF(A1270="","",IF(ISNUMBER(A1270),A1270,IFERROR(DATE(VALUE(MID(A1270,7,4)),VALUE(MID(A1270,4,2)),VALUE(MID(A1270,1,2)))+TIME(VALUE(MID(A1270,12,2)),VALUE(MID(A1270,15,2)),VALUE(MID(A1270,18,2))),"")))</f>
        <v/>
      </c>
    </row>
    <row r="1271" customFormat="false" ht="15" hidden="false" customHeight="false" outlineLevel="0" collapsed="false">
      <c r="I1271" s="15" t="str">
        <f aca="false">IF(N1271="","",INT(N1271))</f>
        <v/>
      </c>
      <c r="J1271" s="16" t="str">
        <f aca="false">IF(B1271="","",IF(N1271=_xlfn.MINIFS($N$2:$N$5001,$B$2:$B$5001,B1271),1,0))</f>
        <v/>
      </c>
      <c r="K1271" s="16" t="str">
        <f aca="false">IF(B1271="","",IF(AND(D1271="Formalização",E1271="Concluído"),IF(COUNTIFS($B$2:$B$5001,B1271,$E$2:$E$5001,"Em ajustes",$N$2:$N$5001,"&lt;"&amp;I1271)&gt;0,1,0),0))</f>
        <v/>
      </c>
      <c r="L1271" s="16" t="str">
        <f aca="false">IF(B1271="","",IF(N1271=_xlfn.MAXIFS($N$2:$N$5001,$B$2:$B$5001,B1271,$I$2:$I$5001,I1271),1,0))</f>
        <v/>
      </c>
      <c r="M1271" s="16" t="str">
        <f aca="false">IF(B1271="","",IF(E1271="Em ajustes",IF(N1271=_xlfn.MINIFS($N$2:$N$5001,$B$2:$B$5001,B1271,$E$2:$E$5001,"Em ajustes"),1,0),0))</f>
        <v/>
      </c>
      <c r="N1271" s="17" t="str">
        <f aca="false">IF(A1271="","",IF(ISNUMBER(A1271),A1271,IFERROR(DATE(VALUE(MID(A1271,7,4)),VALUE(MID(A1271,4,2)),VALUE(MID(A1271,1,2)))+TIME(VALUE(MID(A1271,12,2)),VALUE(MID(A1271,15,2)),VALUE(MID(A1271,18,2))),"")))</f>
        <v/>
      </c>
    </row>
    <row r="1272" customFormat="false" ht="15" hidden="false" customHeight="false" outlineLevel="0" collapsed="false">
      <c r="I1272" s="15" t="str">
        <f aca="false">IF(N1272="","",INT(N1272))</f>
        <v/>
      </c>
      <c r="J1272" s="16" t="str">
        <f aca="false">IF(B1272="","",IF(N1272=_xlfn.MINIFS($N$2:$N$5001,$B$2:$B$5001,B1272),1,0))</f>
        <v/>
      </c>
      <c r="K1272" s="16" t="str">
        <f aca="false">IF(B1272="","",IF(AND(D1272="Formalização",E1272="Concluído"),IF(COUNTIFS($B$2:$B$5001,B1272,$E$2:$E$5001,"Em ajustes",$N$2:$N$5001,"&lt;"&amp;I1272)&gt;0,1,0),0))</f>
        <v/>
      </c>
      <c r="L1272" s="16" t="str">
        <f aca="false">IF(B1272="","",IF(N1272=_xlfn.MAXIFS($N$2:$N$5001,$B$2:$B$5001,B1272,$I$2:$I$5001,I1272),1,0))</f>
        <v/>
      </c>
      <c r="M1272" s="16" t="str">
        <f aca="false">IF(B1272="","",IF(E1272="Em ajustes",IF(N1272=_xlfn.MINIFS($N$2:$N$5001,$B$2:$B$5001,B1272,$E$2:$E$5001,"Em ajustes"),1,0),0))</f>
        <v/>
      </c>
      <c r="N1272" s="17" t="str">
        <f aca="false">IF(A1272="","",IF(ISNUMBER(A1272),A1272,IFERROR(DATE(VALUE(MID(A1272,7,4)),VALUE(MID(A1272,4,2)),VALUE(MID(A1272,1,2)))+TIME(VALUE(MID(A1272,12,2)),VALUE(MID(A1272,15,2)),VALUE(MID(A1272,18,2))),"")))</f>
        <v/>
      </c>
    </row>
    <row r="1273" customFormat="false" ht="15" hidden="false" customHeight="false" outlineLevel="0" collapsed="false">
      <c r="I1273" s="15" t="str">
        <f aca="false">IF(N1273="","",INT(N1273))</f>
        <v/>
      </c>
      <c r="J1273" s="16" t="str">
        <f aca="false">IF(B1273="","",IF(N1273=_xlfn.MINIFS($N$2:$N$5001,$B$2:$B$5001,B1273),1,0))</f>
        <v/>
      </c>
      <c r="K1273" s="16" t="str">
        <f aca="false">IF(B1273="","",IF(AND(D1273="Formalização",E1273="Concluído"),IF(COUNTIFS($B$2:$B$5001,B1273,$E$2:$E$5001,"Em ajustes",$N$2:$N$5001,"&lt;"&amp;I1273)&gt;0,1,0),0))</f>
        <v/>
      </c>
      <c r="L1273" s="16" t="str">
        <f aca="false">IF(B1273="","",IF(N1273=_xlfn.MAXIFS($N$2:$N$5001,$B$2:$B$5001,B1273,$I$2:$I$5001,I1273),1,0))</f>
        <v/>
      </c>
      <c r="M1273" s="16" t="str">
        <f aca="false">IF(B1273="","",IF(E1273="Em ajustes",IF(N1273=_xlfn.MINIFS($N$2:$N$5001,$B$2:$B$5001,B1273,$E$2:$E$5001,"Em ajustes"),1,0),0))</f>
        <v/>
      </c>
      <c r="N1273" s="17" t="str">
        <f aca="false">IF(A1273="","",IF(ISNUMBER(A1273),A1273,IFERROR(DATE(VALUE(MID(A1273,7,4)),VALUE(MID(A1273,4,2)),VALUE(MID(A1273,1,2)))+TIME(VALUE(MID(A1273,12,2)),VALUE(MID(A1273,15,2)),VALUE(MID(A1273,18,2))),"")))</f>
        <v/>
      </c>
    </row>
    <row r="1274" customFormat="false" ht="15" hidden="false" customHeight="false" outlineLevel="0" collapsed="false">
      <c r="I1274" s="15" t="str">
        <f aca="false">IF(N1274="","",INT(N1274))</f>
        <v/>
      </c>
      <c r="J1274" s="16" t="str">
        <f aca="false">IF(B1274="","",IF(N1274=_xlfn.MINIFS($N$2:$N$5001,$B$2:$B$5001,B1274),1,0))</f>
        <v/>
      </c>
      <c r="K1274" s="16" t="str">
        <f aca="false">IF(B1274="","",IF(AND(D1274="Formalização",E1274="Concluído"),IF(COUNTIFS($B$2:$B$5001,B1274,$E$2:$E$5001,"Em ajustes",$N$2:$N$5001,"&lt;"&amp;I1274)&gt;0,1,0),0))</f>
        <v/>
      </c>
      <c r="L1274" s="16" t="str">
        <f aca="false">IF(B1274="","",IF(N1274=_xlfn.MAXIFS($N$2:$N$5001,$B$2:$B$5001,B1274,$I$2:$I$5001,I1274),1,0))</f>
        <v/>
      </c>
      <c r="M1274" s="16" t="str">
        <f aca="false">IF(B1274="","",IF(E1274="Em ajustes",IF(N1274=_xlfn.MINIFS($N$2:$N$5001,$B$2:$B$5001,B1274,$E$2:$E$5001,"Em ajustes"),1,0),0))</f>
        <v/>
      </c>
      <c r="N1274" s="17" t="str">
        <f aca="false">IF(A1274="","",IF(ISNUMBER(A1274),A1274,IFERROR(DATE(VALUE(MID(A1274,7,4)),VALUE(MID(A1274,4,2)),VALUE(MID(A1274,1,2)))+TIME(VALUE(MID(A1274,12,2)),VALUE(MID(A1274,15,2)),VALUE(MID(A1274,18,2))),"")))</f>
        <v/>
      </c>
    </row>
    <row r="1275" customFormat="false" ht="15" hidden="false" customHeight="false" outlineLevel="0" collapsed="false">
      <c r="I1275" s="15" t="str">
        <f aca="false">IF(N1275="","",INT(N1275))</f>
        <v/>
      </c>
      <c r="J1275" s="16" t="str">
        <f aca="false">IF(B1275="","",IF(N1275=_xlfn.MINIFS($N$2:$N$5001,$B$2:$B$5001,B1275),1,0))</f>
        <v/>
      </c>
      <c r="K1275" s="16" t="str">
        <f aca="false">IF(B1275="","",IF(AND(D1275="Formalização",E1275="Concluído"),IF(COUNTIFS($B$2:$B$5001,B1275,$E$2:$E$5001,"Em ajustes",$N$2:$N$5001,"&lt;"&amp;I1275)&gt;0,1,0),0))</f>
        <v/>
      </c>
      <c r="L1275" s="16" t="str">
        <f aca="false">IF(B1275="","",IF(N1275=_xlfn.MAXIFS($N$2:$N$5001,$B$2:$B$5001,B1275,$I$2:$I$5001,I1275),1,0))</f>
        <v/>
      </c>
      <c r="M1275" s="16" t="str">
        <f aca="false">IF(B1275="","",IF(E1275="Em ajustes",IF(N1275=_xlfn.MINIFS($N$2:$N$5001,$B$2:$B$5001,B1275,$E$2:$E$5001,"Em ajustes"),1,0),0))</f>
        <v/>
      </c>
      <c r="N1275" s="17" t="str">
        <f aca="false">IF(A1275="","",IF(ISNUMBER(A1275),A1275,IFERROR(DATE(VALUE(MID(A1275,7,4)),VALUE(MID(A1275,4,2)),VALUE(MID(A1275,1,2)))+TIME(VALUE(MID(A1275,12,2)),VALUE(MID(A1275,15,2)),VALUE(MID(A1275,18,2))),"")))</f>
        <v/>
      </c>
    </row>
    <row r="1276" customFormat="false" ht="15" hidden="false" customHeight="false" outlineLevel="0" collapsed="false">
      <c r="I1276" s="15" t="str">
        <f aca="false">IF(N1276="","",INT(N1276))</f>
        <v/>
      </c>
      <c r="J1276" s="16" t="str">
        <f aca="false">IF(B1276="","",IF(N1276=_xlfn.MINIFS($N$2:$N$5001,$B$2:$B$5001,B1276),1,0))</f>
        <v/>
      </c>
      <c r="K1276" s="16" t="str">
        <f aca="false">IF(B1276="","",IF(AND(D1276="Formalização",E1276="Concluído"),IF(COUNTIFS($B$2:$B$5001,B1276,$E$2:$E$5001,"Em ajustes",$N$2:$N$5001,"&lt;"&amp;I1276)&gt;0,1,0),0))</f>
        <v/>
      </c>
      <c r="L1276" s="16" t="str">
        <f aca="false">IF(B1276="","",IF(N1276=_xlfn.MAXIFS($N$2:$N$5001,$B$2:$B$5001,B1276,$I$2:$I$5001,I1276),1,0))</f>
        <v/>
      </c>
      <c r="M1276" s="16" t="str">
        <f aca="false">IF(B1276="","",IF(E1276="Em ajustes",IF(N1276=_xlfn.MINIFS($N$2:$N$5001,$B$2:$B$5001,B1276,$E$2:$E$5001,"Em ajustes"),1,0),0))</f>
        <v/>
      </c>
      <c r="N1276" s="17" t="str">
        <f aca="false">IF(A1276="","",IF(ISNUMBER(A1276),A1276,IFERROR(DATE(VALUE(MID(A1276,7,4)),VALUE(MID(A1276,4,2)),VALUE(MID(A1276,1,2)))+TIME(VALUE(MID(A1276,12,2)),VALUE(MID(A1276,15,2)),VALUE(MID(A1276,18,2))),"")))</f>
        <v/>
      </c>
    </row>
    <row r="1277" customFormat="false" ht="15" hidden="false" customHeight="false" outlineLevel="0" collapsed="false">
      <c r="I1277" s="15" t="str">
        <f aca="false">IF(N1277="","",INT(N1277))</f>
        <v/>
      </c>
      <c r="J1277" s="16" t="str">
        <f aca="false">IF(B1277="","",IF(N1277=_xlfn.MINIFS($N$2:$N$5001,$B$2:$B$5001,B1277),1,0))</f>
        <v/>
      </c>
      <c r="K1277" s="16" t="str">
        <f aca="false">IF(B1277="","",IF(AND(D1277="Formalização",E1277="Concluído"),IF(COUNTIFS($B$2:$B$5001,B1277,$E$2:$E$5001,"Em ajustes",$N$2:$N$5001,"&lt;"&amp;I1277)&gt;0,1,0),0))</f>
        <v/>
      </c>
      <c r="L1277" s="16" t="str">
        <f aca="false">IF(B1277="","",IF(N1277=_xlfn.MAXIFS($N$2:$N$5001,$B$2:$B$5001,B1277,$I$2:$I$5001,I1277),1,0))</f>
        <v/>
      </c>
      <c r="M1277" s="16" t="str">
        <f aca="false">IF(B1277="","",IF(E1277="Em ajustes",IF(N1277=_xlfn.MINIFS($N$2:$N$5001,$B$2:$B$5001,B1277,$E$2:$E$5001,"Em ajustes"),1,0),0))</f>
        <v/>
      </c>
      <c r="N1277" s="17" t="str">
        <f aca="false">IF(A1277="","",IF(ISNUMBER(A1277),A1277,IFERROR(DATE(VALUE(MID(A1277,7,4)),VALUE(MID(A1277,4,2)),VALUE(MID(A1277,1,2)))+TIME(VALUE(MID(A1277,12,2)),VALUE(MID(A1277,15,2)),VALUE(MID(A1277,18,2))),"")))</f>
        <v/>
      </c>
    </row>
    <row r="1278" customFormat="false" ht="15" hidden="false" customHeight="false" outlineLevel="0" collapsed="false">
      <c r="I1278" s="15" t="str">
        <f aca="false">IF(N1278="","",INT(N1278))</f>
        <v/>
      </c>
      <c r="J1278" s="16" t="str">
        <f aca="false">IF(B1278="","",IF(N1278=_xlfn.MINIFS($N$2:$N$5001,$B$2:$B$5001,B1278),1,0))</f>
        <v/>
      </c>
      <c r="K1278" s="16" t="str">
        <f aca="false">IF(B1278="","",IF(AND(D1278="Formalização",E1278="Concluído"),IF(COUNTIFS($B$2:$B$5001,B1278,$E$2:$E$5001,"Em ajustes",$N$2:$N$5001,"&lt;"&amp;I1278)&gt;0,1,0),0))</f>
        <v/>
      </c>
      <c r="L1278" s="16" t="str">
        <f aca="false">IF(B1278="","",IF(N1278=_xlfn.MAXIFS($N$2:$N$5001,$B$2:$B$5001,B1278,$I$2:$I$5001,I1278),1,0))</f>
        <v/>
      </c>
      <c r="M1278" s="16" t="str">
        <f aca="false">IF(B1278="","",IF(E1278="Em ajustes",IF(N1278=_xlfn.MINIFS($N$2:$N$5001,$B$2:$B$5001,B1278,$E$2:$E$5001,"Em ajustes"),1,0),0))</f>
        <v/>
      </c>
      <c r="N1278" s="17" t="str">
        <f aca="false">IF(A1278="","",IF(ISNUMBER(A1278),A1278,IFERROR(DATE(VALUE(MID(A1278,7,4)),VALUE(MID(A1278,4,2)),VALUE(MID(A1278,1,2)))+TIME(VALUE(MID(A1278,12,2)),VALUE(MID(A1278,15,2)),VALUE(MID(A1278,18,2))),"")))</f>
        <v/>
      </c>
    </row>
    <row r="1279" customFormat="false" ht="15" hidden="false" customHeight="false" outlineLevel="0" collapsed="false">
      <c r="I1279" s="15" t="str">
        <f aca="false">IF(N1279="","",INT(N1279))</f>
        <v/>
      </c>
      <c r="J1279" s="16" t="str">
        <f aca="false">IF(B1279="","",IF(N1279=_xlfn.MINIFS($N$2:$N$5001,$B$2:$B$5001,B1279),1,0))</f>
        <v/>
      </c>
      <c r="K1279" s="16" t="str">
        <f aca="false">IF(B1279="","",IF(AND(D1279="Formalização",E1279="Concluído"),IF(COUNTIFS($B$2:$B$5001,B1279,$E$2:$E$5001,"Em ajustes",$N$2:$N$5001,"&lt;"&amp;I1279)&gt;0,1,0),0))</f>
        <v/>
      </c>
      <c r="L1279" s="16" t="str">
        <f aca="false">IF(B1279="","",IF(N1279=_xlfn.MAXIFS($N$2:$N$5001,$B$2:$B$5001,B1279,$I$2:$I$5001,I1279),1,0))</f>
        <v/>
      </c>
      <c r="M1279" s="16" t="str">
        <f aca="false">IF(B1279="","",IF(E1279="Em ajustes",IF(N1279=_xlfn.MINIFS($N$2:$N$5001,$B$2:$B$5001,B1279,$E$2:$E$5001,"Em ajustes"),1,0),0))</f>
        <v/>
      </c>
      <c r="N1279" s="17" t="str">
        <f aca="false">IF(A1279="","",IF(ISNUMBER(A1279),A1279,IFERROR(DATE(VALUE(MID(A1279,7,4)),VALUE(MID(A1279,4,2)),VALUE(MID(A1279,1,2)))+TIME(VALUE(MID(A1279,12,2)),VALUE(MID(A1279,15,2)),VALUE(MID(A1279,18,2))),"")))</f>
        <v/>
      </c>
    </row>
    <row r="1280" customFormat="false" ht="15" hidden="false" customHeight="false" outlineLevel="0" collapsed="false">
      <c r="I1280" s="15" t="str">
        <f aca="false">IF(N1280="","",INT(N1280))</f>
        <v/>
      </c>
      <c r="J1280" s="16" t="str">
        <f aca="false">IF(B1280="","",IF(N1280=_xlfn.MINIFS($N$2:$N$5001,$B$2:$B$5001,B1280),1,0))</f>
        <v/>
      </c>
      <c r="K1280" s="16" t="str">
        <f aca="false">IF(B1280="","",IF(AND(D1280="Formalização",E1280="Concluído"),IF(COUNTIFS($B$2:$B$5001,B1280,$E$2:$E$5001,"Em ajustes",$N$2:$N$5001,"&lt;"&amp;I1280)&gt;0,1,0),0))</f>
        <v/>
      </c>
      <c r="L1280" s="16" t="str">
        <f aca="false">IF(B1280="","",IF(N1280=_xlfn.MAXIFS($N$2:$N$5001,$B$2:$B$5001,B1280,$I$2:$I$5001,I1280),1,0))</f>
        <v/>
      </c>
      <c r="M1280" s="16" t="str">
        <f aca="false">IF(B1280="","",IF(E1280="Em ajustes",IF(N1280=_xlfn.MINIFS($N$2:$N$5001,$B$2:$B$5001,B1280,$E$2:$E$5001,"Em ajustes"),1,0),0))</f>
        <v/>
      </c>
      <c r="N1280" s="17" t="str">
        <f aca="false">IF(A1280="","",IF(ISNUMBER(A1280),A1280,IFERROR(DATE(VALUE(MID(A1280,7,4)),VALUE(MID(A1280,4,2)),VALUE(MID(A1280,1,2)))+TIME(VALUE(MID(A1280,12,2)),VALUE(MID(A1280,15,2)),VALUE(MID(A1280,18,2))),"")))</f>
        <v/>
      </c>
    </row>
    <row r="1281" customFormat="false" ht="15" hidden="false" customHeight="false" outlineLevel="0" collapsed="false">
      <c r="I1281" s="15" t="str">
        <f aca="false">IF(N1281="","",INT(N1281))</f>
        <v/>
      </c>
      <c r="J1281" s="16" t="str">
        <f aca="false">IF(B1281="","",IF(N1281=_xlfn.MINIFS($N$2:$N$5001,$B$2:$B$5001,B1281),1,0))</f>
        <v/>
      </c>
      <c r="K1281" s="16" t="str">
        <f aca="false">IF(B1281="","",IF(AND(D1281="Formalização",E1281="Concluído"),IF(COUNTIFS($B$2:$B$5001,B1281,$E$2:$E$5001,"Em ajustes",$N$2:$N$5001,"&lt;"&amp;I1281)&gt;0,1,0),0))</f>
        <v/>
      </c>
      <c r="L1281" s="16" t="str">
        <f aca="false">IF(B1281="","",IF(N1281=_xlfn.MAXIFS($N$2:$N$5001,$B$2:$B$5001,B1281,$I$2:$I$5001,I1281),1,0))</f>
        <v/>
      </c>
      <c r="M1281" s="16" t="str">
        <f aca="false">IF(B1281="","",IF(E1281="Em ajustes",IF(N1281=_xlfn.MINIFS($N$2:$N$5001,$B$2:$B$5001,B1281,$E$2:$E$5001,"Em ajustes"),1,0),0))</f>
        <v/>
      </c>
      <c r="N1281" s="17" t="str">
        <f aca="false">IF(A1281="","",IF(ISNUMBER(A1281),A1281,IFERROR(DATE(VALUE(MID(A1281,7,4)),VALUE(MID(A1281,4,2)),VALUE(MID(A1281,1,2)))+TIME(VALUE(MID(A1281,12,2)),VALUE(MID(A1281,15,2)),VALUE(MID(A1281,18,2))),"")))</f>
        <v/>
      </c>
    </row>
    <row r="1282" customFormat="false" ht="15" hidden="false" customHeight="false" outlineLevel="0" collapsed="false">
      <c r="I1282" s="15" t="str">
        <f aca="false">IF(N1282="","",INT(N1282))</f>
        <v/>
      </c>
      <c r="J1282" s="16" t="str">
        <f aca="false">IF(B1282="","",IF(N1282=_xlfn.MINIFS($N$2:$N$5001,$B$2:$B$5001,B1282),1,0))</f>
        <v/>
      </c>
      <c r="K1282" s="16" t="str">
        <f aca="false">IF(B1282="","",IF(AND(D1282="Formalização",E1282="Concluído"),IF(COUNTIFS($B$2:$B$5001,B1282,$E$2:$E$5001,"Em ajustes",$N$2:$N$5001,"&lt;"&amp;I1282)&gt;0,1,0),0))</f>
        <v/>
      </c>
      <c r="L1282" s="16" t="str">
        <f aca="false">IF(B1282="","",IF(N1282=_xlfn.MAXIFS($N$2:$N$5001,$B$2:$B$5001,B1282,$I$2:$I$5001,I1282),1,0))</f>
        <v/>
      </c>
      <c r="M1282" s="16" t="str">
        <f aca="false">IF(B1282="","",IF(E1282="Em ajustes",IF(N1282=_xlfn.MINIFS($N$2:$N$5001,$B$2:$B$5001,B1282,$E$2:$E$5001,"Em ajustes"),1,0),0))</f>
        <v/>
      </c>
      <c r="N1282" s="17" t="str">
        <f aca="false">IF(A1282="","",IF(ISNUMBER(A1282),A1282,IFERROR(DATE(VALUE(MID(A1282,7,4)),VALUE(MID(A1282,4,2)),VALUE(MID(A1282,1,2)))+TIME(VALUE(MID(A1282,12,2)),VALUE(MID(A1282,15,2)),VALUE(MID(A1282,18,2))),"")))</f>
        <v/>
      </c>
    </row>
    <row r="1283" customFormat="false" ht="15" hidden="false" customHeight="false" outlineLevel="0" collapsed="false">
      <c r="I1283" s="15" t="str">
        <f aca="false">IF(N1283="","",INT(N1283))</f>
        <v/>
      </c>
      <c r="J1283" s="16" t="str">
        <f aca="false">IF(B1283="","",IF(N1283=_xlfn.MINIFS($N$2:$N$5001,$B$2:$B$5001,B1283),1,0))</f>
        <v/>
      </c>
      <c r="K1283" s="16" t="str">
        <f aca="false">IF(B1283="","",IF(AND(D1283="Formalização",E1283="Concluído"),IF(COUNTIFS($B$2:$B$5001,B1283,$E$2:$E$5001,"Em ajustes",$N$2:$N$5001,"&lt;"&amp;I1283)&gt;0,1,0),0))</f>
        <v/>
      </c>
      <c r="L1283" s="16" t="str">
        <f aca="false">IF(B1283="","",IF(N1283=_xlfn.MAXIFS($N$2:$N$5001,$B$2:$B$5001,B1283,$I$2:$I$5001,I1283),1,0))</f>
        <v/>
      </c>
      <c r="M1283" s="16" t="str">
        <f aca="false">IF(B1283="","",IF(E1283="Em ajustes",IF(N1283=_xlfn.MINIFS($N$2:$N$5001,$B$2:$B$5001,B1283,$E$2:$E$5001,"Em ajustes"),1,0),0))</f>
        <v/>
      </c>
      <c r="N1283" s="17" t="str">
        <f aca="false">IF(A1283="","",IF(ISNUMBER(A1283),A1283,IFERROR(DATE(VALUE(MID(A1283,7,4)),VALUE(MID(A1283,4,2)),VALUE(MID(A1283,1,2)))+TIME(VALUE(MID(A1283,12,2)),VALUE(MID(A1283,15,2)),VALUE(MID(A1283,18,2))),"")))</f>
        <v/>
      </c>
    </row>
    <row r="1284" customFormat="false" ht="15" hidden="false" customHeight="false" outlineLevel="0" collapsed="false">
      <c r="I1284" s="15" t="str">
        <f aca="false">IF(N1284="","",INT(N1284))</f>
        <v/>
      </c>
      <c r="J1284" s="16" t="str">
        <f aca="false">IF(B1284="","",IF(N1284=_xlfn.MINIFS($N$2:$N$5001,$B$2:$B$5001,B1284),1,0))</f>
        <v/>
      </c>
      <c r="K1284" s="16" t="str">
        <f aca="false">IF(B1284="","",IF(AND(D1284="Formalização",E1284="Concluído"),IF(COUNTIFS($B$2:$B$5001,B1284,$E$2:$E$5001,"Em ajustes",$N$2:$N$5001,"&lt;"&amp;I1284)&gt;0,1,0),0))</f>
        <v/>
      </c>
      <c r="L1284" s="16" t="str">
        <f aca="false">IF(B1284="","",IF(N1284=_xlfn.MAXIFS($N$2:$N$5001,$B$2:$B$5001,B1284,$I$2:$I$5001,I1284),1,0))</f>
        <v/>
      </c>
      <c r="M1284" s="16" t="str">
        <f aca="false">IF(B1284="","",IF(E1284="Em ajustes",IF(N1284=_xlfn.MINIFS($N$2:$N$5001,$B$2:$B$5001,B1284,$E$2:$E$5001,"Em ajustes"),1,0),0))</f>
        <v/>
      </c>
      <c r="N1284" s="17" t="str">
        <f aca="false">IF(A1284="","",IF(ISNUMBER(A1284),A1284,IFERROR(DATE(VALUE(MID(A1284,7,4)),VALUE(MID(A1284,4,2)),VALUE(MID(A1284,1,2)))+TIME(VALUE(MID(A1284,12,2)),VALUE(MID(A1284,15,2)),VALUE(MID(A1284,18,2))),"")))</f>
        <v/>
      </c>
    </row>
    <row r="1285" customFormat="false" ht="15" hidden="false" customHeight="false" outlineLevel="0" collapsed="false">
      <c r="I1285" s="15" t="str">
        <f aca="false">IF(N1285="","",INT(N1285))</f>
        <v/>
      </c>
      <c r="J1285" s="16" t="str">
        <f aca="false">IF(B1285="","",IF(N1285=_xlfn.MINIFS($N$2:$N$5001,$B$2:$B$5001,B1285),1,0))</f>
        <v/>
      </c>
      <c r="K1285" s="16" t="str">
        <f aca="false">IF(B1285="","",IF(AND(D1285="Formalização",E1285="Concluído"),IF(COUNTIFS($B$2:$B$5001,B1285,$E$2:$E$5001,"Em ajustes",$N$2:$N$5001,"&lt;"&amp;I1285)&gt;0,1,0),0))</f>
        <v/>
      </c>
      <c r="L1285" s="16" t="str">
        <f aca="false">IF(B1285="","",IF(N1285=_xlfn.MAXIFS($N$2:$N$5001,$B$2:$B$5001,B1285,$I$2:$I$5001,I1285),1,0))</f>
        <v/>
      </c>
      <c r="M1285" s="16" t="str">
        <f aca="false">IF(B1285="","",IF(E1285="Em ajustes",IF(N1285=_xlfn.MINIFS($N$2:$N$5001,$B$2:$B$5001,B1285,$E$2:$E$5001,"Em ajustes"),1,0),0))</f>
        <v/>
      </c>
      <c r="N1285" s="17" t="str">
        <f aca="false">IF(A1285="","",IF(ISNUMBER(A1285),A1285,IFERROR(DATE(VALUE(MID(A1285,7,4)),VALUE(MID(A1285,4,2)),VALUE(MID(A1285,1,2)))+TIME(VALUE(MID(A1285,12,2)),VALUE(MID(A1285,15,2)),VALUE(MID(A1285,18,2))),"")))</f>
        <v/>
      </c>
    </row>
    <row r="1286" customFormat="false" ht="15" hidden="false" customHeight="false" outlineLevel="0" collapsed="false">
      <c r="I1286" s="15" t="str">
        <f aca="false">IF(N1286="","",INT(N1286))</f>
        <v/>
      </c>
      <c r="J1286" s="16" t="str">
        <f aca="false">IF(B1286="","",IF(N1286=_xlfn.MINIFS($N$2:$N$5001,$B$2:$B$5001,B1286),1,0))</f>
        <v/>
      </c>
      <c r="K1286" s="16" t="str">
        <f aca="false">IF(B1286="","",IF(AND(D1286="Formalização",E1286="Concluído"),IF(COUNTIFS($B$2:$B$5001,B1286,$E$2:$E$5001,"Em ajustes",$N$2:$N$5001,"&lt;"&amp;I1286)&gt;0,1,0),0))</f>
        <v/>
      </c>
      <c r="L1286" s="16" t="str">
        <f aca="false">IF(B1286="","",IF(N1286=_xlfn.MAXIFS($N$2:$N$5001,$B$2:$B$5001,B1286,$I$2:$I$5001,I1286),1,0))</f>
        <v/>
      </c>
      <c r="M1286" s="16" t="str">
        <f aca="false">IF(B1286="","",IF(E1286="Em ajustes",IF(N1286=_xlfn.MINIFS($N$2:$N$5001,$B$2:$B$5001,B1286,$E$2:$E$5001,"Em ajustes"),1,0),0))</f>
        <v/>
      </c>
      <c r="N1286" s="17" t="str">
        <f aca="false">IF(A1286="","",IF(ISNUMBER(A1286),A1286,IFERROR(DATE(VALUE(MID(A1286,7,4)),VALUE(MID(A1286,4,2)),VALUE(MID(A1286,1,2)))+TIME(VALUE(MID(A1286,12,2)),VALUE(MID(A1286,15,2)),VALUE(MID(A1286,18,2))),"")))</f>
        <v/>
      </c>
    </row>
    <row r="1287" customFormat="false" ht="15" hidden="false" customHeight="false" outlineLevel="0" collapsed="false">
      <c r="I1287" s="15" t="str">
        <f aca="false">IF(N1287="","",INT(N1287))</f>
        <v/>
      </c>
      <c r="J1287" s="16" t="str">
        <f aca="false">IF(B1287="","",IF(N1287=_xlfn.MINIFS($N$2:$N$5001,$B$2:$B$5001,B1287),1,0))</f>
        <v/>
      </c>
      <c r="K1287" s="16" t="str">
        <f aca="false">IF(B1287="","",IF(AND(D1287="Formalização",E1287="Concluído"),IF(COUNTIFS($B$2:$B$5001,B1287,$E$2:$E$5001,"Em ajustes",$N$2:$N$5001,"&lt;"&amp;I1287)&gt;0,1,0),0))</f>
        <v/>
      </c>
      <c r="L1287" s="16" t="str">
        <f aca="false">IF(B1287="","",IF(N1287=_xlfn.MAXIFS($N$2:$N$5001,$B$2:$B$5001,B1287,$I$2:$I$5001,I1287),1,0))</f>
        <v/>
      </c>
      <c r="M1287" s="16" t="str">
        <f aca="false">IF(B1287="","",IF(E1287="Em ajustes",IF(N1287=_xlfn.MINIFS($N$2:$N$5001,$B$2:$B$5001,B1287,$E$2:$E$5001,"Em ajustes"),1,0),0))</f>
        <v/>
      </c>
      <c r="N1287" s="17" t="str">
        <f aca="false">IF(A1287="","",IF(ISNUMBER(A1287),A1287,IFERROR(DATE(VALUE(MID(A1287,7,4)),VALUE(MID(A1287,4,2)),VALUE(MID(A1287,1,2)))+TIME(VALUE(MID(A1287,12,2)),VALUE(MID(A1287,15,2)),VALUE(MID(A1287,18,2))),"")))</f>
        <v/>
      </c>
    </row>
    <row r="1288" customFormat="false" ht="15" hidden="false" customHeight="false" outlineLevel="0" collapsed="false">
      <c r="I1288" s="15" t="str">
        <f aca="false">IF(N1288="","",INT(N1288))</f>
        <v/>
      </c>
      <c r="J1288" s="16" t="str">
        <f aca="false">IF(B1288="","",IF(N1288=_xlfn.MINIFS($N$2:$N$5001,$B$2:$B$5001,B1288),1,0))</f>
        <v/>
      </c>
      <c r="K1288" s="16" t="str">
        <f aca="false">IF(B1288="","",IF(AND(D1288="Formalização",E1288="Concluído"),IF(COUNTIFS($B$2:$B$5001,B1288,$E$2:$E$5001,"Em ajustes",$N$2:$N$5001,"&lt;"&amp;I1288)&gt;0,1,0),0))</f>
        <v/>
      </c>
      <c r="L1288" s="16" t="str">
        <f aca="false">IF(B1288="","",IF(N1288=_xlfn.MAXIFS($N$2:$N$5001,$B$2:$B$5001,B1288,$I$2:$I$5001,I1288),1,0))</f>
        <v/>
      </c>
      <c r="M1288" s="16" t="str">
        <f aca="false">IF(B1288="","",IF(E1288="Em ajustes",IF(N1288=_xlfn.MINIFS($N$2:$N$5001,$B$2:$B$5001,B1288,$E$2:$E$5001,"Em ajustes"),1,0),0))</f>
        <v/>
      </c>
      <c r="N1288" s="17" t="str">
        <f aca="false">IF(A1288="","",IF(ISNUMBER(A1288),A1288,IFERROR(DATE(VALUE(MID(A1288,7,4)),VALUE(MID(A1288,4,2)),VALUE(MID(A1288,1,2)))+TIME(VALUE(MID(A1288,12,2)),VALUE(MID(A1288,15,2)),VALUE(MID(A1288,18,2))),"")))</f>
        <v/>
      </c>
    </row>
    <row r="1289" customFormat="false" ht="15" hidden="false" customHeight="false" outlineLevel="0" collapsed="false">
      <c r="I1289" s="15" t="str">
        <f aca="false">IF(N1289="","",INT(N1289))</f>
        <v/>
      </c>
      <c r="J1289" s="16" t="str">
        <f aca="false">IF(B1289="","",IF(N1289=_xlfn.MINIFS($N$2:$N$5001,$B$2:$B$5001,B1289),1,0))</f>
        <v/>
      </c>
      <c r="K1289" s="16" t="str">
        <f aca="false">IF(B1289="","",IF(AND(D1289="Formalização",E1289="Concluído"),IF(COUNTIFS($B$2:$B$5001,B1289,$E$2:$E$5001,"Em ajustes",$N$2:$N$5001,"&lt;"&amp;I1289)&gt;0,1,0),0))</f>
        <v/>
      </c>
      <c r="L1289" s="16" t="str">
        <f aca="false">IF(B1289="","",IF(N1289=_xlfn.MAXIFS($N$2:$N$5001,$B$2:$B$5001,B1289,$I$2:$I$5001,I1289),1,0))</f>
        <v/>
      </c>
      <c r="M1289" s="16" t="str">
        <f aca="false">IF(B1289="","",IF(E1289="Em ajustes",IF(N1289=_xlfn.MINIFS($N$2:$N$5001,$B$2:$B$5001,B1289,$E$2:$E$5001,"Em ajustes"),1,0),0))</f>
        <v/>
      </c>
      <c r="N1289" s="17" t="str">
        <f aca="false">IF(A1289="","",IF(ISNUMBER(A1289),A1289,IFERROR(DATE(VALUE(MID(A1289,7,4)),VALUE(MID(A1289,4,2)),VALUE(MID(A1289,1,2)))+TIME(VALUE(MID(A1289,12,2)),VALUE(MID(A1289,15,2)),VALUE(MID(A1289,18,2))),"")))</f>
        <v/>
      </c>
    </row>
    <row r="1290" customFormat="false" ht="15" hidden="false" customHeight="false" outlineLevel="0" collapsed="false">
      <c r="I1290" s="15" t="str">
        <f aca="false">IF(N1290="","",INT(N1290))</f>
        <v/>
      </c>
      <c r="J1290" s="16" t="str">
        <f aca="false">IF(B1290="","",IF(N1290=_xlfn.MINIFS($N$2:$N$5001,$B$2:$B$5001,B1290),1,0))</f>
        <v/>
      </c>
      <c r="K1290" s="16" t="str">
        <f aca="false">IF(B1290="","",IF(AND(D1290="Formalização",E1290="Concluído"),IF(COUNTIFS($B$2:$B$5001,B1290,$E$2:$E$5001,"Em ajustes",$N$2:$N$5001,"&lt;"&amp;I1290)&gt;0,1,0),0))</f>
        <v/>
      </c>
      <c r="L1290" s="16" t="str">
        <f aca="false">IF(B1290="","",IF(N1290=_xlfn.MAXIFS($N$2:$N$5001,$B$2:$B$5001,B1290,$I$2:$I$5001,I1290),1,0))</f>
        <v/>
      </c>
      <c r="M1290" s="16" t="str">
        <f aca="false">IF(B1290="","",IF(E1290="Em ajustes",IF(N1290=_xlfn.MINIFS($N$2:$N$5001,$B$2:$B$5001,B1290,$E$2:$E$5001,"Em ajustes"),1,0),0))</f>
        <v/>
      </c>
      <c r="N1290" s="17" t="str">
        <f aca="false">IF(A1290="","",IF(ISNUMBER(A1290),A1290,IFERROR(DATE(VALUE(MID(A1290,7,4)),VALUE(MID(A1290,4,2)),VALUE(MID(A1290,1,2)))+TIME(VALUE(MID(A1290,12,2)),VALUE(MID(A1290,15,2)),VALUE(MID(A1290,18,2))),"")))</f>
        <v/>
      </c>
    </row>
    <row r="1291" customFormat="false" ht="15" hidden="false" customHeight="false" outlineLevel="0" collapsed="false">
      <c r="I1291" s="15" t="str">
        <f aca="false">IF(N1291="","",INT(N1291))</f>
        <v/>
      </c>
      <c r="J1291" s="16" t="str">
        <f aca="false">IF(B1291="","",IF(N1291=_xlfn.MINIFS($N$2:$N$5001,$B$2:$B$5001,B1291),1,0))</f>
        <v/>
      </c>
      <c r="K1291" s="16" t="str">
        <f aca="false">IF(B1291="","",IF(AND(D1291="Formalização",E1291="Concluído"),IF(COUNTIFS($B$2:$B$5001,B1291,$E$2:$E$5001,"Em ajustes",$N$2:$N$5001,"&lt;"&amp;I1291)&gt;0,1,0),0))</f>
        <v/>
      </c>
      <c r="L1291" s="16" t="str">
        <f aca="false">IF(B1291="","",IF(N1291=_xlfn.MAXIFS($N$2:$N$5001,$B$2:$B$5001,B1291,$I$2:$I$5001,I1291),1,0))</f>
        <v/>
      </c>
      <c r="M1291" s="16" t="str">
        <f aca="false">IF(B1291="","",IF(E1291="Em ajustes",IF(N1291=_xlfn.MINIFS($N$2:$N$5001,$B$2:$B$5001,B1291,$E$2:$E$5001,"Em ajustes"),1,0),0))</f>
        <v/>
      </c>
      <c r="N1291" s="17" t="str">
        <f aca="false">IF(A1291="","",IF(ISNUMBER(A1291),A1291,IFERROR(DATE(VALUE(MID(A1291,7,4)),VALUE(MID(A1291,4,2)),VALUE(MID(A1291,1,2)))+TIME(VALUE(MID(A1291,12,2)),VALUE(MID(A1291,15,2)),VALUE(MID(A1291,18,2))),"")))</f>
        <v/>
      </c>
    </row>
    <row r="1292" customFormat="false" ht="15" hidden="false" customHeight="false" outlineLevel="0" collapsed="false">
      <c r="I1292" s="15" t="str">
        <f aca="false">IF(N1292="","",INT(N1292))</f>
        <v/>
      </c>
      <c r="J1292" s="16" t="str">
        <f aca="false">IF(B1292="","",IF(N1292=_xlfn.MINIFS($N$2:$N$5001,$B$2:$B$5001,B1292),1,0))</f>
        <v/>
      </c>
      <c r="K1292" s="16" t="str">
        <f aca="false">IF(B1292="","",IF(AND(D1292="Formalização",E1292="Concluído"),IF(COUNTIFS($B$2:$B$5001,B1292,$E$2:$E$5001,"Em ajustes",$N$2:$N$5001,"&lt;"&amp;I1292)&gt;0,1,0),0))</f>
        <v/>
      </c>
      <c r="L1292" s="16" t="str">
        <f aca="false">IF(B1292="","",IF(N1292=_xlfn.MAXIFS($N$2:$N$5001,$B$2:$B$5001,B1292,$I$2:$I$5001,I1292),1,0))</f>
        <v/>
      </c>
      <c r="M1292" s="16" t="str">
        <f aca="false">IF(B1292="","",IF(E1292="Em ajustes",IF(N1292=_xlfn.MINIFS($N$2:$N$5001,$B$2:$B$5001,B1292,$E$2:$E$5001,"Em ajustes"),1,0),0))</f>
        <v/>
      </c>
      <c r="N1292" s="17" t="str">
        <f aca="false">IF(A1292="","",IF(ISNUMBER(A1292),A1292,IFERROR(DATE(VALUE(MID(A1292,7,4)),VALUE(MID(A1292,4,2)),VALUE(MID(A1292,1,2)))+TIME(VALUE(MID(A1292,12,2)),VALUE(MID(A1292,15,2)),VALUE(MID(A1292,18,2))),"")))</f>
        <v/>
      </c>
    </row>
    <row r="1293" customFormat="false" ht="15" hidden="false" customHeight="false" outlineLevel="0" collapsed="false">
      <c r="I1293" s="15" t="str">
        <f aca="false">IF(N1293="","",INT(N1293))</f>
        <v/>
      </c>
      <c r="J1293" s="16" t="str">
        <f aca="false">IF(B1293="","",IF(N1293=_xlfn.MINIFS($N$2:$N$5001,$B$2:$B$5001,B1293),1,0))</f>
        <v/>
      </c>
      <c r="K1293" s="16" t="str">
        <f aca="false">IF(B1293="","",IF(AND(D1293="Formalização",E1293="Concluído"),IF(COUNTIFS($B$2:$B$5001,B1293,$E$2:$E$5001,"Em ajustes",$N$2:$N$5001,"&lt;"&amp;I1293)&gt;0,1,0),0))</f>
        <v/>
      </c>
      <c r="L1293" s="16" t="str">
        <f aca="false">IF(B1293="","",IF(N1293=_xlfn.MAXIFS($N$2:$N$5001,$B$2:$B$5001,B1293,$I$2:$I$5001,I1293),1,0))</f>
        <v/>
      </c>
      <c r="M1293" s="16" t="str">
        <f aca="false">IF(B1293="","",IF(E1293="Em ajustes",IF(N1293=_xlfn.MINIFS($N$2:$N$5001,$B$2:$B$5001,B1293,$E$2:$E$5001,"Em ajustes"),1,0),0))</f>
        <v/>
      </c>
      <c r="N1293" s="17" t="str">
        <f aca="false">IF(A1293="","",IF(ISNUMBER(A1293),A1293,IFERROR(DATE(VALUE(MID(A1293,7,4)),VALUE(MID(A1293,4,2)),VALUE(MID(A1293,1,2)))+TIME(VALUE(MID(A1293,12,2)),VALUE(MID(A1293,15,2)),VALUE(MID(A1293,18,2))),"")))</f>
        <v/>
      </c>
    </row>
    <row r="1294" customFormat="false" ht="15" hidden="false" customHeight="false" outlineLevel="0" collapsed="false">
      <c r="I1294" s="15" t="str">
        <f aca="false">IF(N1294="","",INT(N1294))</f>
        <v/>
      </c>
      <c r="J1294" s="16" t="str">
        <f aca="false">IF(B1294="","",IF(N1294=_xlfn.MINIFS($N$2:$N$5001,$B$2:$B$5001,B1294),1,0))</f>
        <v/>
      </c>
      <c r="K1294" s="16" t="str">
        <f aca="false">IF(B1294="","",IF(AND(D1294="Formalização",E1294="Concluído"),IF(COUNTIFS($B$2:$B$5001,B1294,$E$2:$E$5001,"Em ajustes",$N$2:$N$5001,"&lt;"&amp;I1294)&gt;0,1,0),0))</f>
        <v/>
      </c>
      <c r="L1294" s="16" t="str">
        <f aca="false">IF(B1294="","",IF(N1294=_xlfn.MAXIFS($N$2:$N$5001,$B$2:$B$5001,B1294,$I$2:$I$5001,I1294),1,0))</f>
        <v/>
      </c>
      <c r="M1294" s="16" t="str">
        <f aca="false">IF(B1294="","",IF(E1294="Em ajustes",IF(N1294=_xlfn.MINIFS($N$2:$N$5001,$B$2:$B$5001,B1294,$E$2:$E$5001,"Em ajustes"),1,0),0))</f>
        <v/>
      </c>
      <c r="N1294" s="17" t="str">
        <f aca="false">IF(A1294="","",IF(ISNUMBER(A1294),A1294,IFERROR(DATE(VALUE(MID(A1294,7,4)),VALUE(MID(A1294,4,2)),VALUE(MID(A1294,1,2)))+TIME(VALUE(MID(A1294,12,2)),VALUE(MID(A1294,15,2)),VALUE(MID(A1294,18,2))),"")))</f>
        <v/>
      </c>
    </row>
    <row r="1295" customFormat="false" ht="15" hidden="false" customHeight="false" outlineLevel="0" collapsed="false">
      <c r="I1295" s="15" t="str">
        <f aca="false">IF(N1295="","",INT(N1295))</f>
        <v/>
      </c>
      <c r="J1295" s="16" t="str">
        <f aca="false">IF(B1295="","",IF(N1295=_xlfn.MINIFS($N$2:$N$5001,$B$2:$B$5001,B1295),1,0))</f>
        <v/>
      </c>
      <c r="K1295" s="16" t="str">
        <f aca="false">IF(B1295="","",IF(AND(D1295="Formalização",E1295="Concluído"),IF(COUNTIFS($B$2:$B$5001,B1295,$E$2:$E$5001,"Em ajustes",$N$2:$N$5001,"&lt;"&amp;I1295)&gt;0,1,0),0))</f>
        <v/>
      </c>
      <c r="L1295" s="16" t="str">
        <f aca="false">IF(B1295="","",IF(N1295=_xlfn.MAXIFS($N$2:$N$5001,$B$2:$B$5001,B1295,$I$2:$I$5001,I1295),1,0))</f>
        <v/>
      </c>
      <c r="M1295" s="16" t="str">
        <f aca="false">IF(B1295="","",IF(E1295="Em ajustes",IF(N1295=_xlfn.MINIFS($N$2:$N$5001,$B$2:$B$5001,B1295,$E$2:$E$5001,"Em ajustes"),1,0),0))</f>
        <v/>
      </c>
      <c r="N1295" s="17" t="str">
        <f aca="false">IF(A1295="","",IF(ISNUMBER(A1295),A1295,IFERROR(DATE(VALUE(MID(A1295,7,4)),VALUE(MID(A1295,4,2)),VALUE(MID(A1295,1,2)))+TIME(VALUE(MID(A1295,12,2)),VALUE(MID(A1295,15,2)),VALUE(MID(A1295,18,2))),"")))</f>
        <v/>
      </c>
    </row>
    <row r="1296" customFormat="false" ht="15" hidden="false" customHeight="false" outlineLevel="0" collapsed="false">
      <c r="I1296" s="15" t="str">
        <f aca="false">IF(N1296="","",INT(N1296))</f>
        <v/>
      </c>
      <c r="J1296" s="16" t="str">
        <f aca="false">IF(B1296="","",IF(N1296=_xlfn.MINIFS($N$2:$N$5001,$B$2:$B$5001,B1296),1,0))</f>
        <v/>
      </c>
      <c r="K1296" s="16" t="str">
        <f aca="false">IF(B1296="","",IF(AND(D1296="Formalização",E1296="Concluído"),IF(COUNTIFS($B$2:$B$5001,B1296,$E$2:$E$5001,"Em ajustes",$N$2:$N$5001,"&lt;"&amp;I1296)&gt;0,1,0),0))</f>
        <v/>
      </c>
      <c r="L1296" s="16" t="str">
        <f aca="false">IF(B1296="","",IF(N1296=_xlfn.MAXIFS($N$2:$N$5001,$B$2:$B$5001,B1296,$I$2:$I$5001,I1296),1,0))</f>
        <v/>
      </c>
      <c r="M1296" s="16" t="str">
        <f aca="false">IF(B1296="","",IF(E1296="Em ajustes",IF(N1296=_xlfn.MINIFS($N$2:$N$5001,$B$2:$B$5001,B1296,$E$2:$E$5001,"Em ajustes"),1,0),0))</f>
        <v/>
      </c>
      <c r="N1296" s="17" t="str">
        <f aca="false">IF(A1296="","",IF(ISNUMBER(A1296),A1296,IFERROR(DATE(VALUE(MID(A1296,7,4)),VALUE(MID(A1296,4,2)),VALUE(MID(A1296,1,2)))+TIME(VALUE(MID(A1296,12,2)),VALUE(MID(A1296,15,2)),VALUE(MID(A1296,18,2))),"")))</f>
        <v/>
      </c>
    </row>
    <row r="1297" customFormat="false" ht="15" hidden="false" customHeight="false" outlineLevel="0" collapsed="false">
      <c r="I1297" s="15" t="str">
        <f aca="false">IF(N1297="","",INT(N1297))</f>
        <v/>
      </c>
      <c r="J1297" s="16" t="str">
        <f aca="false">IF(B1297="","",IF(N1297=_xlfn.MINIFS($N$2:$N$5001,$B$2:$B$5001,B1297),1,0))</f>
        <v/>
      </c>
      <c r="K1297" s="16" t="str">
        <f aca="false">IF(B1297="","",IF(AND(D1297="Formalização",E1297="Concluído"),IF(COUNTIFS($B$2:$B$5001,B1297,$E$2:$E$5001,"Em ajustes",$N$2:$N$5001,"&lt;"&amp;I1297)&gt;0,1,0),0))</f>
        <v/>
      </c>
      <c r="L1297" s="16" t="str">
        <f aca="false">IF(B1297="","",IF(N1297=_xlfn.MAXIFS($N$2:$N$5001,$B$2:$B$5001,B1297,$I$2:$I$5001,I1297),1,0))</f>
        <v/>
      </c>
      <c r="M1297" s="16" t="str">
        <f aca="false">IF(B1297="","",IF(E1297="Em ajustes",IF(N1297=_xlfn.MINIFS($N$2:$N$5001,$B$2:$B$5001,B1297,$E$2:$E$5001,"Em ajustes"),1,0),0))</f>
        <v/>
      </c>
      <c r="N1297" s="17" t="str">
        <f aca="false">IF(A1297="","",IF(ISNUMBER(A1297),A1297,IFERROR(DATE(VALUE(MID(A1297,7,4)),VALUE(MID(A1297,4,2)),VALUE(MID(A1297,1,2)))+TIME(VALUE(MID(A1297,12,2)),VALUE(MID(A1297,15,2)),VALUE(MID(A1297,18,2))),"")))</f>
        <v/>
      </c>
    </row>
    <row r="1298" customFormat="false" ht="15" hidden="false" customHeight="false" outlineLevel="0" collapsed="false">
      <c r="I1298" s="15" t="str">
        <f aca="false">IF(N1298="","",INT(N1298))</f>
        <v/>
      </c>
      <c r="J1298" s="16" t="str">
        <f aca="false">IF(B1298="","",IF(N1298=_xlfn.MINIFS($N$2:$N$5001,$B$2:$B$5001,B1298),1,0))</f>
        <v/>
      </c>
      <c r="K1298" s="16" t="str">
        <f aca="false">IF(B1298="","",IF(AND(D1298="Formalização",E1298="Concluído"),IF(COUNTIFS($B$2:$B$5001,B1298,$E$2:$E$5001,"Em ajustes",$N$2:$N$5001,"&lt;"&amp;I1298)&gt;0,1,0),0))</f>
        <v/>
      </c>
      <c r="L1298" s="16" t="str">
        <f aca="false">IF(B1298="","",IF(N1298=_xlfn.MAXIFS($N$2:$N$5001,$B$2:$B$5001,B1298,$I$2:$I$5001,I1298),1,0))</f>
        <v/>
      </c>
      <c r="M1298" s="16" t="str">
        <f aca="false">IF(B1298="","",IF(E1298="Em ajustes",IF(N1298=_xlfn.MINIFS($N$2:$N$5001,$B$2:$B$5001,B1298,$E$2:$E$5001,"Em ajustes"),1,0),0))</f>
        <v/>
      </c>
      <c r="N1298" s="17" t="str">
        <f aca="false">IF(A1298="","",IF(ISNUMBER(A1298),A1298,IFERROR(DATE(VALUE(MID(A1298,7,4)),VALUE(MID(A1298,4,2)),VALUE(MID(A1298,1,2)))+TIME(VALUE(MID(A1298,12,2)),VALUE(MID(A1298,15,2)),VALUE(MID(A1298,18,2))),"")))</f>
        <v/>
      </c>
    </row>
    <row r="1299" customFormat="false" ht="15" hidden="false" customHeight="false" outlineLevel="0" collapsed="false">
      <c r="I1299" s="15" t="str">
        <f aca="false">IF(N1299="","",INT(N1299))</f>
        <v/>
      </c>
      <c r="J1299" s="16" t="str">
        <f aca="false">IF(B1299="","",IF(N1299=_xlfn.MINIFS($N$2:$N$5001,$B$2:$B$5001,B1299),1,0))</f>
        <v/>
      </c>
      <c r="K1299" s="16" t="str">
        <f aca="false">IF(B1299="","",IF(AND(D1299="Formalização",E1299="Concluído"),IF(COUNTIFS($B$2:$B$5001,B1299,$E$2:$E$5001,"Em ajustes",$N$2:$N$5001,"&lt;"&amp;I1299)&gt;0,1,0),0))</f>
        <v/>
      </c>
      <c r="L1299" s="16" t="str">
        <f aca="false">IF(B1299="","",IF(N1299=_xlfn.MAXIFS($N$2:$N$5001,$B$2:$B$5001,B1299,$I$2:$I$5001,I1299),1,0))</f>
        <v/>
      </c>
      <c r="M1299" s="16" t="str">
        <f aca="false">IF(B1299="","",IF(E1299="Em ajustes",IF(N1299=_xlfn.MINIFS($N$2:$N$5001,$B$2:$B$5001,B1299,$E$2:$E$5001,"Em ajustes"),1,0),0))</f>
        <v/>
      </c>
      <c r="N1299" s="17" t="str">
        <f aca="false">IF(A1299="","",IF(ISNUMBER(A1299),A1299,IFERROR(DATE(VALUE(MID(A1299,7,4)),VALUE(MID(A1299,4,2)),VALUE(MID(A1299,1,2)))+TIME(VALUE(MID(A1299,12,2)),VALUE(MID(A1299,15,2)),VALUE(MID(A1299,18,2))),"")))</f>
        <v/>
      </c>
    </row>
    <row r="1300" customFormat="false" ht="15" hidden="false" customHeight="false" outlineLevel="0" collapsed="false">
      <c r="I1300" s="15" t="str">
        <f aca="false">IF(N1300="","",INT(N1300))</f>
        <v/>
      </c>
      <c r="J1300" s="16" t="str">
        <f aca="false">IF(B1300="","",IF(N1300=_xlfn.MINIFS($N$2:$N$5001,$B$2:$B$5001,B1300),1,0))</f>
        <v/>
      </c>
      <c r="K1300" s="16" t="str">
        <f aca="false">IF(B1300="","",IF(AND(D1300="Formalização",E1300="Concluído"),IF(COUNTIFS($B$2:$B$5001,B1300,$E$2:$E$5001,"Em ajustes",$N$2:$N$5001,"&lt;"&amp;I1300)&gt;0,1,0),0))</f>
        <v/>
      </c>
      <c r="L1300" s="16" t="str">
        <f aca="false">IF(B1300="","",IF(N1300=_xlfn.MAXIFS($N$2:$N$5001,$B$2:$B$5001,B1300,$I$2:$I$5001,I1300),1,0))</f>
        <v/>
      </c>
      <c r="M1300" s="16" t="str">
        <f aca="false">IF(B1300="","",IF(E1300="Em ajustes",IF(N1300=_xlfn.MINIFS($N$2:$N$5001,$B$2:$B$5001,B1300,$E$2:$E$5001,"Em ajustes"),1,0),0))</f>
        <v/>
      </c>
      <c r="N1300" s="17" t="str">
        <f aca="false">IF(A1300="","",IF(ISNUMBER(A1300),A1300,IFERROR(DATE(VALUE(MID(A1300,7,4)),VALUE(MID(A1300,4,2)),VALUE(MID(A1300,1,2)))+TIME(VALUE(MID(A1300,12,2)),VALUE(MID(A1300,15,2)),VALUE(MID(A1300,18,2))),"")))</f>
        <v/>
      </c>
    </row>
    <row r="1301" customFormat="false" ht="15" hidden="false" customHeight="false" outlineLevel="0" collapsed="false">
      <c r="I1301" s="15" t="str">
        <f aca="false">IF(N1301="","",INT(N1301))</f>
        <v/>
      </c>
      <c r="J1301" s="16" t="str">
        <f aca="false">IF(B1301="","",IF(N1301=_xlfn.MINIFS($N$2:$N$5001,$B$2:$B$5001,B1301),1,0))</f>
        <v/>
      </c>
      <c r="K1301" s="16" t="str">
        <f aca="false">IF(B1301="","",IF(AND(D1301="Formalização",E1301="Concluído"),IF(COUNTIFS($B$2:$B$5001,B1301,$E$2:$E$5001,"Em ajustes",$N$2:$N$5001,"&lt;"&amp;I1301)&gt;0,1,0),0))</f>
        <v/>
      </c>
      <c r="L1301" s="16" t="str">
        <f aca="false">IF(B1301="","",IF(N1301=_xlfn.MAXIFS($N$2:$N$5001,$B$2:$B$5001,B1301,$I$2:$I$5001,I1301),1,0))</f>
        <v/>
      </c>
      <c r="M1301" s="16" t="str">
        <f aca="false">IF(B1301="","",IF(E1301="Em ajustes",IF(N1301=_xlfn.MINIFS($N$2:$N$5001,$B$2:$B$5001,B1301,$E$2:$E$5001,"Em ajustes"),1,0),0))</f>
        <v/>
      </c>
      <c r="N1301" s="17" t="str">
        <f aca="false">IF(A1301="","",IF(ISNUMBER(A1301),A1301,IFERROR(DATE(VALUE(MID(A1301,7,4)),VALUE(MID(A1301,4,2)),VALUE(MID(A1301,1,2)))+TIME(VALUE(MID(A1301,12,2)),VALUE(MID(A1301,15,2)),VALUE(MID(A1301,18,2))),"")))</f>
        <v/>
      </c>
    </row>
    <row r="1302" customFormat="false" ht="15" hidden="false" customHeight="false" outlineLevel="0" collapsed="false">
      <c r="I1302" s="15" t="str">
        <f aca="false">IF(N1302="","",INT(N1302))</f>
        <v/>
      </c>
      <c r="J1302" s="16" t="str">
        <f aca="false">IF(B1302="","",IF(N1302=_xlfn.MINIFS($N$2:$N$5001,$B$2:$B$5001,B1302),1,0))</f>
        <v/>
      </c>
      <c r="K1302" s="16" t="str">
        <f aca="false">IF(B1302="","",IF(AND(D1302="Formalização",E1302="Concluído"),IF(COUNTIFS($B$2:$B$5001,B1302,$E$2:$E$5001,"Em ajustes",$N$2:$N$5001,"&lt;"&amp;I1302)&gt;0,1,0),0))</f>
        <v/>
      </c>
      <c r="L1302" s="16" t="str">
        <f aca="false">IF(B1302="","",IF(N1302=_xlfn.MAXIFS($N$2:$N$5001,$B$2:$B$5001,B1302,$I$2:$I$5001,I1302),1,0))</f>
        <v/>
      </c>
      <c r="M1302" s="16" t="str">
        <f aca="false">IF(B1302="","",IF(E1302="Em ajustes",IF(N1302=_xlfn.MINIFS($N$2:$N$5001,$B$2:$B$5001,B1302,$E$2:$E$5001,"Em ajustes"),1,0),0))</f>
        <v/>
      </c>
      <c r="N1302" s="17" t="str">
        <f aca="false">IF(A1302="","",IF(ISNUMBER(A1302),A1302,IFERROR(DATE(VALUE(MID(A1302,7,4)),VALUE(MID(A1302,4,2)),VALUE(MID(A1302,1,2)))+TIME(VALUE(MID(A1302,12,2)),VALUE(MID(A1302,15,2)),VALUE(MID(A1302,18,2))),"")))</f>
        <v/>
      </c>
    </row>
    <row r="1303" customFormat="false" ht="15" hidden="false" customHeight="false" outlineLevel="0" collapsed="false">
      <c r="I1303" s="15" t="str">
        <f aca="false">IF(N1303="","",INT(N1303))</f>
        <v/>
      </c>
      <c r="J1303" s="16" t="str">
        <f aca="false">IF(B1303="","",IF(N1303=_xlfn.MINIFS($N$2:$N$5001,$B$2:$B$5001,B1303),1,0))</f>
        <v/>
      </c>
      <c r="K1303" s="16" t="str">
        <f aca="false">IF(B1303="","",IF(AND(D1303="Formalização",E1303="Concluído"),IF(COUNTIFS($B$2:$B$5001,B1303,$E$2:$E$5001,"Em ajustes",$N$2:$N$5001,"&lt;"&amp;I1303)&gt;0,1,0),0))</f>
        <v/>
      </c>
      <c r="L1303" s="16" t="str">
        <f aca="false">IF(B1303="","",IF(N1303=_xlfn.MAXIFS($N$2:$N$5001,$B$2:$B$5001,B1303,$I$2:$I$5001,I1303),1,0))</f>
        <v/>
      </c>
      <c r="M1303" s="16" t="str">
        <f aca="false">IF(B1303="","",IF(E1303="Em ajustes",IF(N1303=_xlfn.MINIFS($N$2:$N$5001,$B$2:$B$5001,B1303,$E$2:$E$5001,"Em ajustes"),1,0),0))</f>
        <v/>
      </c>
      <c r="N1303" s="17" t="str">
        <f aca="false">IF(A1303="","",IF(ISNUMBER(A1303),A1303,IFERROR(DATE(VALUE(MID(A1303,7,4)),VALUE(MID(A1303,4,2)),VALUE(MID(A1303,1,2)))+TIME(VALUE(MID(A1303,12,2)),VALUE(MID(A1303,15,2)),VALUE(MID(A1303,18,2))),"")))</f>
        <v/>
      </c>
    </row>
    <row r="1304" customFormat="false" ht="15" hidden="false" customHeight="false" outlineLevel="0" collapsed="false">
      <c r="I1304" s="15" t="str">
        <f aca="false">IF(N1304="","",INT(N1304))</f>
        <v/>
      </c>
      <c r="J1304" s="16" t="str">
        <f aca="false">IF(B1304="","",IF(N1304=_xlfn.MINIFS($N$2:$N$5001,$B$2:$B$5001,B1304),1,0))</f>
        <v/>
      </c>
      <c r="K1304" s="16" t="str">
        <f aca="false">IF(B1304="","",IF(AND(D1304="Formalização",E1304="Concluído"),IF(COUNTIFS($B$2:$B$5001,B1304,$E$2:$E$5001,"Em ajustes",$N$2:$N$5001,"&lt;"&amp;I1304)&gt;0,1,0),0))</f>
        <v/>
      </c>
      <c r="L1304" s="16" t="str">
        <f aca="false">IF(B1304="","",IF(N1304=_xlfn.MAXIFS($N$2:$N$5001,$B$2:$B$5001,B1304,$I$2:$I$5001,I1304),1,0))</f>
        <v/>
      </c>
      <c r="M1304" s="16" t="str">
        <f aca="false">IF(B1304="","",IF(E1304="Em ajustes",IF(N1304=_xlfn.MINIFS($N$2:$N$5001,$B$2:$B$5001,B1304,$E$2:$E$5001,"Em ajustes"),1,0),0))</f>
        <v/>
      </c>
      <c r="N1304" s="17" t="str">
        <f aca="false">IF(A1304="","",IF(ISNUMBER(A1304),A1304,IFERROR(DATE(VALUE(MID(A1304,7,4)),VALUE(MID(A1304,4,2)),VALUE(MID(A1304,1,2)))+TIME(VALUE(MID(A1304,12,2)),VALUE(MID(A1304,15,2)),VALUE(MID(A1304,18,2))),"")))</f>
        <v/>
      </c>
    </row>
    <row r="1305" customFormat="false" ht="15" hidden="false" customHeight="false" outlineLevel="0" collapsed="false">
      <c r="I1305" s="15" t="str">
        <f aca="false">IF(N1305="","",INT(N1305))</f>
        <v/>
      </c>
      <c r="J1305" s="16" t="str">
        <f aca="false">IF(B1305="","",IF(N1305=_xlfn.MINIFS($N$2:$N$5001,$B$2:$B$5001,B1305),1,0))</f>
        <v/>
      </c>
      <c r="K1305" s="16" t="str">
        <f aca="false">IF(B1305="","",IF(AND(D1305="Formalização",E1305="Concluído"),IF(COUNTIFS($B$2:$B$5001,B1305,$E$2:$E$5001,"Em ajustes",$N$2:$N$5001,"&lt;"&amp;I1305)&gt;0,1,0),0))</f>
        <v/>
      </c>
      <c r="L1305" s="16" t="str">
        <f aca="false">IF(B1305="","",IF(N1305=_xlfn.MAXIFS($N$2:$N$5001,$B$2:$B$5001,B1305,$I$2:$I$5001,I1305),1,0))</f>
        <v/>
      </c>
      <c r="M1305" s="16" t="str">
        <f aca="false">IF(B1305="","",IF(E1305="Em ajustes",IF(N1305=_xlfn.MINIFS($N$2:$N$5001,$B$2:$B$5001,B1305,$E$2:$E$5001,"Em ajustes"),1,0),0))</f>
        <v/>
      </c>
      <c r="N1305" s="17" t="str">
        <f aca="false">IF(A1305="","",IF(ISNUMBER(A1305),A1305,IFERROR(DATE(VALUE(MID(A1305,7,4)),VALUE(MID(A1305,4,2)),VALUE(MID(A1305,1,2)))+TIME(VALUE(MID(A1305,12,2)),VALUE(MID(A1305,15,2)),VALUE(MID(A1305,18,2))),"")))</f>
        <v/>
      </c>
    </row>
    <row r="1306" customFormat="false" ht="15" hidden="false" customHeight="false" outlineLevel="0" collapsed="false">
      <c r="I1306" s="15" t="str">
        <f aca="false">IF(N1306="","",INT(N1306))</f>
        <v/>
      </c>
      <c r="J1306" s="16" t="str">
        <f aca="false">IF(B1306="","",IF(N1306=_xlfn.MINIFS($N$2:$N$5001,$B$2:$B$5001,B1306),1,0))</f>
        <v/>
      </c>
      <c r="K1306" s="16" t="str">
        <f aca="false">IF(B1306="","",IF(AND(D1306="Formalização",E1306="Concluído"),IF(COUNTIFS($B$2:$B$5001,B1306,$E$2:$E$5001,"Em ajustes",$N$2:$N$5001,"&lt;"&amp;I1306)&gt;0,1,0),0))</f>
        <v/>
      </c>
      <c r="L1306" s="16" t="str">
        <f aca="false">IF(B1306="","",IF(N1306=_xlfn.MAXIFS($N$2:$N$5001,$B$2:$B$5001,B1306,$I$2:$I$5001,I1306),1,0))</f>
        <v/>
      </c>
      <c r="M1306" s="16" t="str">
        <f aca="false">IF(B1306="","",IF(E1306="Em ajustes",IF(N1306=_xlfn.MINIFS($N$2:$N$5001,$B$2:$B$5001,B1306,$E$2:$E$5001,"Em ajustes"),1,0),0))</f>
        <v/>
      </c>
      <c r="N1306" s="17" t="str">
        <f aca="false">IF(A1306="","",IF(ISNUMBER(A1306),A1306,IFERROR(DATE(VALUE(MID(A1306,7,4)),VALUE(MID(A1306,4,2)),VALUE(MID(A1306,1,2)))+TIME(VALUE(MID(A1306,12,2)),VALUE(MID(A1306,15,2)),VALUE(MID(A1306,18,2))),"")))</f>
        <v/>
      </c>
    </row>
    <row r="1307" customFormat="false" ht="15" hidden="false" customHeight="false" outlineLevel="0" collapsed="false">
      <c r="I1307" s="15" t="str">
        <f aca="false">IF(N1307="","",INT(N1307))</f>
        <v/>
      </c>
      <c r="J1307" s="16" t="str">
        <f aca="false">IF(B1307="","",IF(N1307=_xlfn.MINIFS($N$2:$N$5001,$B$2:$B$5001,B1307),1,0))</f>
        <v/>
      </c>
      <c r="K1307" s="16" t="str">
        <f aca="false">IF(B1307="","",IF(AND(D1307="Formalização",E1307="Concluído"),IF(COUNTIFS($B$2:$B$5001,B1307,$E$2:$E$5001,"Em ajustes",$N$2:$N$5001,"&lt;"&amp;I1307)&gt;0,1,0),0))</f>
        <v/>
      </c>
      <c r="L1307" s="16" t="str">
        <f aca="false">IF(B1307="","",IF(N1307=_xlfn.MAXIFS($N$2:$N$5001,$B$2:$B$5001,B1307,$I$2:$I$5001,I1307),1,0))</f>
        <v/>
      </c>
      <c r="M1307" s="16" t="str">
        <f aca="false">IF(B1307="","",IF(E1307="Em ajustes",IF(N1307=_xlfn.MINIFS($N$2:$N$5001,$B$2:$B$5001,B1307,$E$2:$E$5001,"Em ajustes"),1,0),0))</f>
        <v/>
      </c>
      <c r="N1307" s="17" t="str">
        <f aca="false">IF(A1307="","",IF(ISNUMBER(A1307),A1307,IFERROR(DATE(VALUE(MID(A1307,7,4)),VALUE(MID(A1307,4,2)),VALUE(MID(A1307,1,2)))+TIME(VALUE(MID(A1307,12,2)),VALUE(MID(A1307,15,2)),VALUE(MID(A1307,18,2))),"")))</f>
        <v/>
      </c>
    </row>
    <row r="1308" customFormat="false" ht="15" hidden="false" customHeight="false" outlineLevel="0" collapsed="false">
      <c r="I1308" s="15" t="str">
        <f aca="false">IF(N1308="","",INT(N1308))</f>
        <v/>
      </c>
      <c r="J1308" s="16" t="str">
        <f aca="false">IF(B1308="","",IF(N1308=_xlfn.MINIFS($N$2:$N$5001,$B$2:$B$5001,B1308),1,0))</f>
        <v/>
      </c>
      <c r="K1308" s="16" t="str">
        <f aca="false">IF(B1308="","",IF(AND(D1308="Formalização",E1308="Concluído"),IF(COUNTIFS($B$2:$B$5001,B1308,$E$2:$E$5001,"Em ajustes",$N$2:$N$5001,"&lt;"&amp;I1308)&gt;0,1,0),0))</f>
        <v/>
      </c>
      <c r="L1308" s="16" t="str">
        <f aca="false">IF(B1308="","",IF(N1308=_xlfn.MAXIFS($N$2:$N$5001,$B$2:$B$5001,B1308,$I$2:$I$5001,I1308),1,0))</f>
        <v/>
      </c>
      <c r="M1308" s="16" t="str">
        <f aca="false">IF(B1308="","",IF(E1308="Em ajustes",IF(N1308=_xlfn.MINIFS($N$2:$N$5001,$B$2:$B$5001,B1308,$E$2:$E$5001,"Em ajustes"),1,0),0))</f>
        <v/>
      </c>
      <c r="N1308" s="17" t="str">
        <f aca="false">IF(A1308="","",IF(ISNUMBER(A1308),A1308,IFERROR(DATE(VALUE(MID(A1308,7,4)),VALUE(MID(A1308,4,2)),VALUE(MID(A1308,1,2)))+TIME(VALUE(MID(A1308,12,2)),VALUE(MID(A1308,15,2)),VALUE(MID(A1308,18,2))),"")))</f>
        <v/>
      </c>
    </row>
    <row r="1309" customFormat="false" ht="15" hidden="false" customHeight="false" outlineLevel="0" collapsed="false">
      <c r="I1309" s="15" t="str">
        <f aca="false">IF(N1309="","",INT(N1309))</f>
        <v/>
      </c>
      <c r="J1309" s="16" t="str">
        <f aca="false">IF(B1309="","",IF(N1309=_xlfn.MINIFS($N$2:$N$5001,$B$2:$B$5001,B1309),1,0))</f>
        <v/>
      </c>
      <c r="K1309" s="16" t="str">
        <f aca="false">IF(B1309="","",IF(AND(D1309="Formalização",E1309="Concluído"),IF(COUNTIFS($B$2:$B$5001,B1309,$E$2:$E$5001,"Em ajustes",$N$2:$N$5001,"&lt;"&amp;I1309)&gt;0,1,0),0))</f>
        <v/>
      </c>
      <c r="L1309" s="16" t="str">
        <f aca="false">IF(B1309="","",IF(N1309=_xlfn.MAXIFS($N$2:$N$5001,$B$2:$B$5001,B1309,$I$2:$I$5001,I1309),1,0))</f>
        <v/>
      </c>
      <c r="M1309" s="16" t="str">
        <f aca="false">IF(B1309="","",IF(E1309="Em ajustes",IF(N1309=_xlfn.MINIFS($N$2:$N$5001,$B$2:$B$5001,B1309,$E$2:$E$5001,"Em ajustes"),1,0),0))</f>
        <v/>
      </c>
      <c r="N1309" s="17" t="str">
        <f aca="false">IF(A1309="","",IF(ISNUMBER(A1309),A1309,IFERROR(DATE(VALUE(MID(A1309,7,4)),VALUE(MID(A1309,4,2)),VALUE(MID(A1309,1,2)))+TIME(VALUE(MID(A1309,12,2)),VALUE(MID(A1309,15,2)),VALUE(MID(A1309,18,2))),"")))</f>
        <v/>
      </c>
    </row>
    <row r="1310" customFormat="false" ht="15" hidden="false" customHeight="false" outlineLevel="0" collapsed="false">
      <c r="I1310" s="15" t="str">
        <f aca="false">IF(N1310="","",INT(N1310))</f>
        <v/>
      </c>
      <c r="J1310" s="16" t="str">
        <f aca="false">IF(B1310="","",IF(N1310=_xlfn.MINIFS($N$2:$N$5001,$B$2:$B$5001,B1310),1,0))</f>
        <v/>
      </c>
      <c r="K1310" s="16" t="str">
        <f aca="false">IF(B1310="","",IF(AND(D1310="Formalização",E1310="Concluído"),IF(COUNTIFS($B$2:$B$5001,B1310,$E$2:$E$5001,"Em ajustes",$N$2:$N$5001,"&lt;"&amp;I1310)&gt;0,1,0),0))</f>
        <v/>
      </c>
      <c r="L1310" s="16" t="str">
        <f aca="false">IF(B1310="","",IF(N1310=_xlfn.MAXIFS($N$2:$N$5001,$B$2:$B$5001,B1310,$I$2:$I$5001,I1310),1,0))</f>
        <v/>
      </c>
      <c r="M1310" s="16" t="str">
        <f aca="false">IF(B1310="","",IF(E1310="Em ajustes",IF(N1310=_xlfn.MINIFS($N$2:$N$5001,$B$2:$B$5001,B1310,$E$2:$E$5001,"Em ajustes"),1,0),0))</f>
        <v/>
      </c>
      <c r="N1310" s="17" t="str">
        <f aca="false">IF(A1310="","",IF(ISNUMBER(A1310),A1310,IFERROR(DATE(VALUE(MID(A1310,7,4)),VALUE(MID(A1310,4,2)),VALUE(MID(A1310,1,2)))+TIME(VALUE(MID(A1310,12,2)),VALUE(MID(A1310,15,2)),VALUE(MID(A1310,18,2))),"")))</f>
        <v/>
      </c>
    </row>
    <row r="1311" customFormat="false" ht="15" hidden="false" customHeight="false" outlineLevel="0" collapsed="false">
      <c r="I1311" s="15" t="str">
        <f aca="false">IF(N1311="","",INT(N1311))</f>
        <v/>
      </c>
      <c r="J1311" s="16" t="str">
        <f aca="false">IF(B1311="","",IF(N1311=_xlfn.MINIFS($N$2:$N$5001,$B$2:$B$5001,B1311),1,0))</f>
        <v/>
      </c>
      <c r="K1311" s="16" t="str">
        <f aca="false">IF(B1311="","",IF(AND(D1311="Formalização",E1311="Concluído"),IF(COUNTIFS($B$2:$B$5001,B1311,$E$2:$E$5001,"Em ajustes",$N$2:$N$5001,"&lt;"&amp;I1311)&gt;0,1,0),0))</f>
        <v/>
      </c>
      <c r="L1311" s="16" t="str">
        <f aca="false">IF(B1311="","",IF(N1311=_xlfn.MAXIFS($N$2:$N$5001,$B$2:$B$5001,B1311,$I$2:$I$5001,I1311),1,0))</f>
        <v/>
      </c>
      <c r="M1311" s="16" t="str">
        <f aca="false">IF(B1311="","",IF(E1311="Em ajustes",IF(N1311=_xlfn.MINIFS($N$2:$N$5001,$B$2:$B$5001,B1311,$E$2:$E$5001,"Em ajustes"),1,0),0))</f>
        <v/>
      </c>
      <c r="N1311" s="17" t="str">
        <f aca="false">IF(A1311="","",IF(ISNUMBER(A1311),A1311,IFERROR(DATE(VALUE(MID(A1311,7,4)),VALUE(MID(A1311,4,2)),VALUE(MID(A1311,1,2)))+TIME(VALUE(MID(A1311,12,2)),VALUE(MID(A1311,15,2)),VALUE(MID(A1311,18,2))),"")))</f>
        <v/>
      </c>
    </row>
    <row r="1312" customFormat="false" ht="15" hidden="false" customHeight="false" outlineLevel="0" collapsed="false">
      <c r="I1312" s="15" t="str">
        <f aca="false">IF(N1312="","",INT(N1312))</f>
        <v/>
      </c>
      <c r="J1312" s="16" t="str">
        <f aca="false">IF(B1312="","",IF(N1312=_xlfn.MINIFS($N$2:$N$5001,$B$2:$B$5001,B1312),1,0))</f>
        <v/>
      </c>
      <c r="K1312" s="16" t="str">
        <f aca="false">IF(B1312="","",IF(AND(D1312="Formalização",E1312="Concluído"),IF(COUNTIFS($B$2:$B$5001,B1312,$E$2:$E$5001,"Em ajustes",$N$2:$N$5001,"&lt;"&amp;I1312)&gt;0,1,0),0))</f>
        <v/>
      </c>
      <c r="L1312" s="16" t="str">
        <f aca="false">IF(B1312="","",IF(N1312=_xlfn.MAXIFS($N$2:$N$5001,$B$2:$B$5001,B1312,$I$2:$I$5001,I1312),1,0))</f>
        <v/>
      </c>
      <c r="M1312" s="16" t="str">
        <f aca="false">IF(B1312="","",IF(E1312="Em ajustes",IF(N1312=_xlfn.MINIFS($N$2:$N$5001,$B$2:$B$5001,B1312,$E$2:$E$5001,"Em ajustes"),1,0),0))</f>
        <v/>
      </c>
      <c r="N1312" s="17" t="str">
        <f aca="false">IF(A1312="","",IF(ISNUMBER(A1312),A1312,IFERROR(DATE(VALUE(MID(A1312,7,4)),VALUE(MID(A1312,4,2)),VALUE(MID(A1312,1,2)))+TIME(VALUE(MID(A1312,12,2)),VALUE(MID(A1312,15,2)),VALUE(MID(A1312,18,2))),"")))</f>
        <v/>
      </c>
    </row>
    <row r="1313" customFormat="false" ht="15" hidden="false" customHeight="false" outlineLevel="0" collapsed="false">
      <c r="I1313" s="15" t="str">
        <f aca="false">IF(N1313="","",INT(N1313))</f>
        <v/>
      </c>
      <c r="J1313" s="16" t="str">
        <f aca="false">IF(B1313="","",IF(N1313=_xlfn.MINIFS($N$2:$N$5001,$B$2:$B$5001,B1313),1,0))</f>
        <v/>
      </c>
      <c r="K1313" s="16" t="str">
        <f aca="false">IF(B1313="","",IF(AND(D1313="Formalização",E1313="Concluído"),IF(COUNTIFS($B$2:$B$5001,B1313,$E$2:$E$5001,"Em ajustes",$N$2:$N$5001,"&lt;"&amp;I1313)&gt;0,1,0),0))</f>
        <v/>
      </c>
      <c r="L1313" s="16" t="str">
        <f aca="false">IF(B1313="","",IF(N1313=_xlfn.MAXIFS($N$2:$N$5001,$B$2:$B$5001,B1313,$I$2:$I$5001,I1313),1,0))</f>
        <v/>
      </c>
      <c r="M1313" s="16" t="str">
        <f aca="false">IF(B1313="","",IF(E1313="Em ajustes",IF(N1313=_xlfn.MINIFS($N$2:$N$5001,$B$2:$B$5001,B1313,$E$2:$E$5001,"Em ajustes"),1,0),0))</f>
        <v/>
      </c>
      <c r="N1313" s="17" t="str">
        <f aca="false">IF(A1313="","",IF(ISNUMBER(A1313),A1313,IFERROR(DATE(VALUE(MID(A1313,7,4)),VALUE(MID(A1313,4,2)),VALUE(MID(A1313,1,2)))+TIME(VALUE(MID(A1313,12,2)),VALUE(MID(A1313,15,2)),VALUE(MID(A1313,18,2))),"")))</f>
        <v/>
      </c>
    </row>
    <row r="1314" customFormat="false" ht="15" hidden="false" customHeight="false" outlineLevel="0" collapsed="false">
      <c r="I1314" s="15" t="str">
        <f aca="false">IF(N1314="","",INT(N1314))</f>
        <v/>
      </c>
      <c r="J1314" s="16" t="str">
        <f aca="false">IF(B1314="","",IF(N1314=_xlfn.MINIFS($N$2:$N$5001,$B$2:$B$5001,B1314),1,0))</f>
        <v/>
      </c>
      <c r="K1314" s="16" t="str">
        <f aca="false">IF(B1314="","",IF(AND(D1314="Formalização",E1314="Concluído"),IF(COUNTIFS($B$2:$B$5001,B1314,$E$2:$E$5001,"Em ajustes",$N$2:$N$5001,"&lt;"&amp;I1314)&gt;0,1,0),0))</f>
        <v/>
      </c>
      <c r="L1314" s="16" t="str">
        <f aca="false">IF(B1314="","",IF(N1314=_xlfn.MAXIFS($N$2:$N$5001,$B$2:$B$5001,B1314,$I$2:$I$5001,I1314),1,0))</f>
        <v/>
      </c>
      <c r="M1314" s="16" t="str">
        <f aca="false">IF(B1314="","",IF(E1314="Em ajustes",IF(N1314=_xlfn.MINIFS($N$2:$N$5001,$B$2:$B$5001,B1314,$E$2:$E$5001,"Em ajustes"),1,0),0))</f>
        <v/>
      </c>
      <c r="N1314" s="17" t="str">
        <f aca="false">IF(A1314="","",IF(ISNUMBER(A1314),A1314,IFERROR(DATE(VALUE(MID(A1314,7,4)),VALUE(MID(A1314,4,2)),VALUE(MID(A1314,1,2)))+TIME(VALUE(MID(A1314,12,2)),VALUE(MID(A1314,15,2)),VALUE(MID(A1314,18,2))),"")))</f>
        <v/>
      </c>
    </row>
    <row r="1315" customFormat="false" ht="15" hidden="false" customHeight="false" outlineLevel="0" collapsed="false">
      <c r="I1315" s="15" t="str">
        <f aca="false">IF(N1315="","",INT(N1315))</f>
        <v/>
      </c>
      <c r="J1315" s="16" t="str">
        <f aca="false">IF(B1315="","",IF(N1315=_xlfn.MINIFS($N$2:$N$5001,$B$2:$B$5001,B1315),1,0))</f>
        <v/>
      </c>
      <c r="K1315" s="16" t="str">
        <f aca="false">IF(B1315="","",IF(AND(D1315="Formalização",E1315="Concluído"),IF(COUNTIFS($B$2:$B$5001,B1315,$E$2:$E$5001,"Em ajustes",$N$2:$N$5001,"&lt;"&amp;I1315)&gt;0,1,0),0))</f>
        <v/>
      </c>
      <c r="L1315" s="16" t="str">
        <f aca="false">IF(B1315="","",IF(N1315=_xlfn.MAXIFS($N$2:$N$5001,$B$2:$B$5001,B1315,$I$2:$I$5001,I1315),1,0))</f>
        <v/>
      </c>
      <c r="M1315" s="16" t="str">
        <f aca="false">IF(B1315="","",IF(E1315="Em ajustes",IF(N1315=_xlfn.MINIFS($N$2:$N$5001,$B$2:$B$5001,B1315,$E$2:$E$5001,"Em ajustes"),1,0),0))</f>
        <v/>
      </c>
      <c r="N1315" s="17" t="str">
        <f aca="false">IF(A1315="","",IF(ISNUMBER(A1315),A1315,IFERROR(DATE(VALUE(MID(A1315,7,4)),VALUE(MID(A1315,4,2)),VALUE(MID(A1315,1,2)))+TIME(VALUE(MID(A1315,12,2)),VALUE(MID(A1315,15,2)),VALUE(MID(A1315,18,2))),"")))</f>
        <v/>
      </c>
    </row>
    <row r="1316" customFormat="false" ht="15" hidden="false" customHeight="false" outlineLevel="0" collapsed="false">
      <c r="I1316" s="15" t="str">
        <f aca="false">IF(N1316="","",INT(N1316))</f>
        <v/>
      </c>
      <c r="J1316" s="16" t="str">
        <f aca="false">IF(B1316="","",IF(N1316=_xlfn.MINIFS($N$2:$N$5001,$B$2:$B$5001,B1316),1,0))</f>
        <v/>
      </c>
      <c r="K1316" s="16" t="str">
        <f aca="false">IF(B1316="","",IF(AND(D1316="Formalização",E1316="Concluído"),IF(COUNTIFS($B$2:$B$5001,B1316,$E$2:$E$5001,"Em ajustes",$N$2:$N$5001,"&lt;"&amp;I1316)&gt;0,1,0),0))</f>
        <v/>
      </c>
      <c r="L1316" s="16" t="str">
        <f aca="false">IF(B1316="","",IF(N1316=_xlfn.MAXIFS($N$2:$N$5001,$B$2:$B$5001,B1316,$I$2:$I$5001,I1316),1,0))</f>
        <v/>
      </c>
      <c r="M1316" s="16" t="str">
        <f aca="false">IF(B1316="","",IF(E1316="Em ajustes",IF(N1316=_xlfn.MINIFS($N$2:$N$5001,$B$2:$B$5001,B1316,$E$2:$E$5001,"Em ajustes"),1,0),0))</f>
        <v/>
      </c>
      <c r="N1316" s="17" t="str">
        <f aca="false">IF(A1316="","",IF(ISNUMBER(A1316),A1316,IFERROR(DATE(VALUE(MID(A1316,7,4)),VALUE(MID(A1316,4,2)),VALUE(MID(A1316,1,2)))+TIME(VALUE(MID(A1316,12,2)),VALUE(MID(A1316,15,2)),VALUE(MID(A1316,18,2))),"")))</f>
        <v/>
      </c>
    </row>
    <row r="1317" customFormat="false" ht="15" hidden="false" customHeight="false" outlineLevel="0" collapsed="false">
      <c r="I1317" s="15" t="str">
        <f aca="false">IF(N1317="","",INT(N1317))</f>
        <v/>
      </c>
      <c r="J1317" s="16" t="str">
        <f aca="false">IF(B1317="","",IF(N1317=_xlfn.MINIFS($N$2:$N$5001,$B$2:$B$5001,B1317),1,0))</f>
        <v/>
      </c>
      <c r="K1317" s="16" t="str">
        <f aca="false">IF(B1317="","",IF(AND(D1317="Formalização",E1317="Concluído"),IF(COUNTIFS($B$2:$B$5001,B1317,$E$2:$E$5001,"Em ajustes",$N$2:$N$5001,"&lt;"&amp;I1317)&gt;0,1,0),0))</f>
        <v/>
      </c>
      <c r="L1317" s="16" t="str">
        <f aca="false">IF(B1317="","",IF(N1317=_xlfn.MAXIFS($N$2:$N$5001,$B$2:$B$5001,B1317,$I$2:$I$5001,I1317),1,0))</f>
        <v/>
      </c>
      <c r="M1317" s="16" t="str">
        <f aca="false">IF(B1317="","",IF(E1317="Em ajustes",IF(N1317=_xlfn.MINIFS($N$2:$N$5001,$B$2:$B$5001,B1317,$E$2:$E$5001,"Em ajustes"),1,0),0))</f>
        <v/>
      </c>
      <c r="N1317" s="17" t="str">
        <f aca="false">IF(A1317="","",IF(ISNUMBER(A1317),A1317,IFERROR(DATE(VALUE(MID(A1317,7,4)),VALUE(MID(A1317,4,2)),VALUE(MID(A1317,1,2)))+TIME(VALUE(MID(A1317,12,2)),VALUE(MID(A1317,15,2)),VALUE(MID(A1317,18,2))),"")))</f>
        <v/>
      </c>
    </row>
    <row r="1318" customFormat="false" ht="15" hidden="false" customHeight="false" outlineLevel="0" collapsed="false">
      <c r="I1318" s="15" t="str">
        <f aca="false">IF(N1318="","",INT(N1318))</f>
        <v/>
      </c>
      <c r="J1318" s="16" t="str">
        <f aca="false">IF(B1318="","",IF(N1318=_xlfn.MINIFS($N$2:$N$5001,$B$2:$B$5001,B1318),1,0))</f>
        <v/>
      </c>
      <c r="K1318" s="16" t="str">
        <f aca="false">IF(B1318="","",IF(AND(D1318="Formalização",E1318="Concluído"),IF(COUNTIFS($B$2:$B$5001,B1318,$E$2:$E$5001,"Em ajustes",$N$2:$N$5001,"&lt;"&amp;I1318)&gt;0,1,0),0))</f>
        <v/>
      </c>
      <c r="L1318" s="16" t="str">
        <f aca="false">IF(B1318="","",IF(N1318=_xlfn.MAXIFS($N$2:$N$5001,$B$2:$B$5001,B1318,$I$2:$I$5001,I1318),1,0))</f>
        <v/>
      </c>
      <c r="M1318" s="16" t="str">
        <f aca="false">IF(B1318="","",IF(E1318="Em ajustes",IF(N1318=_xlfn.MINIFS($N$2:$N$5001,$B$2:$B$5001,B1318,$E$2:$E$5001,"Em ajustes"),1,0),0))</f>
        <v/>
      </c>
      <c r="N1318" s="17" t="str">
        <f aca="false">IF(A1318="","",IF(ISNUMBER(A1318),A1318,IFERROR(DATE(VALUE(MID(A1318,7,4)),VALUE(MID(A1318,4,2)),VALUE(MID(A1318,1,2)))+TIME(VALUE(MID(A1318,12,2)),VALUE(MID(A1318,15,2)),VALUE(MID(A1318,18,2))),"")))</f>
        <v/>
      </c>
    </row>
    <row r="1319" customFormat="false" ht="15" hidden="false" customHeight="false" outlineLevel="0" collapsed="false">
      <c r="I1319" s="15" t="str">
        <f aca="false">IF(N1319="","",INT(N1319))</f>
        <v/>
      </c>
      <c r="J1319" s="16" t="str">
        <f aca="false">IF(B1319="","",IF(N1319=_xlfn.MINIFS($N$2:$N$5001,$B$2:$B$5001,B1319),1,0))</f>
        <v/>
      </c>
      <c r="K1319" s="16" t="str">
        <f aca="false">IF(B1319="","",IF(AND(D1319="Formalização",E1319="Concluído"),IF(COUNTIFS($B$2:$B$5001,B1319,$E$2:$E$5001,"Em ajustes",$N$2:$N$5001,"&lt;"&amp;I1319)&gt;0,1,0),0))</f>
        <v/>
      </c>
      <c r="L1319" s="16" t="str">
        <f aca="false">IF(B1319="","",IF(N1319=_xlfn.MAXIFS($N$2:$N$5001,$B$2:$B$5001,B1319,$I$2:$I$5001,I1319),1,0))</f>
        <v/>
      </c>
      <c r="M1319" s="16" t="str">
        <f aca="false">IF(B1319="","",IF(E1319="Em ajustes",IF(N1319=_xlfn.MINIFS($N$2:$N$5001,$B$2:$B$5001,B1319,$E$2:$E$5001,"Em ajustes"),1,0),0))</f>
        <v/>
      </c>
      <c r="N1319" s="17" t="str">
        <f aca="false">IF(A1319="","",IF(ISNUMBER(A1319),A1319,IFERROR(DATE(VALUE(MID(A1319,7,4)),VALUE(MID(A1319,4,2)),VALUE(MID(A1319,1,2)))+TIME(VALUE(MID(A1319,12,2)),VALUE(MID(A1319,15,2)),VALUE(MID(A1319,18,2))),"")))</f>
        <v/>
      </c>
    </row>
    <row r="1320" customFormat="false" ht="15" hidden="false" customHeight="false" outlineLevel="0" collapsed="false">
      <c r="I1320" s="15" t="str">
        <f aca="false">IF(N1320="","",INT(N1320))</f>
        <v/>
      </c>
      <c r="J1320" s="16" t="str">
        <f aca="false">IF(B1320="","",IF(N1320=_xlfn.MINIFS($N$2:$N$5001,$B$2:$B$5001,B1320),1,0))</f>
        <v/>
      </c>
      <c r="K1320" s="16" t="str">
        <f aca="false">IF(B1320="","",IF(AND(D1320="Formalização",E1320="Concluído"),IF(COUNTIFS($B$2:$B$5001,B1320,$E$2:$E$5001,"Em ajustes",$N$2:$N$5001,"&lt;"&amp;I1320)&gt;0,1,0),0))</f>
        <v/>
      </c>
      <c r="L1320" s="16" t="str">
        <f aca="false">IF(B1320="","",IF(N1320=_xlfn.MAXIFS($N$2:$N$5001,$B$2:$B$5001,B1320,$I$2:$I$5001,I1320),1,0))</f>
        <v/>
      </c>
      <c r="M1320" s="16" t="str">
        <f aca="false">IF(B1320="","",IF(E1320="Em ajustes",IF(N1320=_xlfn.MINIFS($N$2:$N$5001,$B$2:$B$5001,B1320,$E$2:$E$5001,"Em ajustes"),1,0),0))</f>
        <v/>
      </c>
      <c r="N1320" s="17" t="str">
        <f aca="false">IF(A1320="","",IF(ISNUMBER(A1320),A1320,IFERROR(DATE(VALUE(MID(A1320,7,4)),VALUE(MID(A1320,4,2)),VALUE(MID(A1320,1,2)))+TIME(VALUE(MID(A1320,12,2)),VALUE(MID(A1320,15,2)),VALUE(MID(A1320,18,2))),"")))</f>
        <v/>
      </c>
    </row>
    <row r="1321" customFormat="false" ht="15" hidden="false" customHeight="false" outlineLevel="0" collapsed="false">
      <c r="I1321" s="15" t="str">
        <f aca="false">IF(N1321="","",INT(N1321))</f>
        <v/>
      </c>
      <c r="J1321" s="16" t="str">
        <f aca="false">IF(B1321="","",IF(N1321=_xlfn.MINIFS($N$2:$N$5001,$B$2:$B$5001,B1321),1,0))</f>
        <v/>
      </c>
      <c r="K1321" s="16" t="str">
        <f aca="false">IF(B1321="","",IF(AND(D1321="Formalização",E1321="Concluído"),IF(COUNTIFS($B$2:$B$5001,B1321,$E$2:$E$5001,"Em ajustes",$N$2:$N$5001,"&lt;"&amp;I1321)&gt;0,1,0),0))</f>
        <v/>
      </c>
      <c r="L1321" s="16" t="str">
        <f aca="false">IF(B1321="","",IF(N1321=_xlfn.MAXIFS($N$2:$N$5001,$B$2:$B$5001,B1321,$I$2:$I$5001,I1321),1,0))</f>
        <v/>
      </c>
      <c r="M1321" s="16" t="str">
        <f aca="false">IF(B1321="","",IF(E1321="Em ajustes",IF(N1321=_xlfn.MINIFS($N$2:$N$5001,$B$2:$B$5001,B1321,$E$2:$E$5001,"Em ajustes"),1,0),0))</f>
        <v/>
      </c>
      <c r="N1321" s="17" t="str">
        <f aca="false">IF(A1321="","",IF(ISNUMBER(A1321),A1321,IFERROR(DATE(VALUE(MID(A1321,7,4)),VALUE(MID(A1321,4,2)),VALUE(MID(A1321,1,2)))+TIME(VALUE(MID(A1321,12,2)),VALUE(MID(A1321,15,2)),VALUE(MID(A1321,18,2))),"")))</f>
        <v/>
      </c>
    </row>
    <row r="1322" customFormat="false" ht="15" hidden="false" customHeight="false" outlineLevel="0" collapsed="false">
      <c r="I1322" s="15" t="str">
        <f aca="false">IF(N1322="","",INT(N1322))</f>
        <v/>
      </c>
      <c r="J1322" s="16" t="str">
        <f aca="false">IF(B1322="","",IF(N1322=_xlfn.MINIFS($N$2:$N$5001,$B$2:$B$5001,B1322),1,0))</f>
        <v/>
      </c>
      <c r="K1322" s="16" t="str">
        <f aca="false">IF(B1322="","",IF(AND(D1322="Formalização",E1322="Concluído"),IF(COUNTIFS($B$2:$B$5001,B1322,$E$2:$E$5001,"Em ajustes",$N$2:$N$5001,"&lt;"&amp;I1322)&gt;0,1,0),0))</f>
        <v/>
      </c>
      <c r="L1322" s="16" t="str">
        <f aca="false">IF(B1322="","",IF(N1322=_xlfn.MAXIFS($N$2:$N$5001,$B$2:$B$5001,B1322,$I$2:$I$5001,I1322),1,0))</f>
        <v/>
      </c>
      <c r="M1322" s="16" t="str">
        <f aca="false">IF(B1322="","",IF(E1322="Em ajustes",IF(N1322=_xlfn.MINIFS($N$2:$N$5001,$B$2:$B$5001,B1322,$E$2:$E$5001,"Em ajustes"),1,0),0))</f>
        <v/>
      </c>
      <c r="N1322" s="17" t="str">
        <f aca="false">IF(A1322="","",IF(ISNUMBER(A1322),A1322,IFERROR(DATE(VALUE(MID(A1322,7,4)),VALUE(MID(A1322,4,2)),VALUE(MID(A1322,1,2)))+TIME(VALUE(MID(A1322,12,2)),VALUE(MID(A1322,15,2)),VALUE(MID(A1322,18,2))),"")))</f>
        <v/>
      </c>
    </row>
    <row r="1323" customFormat="false" ht="15" hidden="false" customHeight="false" outlineLevel="0" collapsed="false">
      <c r="I1323" s="15" t="str">
        <f aca="false">IF(N1323="","",INT(N1323))</f>
        <v/>
      </c>
      <c r="J1323" s="16" t="str">
        <f aca="false">IF(B1323="","",IF(N1323=_xlfn.MINIFS($N$2:$N$5001,$B$2:$B$5001,B1323),1,0))</f>
        <v/>
      </c>
      <c r="K1323" s="16" t="str">
        <f aca="false">IF(B1323="","",IF(AND(D1323="Formalização",E1323="Concluído"),IF(COUNTIFS($B$2:$B$5001,B1323,$E$2:$E$5001,"Em ajustes",$N$2:$N$5001,"&lt;"&amp;I1323)&gt;0,1,0),0))</f>
        <v/>
      </c>
      <c r="L1323" s="16" t="str">
        <f aca="false">IF(B1323="","",IF(N1323=_xlfn.MAXIFS($N$2:$N$5001,$B$2:$B$5001,B1323,$I$2:$I$5001,I1323),1,0))</f>
        <v/>
      </c>
      <c r="M1323" s="16" t="str">
        <f aca="false">IF(B1323="","",IF(E1323="Em ajustes",IF(N1323=_xlfn.MINIFS($N$2:$N$5001,$B$2:$B$5001,B1323,$E$2:$E$5001,"Em ajustes"),1,0),0))</f>
        <v/>
      </c>
      <c r="N1323" s="17" t="str">
        <f aca="false">IF(A1323="","",IF(ISNUMBER(A1323),A1323,IFERROR(DATE(VALUE(MID(A1323,7,4)),VALUE(MID(A1323,4,2)),VALUE(MID(A1323,1,2)))+TIME(VALUE(MID(A1323,12,2)),VALUE(MID(A1323,15,2)),VALUE(MID(A1323,18,2))),"")))</f>
        <v/>
      </c>
    </row>
    <row r="1324" customFormat="false" ht="15" hidden="false" customHeight="false" outlineLevel="0" collapsed="false">
      <c r="I1324" s="15" t="str">
        <f aca="false">IF(N1324="","",INT(N1324))</f>
        <v/>
      </c>
      <c r="J1324" s="16" t="str">
        <f aca="false">IF(B1324="","",IF(N1324=_xlfn.MINIFS($N$2:$N$5001,$B$2:$B$5001,B1324),1,0))</f>
        <v/>
      </c>
      <c r="K1324" s="16" t="str">
        <f aca="false">IF(B1324="","",IF(AND(D1324="Formalização",E1324="Concluído"),IF(COUNTIFS($B$2:$B$5001,B1324,$E$2:$E$5001,"Em ajustes",$N$2:$N$5001,"&lt;"&amp;I1324)&gt;0,1,0),0))</f>
        <v/>
      </c>
      <c r="L1324" s="16" t="str">
        <f aca="false">IF(B1324="","",IF(N1324=_xlfn.MAXIFS($N$2:$N$5001,$B$2:$B$5001,B1324,$I$2:$I$5001,I1324),1,0))</f>
        <v/>
      </c>
      <c r="M1324" s="16" t="str">
        <f aca="false">IF(B1324="","",IF(E1324="Em ajustes",IF(N1324=_xlfn.MINIFS($N$2:$N$5001,$B$2:$B$5001,B1324,$E$2:$E$5001,"Em ajustes"),1,0),0))</f>
        <v/>
      </c>
      <c r="N1324" s="17" t="str">
        <f aca="false">IF(A1324="","",IF(ISNUMBER(A1324),A1324,IFERROR(DATE(VALUE(MID(A1324,7,4)),VALUE(MID(A1324,4,2)),VALUE(MID(A1324,1,2)))+TIME(VALUE(MID(A1324,12,2)),VALUE(MID(A1324,15,2)),VALUE(MID(A1324,18,2))),"")))</f>
        <v/>
      </c>
    </row>
    <row r="1325" customFormat="false" ht="15" hidden="false" customHeight="false" outlineLevel="0" collapsed="false">
      <c r="I1325" s="15" t="str">
        <f aca="false">IF(N1325="","",INT(N1325))</f>
        <v/>
      </c>
      <c r="J1325" s="16" t="str">
        <f aca="false">IF(B1325="","",IF(N1325=_xlfn.MINIFS($N$2:$N$5001,$B$2:$B$5001,B1325),1,0))</f>
        <v/>
      </c>
      <c r="K1325" s="16" t="str">
        <f aca="false">IF(B1325="","",IF(AND(D1325="Formalização",E1325="Concluído"),IF(COUNTIFS($B$2:$B$5001,B1325,$E$2:$E$5001,"Em ajustes",$N$2:$N$5001,"&lt;"&amp;I1325)&gt;0,1,0),0))</f>
        <v/>
      </c>
      <c r="L1325" s="16" t="str">
        <f aca="false">IF(B1325="","",IF(N1325=_xlfn.MAXIFS($N$2:$N$5001,$B$2:$B$5001,B1325,$I$2:$I$5001,I1325),1,0))</f>
        <v/>
      </c>
      <c r="M1325" s="16" t="str">
        <f aca="false">IF(B1325="","",IF(E1325="Em ajustes",IF(N1325=_xlfn.MINIFS($N$2:$N$5001,$B$2:$B$5001,B1325,$E$2:$E$5001,"Em ajustes"),1,0),0))</f>
        <v/>
      </c>
      <c r="N1325" s="17" t="str">
        <f aca="false">IF(A1325="","",IF(ISNUMBER(A1325),A1325,IFERROR(DATE(VALUE(MID(A1325,7,4)),VALUE(MID(A1325,4,2)),VALUE(MID(A1325,1,2)))+TIME(VALUE(MID(A1325,12,2)),VALUE(MID(A1325,15,2)),VALUE(MID(A1325,18,2))),"")))</f>
        <v/>
      </c>
    </row>
    <row r="1326" customFormat="false" ht="15" hidden="false" customHeight="false" outlineLevel="0" collapsed="false">
      <c r="I1326" s="15" t="str">
        <f aca="false">IF(N1326="","",INT(N1326))</f>
        <v/>
      </c>
      <c r="J1326" s="16" t="str">
        <f aca="false">IF(B1326="","",IF(N1326=_xlfn.MINIFS($N$2:$N$5001,$B$2:$B$5001,B1326),1,0))</f>
        <v/>
      </c>
      <c r="K1326" s="16" t="str">
        <f aca="false">IF(B1326="","",IF(AND(D1326="Formalização",E1326="Concluído"),IF(COUNTIFS($B$2:$B$5001,B1326,$E$2:$E$5001,"Em ajustes",$N$2:$N$5001,"&lt;"&amp;I1326)&gt;0,1,0),0))</f>
        <v/>
      </c>
      <c r="L1326" s="16" t="str">
        <f aca="false">IF(B1326="","",IF(N1326=_xlfn.MAXIFS($N$2:$N$5001,$B$2:$B$5001,B1326,$I$2:$I$5001,I1326),1,0))</f>
        <v/>
      </c>
      <c r="M1326" s="16" t="str">
        <f aca="false">IF(B1326="","",IF(E1326="Em ajustes",IF(N1326=_xlfn.MINIFS($N$2:$N$5001,$B$2:$B$5001,B1326,$E$2:$E$5001,"Em ajustes"),1,0),0))</f>
        <v/>
      </c>
      <c r="N1326" s="17" t="str">
        <f aca="false">IF(A1326="","",IF(ISNUMBER(A1326),A1326,IFERROR(DATE(VALUE(MID(A1326,7,4)),VALUE(MID(A1326,4,2)),VALUE(MID(A1326,1,2)))+TIME(VALUE(MID(A1326,12,2)),VALUE(MID(A1326,15,2)),VALUE(MID(A1326,18,2))),"")))</f>
        <v/>
      </c>
    </row>
    <row r="1327" customFormat="false" ht="15" hidden="false" customHeight="false" outlineLevel="0" collapsed="false">
      <c r="I1327" s="15" t="str">
        <f aca="false">IF(N1327="","",INT(N1327))</f>
        <v/>
      </c>
      <c r="J1327" s="16" t="str">
        <f aca="false">IF(B1327="","",IF(N1327=_xlfn.MINIFS($N$2:$N$5001,$B$2:$B$5001,B1327),1,0))</f>
        <v/>
      </c>
      <c r="K1327" s="16" t="str">
        <f aca="false">IF(B1327="","",IF(AND(D1327="Formalização",E1327="Concluído"),IF(COUNTIFS($B$2:$B$5001,B1327,$E$2:$E$5001,"Em ajustes",$N$2:$N$5001,"&lt;"&amp;I1327)&gt;0,1,0),0))</f>
        <v/>
      </c>
      <c r="L1327" s="16" t="str">
        <f aca="false">IF(B1327="","",IF(N1327=_xlfn.MAXIFS($N$2:$N$5001,$B$2:$B$5001,B1327,$I$2:$I$5001,I1327),1,0))</f>
        <v/>
      </c>
      <c r="M1327" s="16" t="str">
        <f aca="false">IF(B1327="","",IF(E1327="Em ajustes",IF(N1327=_xlfn.MINIFS($N$2:$N$5001,$B$2:$B$5001,B1327,$E$2:$E$5001,"Em ajustes"),1,0),0))</f>
        <v/>
      </c>
      <c r="N1327" s="17" t="str">
        <f aca="false">IF(A1327="","",IF(ISNUMBER(A1327),A1327,IFERROR(DATE(VALUE(MID(A1327,7,4)),VALUE(MID(A1327,4,2)),VALUE(MID(A1327,1,2)))+TIME(VALUE(MID(A1327,12,2)),VALUE(MID(A1327,15,2)),VALUE(MID(A1327,18,2))),"")))</f>
        <v/>
      </c>
    </row>
    <row r="1328" customFormat="false" ht="15" hidden="false" customHeight="false" outlineLevel="0" collapsed="false">
      <c r="I1328" s="15" t="str">
        <f aca="false">IF(N1328="","",INT(N1328))</f>
        <v/>
      </c>
      <c r="J1328" s="16" t="str">
        <f aca="false">IF(B1328="","",IF(N1328=_xlfn.MINIFS($N$2:$N$5001,$B$2:$B$5001,B1328),1,0))</f>
        <v/>
      </c>
      <c r="K1328" s="16" t="str">
        <f aca="false">IF(B1328="","",IF(AND(D1328="Formalização",E1328="Concluído"),IF(COUNTIFS($B$2:$B$5001,B1328,$E$2:$E$5001,"Em ajustes",$N$2:$N$5001,"&lt;"&amp;I1328)&gt;0,1,0),0))</f>
        <v/>
      </c>
      <c r="L1328" s="16" t="str">
        <f aca="false">IF(B1328="","",IF(N1328=_xlfn.MAXIFS($N$2:$N$5001,$B$2:$B$5001,B1328,$I$2:$I$5001,I1328),1,0))</f>
        <v/>
      </c>
      <c r="M1328" s="16" t="str">
        <f aca="false">IF(B1328="","",IF(E1328="Em ajustes",IF(N1328=_xlfn.MINIFS($N$2:$N$5001,$B$2:$B$5001,B1328,$E$2:$E$5001,"Em ajustes"),1,0),0))</f>
        <v/>
      </c>
      <c r="N1328" s="17" t="str">
        <f aca="false">IF(A1328="","",IF(ISNUMBER(A1328),A1328,IFERROR(DATE(VALUE(MID(A1328,7,4)),VALUE(MID(A1328,4,2)),VALUE(MID(A1328,1,2)))+TIME(VALUE(MID(A1328,12,2)),VALUE(MID(A1328,15,2)),VALUE(MID(A1328,18,2))),"")))</f>
        <v/>
      </c>
    </row>
    <row r="1329" customFormat="false" ht="15" hidden="false" customHeight="false" outlineLevel="0" collapsed="false">
      <c r="I1329" s="15" t="str">
        <f aca="false">IF(N1329="","",INT(N1329))</f>
        <v/>
      </c>
      <c r="J1329" s="16" t="str">
        <f aca="false">IF(B1329="","",IF(N1329=_xlfn.MINIFS($N$2:$N$5001,$B$2:$B$5001,B1329),1,0))</f>
        <v/>
      </c>
      <c r="K1329" s="16" t="str">
        <f aca="false">IF(B1329="","",IF(AND(D1329="Formalização",E1329="Concluído"),IF(COUNTIFS($B$2:$B$5001,B1329,$E$2:$E$5001,"Em ajustes",$N$2:$N$5001,"&lt;"&amp;I1329)&gt;0,1,0),0))</f>
        <v/>
      </c>
      <c r="L1329" s="16" t="str">
        <f aca="false">IF(B1329="","",IF(N1329=_xlfn.MAXIFS($N$2:$N$5001,$B$2:$B$5001,B1329,$I$2:$I$5001,I1329),1,0))</f>
        <v/>
      </c>
      <c r="M1329" s="16" t="str">
        <f aca="false">IF(B1329="","",IF(E1329="Em ajustes",IF(N1329=_xlfn.MINIFS($N$2:$N$5001,$B$2:$B$5001,B1329,$E$2:$E$5001,"Em ajustes"),1,0),0))</f>
        <v/>
      </c>
      <c r="N1329" s="17" t="str">
        <f aca="false">IF(A1329="","",IF(ISNUMBER(A1329),A1329,IFERROR(DATE(VALUE(MID(A1329,7,4)),VALUE(MID(A1329,4,2)),VALUE(MID(A1329,1,2)))+TIME(VALUE(MID(A1329,12,2)),VALUE(MID(A1329,15,2)),VALUE(MID(A1329,18,2))),"")))</f>
        <v/>
      </c>
    </row>
    <row r="1330" customFormat="false" ht="15" hidden="false" customHeight="false" outlineLevel="0" collapsed="false">
      <c r="I1330" s="15" t="str">
        <f aca="false">IF(N1330="","",INT(N1330))</f>
        <v/>
      </c>
      <c r="J1330" s="16" t="str">
        <f aca="false">IF(B1330="","",IF(N1330=_xlfn.MINIFS($N$2:$N$5001,$B$2:$B$5001,B1330),1,0))</f>
        <v/>
      </c>
      <c r="K1330" s="16" t="str">
        <f aca="false">IF(B1330="","",IF(AND(D1330="Formalização",E1330="Concluído"),IF(COUNTIFS($B$2:$B$5001,B1330,$E$2:$E$5001,"Em ajustes",$N$2:$N$5001,"&lt;"&amp;I1330)&gt;0,1,0),0))</f>
        <v/>
      </c>
      <c r="L1330" s="16" t="str">
        <f aca="false">IF(B1330="","",IF(N1330=_xlfn.MAXIFS($N$2:$N$5001,$B$2:$B$5001,B1330,$I$2:$I$5001,I1330),1,0))</f>
        <v/>
      </c>
      <c r="M1330" s="16" t="str">
        <f aca="false">IF(B1330="","",IF(E1330="Em ajustes",IF(N1330=_xlfn.MINIFS($N$2:$N$5001,$B$2:$B$5001,B1330,$E$2:$E$5001,"Em ajustes"),1,0),0))</f>
        <v/>
      </c>
      <c r="N1330" s="17" t="str">
        <f aca="false">IF(A1330="","",IF(ISNUMBER(A1330),A1330,IFERROR(DATE(VALUE(MID(A1330,7,4)),VALUE(MID(A1330,4,2)),VALUE(MID(A1330,1,2)))+TIME(VALUE(MID(A1330,12,2)),VALUE(MID(A1330,15,2)),VALUE(MID(A1330,18,2))),"")))</f>
        <v/>
      </c>
    </row>
    <row r="1331" customFormat="false" ht="15" hidden="false" customHeight="false" outlineLevel="0" collapsed="false">
      <c r="I1331" s="15" t="str">
        <f aca="false">IF(N1331="","",INT(N1331))</f>
        <v/>
      </c>
      <c r="J1331" s="16" t="str">
        <f aca="false">IF(B1331="","",IF(N1331=_xlfn.MINIFS($N$2:$N$5001,$B$2:$B$5001,B1331),1,0))</f>
        <v/>
      </c>
      <c r="K1331" s="16" t="str">
        <f aca="false">IF(B1331="","",IF(AND(D1331="Formalização",E1331="Concluído"),IF(COUNTIFS($B$2:$B$5001,B1331,$E$2:$E$5001,"Em ajustes",$N$2:$N$5001,"&lt;"&amp;I1331)&gt;0,1,0),0))</f>
        <v/>
      </c>
      <c r="L1331" s="16" t="str">
        <f aca="false">IF(B1331="","",IF(N1331=_xlfn.MAXIFS($N$2:$N$5001,$B$2:$B$5001,B1331,$I$2:$I$5001,I1331),1,0))</f>
        <v/>
      </c>
      <c r="M1331" s="16" t="str">
        <f aca="false">IF(B1331="","",IF(E1331="Em ajustes",IF(N1331=_xlfn.MINIFS($N$2:$N$5001,$B$2:$B$5001,B1331,$E$2:$E$5001,"Em ajustes"),1,0),0))</f>
        <v/>
      </c>
      <c r="N1331" s="17" t="str">
        <f aca="false">IF(A1331="","",IF(ISNUMBER(A1331),A1331,IFERROR(DATE(VALUE(MID(A1331,7,4)),VALUE(MID(A1331,4,2)),VALUE(MID(A1331,1,2)))+TIME(VALUE(MID(A1331,12,2)),VALUE(MID(A1331,15,2)),VALUE(MID(A1331,18,2))),"")))</f>
        <v/>
      </c>
    </row>
    <row r="1332" customFormat="false" ht="15" hidden="false" customHeight="false" outlineLevel="0" collapsed="false">
      <c r="I1332" s="15" t="str">
        <f aca="false">IF(N1332="","",INT(N1332))</f>
        <v/>
      </c>
      <c r="J1332" s="16" t="str">
        <f aca="false">IF(B1332="","",IF(N1332=_xlfn.MINIFS($N$2:$N$5001,$B$2:$B$5001,B1332),1,0))</f>
        <v/>
      </c>
      <c r="K1332" s="16" t="str">
        <f aca="false">IF(B1332="","",IF(AND(D1332="Formalização",E1332="Concluído"),IF(COUNTIFS($B$2:$B$5001,B1332,$E$2:$E$5001,"Em ajustes",$N$2:$N$5001,"&lt;"&amp;I1332)&gt;0,1,0),0))</f>
        <v/>
      </c>
      <c r="L1332" s="16" t="str">
        <f aca="false">IF(B1332="","",IF(N1332=_xlfn.MAXIFS($N$2:$N$5001,$B$2:$B$5001,B1332,$I$2:$I$5001,I1332),1,0))</f>
        <v/>
      </c>
      <c r="M1332" s="16" t="str">
        <f aca="false">IF(B1332="","",IF(E1332="Em ajustes",IF(N1332=_xlfn.MINIFS($N$2:$N$5001,$B$2:$B$5001,B1332,$E$2:$E$5001,"Em ajustes"),1,0),0))</f>
        <v/>
      </c>
      <c r="N1332" s="17" t="str">
        <f aca="false">IF(A1332="","",IF(ISNUMBER(A1332),A1332,IFERROR(DATE(VALUE(MID(A1332,7,4)),VALUE(MID(A1332,4,2)),VALUE(MID(A1332,1,2)))+TIME(VALUE(MID(A1332,12,2)),VALUE(MID(A1332,15,2)),VALUE(MID(A1332,18,2))),"")))</f>
        <v/>
      </c>
    </row>
    <row r="1333" customFormat="false" ht="15" hidden="false" customHeight="false" outlineLevel="0" collapsed="false">
      <c r="I1333" s="15" t="str">
        <f aca="false">IF(N1333="","",INT(N1333))</f>
        <v/>
      </c>
      <c r="J1333" s="16" t="str">
        <f aca="false">IF(B1333="","",IF(N1333=_xlfn.MINIFS($N$2:$N$5001,$B$2:$B$5001,B1333),1,0))</f>
        <v/>
      </c>
      <c r="K1333" s="16" t="str">
        <f aca="false">IF(B1333="","",IF(AND(D1333="Formalização",E1333="Concluído"),IF(COUNTIFS($B$2:$B$5001,B1333,$E$2:$E$5001,"Em ajustes",$N$2:$N$5001,"&lt;"&amp;I1333)&gt;0,1,0),0))</f>
        <v/>
      </c>
      <c r="L1333" s="16" t="str">
        <f aca="false">IF(B1333="","",IF(N1333=_xlfn.MAXIFS($N$2:$N$5001,$B$2:$B$5001,B1333,$I$2:$I$5001,I1333),1,0))</f>
        <v/>
      </c>
      <c r="M1333" s="16" t="str">
        <f aca="false">IF(B1333="","",IF(E1333="Em ajustes",IF(N1333=_xlfn.MINIFS($N$2:$N$5001,$B$2:$B$5001,B1333,$E$2:$E$5001,"Em ajustes"),1,0),0))</f>
        <v/>
      </c>
      <c r="N1333" s="17" t="str">
        <f aca="false">IF(A1333="","",IF(ISNUMBER(A1333),A1333,IFERROR(DATE(VALUE(MID(A1333,7,4)),VALUE(MID(A1333,4,2)),VALUE(MID(A1333,1,2)))+TIME(VALUE(MID(A1333,12,2)),VALUE(MID(A1333,15,2)),VALUE(MID(A1333,18,2))),"")))</f>
        <v/>
      </c>
    </row>
    <row r="1334" customFormat="false" ht="15" hidden="false" customHeight="false" outlineLevel="0" collapsed="false">
      <c r="I1334" s="15" t="str">
        <f aca="false">IF(N1334="","",INT(N1334))</f>
        <v/>
      </c>
      <c r="J1334" s="16" t="str">
        <f aca="false">IF(B1334="","",IF(N1334=_xlfn.MINIFS($N$2:$N$5001,$B$2:$B$5001,B1334),1,0))</f>
        <v/>
      </c>
      <c r="K1334" s="16" t="str">
        <f aca="false">IF(B1334="","",IF(AND(D1334="Formalização",E1334="Concluído"),IF(COUNTIFS($B$2:$B$5001,B1334,$E$2:$E$5001,"Em ajustes",$N$2:$N$5001,"&lt;"&amp;I1334)&gt;0,1,0),0))</f>
        <v/>
      </c>
      <c r="L1334" s="16" t="str">
        <f aca="false">IF(B1334="","",IF(N1334=_xlfn.MAXIFS($N$2:$N$5001,$B$2:$B$5001,B1334,$I$2:$I$5001,I1334),1,0))</f>
        <v/>
      </c>
      <c r="M1334" s="16" t="str">
        <f aca="false">IF(B1334="","",IF(E1334="Em ajustes",IF(N1334=_xlfn.MINIFS($N$2:$N$5001,$B$2:$B$5001,B1334,$E$2:$E$5001,"Em ajustes"),1,0),0))</f>
        <v/>
      </c>
      <c r="N1334" s="17" t="str">
        <f aca="false">IF(A1334="","",IF(ISNUMBER(A1334),A1334,IFERROR(DATE(VALUE(MID(A1334,7,4)),VALUE(MID(A1334,4,2)),VALUE(MID(A1334,1,2)))+TIME(VALUE(MID(A1334,12,2)),VALUE(MID(A1334,15,2)),VALUE(MID(A1334,18,2))),"")))</f>
        <v/>
      </c>
    </row>
    <row r="1335" customFormat="false" ht="15" hidden="false" customHeight="false" outlineLevel="0" collapsed="false">
      <c r="I1335" s="15" t="str">
        <f aca="false">IF(N1335="","",INT(N1335))</f>
        <v/>
      </c>
      <c r="J1335" s="16" t="str">
        <f aca="false">IF(B1335="","",IF(N1335=_xlfn.MINIFS($N$2:$N$5001,$B$2:$B$5001,B1335),1,0))</f>
        <v/>
      </c>
      <c r="K1335" s="16" t="str">
        <f aca="false">IF(B1335="","",IF(AND(D1335="Formalização",E1335="Concluído"),IF(COUNTIFS($B$2:$B$5001,B1335,$E$2:$E$5001,"Em ajustes",$N$2:$N$5001,"&lt;"&amp;I1335)&gt;0,1,0),0))</f>
        <v/>
      </c>
      <c r="L1335" s="16" t="str">
        <f aca="false">IF(B1335="","",IF(N1335=_xlfn.MAXIFS($N$2:$N$5001,$B$2:$B$5001,B1335,$I$2:$I$5001,I1335),1,0))</f>
        <v/>
      </c>
      <c r="M1335" s="16" t="str">
        <f aca="false">IF(B1335="","",IF(E1335="Em ajustes",IF(N1335=_xlfn.MINIFS($N$2:$N$5001,$B$2:$B$5001,B1335,$E$2:$E$5001,"Em ajustes"),1,0),0))</f>
        <v/>
      </c>
      <c r="N1335" s="17" t="str">
        <f aca="false">IF(A1335="","",IF(ISNUMBER(A1335),A1335,IFERROR(DATE(VALUE(MID(A1335,7,4)),VALUE(MID(A1335,4,2)),VALUE(MID(A1335,1,2)))+TIME(VALUE(MID(A1335,12,2)),VALUE(MID(A1335,15,2)),VALUE(MID(A1335,18,2))),"")))</f>
        <v/>
      </c>
    </row>
    <row r="1336" customFormat="false" ht="15" hidden="false" customHeight="false" outlineLevel="0" collapsed="false">
      <c r="I1336" s="15" t="str">
        <f aca="false">IF(N1336="","",INT(N1336))</f>
        <v/>
      </c>
      <c r="J1336" s="16" t="str">
        <f aca="false">IF(B1336="","",IF(N1336=_xlfn.MINIFS($N$2:$N$5001,$B$2:$B$5001,B1336),1,0))</f>
        <v/>
      </c>
      <c r="K1336" s="16" t="str">
        <f aca="false">IF(B1336="","",IF(AND(D1336="Formalização",E1336="Concluído"),IF(COUNTIFS($B$2:$B$5001,B1336,$E$2:$E$5001,"Em ajustes",$N$2:$N$5001,"&lt;"&amp;I1336)&gt;0,1,0),0))</f>
        <v/>
      </c>
      <c r="L1336" s="16" t="str">
        <f aca="false">IF(B1336="","",IF(N1336=_xlfn.MAXIFS($N$2:$N$5001,$B$2:$B$5001,B1336,$I$2:$I$5001,I1336),1,0))</f>
        <v/>
      </c>
      <c r="M1336" s="16" t="str">
        <f aca="false">IF(B1336="","",IF(E1336="Em ajustes",IF(N1336=_xlfn.MINIFS($N$2:$N$5001,$B$2:$B$5001,B1336,$E$2:$E$5001,"Em ajustes"),1,0),0))</f>
        <v/>
      </c>
      <c r="N1336" s="17" t="str">
        <f aca="false">IF(A1336="","",IF(ISNUMBER(A1336),A1336,IFERROR(DATE(VALUE(MID(A1336,7,4)),VALUE(MID(A1336,4,2)),VALUE(MID(A1336,1,2)))+TIME(VALUE(MID(A1336,12,2)),VALUE(MID(A1336,15,2)),VALUE(MID(A1336,18,2))),"")))</f>
        <v/>
      </c>
    </row>
    <row r="1337" customFormat="false" ht="15" hidden="false" customHeight="false" outlineLevel="0" collapsed="false">
      <c r="I1337" s="15" t="str">
        <f aca="false">IF(N1337="","",INT(N1337))</f>
        <v/>
      </c>
      <c r="J1337" s="16" t="str">
        <f aca="false">IF(B1337="","",IF(N1337=_xlfn.MINIFS($N$2:$N$5001,$B$2:$B$5001,B1337),1,0))</f>
        <v/>
      </c>
      <c r="K1337" s="16" t="str">
        <f aca="false">IF(B1337="","",IF(AND(D1337="Formalização",E1337="Concluído"),IF(COUNTIFS($B$2:$B$5001,B1337,$E$2:$E$5001,"Em ajustes",$N$2:$N$5001,"&lt;"&amp;I1337)&gt;0,1,0),0))</f>
        <v/>
      </c>
      <c r="L1337" s="16" t="str">
        <f aca="false">IF(B1337="","",IF(N1337=_xlfn.MAXIFS($N$2:$N$5001,$B$2:$B$5001,B1337,$I$2:$I$5001,I1337),1,0))</f>
        <v/>
      </c>
      <c r="M1337" s="16" t="str">
        <f aca="false">IF(B1337="","",IF(E1337="Em ajustes",IF(N1337=_xlfn.MINIFS($N$2:$N$5001,$B$2:$B$5001,B1337,$E$2:$E$5001,"Em ajustes"),1,0),0))</f>
        <v/>
      </c>
      <c r="N1337" s="17" t="str">
        <f aca="false">IF(A1337="","",IF(ISNUMBER(A1337),A1337,IFERROR(DATE(VALUE(MID(A1337,7,4)),VALUE(MID(A1337,4,2)),VALUE(MID(A1337,1,2)))+TIME(VALUE(MID(A1337,12,2)),VALUE(MID(A1337,15,2)),VALUE(MID(A1337,18,2))),"")))</f>
        <v/>
      </c>
    </row>
    <row r="1338" customFormat="false" ht="15" hidden="false" customHeight="false" outlineLevel="0" collapsed="false">
      <c r="I1338" s="15" t="str">
        <f aca="false">IF(N1338="","",INT(N1338))</f>
        <v/>
      </c>
      <c r="J1338" s="16" t="str">
        <f aca="false">IF(B1338="","",IF(N1338=_xlfn.MINIFS($N$2:$N$5001,$B$2:$B$5001,B1338),1,0))</f>
        <v/>
      </c>
      <c r="K1338" s="16" t="str">
        <f aca="false">IF(B1338="","",IF(AND(D1338="Formalização",E1338="Concluído"),IF(COUNTIFS($B$2:$B$5001,B1338,$E$2:$E$5001,"Em ajustes",$N$2:$N$5001,"&lt;"&amp;I1338)&gt;0,1,0),0))</f>
        <v/>
      </c>
      <c r="L1338" s="16" t="str">
        <f aca="false">IF(B1338="","",IF(N1338=_xlfn.MAXIFS($N$2:$N$5001,$B$2:$B$5001,B1338,$I$2:$I$5001,I1338),1,0))</f>
        <v/>
      </c>
      <c r="M1338" s="16" t="str">
        <f aca="false">IF(B1338="","",IF(E1338="Em ajustes",IF(N1338=_xlfn.MINIFS($N$2:$N$5001,$B$2:$B$5001,B1338,$E$2:$E$5001,"Em ajustes"),1,0),0))</f>
        <v/>
      </c>
      <c r="N1338" s="17" t="str">
        <f aca="false">IF(A1338="","",IF(ISNUMBER(A1338),A1338,IFERROR(DATE(VALUE(MID(A1338,7,4)),VALUE(MID(A1338,4,2)),VALUE(MID(A1338,1,2)))+TIME(VALUE(MID(A1338,12,2)),VALUE(MID(A1338,15,2)),VALUE(MID(A1338,18,2))),"")))</f>
        <v/>
      </c>
    </row>
    <row r="1339" customFormat="false" ht="15" hidden="false" customHeight="false" outlineLevel="0" collapsed="false">
      <c r="I1339" s="15" t="str">
        <f aca="false">IF(N1339="","",INT(N1339))</f>
        <v/>
      </c>
      <c r="J1339" s="16" t="str">
        <f aca="false">IF(B1339="","",IF(N1339=_xlfn.MINIFS($N$2:$N$5001,$B$2:$B$5001,B1339),1,0))</f>
        <v/>
      </c>
      <c r="K1339" s="16" t="str">
        <f aca="false">IF(B1339="","",IF(AND(D1339="Formalização",E1339="Concluído"),IF(COUNTIFS($B$2:$B$5001,B1339,$E$2:$E$5001,"Em ajustes",$N$2:$N$5001,"&lt;"&amp;I1339)&gt;0,1,0),0))</f>
        <v/>
      </c>
      <c r="L1339" s="16" t="str">
        <f aca="false">IF(B1339="","",IF(N1339=_xlfn.MAXIFS($N$2:$N$5001,$B$2:$B$5001,B1339,$I$2:$I$5001,I1339),1,0))</f>
        <v/>
      </c>
      <c r="M1339" s="16" t="str">
        <f aca="false">IF(B1339="","",IF(E1339="Em ajustes",IF(N1339=_xlfn.MINIFS($N$2:$N$5001,$B$2:$B$5001,B1339,$E$2:$E$5001,"Em ajustes"),1,0),0))</f>
        <v/>
      </c>
      <c r="N1339" s="17" t="str">
        <f aca="false">IF(A1339="","",IF(ISNUMBER(A1339),A1339,IFERROR(DATE(VALUE(MID(A1339,7,4)),VALUE(MID(A1339,4,2)),VALUE(MID(A1339,1,2)))+TIME(VALUE(MID(A1339,12,2)),VALUE(MID(A1339,15,2)),VALUE(MID(A1339,18,2))),"")))</f>
        <v/>
      </c>
    </row>
    <row r="1340" customFormat="false" ht="15" hidden="false" customHeight="false" outlineLevel="0" collapsed="false">
      <c r="I1340" s="15" t="str">
        <f aca="false">IF(N1340="","",INT(N1340))</f>
        <v/>
      </c>
      <c r="J1340" s="16" t="str">
        <f aca="false">IF(B1340="","",IF(N1340=_xlfn.MINIFS($N$2:$N$5001,$B$2:$B$5001,B1340),1,0))</f>
        <v/>
      </c>
      <c r="K1340" s="16" t="str">
        <f aca="false">IF(B1340="","",IF(AND(D1340="Formalização",E1340="Concluído"),IF(COUNTIFS($B$2:$B$5001,B1340,$E$2:$E$5001,"Em ajustes",$N$2:$N$5001,"&lt;"&amp;I1340)&gt;0,1,0),0))</f>
        <v/>
      </c>
      <c r="L1340" s="16" t="str">
        <f aca="false">IF(B1340="","",IF(N1340=_xlfn.MAXIFS($N$2:$N$5001,$B$2:$B$5001,B1340,$I$2:$I$5001,I1340),1,0))</f>
        <v/>
      </c>
      <c r="M1340" s="16" t="str">
        <f aca="false">IF(B1340="","",IF(E1340="Em ajustes",IF(N1340=_xlfn.MINIFS($N$2:$N$5001,$B$2:$B$5001,B1340,$E$2:$E$5001,"Em ajustes"),1,0),0))</f>
        <v/>
      </c>
      <c r="N1340" s="17" t="str">
        <f aca="false">IF(A1340="","",IF(ISNUMBER(A1340),A1340,IFERROR(DATE(VALUE(MID(A1340,7,4)),VALUE(MID(A1340,4,2)),VALUE(MID(A1340,1,2)))+TIME(VALUE(MID(A1340,12,2)),VALUE(MID(A1340,15,2)),VALUE(MID(A1340,18,2))),"")))</f>
        <v/>
      </c>
    </row>
    <row r="1341" customFormat="false" ht="15" hidden="false" customHeight="false" outlineLevel="0" collapsed="false">
      <c r="I1341" s="15" t="str">
        <f aca="false">IF(N1341="","",INT(N1341))</f>
        <v/>
      </c>
      <c r="J1341" s="16" t="str">
        <f aca="false">IF(B1341="","",IF(N1341=_xlfn.MINIFS($N$2:$N$5001,$B$2:$B$5001,B1341),1,0))</f>
        <v/>
      </c>
      <c r="K1341" s="16" t="str">
        <f aca="false">IF(B1341="","",IF(AND(D1341="Formalização",E1341="Concluído"),IF(COUNTIFS($B$2:$B$5001,B1341,$E$2:$E$5001,"Em ajustes",$N$2:$N$5001,"&lt;"&amp;I1341)&gt;0,1,0),0))</f>
        <v/>
      </c>
      <c r="L1341" s="16" t="str">
        <f aca="false">IF(B1341="","",IF(N1341=_xlfn.MAXIFS($N$2:$N$5001,$B$2:$B$5001,B1341,$I$2:$I$5001,I1341),1,0))</f>
        <v/>
      </c>
      <c r="M1341" s="16" t="str">
        <f aca="false">IF(B1341="","",IF(E1341="Em ajustes",IF(N1341=_xlfn.MINIFS($N$2:$N$5001,$B$2:$B$5001,B1341,$E$2:$E$5001,"Em ajustes"),1,0),0))</f>
        <v/>
      </c>
      <c r="N1341" s="17" t="str">
        <f aca="false">IF(A1341="","",IF(ISNUMBER(A1341),A1341,IFERROR(DATE(VALUE(MID(A1341,7,4)),VALUE(MID(A1341,4,2)),VALUE(MID(A1341,1,2)))+TIME(VALUE(MID(A1341,12,2)),VALUE(MID(A1341,15,2)),VALUE(MID(A1341,18,2))),"")))</f>
        <v/>
      </c>
    </row>
    <row r="1342" customFormat="false" ht="15" hidden="false" customHeight="false" outlineLevel="0" collapsed="false">
      <c r="I1342" s="15" t="str">
        <f aca="false">IF(N1342="","",INT(N1342))</f>
        <v/>
      </c>
      <c r="J1342" s="16" t="str">
        <f aca="false">IF(B1342="","",IF(N1342=_xlfn.MINIFS($N$2:$N$5001,$B$2:$B$5001,B1342),1,0))</f>
        <v/>
      </c>
      <c r="K1342" s="16" t="str">
        <f aca="false">IF(B1342="","",IF(AND(D1342="Formalização",E1342="Concluído"),IF(COUNTIFS($B$2:$B$5001,B1342,$E$2:$E$5001,"Em ajustes",$N$2:$N$5001,"&lt;"&amp;I1342)&gt;0,1,0),0))</f>
        <v/>
      </c>
      <c r="L1342" s="16" t="str">
        <f aca="false">IF(B1342="","",IF(N1342=_xlfn.MAXIFS($N$2:$N$5001,$B$2:$B$5001,B1342,$I$2:$I$5001,I1342),1,0))</f>
        <v/>
      </c>
      <c r="M1342" s="16" t="str">
        <f aca="false">IF(B1342="","",IF(E1342="Em ajustes",IF(N1342=_xlfn.MINIFS($N$2:$N$5001,$B$2:$B$5001,B1342,$E$2:$E$5001,"Em ajustes"),1,0),0))</f>
        <v/>
      </c>
      <c r="N1342" s="17" t="str">
        <f aca="false">IF(A1342="","",IF(ISNUMBER(A1342),A1342,IFERROR(DATE(VALUE(MID(A1342,7,4)),VALUE(MID(A1342,4,2)),VALUE(MID(A1342,1,2)))+TIME(VALUE(MID(A1342,12,2)),VALUE(MID(A1342,15,2)),VALUE(MID(A1342,18,2))),"")))</f>
        <v/>
      </c>
    </row>
    <row r="1343" customFormat="false" ht="15" hidden="false" customHeight="false" outlineLevel="0" collapsed="false">
      <c r="I1343" s="15" t="str">
        <f aca="false">IF(N1343="","",INT(N1343))</f>
        <v/>
      </c>
      <c r="J1343" s="16" t="str">
        <f aca="false">IF(B1343="","",IF(N1343=_xlfn.MINIFS($N$2:$N$5001,$B$2:$B$5001,B1343),1,0))</f>
        <v/>
      </c>
      <c r="K1343" s="16" t="str">
        <f aca="false">IF(B1343="","",IF(AND(D1343="Formalização",E1343="Concluído"),IF(COUNTIFS($B$2:$B$5001,B1343,$E$2:$E$5001,"Em ajustes",$N$2:$N$5001,"&lt;"&amp;I1343)&gt;0,1,0),0))</f>
        <v/>
      </c>
      <c r="L1343" s="16" t="str">
        <f aca="false">IF(B1343="","",IF(N1343=_xlfn.MAXIFS($N$2:$N$5001,$B$2:$B$5001,B1343,$I$2:$I$5001,I1343),1,0))</f>
        <v/>
      </c>
      <c r="M1343" s="16" t="str">
        <f aca="false">IF(B1343="","",IF(E1343="Em ajustes",IF(N1343=_xlfn.MINIFS($N$2:$N$5001,$B$2:$B$5001,B1343,$E$2:$E$5001,"Em ajustes"),1,0),0))</f>
        <v/>
      </c>
      <c r="N1343" s="17" t="str">
        <f aca="false">IF(A1343="","",IF(ISNUMBER(A1343),A1343,IFERROR(DATE(VALUE(MID(A1343,7,4)),VALUE(MID(A1343,4,2)),VALUE(MID(A1343,1,2)))+TIME(VALUE(MID(A1343,12,2)),VALUE(MID(A1343,15,2)),VALUE(MID(A1343,18,2))),"")))</f>
        <v/>
      </c>
    </row>
    <row r="1344" customFormat="false" ht="15" hidden="false" customHeight="false" outlineLevel="0" collapsed="false">
      <c r="I1344" s="15" t="str">
        <f aca="false">IF(N1344="","",INT(N1344))</f>
        <v/>
      </c>
      <c r="J1344" s="16" t="str">
        <f aca="false">IF(B1344="","",IF(N1344=_xlfn.MINIFS($N$2:$N$5001,$B$2:$B$5001,B1344),1,0))</f>
        <v/>
      </c>
      <c r="K1344" s="16" t="str">
        <f aca="false">IF(B1344="","",IF(AND(D1344="Formalização",E1344="Concluído"),IF(COUNTIFS($B$2:$B$5001,B1344,$E$2:$E$5001,"Em ajustes",$N$2:$N$5001,"&lt;"&amp;I1344)&gt;0,1,0),0))</f>
        <v/>
      </c>
      <c r="L1344" s="16" t="str">
        <f aca="false">IF(B1344="","",IF(N1344=_xlfn.MAXIFS($N$2:$N$5001,$B$2:$B$5001,B1344,$I$2:$I$5001,I1344),1,0))</f>
        <v/>
      </c>
      <c r="M1344" s="16" t="str">
        <f aca="false">IF(B1344="","",IF(E1344="Em ajustes",IF(N1344=_xlfn.MINIFS($N$2:$N$5001,$B$2:$B$5001,B1344,$E$2:$E$5001,"Em ajustes"),1,0),0))</f>
        <v/>
      </c>
      <c r="N1344" s="17" t="str">
        <f aca="false">IF(A1344="","",IF(ISNUMBER(A1344),A1344,IFERROR(DATE(VALUE(MID(A1344,7,4)),VALUE(MID(A1344,4,2)),VALUE(MID(A1344,1,2)))+TIME(VALUE(MID(A1344,12,2)),VALUE(MID(A1344,15,2)),VALUE(MID(A1344,18,2))),"")))</f>
        <v/>
      </c>
    </row>
    <row r="1345" customFormat="false" ht="15" hidden="false" customHeight="false" outlineLevel="0" collapsed="false">
      <c r="I1345" s="15" t="str">
        <f aca="false">IF(N1345="","",INT(N1345))</f>
        <v/>
      </c>
      <c r="J1345" s="16" t="str">
        <f aca="false">IF(B1345="","",IF(N1345=_xlfn.MINIFS($N$2:$N$5001,$B$2:$B$5001,B1345),1,0))</f>
        <v/>
      </c>
      <c r="K1345" s="16" t="str">
        <f aca="false">IF(B1345="","",IF(AND(D1345="Formalização",E1345="Concluído"),IF(COUNTIFS($B$2:$B$5001,B1345,$E$2:$E$5001,"Em ajustes",$N$2:$N$5001,"&lt;"&amp;I1345)&gt;0,1,0),0))</f>
        <v/>
      </c>
      <c r="L1345" s="16" t="str">
        <f aca="false">IF(B1345="","",IF(N1345=_xlfn.MAXIFS($N$2:$N$5001,$B$2:$B$5001,B1345,$I$2:$I$5001,I1345),1,0))</f>
        <v/>
      </c>
      <c r="M1345" s="16" t="str">
        <f aca="false">IF(B1345="","",IF(E1345="Em ajustes",IF(N1345=_xlfn.MINIFS($N$2:$N$5001,$B$2:$B$5001,B1345,$E$2:$E$5001,"Em ajustes"),1,0),0))</f>
        <v/>
      </c>
      <c r="N1345" s="17" t="str">
        <f aca="false">IF(A1345="","",IF(ISNUMBER(A1345),A1345,IFERROR(DATE(VALUE(MID(A1345,7,4)),VALUE(MID(A1345,4,2)),VALUE(MID(A1345,1,2)))+TIME(VALUE(MID(A1345,12,2)),VALUE(MID(A1345,15,2)),VALUE(MID(A1345,18,2))),"")))</f>
        <v/>
      </c>
    </row>
    <row r="1346" customFormat="false" ht="15" hidden="false" customHeight="false" outlineLevel="0" collapsed="false">
      <c r="I1346" s="15" t="str">
        <f aca="false">IF(N1346="","",INT(N1346))</f>
        <v/>
      </c>
      <c r="J1346" s="16" t="str">
        <f aca="false">IF(B1346="","",IF(N1346=_xlfn.MINIFS($N$2:$N$5001,$B$2:$B$5001,B1346),1,0))</f>
        <v/>
      </c>
      <c r="K1346" s="16" t="str">
        <f aca="false">IF(B1346="","",IF(AND(D1346="Formalização",E1346="Concluído"),IF(COUNTIFS($B$2:$B$5001,B1346,$E$2:$E$5001,"Em ajustes",$N$2:$N$5001,"&lt;"&amp;I1346)&gt;0,1,0),0))</f>
        <v/>
      </c>
      <c r="L1346" s="16" t="str">
        <f aca="false">IF(B1346="","",IF(N1346=_xlfn.MAXIFS($N$2:$N$5001,$B$2:$B$5001,B1346,$I$2:$I$5001,I1346),1,0))</f>
        <v/>
      </c>
      <c r="M1346" s="16" t="str">
        <f aca="false">IF(B1346="","",IF(E1346="Em ajustes",IF(N1346=_xlfn.MINIFS($N$2:$N$5001,$B$2:$B$5001,B1346,$E$2:$E$5001,"Em ajustes"),1,0),0))</f>
        <v/>
      </c>
      <c r="N1346" s="17" t="str">
        <f aca="false">IF(A1346="","",IF(ISNUMBER(A1346),A1346,IFERROR(DATE(VALUE(MID(A1346,7,4)),VALUE(MID(A1346,4,2)),VALUE(MID(A1346,1,2)))+TIME(VALUE(MID(A1346,12,2)),VALUE(MID(A1346,15,2)),VALUE(MID(A1346,18,2))),"")))</f>
        <v/>
      </c>
    </row>
    <row r="1347" customFormat="false" ht="15" hidden="false" customHeight="false" outlineLevel="0" collapsed="false">
      <c r="I1347" s="15" t="str">
        <f aca="false">IF(N1347="","",INT(N1347))</f>
        <v/>
      </c>
      <c r="J1347" s="16" t="str">
        <f aca="false">IF(B1347="","",IF(N1347=_xlfn.MINIFS($N$2:$N$5001,$B$2:$B$5001,B1347),1,0))</f>
        <v/>
      </c>
      <c r="K1347" s="16" t="str">
        <f aca="false">IF(B1347="","",IF(AND(D1347="Formalização",E1347="Concluído"),IF(COUNTIFS($B$2:$B$5001,B1347,$E$2:$E$5001,"Em ajustes",$N$2:$N$5001,"&lt;"&amp;I1347)&gt;0,1,0),0))</f>
        <v/>
      </c>
      <c r="L1347" s="16" t="str">
        <f aca="false">IF(B1347="","",IF(N1347=_xlfn.MAXIFS($N$2:$N$5001,$B$2:$B$5001,B1347,$I$2:$I$5001,I1347),1,0))</f>
        <v/>
      </c>
      <c r="M1347" s="16" t="str">
        <f aca="false">IF(B1347="","",IF(E1347="Em ajustes",IF(N1347=_xlfn.MINIFS($N$2:$N$5001,$B$2:$B$5001,B1347,$E$2:$E$5001,"Em ajustes"),1,0),0))</f>
        <v/>
      </c>
      <c r="N1347" s="17" t="str">
        <f aca="false">IF(A1347="","",IF(ISNUMBER(A1347),A1347,IFERROR(DATE(VALUE(MID(A1347,7,4)),VALUE(MID(A1347,4,2)),VALUE(MID(A1347,1,2)))+TIME(VALUE(MID(A1347,12,2)),VALUE(MID(A1347,15,2)),VALUE(MID(A1347,18,2))),"")))</f>
        <v/>
      </c>
    </row>
    <row r="1348" customFormat="false" ht="15" hidden="false" customHeight="false" outlineLevel="0" collapsed="false">
      <c r="I1348" s="15" t="str">
        <f aca="false">IF(N1348="","",INT(N1348))</f>
        <v/>
      </c>
      <c r="J1348" s="16" t="str">
        <f aca="false">IF(B1348="","",IF(N1348=_xlfn.MINIFS($N$2:$N$5001,$B$2:$B$5001,B1348),1,0))</f>
        <v/>
      </c>
      <c r="K1348" s="16" t="str">
        <f aca="false">IF(B1348="","",IF(AND(D1348="Formalização",E1348="Concluído"),IF(COUNTIFS($B$2:$B$5001,B1348,$E$2:$E$5001,"Em ajustes",$N$2:$N$5001,"&lt;"&amp;I1348)&gt;0,1,0),0))</f>
        <v/>
      </c>
      <c r="L1348" s="16" t="str">
        <f aca="false">IF(B1348="","",IF(N1348=_xlfn.MAXIFS($N$2:$N$5001,$B$2:$B$5001,B1348,$I$2:$I$5001,I1348),1,0))</f>
        <v/>
      </c>
      <c r="M1348" s="16" t="str">
        <f aca="false">IF(B1348="","",IF(E1348="Em ajustes",IF(N1348=_xlfn.MINIFS($N$2:$N$5001,$B$2:$B$5001,B1348,$E$2:$E$5001,"Em ajustes"),1,0),0))</f>
        <v/>
      </c>
      <c r="N1348" s="17" t="str">
        <f aca="false">IF(A1348="","",IF(ISNUMBER(A1348),A1348,IFERROR(DATE(VALUE(MID(A1348,7,4)),VALUE(MID(A1348,4,2)),VALUE(MID(A1348,1,2)))+TIME(VALUE(MID(A1348,12,2)),VALUE(MID(A1348,15,2)),VALUE(MID(A1348,18,2))),"")))</f>
        <v/>
      </c>
    </row>
    <row r="1349" customFormat="false" ht="15" hidden="false" customHeight="false" outlineLevel="0" collapsed="false">
      <c r="I1349" s="15" t="str">
        <f aca="false">IF(N1349="","",INT(N1349))</f>
        <v/>
      </c>
      <c r="J1349" s="16" t="str">
        <f aca="false">IF(B1349="","",IF(N1349=_xlfn.MINIFS($N$2:$N$5001,$B$2:$B$5001,B1349),1,0))</f>
        <v/>
      </c>
      <c r="K1349" s="16" t="str">
        <f aca="false">IF(B1349="","",IF(AND(D1349="Formalização",E1349="Concluído"),IF(COUNTIFS($B$2:$B$5001,B1349,$E$2:$E$5001,"Em ajustes",$N$2:$N$5001,"&lt;"&amp;I1349)&gt;0,1,0),0))</f>
        <v/>
      </c>
      <c r="L1349" s="16" t="str">
        <f aca="false">IF(B1349="","",IF(N1349=_xlfn.MAXIFS($N$2:$N$5001,$B$2:$B$5001,B1349,$I$2:$I$5001,I1349),1,0))</f>
        <v/>
      </c>
      <c r="M1349" s="16" t="str">
        <f aca="false">IF(B1349="","",IF(E1349="Em ajustes",IF(N1349=_xlfn.MINIFS($N$2:$N$5001,$B$2:$B$5001,B1349,$E$2:$E$5001,"Em ajustes"),1,0),0))</f>
        <v/>
      </c>
      <c r="N1349" s="17" t="str">
        <f aca="false">IF(A1349="","",IF(ISNUMBER(A1349),A1349,IFERROR(DATE(VALUE(MID(A1349,7,4)),VALUE(MID(A1349,4,2)),VALUE(MID(A1349,1,2)))+TIME(VALUE(MID(A1349,12,2)),VALUE(MID(A1349,15,2)),VALUE(MID(A1349,18,2))),"")))</f>
        <v/>
      </c>
    </row>
    <row r="1350" customFormat="false" ht="15" hidden="false" customHeight="false" outlineLevel="0" collapsed="false">
      <c r="I1350" s="15" t="str">
        <f aca="false">IF(N1350="","",INT(N1350))</f>
        <v/>
      </c>
      <c r="J1350" s="16" t="str">
        <f aca="false">IF(B1350="","",IF(N1350=_xlfn.MINIFS($N$2:$N$5001,$B$2:$B$5001,B1350),1,0))</f>
        <v/>
      </c>
      <c r="K1350" s="16" t="str">
        <f aca="false">IF(B1350="","",IF(AND(D1350="Formalização",E1350="Concluído"),IF(COUNTIFS($B$2:$B$5001,B1350,$E$2:$E$5001,"Em ajustes",$N$2:$N$5001,"&lt;"&amp;I1350)&gt;0,1,0),0))</f>
        <v/>
      </c>
      <c r="L1350" s="16" t="str">
        <f aca="false">IF(B1350="","",IF(N1350=_xlfn.MAXIFS($N$2:$N$5001,$B$2:$B$5001,B1350,$I$2:$I$5001,I1350),1,0))</f>
        <v/>
      </c>
      <c r="M1350" s="16" t="str">
        <f aca="false">IF(B1350="","",IF(E1350="Em ajustes",IF(N1350=_xlfn.MINIFS($N$2:$N$5001,$B$2:$B$5001,B1350,$E$2:$E$5001,"Em ajustes"),1,0),0))</f>
        <v/>
      </c>
      <c r="N1350" s="17" t="str">
        <f aca="false">IF(A1350="","",IF(ISNUMBER(A1350),A1350,IFERROR(DATE(VALUE(MID(A1350,7,4)),VALUE(MID(A1350,4,2)),VALUE(MID(A1350,1,2)))+TIME(VALUE(MID(A1350,12,2)),VALUE(MID(A1350,15,2)),VALUE(MID(A1350,18,2))),"")))</f>
        <v/>
      </c>
    </row>
    <row r="1351" customFormat="false" ht="15" hidden="false" customHeight="false" outlineLevel="0" collapsed="false">
      <c r="I1351" s="15" t="str">
        <f aca="false">IF(N1351="","",INT(N1351))</f>
        <v/>
      </c>
      <c r="J1351" s="16" t="str">
        <f aca="false">IF(B1351="","",IF(N1351=_xlfn.MINIFS($N$2:$N$5001,$B$2:$B$5001,B1351),1,0))</f>
        <v/>
      </c>
      <c r="K1351" s="16" t="str">
        <f aca="false">IF(B1351="","",IF(AND(D1351="Formalização",E1351="Concluído"),IF(COUNTIFS($B$2:$B$5001,B1351,$E$2:$E$5001,"Em ajustes",$N$2:$N$5001,"&lt;"&amp;I1351)&gt;0,1,0),0))</f>
        <v/>
      </c>
      <c r="L1351" s="16" t="str">
        <f aca="false">IF(B1351="","",IF(N1351=_xlfn.MAXIFS($N$2:$N$5001,$B$2:$B$5001,B1351,$I$2:$I$5001,I1351),1,0))</f>
        <v/>
      </c>
      <c r="M1351" s="16" t="str">
        <f aca="false">IF(B1351="","",IF(E1351="Em ajustes",IF(N1351=_xlfn.MINIFS($N$2:$N$5001,$B$2:$B$5001,B1351,$E$2:$E$5001,"Em ajustes"),1,0),0))</f>
        <v/>
      </c>
      <c r="N1351" s="17" t="str">
        <f aca="false">IF(A1351="","",IF(ISNUMBER(A1351),A1351,IFERROR(DATE(VALUE(MID(A1351,7,4)),VALUE(MID(A1351,4,2)),VALUE(MID(A1351,1,2)))+TIME(VALUE(MID(A1351,12,2)),VALUE(MID(A1351,15,2)),VALUE(MID(A1351,18,2))),"")))</f>
        <v/>
      </c>
    </row>
    <row r="1352" customFormat="false" ht="15" hidden="false" customHeight="false" outlineLevel="0" collapsed="false">
      <c r="I1352" s="15" t="str">
        <f aca="false">IF(N1352="","",INT(N1352))</f>
        <v/>
      </c>
      <c r="J1352" s="16" t="str">
        <f aca="false">IF(B1352="","",IF(N1352=_xlfn.MINIFS($N$2:$N$5001,$B$2:$B$5001,B1352),1,0))</f>
        <v/>
      </c>
      <c r="K1352" s="16" t="str">
        <f aca="false">IF(B1352="","",IF(AND(D1352="Formalização",E1352="Concluído"),IF(COUNTIFS($B$2:$B$5001,B1352,$E$2:$E$5001,"Em ajustes",$N$2:$N$5001,"&lt;"&amp;I1352)&gt;0,1,0),0))</f>
        <v/>
      </c>
      <c r="L1352" s="16" t="str">
        <f aca="false">IF(B1352="","",IF(N1352=_xlfn.MAXIFS($N$2:$N$5001,$B$2:$B$5001,B1352,$I$2:$I$5001,I1352),1,0))</f>
        <v/>
      </c>
      <c r="M1352" s="16" t="str">
        <f aca="false">IF(B1352="","",IF(E1352="Em ajustes",IF(N1352=_xlfn.MINIFS($N$2:$N$5001,$B$2:$B$5001,B1352,$E$2:$E$5001,"Em ajustes"),1,0),0))</f>
        <v/>
      </c>
      <c r="N1352" s="17" t="str">
        <f aca="false">IF(A1352="","",IF(ISNUMBER(A1352),A1352,IFERROR(DATE(VALUE(MID(A1352,7,4)),VALUE(MID(A1352,4,2)),VALUE(MID(A1352,1,2)))+TIME(VALUE(MID(A1352,12,2)),VALUE(MID(A1352,15,2)),VALUE(MID(A1352,18,2))),"")))</f>
        <v/>
      </c>
    </row>
    <row r="1353" customFormat="false" ht="15" hidden="false" customHeight="false" outlineLevel="0" collapsed="false">
      <c r="I1353" s="15" t="str">
        <f aca="false">IF(N1353="","",INT(N1353))</f>
        <v/>
      </c>
      <c r="J1353" s="16" t="str">
        <f aca="false">IF(B1353="","",IF(N1353=_xlfn.MINIFS($N$2:$N$5001,$B$2:$B$5001,B1353),1,0))</f>
        <v/>
      </c>
      <c r="K1353" s="16" t="str">
        <f aca="false">IF(B1353="","",IF(AND(D1353="Formalização",E1353="Concluído"),IF(COUNTIFS($B$2:$B$5001,B1353,$E$2:$E$5001,"Em ajustes",$N$2:$N$5001,"&lt;"&amp;I1353)&gt;0,1,0),0))</f>
        <v/>
      </c>
      <c r="L1353" s="16" t="str">
        <f aca="false">IF(B1353="","",IF(N1353=_xlfn.MAXIFS($N$2:$N$5001,$B$2:$B$5001,B1353,$I$2:$I$5001,I1353),1,0))</f>
        <v/>
      </c>
      <c r="M1353" s="16" t="str">
        <f aca="false">IF(B1353="","",IF(E1353="Em ajustes",IF(N1353=_xlfn.MINIFS($N$2:$N$5001,$B$2:$B$5001,B1353,$E$2:$E$5001,"Em ajustes"),1,0),0))</f>
        <v/>
      </c>
      <c r="N1353" s="17" t="str">
        <f aca="false">IF(A1353="","",IF(ISNUMBER(A1353),A1353,IFERROR(DATE(VALUE(MID(A1353,7,4)),VALUE(MID(A1353,4,2)),VALUE(MID(A1353,1,2)))+TIME(VALUE(MID(A1353,12,2)),VALUE(MID(A1353,15,2)),VALUE(MID(A1353,18,2))),"")))</f>
        <v/>
      </c>
    </row>
    <row r="1354" customFormat="false" ht="15" hidden="false" customHeight="false" outlineLevel="0" collapsed="false">
      <c r="I1354" s="15" t="str">
        <f aca="false">IF(N1354="","",INT(N1354))</f>
        <v/>
      </c>
      <c r="J1354" s="16" t="str">
        <f aca="false">IF(B1354="","",IF(N1354=_xlfn.MINIFS($N$2:$N$5001,$B$2:$B$5001,B1354),1,0))</f>
        <v/>
      </c>
      <c r="K1354" s="16" t="str">
        <f aca="false">IF(B1354="","",IF(AND(D1354="Formalização",E1354="Concluído"),IF(COUNTIFS($B$2:$B$5001,B1354,$E$2:$E$5001,"Em ajustes",$N$2:$N$5001,"&lt;"&amp;I1354)&gt;0,1,0),0))</f>
        <v/>
      </c>
      <c r="L1354" s="16" t="str">
        <f aca="false">IF(B1354="","",IF(N1354=_xlfn.MAXIFS($N$2:$N$5001,$B$2:$B$5001,B1354,$I$2:$I$5001,I1354),1,0))</f>
        <v/>
      </c>
      <c r="M1354" s="16" t="str">
        <f aca="false">IF(B1354="","",IF(E1354="Em ajustes",IF(N1354=_xlfn.MINIFS($N$2:$N$5001,$B$2:$B$5001,B1354,$E$2:$E$5001,"Em ajustes"),1,0),0))</f>
        <v/>
      </c>
      <c r="N1354" s="17" t="str">
        <f aca="false">IF(A1354="","",IF(ISNUMBER(A1354),A1354,IFERROR(DATE(VALUE(MID(A1354,7,4)),VALUE(MID(A1354,4,2)),VALUE(MID(A1354,1,2)))+TIME(VALUE(MID(A1354,12,2)),VALUE(MID(A1354,15,2)),VALUE(MID(A1354,18,2))),"")))</f>
        <v/>
      </c>
    </row>
    <row r="1355" customFormat="false" ht="15" hidden="false" customHeight="false" outlineLevel="0" collapsed="false">
      <c r="I1355" s="15" t="str">
        <f aca="false">IF(N1355="","",INT(N1355))</f>
        <v/>
      </c>
      <c r="J1355" s="16" t="str">
        <f aca="false">IF(B1355="","",IF(N1355=_xlfn.MINIFS($N$2:$N$5001,$B$2:$B$5001,B1355),1,0))</f>
        <v/>
      </c>
      <c r="K1355" s="16" t="str">
        <f aca="false">IF(B1355="","",IF(AND(D1355="Formalização",E1355="Concluído"),IF(COUNTIFS($B$2:$B$5001,B1355,$E$2:$E$5001,"Em ajustes",$N$2:$N$5001,"&lt;"&amp;I1355)&gt;0,1,0),0))</f>
        <v/>
      </c>
      <c r="L1355" s="16" t="str">
        <f aca="false">IF(B1355="","",IF(N1355=_xlfn.MAXIFS($N$2:$N$5001,$B$2:$B$5001,B1355,$I$2:$I$5001,I1355),1,0))</f>
        <v/>
      </c>
      <c r="M1355" s="16" t="str">
        <f aca="false">IF(B1355="","",IF(E1355="Em ajustes",IF(N1355=_xlfn.MINIFS($N$2:$N$5001,$B$2:$B$5001,B1355,$E$2:$E$5001,"Em ajustes"),1,0),0))</f>
        <v/>
      </c>
      <c r="N1355" s="17" t="str">
        <f aca="false">IF(A1355="","",IF(ISNUMBER(A1355),A1355,IFERROR(DATE(VALUE(MID(A1355,7,4)),VALUE(MID(A1355,4,2)),VALUE(MID(A1355,1,2)))+TIME(VALUE(MID(A1355,12,2)),VALUE(MID(A1355,15,2)),VALUE(MID(A1355,18,2))),"")))</f>
        <v/>
      </c>
    </row>
    <row r="1356" customFormat="false" ht="15" hidden="false" customHeight="false" outlineLevel="0" collapsed="false">
      <c r="I1356" s="15" t="str">
        <f aca="false">IF(N1356="","",INT(N1356))</f>
        <v/>
      </c>
      <c r="J1356" s="16" t="str">
        <f aca="false">IF(B1356="","",IF(N1356=_xlfn.MINIFS($N$2:$N$5001,$B$2:$B$5001,B1356),1,0))</f>
        <v/>
      </c>
      <c r="K1356" s="16" t="str">
        <f aca="false">IF(B1356="","",IF(AND(D1356="Formalização",E1356="Concluído"),IF(COUNTIFS($B$2:$B$5001,B1356,$E$2:$E$5001,"Em ajustes",$N$2:$N$5001,"&lt;"&amp;I1356)&gt;0,1,0),0))</f>
        <v/>
      </c>
      <c r="L1356" s="16" t="str">
        <f aca="false">IF(B1356="","",IF(N1356=_xlfn.MAXIFS($N$2:$N$5001,$B$2:$B$5001,B1356,$I$2:$I$5001,I1356),1,0))</f>
        <v/>
      </c>
      <c r="M1356" s="16" t="str">
        <f aca="false">IF(B1356="","",IF(E1356="Em ajustes",IF(N1356=_xlfn.MINIFS($N$2:$N$5001,$B$2:$B$5001,B1356,$E$2:$E$5001,"Em ajustes"),1,0),0))</f>
        <v/>
      </c>
      <c r="N1356" s="17" t="str">
        <f aca="false">IF(A1356="","",IF(ISNUMBER(A1356),A1356,IFERROR(DATE(VALUE(MID(A1356,7,4)),VALUE(MID(A1356,4,2)),VALUE(MID(A1356,1,2)))+TIME(VALUE(MID(A1356,12,2)),VALUE(MID(A1356,15,2)),VALUE(MID(A1356,18,2))),"")))</f>
        <v/>
      </c>
    </row>
    <row r="1357" customFormat="false" ht="15" hidden="false" customHeight="false" outlineLevel="0" collapsed="false">
      <c r="I1357" s="15" t="str">
        <f aca="false">IF(N1357="","",INT(N1357))</f>
        <v/>
      </c>
      <c r="J1357" s="16" t="str">
        <f aca="false">IF(B1357="","",IF(N1357=_xlfn.MINIFS($N$2:$N$5001,$B$2:$B$5001,B1357),1,0))</f>
        <v/>
      </c>
      <c r="K1357" s="16" t="str">
        <f aca="false">IF(B1357="","",IF(AND(D1357="Formalização",E1357="Concluído"),IF(COUNTIFS($B$2:$B$5001,B1357,$E$2:$E$5001,"Em ajustes",$N$2:$N$5001,"&lt;"&amp;I1357)&gt;0,1,0),0))</f>
        <v/>
      </c>
      <c r="L1357" s="16" t="str">
        <f aca="false">IF(B1357="","",IF(N1357=_xlfn.MAXIFS($N$2:$N$5001,$B$2:$B$5001,B1357,$I$2:$I$5001,I1357),1,0))</f>
        <v/>
      </c>
      <c r="M1357" s="16" t="str">
        <f aca="false">IF(B1357="","",IF(E1357="Em ajustes",IF(N1357=_xlfn.MINIFS($N$2:$N$5001,$B$2:$B$5001,B1357,$E$2:$E$5001,"Em ajustes"),1,0),0))</f>
        <v/>
      </c>
      <c r="N1357" s="17" t="str">
        <f aca="false">IF(A1357="","",IF(ISNUMBER(A1357),A1357,IFERROR(DATE(VALUE(MID(A1357,7,4)),VALUE(MID(A1357,4,2)),VALUE(MID(A1357,1,2)))+TIME(VALUE(MID(A1357,12,2)),VALUE(MID(A1357,15,2)),VALUE(MID(A1357,18,2))),"")))</f>
        <v/>
      </c>
    </row>
    <row r="1358" customFormat="false" ht="15" hidden="false" customHeight="false" outlineLevel="0" collapsed="false">
      <c r="I1358" s="15" t="str">
        <f aca="false">IF(N1358="","",INT(N1358))</f>
        <v/>
      </c>
      <c r="J1358" s="16" t="str">
        <f aca="false">IF(B1358="","",IF(N1358=_xlfn.MINIFS($N$2:$N$5001,$B$2:$B$5001,B1358),1,0))</f>
        <v/>
      </c>
      <c r="K1358" s="16" t="str">
        <f aca="false">IF(B1358="","",IF(AND(D1358="Formalização",E1358="Concluído"),IF(COUNTIFS($B$2:$B$5001,B1358,$E$2:$E$5001,"Em ajustes",$N$2:$N$5001,"&lt;"&amp;I1358)&gt;0,1,0),0))</f>
        <v/>
      </c>
      <c r="L1358" s="16" t="str">
        <f aca="false">IF(B1358="","",IF(N1358=_xlfn.MAXIFS($N$2:$N$5001,$B$2:$B$5001,B1358,$I$2:$I$5001,I1358),1,0))</f>
        <v/>
      </c>
      <c r="M1358" s="16" t="str">
        <f aca="false">IF(B1358="","",IF(E1358="Em ajustes",IF(N1358=_xlfn.MINIFS($N$2:$N$5001,$B$2:$B$5001,B1358,$E$2:$E$5001,"Em ajustes"),1,0),0))</f>
        <v/>
      </c>
      <c r="N1358" s="17" t="str">
        <f aca="false">IF(A1358="","",IF(ISNUMBER(A1358),A1358,IFERROR(DATE(VALUE(MID(A1358,7,4)),VALUE(MID(A1358,4,2)),VALUE(MID(A1358,1,2)))+TIME(VALUE(MID(A1358,12,2)),VALUE(MID(A1358,15,2)),VALUE(MID(A1358,18,2))),"")))</f>
        <v/>
      </c>
    </row>
    <row r="1359" customFormat="false" ht="15" hidden="false" customHeight="false" outlineLevel="0" collapsed="false">
      <c r="I1359" s="15" t="str">
        <f aca="false">IF(N1359="","",INT(N1359))</f>
        <v/>
      </c>
      <c r="J1359" s="16" t="str">
        <f aca="false">IF(B1359="","",IF(N1359=_xlfn.MINIFS($N$2:$N$5001,$B$2:$B$5001,B1359),1,0))</f>
        <v/>
      </c>
      <c r="K1359" s="16" t="str">
        <f aca="false">IF(B1359="","",IF(AND(D1359="Formalização",E1359="Concluído"),IF(COUNTIFS($B$2:$B$5001,B1359,$E$2:$E$5001,"Em ajustes",$N$2:$N$5001,"&lt;"&amp;I1359)&gt;0,1,0),0))</f>
        <v/>
      </c>
      <c r="L1359" s="16" t="str">
        <f aca="false">IF(B1359="","",IF(N1359=_xlfn.MAXIFS($N$2:$N$5001,$B$2:$B$5001,B1359,$I$2:$I$5001,I1359),1,0))</f>
        <v/>
      </c>
      <c r="M1359" s="16" t="str">
        <f aca="false">IF(B1359="","",IF(E1359="Em ajustes",IF(N1359=_xlfn.MINIFS($N$2:$N$5001,$B$2:$B$5001,B1359,$E$2:$E$5001,"Em ajustes"),1,0),0))</f>
        <v/>
      </c>
      <c r="N1359" s="17" t="str">
        <f aca="false">IF(A1359="","",IF(ISNUMBER(A1359),A1359,IFERROR(DATE(VALUE(MID(A1359,7,4)),VALUE(MID(A1359,4,2)),VALUE(MID(A1359,1,2)))+TIME(VALUE(MID(A1359,12,2)),VALUE(MID(A1359,15,2)),VALUE(MID(A1359,18,2))),"")))</f>
        <v/>
      </c>
    </row>
    <row r="1360" customFormat="false" ht="15" hidden="false" customHeight="false" outlineLevel="0" collapsed="false">
      <c r="I1360" s="15" t="str">
        <f aca="false">IF(N1360="","",INT(N1360))</f>
        <v/>
      </c>
      <c r="J1360" s="16" t="str">
        <f aca="false">IF(B1360="","",IF(N1360=_xlfn.MINIFS($N$2:$N$5001,$B$2:$B$5001,B1360),1,0))</f>
        <v/>
      </c>
      <c r="K1360" s="16" t="str">
        <f aca="false">IF(B1360="","",IF(AND(D1360="Formalização",E1360="Concluído"),IF(COUNTIFS($B$2:$B$5001,B1360,$E$2:$E$5001,"Em ajustes",$N$2:$N$5001,"&lt;"&amp;I1360)&gt;0,1,0),0))</f>
        <v/>
      </c>
      <c r="L1360" s="16" t="str">
        <f aca="false">IF(B1360="","",IF(N1360=_xlfn.MAXIFS($N$2:$N$5001,$B$2:$B$5001,B1360,$I$2:$I$5001,I1360),1,0))</f>
        <v/>
      </c>
      <c r="M1360" s="16" t="str">
        <f aca="false">IF(B1360="","",IF(E1360="Em ajustes",IF(N1360=_xlfn.MINIFS($N$2:$N$5001,$B$2:$B$5001,B1360,$E$2:$E$5001,"Em ajustes"),1,0),0))</f>
        <v/>
      </c>
      <c r="N1360" s="17" t="str">
        <f aca="false">IF(A1360="","",IF(ISNUMBER(A1360),A1360,IFERROR(DATE(VALUE(MID(A1360,7,4)),VALUE(MID(A1360,4,2)),VALUE(MID(A1360,1,2)))+TIME(VALUE(MID(A1360,12,2)),VALUE(MID(A1360,15,2)),VALUE(MID(A1360,18,2))),"")))</f>
        <v/>
      </c>
    </row>
    <row r="1361" customFormat="false" ht="15" hidden="false" customHeight="false" outlineLevel="0" collapsed="false">
      <c r="I1361" s="15" t="str">
        <f aca="false">IF(N1361="","",INT(N1361))</f>
        <v/>
      </c>
      <c r="J1361" s="16" t="str">
        <f aca="false">IF(B1361="","",IF(N1361=_xlfn.MINIFS($N$2:$N$5001,$B$2:$B$5001,B1361),1,0))</f>
        <v/>
      </c>
      <c r="K1361" s="16" t="str">
        <f aca="false">IF(B1361="","",IF(AND(D1361="Formalização",E1361="Concluído"),IF(COUNTIFS($B$2:$B$5001,B1361,$E$2:$E$5001,"Em ajustes",$N$2:$N$5001,"&lt;"&amp;I1361)&gt;0,1,0),0))</f>
        <v/>
      </c>
      <c r="L1361" s="16" t="str">
        <f aca="false">IF(B1361="","",IF(N1361=_xlfn.MAXIFS($N$2:$N$5001,$B$2:$B$5001,B1361,$I$2:$I$5001,I1361),1,0))</f>
        <v/>
      </c>
      <c r="M1361" s="16" t="str">
        <f aca="false">IF(B1361="","",IF(E1361="Em ajustes",IF(N1361=_xlfn.MINIFS($N$2:$N$5001,$B$2:$B$5001,B1361,$E$2:$E$5001,"Em ajustes"),1,0),0))</f>
        <v/>
      </c>
      <c r="N1361" s="17" t="str">
        <f aca="false">IF(A1361="","",IF(ISNUMBER(A1361),A1361,IFERROR(DATE(VALUE(MID(A1361,7,4)),VALUE(MID(A1361,4,2)),VALUE(MID(A1361,1,2)))+TIME(VALUE(MID(A1361,12,2)),VALUE(MID(A1361,15,2)),VALUE(MID(A1361,18,2))),"")))</f>
        <v/>
      </c>
    </row>
    <row r="1362" customFormat="false" ht="15" hidden="false" customHeight="false" outlineLevel="0" collapsed="false">
      <c r="I1362" s="15" t="str">
        <f aca="false">IF(N1362="","",INT(N1362))</f>
        <v/>
      </c>
      <c r="J1362" s="16" t="str">
        <f aca="false">IF(B1362="","",IF(N1362=_xlfn.MINIFS($N$2:$N$5001,$B$2:$B$5001,B1362),1,0))</f>
        <v/>
      </c>
      <c r="K1362" s="16" t="str">
        <f aca="false">IF(B1362="","",IF(AND(D1362="Formalização",E1362="Concluído"),IF(COUNTIFS($B$2:$B$5001,B1362,$E$2:$E$5001,"Em ajustes",$N$2:$N$5001,"&lt;"&amp;I1362)&gt;0,1,0),0))</f>
        <v/>
      </c>
      <c r="L1362" s="16" t="str">
        <f aca="false">IF(B1362="","",IF(N1362=_xlfn.MAXIFS($N$2:$N$5001,$B$2:$B$5001,B1362,$I$2:$I$5001,I1362),1,0))</f>
        <v/>
      </c>
      <c r="M1362" s="16" t="str">
        <f aca="false">IF(B1362="","",IF(E1362="Em ajustes",IF(N1362=_xlfn.MINIFS($N$2:$N$5001,$B$2:$B$5001,B1362,$E$2:$E$5001,"Em ajustes"),1,0),0))</f>
        <v/>
      </c>
      <c r="N1362" s="17" t="str">
        <f aca="false">IF(A1362="","",IF(ISNUMBER(A1362),A1362,IFERROR(DATE(VALUE(MID(A1362,7,4)),VALUE(MID(A1362,4,2)),VALUE(MID(A1362,1,2)))+TIME(VALUE(MID(A1362,12,2)),VALUE(MID(A1362,15,2)),VALUE(MID(A1362,18,2))),"")))</f>
        <v/>
      </c>
    </row>
    <row r="1363" customFormat="false" ht="15" hidden="false" customHeight="false" outlineLevel="0" collapsed="false">
      <c r="I1363" s="15" t="str">
        <f aca="false">IF(N1363="","",INT(N1363))</f>
        <v/>
      </c>
      <c r="J1363" s="16" t="str">
        <f aca="false">IF(B1363="","",IF(N1363=_xlfn.MINIFS($N$2:$N$5001,$B$2:$B$5001,B1363),1,0))</f>
        <v/>
      </c>
      <c r="K1363" s="16" t="str">
        <f aca="false">IF(B1363="","",IF(AND(D1363="Formalização",E1363="Concluído"),IF(COUNTIFS($B$2:$B$5001,B1363,$E$2:$E$5001,"Em ajustes",$N$2:$N$5001,"&lt;"&amp;I1363)&gt;0,1,0),0))</f>
        <v/>
      </c>
      <c r="L1363" s="16" t="str">
        <f aca="false">IF(B1363="","",IF(N1363=_xlfn.MAXIFS($N$2:$N$5001,$B$2:$B$5001,B1363,$I$2:$I$5001,I1363),1,0))</f>
        <v/>
      </c>
      <c r="M1363" s="16" t="str">
        <f aca="false">IF(B1363="","",IF(E1363="Em ajustes",IF(N1363=_xlfn.MINIFS($N$2:$N$5001,$B$2:$B$5001,B1363,$E$2:$E$5001,"Em ajustes"),1,0),0))</f>
        <v/>
      </c>
      <c r="N1363" s="17" t="str">
        <f aca="false">IF(A1363="","",IF(ISNUMBER(A1363),A1363,IFERROR(DATE(VALUE(MID(A1363,7,4)),VALUE(MID(A1363,4,2)),VALUE(MID(A1363,1,2)))+TIME(VALUE(MID(A1363,12,2)),VALUE(MID(A1363,15,2)),VALUE(MID(A1363,18,2))),"")))</f>
        <v/>
      </c>
    </row>
    <row r="1364" customFormat="false" ht="15" hidden="false" customHeight="false" outlineLevel="0" collapsed="false">
      <c r="I1364" s="15" t="str">
        <f aca="false">IF(N1364="","",INT(N1364))</f>
        <v/>
      </c>
      <c r="J1364" s="16" t="str">
        <f aca="false">IF(B1364="","",IF(N1364=_xlfn.MINIFS($N$2:$N$5001,$B$2:$B$5001,B1364),1,0))</f>
        <v/>
      </c>
      <c r="K1364" s="16" t="str">
        <f aca="false">IF(B1364="","",IF(AND(D1364="Formalização",E1364="Concluído"),IF(COUNTIFS($B$2:$B$5001,B1364,$E$2:$E$5001,"Em ajustes",$N$2:$N$5001,"&lt;"&amp;I1364)&gt;0,1,0),0))</f>
        <v/>
      </c>
      <c r="L1364" s="16" t="str">
        <f aca="false">IF(B1364="","",IF(N1364=_xlfn.MAXIFS($N$2:$N$5001,$B$2:$B$5001,B1364,$I$2:$I$5001,I1364),1,0))</f>
        <v/>
      </c>
      <c r="M1364" s="16" t="str">
        <f aca="false">IF(B1364="","",IF(E1364="Em ajustes",IF(N1364=_xlfn.MINIFS($N$2:$N$5001,$B$2:$B$5001,B1364,$E$2:$E$5001,"Em ajustes"),1,0),0))</f>
        <v/>
      </c>
      <c r="N1364" s="17" t="str">
        <f aca="false">IF(A1364="","",IF(ISNUMBER(A1364),A1364,IFERROR(DATE(VALUE(MID(A1364,7,4)),VALUE(MID(A1364,4,2)),VALUE(MID(A1364,1,2)))+TIME(VALUE(MID(A1364,12,2)),VALUE(MID(A1364,15,2)),VALUE(MID(A1364,18,2))),"")))</f>
        <v/>
      </c>
    </row>
    <row r="1365" customFormat="false" ht="15" hidden="false" customHeight="false" outlineLevel="0" collapsed="false">
      <c r="I1365" s="15" t="str">
        <f aca="false">IF(N1365="","",INT(N1365))</f>
        <v/>
      </c>
      <c r="J1365" s="16" t="str">
        <f aca="false">IF(B1365="","",IF(N1365=_xlfn.MINIFS($N$2:$N$5001,$B$2:$B$5001,B1365),1,0))</f>
        <v/>
      </c>
      <c r="K1365" s="16" t="str">
        <f aca="false">IF(B1365="","",IF(AND(D1365="Formalização",E1365="Concluído"),IF(COUNTIFS($B$2:$B$5001,B1365,$E$2:$E$5001,"Em ajustes",$N$2:$N$5001,"&lt;"&amp;I1365)&gt;0,1,0),0))</f>
        <v/>
      </c>
      <c r="L1365" s="16" t="str">
        <f aca="false">IF(B1365="","",IF(N1365=_xlfn.MAXIFS($N$2:$N$5001,$B$2:$B$5001,B1365,$I$2:$I$5001,I1365),1,0))</f>
        <v/>
      </c>
      <c r="M1365" s="16" t="str">
        <f aca="false">IF(B1365="","",IF(E1365="Em ajustes",IF(N1365=_xlfn.MINIFS($N$2:$N$5001,$B$2:$B$5001,B1365,$E$2:$E$5001,"Em ajustes"),1,0),0))</f>
        <v/>
      </c>
      <c r="N1365" s="17" t="str">
        <f aca="false">IF(A1365="","",IF(ISNUMBER(A1365),A1365,IFERROR(DATE(VALUE(MID(A1365,7,4)),VALUE(MID(A1365,4,2)),VALUE(MID(A1365,1,2)))+TIME(VALUE(MID(A1365,12,2)),VALUE(MID(A1365,15,2)),VALUE(MID(A1365,18,2))),"")))</f>
        <v/>
      </c>
    </row>
    <row r="1366" customFormat="false" ht="15" hidden="false" customHeight="false" outlineLevel="0" collapsed="false">
      <c r="I1366" s="15" t="str">
        <f aca="false">IF(N1366="","",INT(N1366))</f>
        <v/>
      </c>
      <c r="J1366" s="16" t="str">
        <f aca="false">IF(B1366="","",IF(N1366=_xlfn.MINIFS($N$2:$N$5001,$B$2:$B$5001,B1366),1,0))</f>
        <v/>
      </c>
      <c r="K1366" s="16" t="str">
        <f aca="false">IF(B1366="","",IF(AND(D1366="Formalização",E1366="Concluído"),IF(COUNTIFS($B$2:$B$5001,B1366,$E$2:$E$5001,"Em ajustes",$N$2:$N$5001,"&lt;"&amp;I1366)&gt;0,1,0),0))</f>
        <v/>
      </c>
      <c r="L1366" s="16" t="str">
        <f aca="false">IF(B1366="","",IF(N1366=_xlfn.MAXIFS($N$2:$N$5001,$B$2:$B$5001,B1366,$I$2:$I$5001,I1366),1,0))</f>
        <v/>
      </c>
      <c r="M1366" s="16" t="str">
        <f aca="false">IF(B1366="","",IF(E1366="Em ajustes",IF(N1366=_xlfn.MINIFS($N$2:$N$5001,$B$2:$B$5001,B1366,$E$2:$E$5001,"Em ajustes"),1,0),0))</f>
        <v/>
      </c>
      <c r="N1366" s="17" t="str">
        <f aca="false">IF(A1366="","",IF(ISNUMBER(A1366),A1366,IFERROR(DATE(VALUE(MID(A1366,7,4)),VALUE(MID(A1366,4,2)),VALUE(MID(A1366,1,2)))+TIME(VALUE(MID(A1366,12,2)),VALUE(MID(A1366,15,2)),VALUE(MID(A1366,18,2))),"")))</f>
        <v/>
      </c>
    </row>
    <row r="1367" customFormat="false" ht="15" hidden="false" customHeight="false" outlineLevel="0" collapsed="false">
      <c r="I1367" s="15" t="str">
        <f aca="false">IF(N1367="","",INT(N1367))</f>
        <v/>
      </c>
      <c r="J1367" s="16" t="str">
        <f aca="false">IF(B1367="","",IF(N1367=_xlfn.MINIFS($N$2:$N$5001,$B$2:$B$5001,B1367),1,0))</f>
        <v/>
      </c>
      <c r="K1367" s="16" t="str">
        <f aca="false">IF(B1367="","",IF(AND(D1367="Formalização",E1367="Concluído"),IF(COUNTIFS($B$2:$B$5001,B1367,$E$2:$E$5001,"Em ajustes",$N$2:$N$5001,"&lt;"&amp;I1367)&gt;0,1,0),0))</f>
        <v/>
      </c>
      <c r="L1367" s="16" t="str">
        <f aca="false">IF(B1367="","",IF(N1367=_xlfn.MAXIFS($N$2:$N$5001,$B$2:$B$5001,B1367,$I$2:$I$5001,I1367),1,0))</f>
        <v/>
      </c>
      <c r="M1367" s="16" t="str">
        <f aca="false">IF(B1367="","",IF(E1367="Em ajustes",IF(N1367=_xlfn.MINIFS($N$2:$N$5001,$B$2:$B$5001,B1367,$E$2:$E$5001,"Em ajustes"),1,0),0))</f>
        <v/>
      </c>
      <c r="N1367" s="17" t="str">
        <f aca="false">IF(A1367="","",IF(ISNUMBER(A1367),A1367,IFERROR(DATE(VALUE(MID(A1367,7,4)),VALUE(MID(A1367,4,2)),VALUE(MID(A1367,1,2)))+TIME(VALUE(MID(A1367,12,2)),VALUE(MID(A1367,15,2)),VALUE(MID(A1367,18,2))),"")))</f>
        <v/>
      </c>
    </row>
    <row r="1368" customFormat="false" ht="15" hidden="false" customHeight="false" outlineLevel="0" collapsed="false">
      <c r="I1368" s="15" t="str">
        <f aca="false">IF(N1368="","",INT(N1368))</f>
        <v/>
      </c>
      <c r="J1368" s="16" t="str">
        <f aca="false">IF(B1368="","",IF(N1368=_xlfn.MINIFS($N$2:$N$5001,$B$2:$B$5001,B1368),1,0))</f>
        <v/>
      </c>
      <c r="K1368" s="16" t="str">
        <f aca="false">IF(B1368="","",IF(AND(D1368="Formalização",E1368="Concluído"),IF(COUNTIFS($B$2:$B$5001,B1368,$E$2:$E$5001,"Em ajustes",$N$2:$N$5001,"&lt;"&amp;I1368)&gt;0,1,0),0))</f>
        <v/>
      </c>
      <c r="L1368" s="16" t="str">
        <f aca="false">IF(B1368="","",IF(N1368=_xlfn.MAXIFS($N$2:$N$5001,$B$2:$B$5001,B1368,$I$2:$I$5001,I1368),1,0))</f>
        <v/>
      </c>
      <c r="M1368" s="16" t="str">
        <f aca="false">IF(B1368="","",IF(E1368="Em ajustes",IF(N1368=_xlfn.MINIFS($N$2:$N$5001,$B$2:$B$5001,B1368,$E$2:$E$5001,"Em ajustes"),1,0),0))</f>
        <v/>
      </c>
      <c r="N1368" s="17" t="str">
        <f aca="false">IF(A1368="","",IF(ISNUMBER(A1368),A1368,IFERROR(DATE(VALUE(MID(A1368,7,4)),VALUE(MID(A1368,4,2)),VALUE(MID(A1368,1,2)))+TIME(VALUE(MID(A1368,12,2)),VALUE(MID(A1368,15,2)),VALUE(MID(A1368,18,2))),"")))</f>
        <v/>
      </c>
    </row>
    <row r="1369" customFormat="false" ht="15" hidden="false" customHeight="false" outlineLevel="0" collapsed="false">
      <c r="I1369" s="15" t="str">
        <f aca="false">IF(N1369="","",INT(N1369))</f>
        <v/>
      </c>
      <c r="J1369" s="16" t="str">
        <f aca="false">IF(B1369="","",IF(N1369=_xlfn.MINIFS($N$2:$N$5001,$B$2:$B$5001,B1369),1,0))</f>
        <v/>
      </c>
      <c r="K1369" s="16" t="str">
        <f aca="false">IF(B1369="","",IF(AND(D1369="Formalização",E1369="Concluído"),IF(COUNTIFS($B$2:$B$5001,B1369,$E$2:$E$5001,"Em ajustes",$N$2:$N$5001,"&lt;"&amp;I1369)&gt;0,1,0),0))</f>
        <v/>
      </c>
      <c r="L1369" s="16" t="str">
        <f aca="false">IF(B1369="","",IF(N1369=_xlfn.MAXIFS($N$2:$N$5001,$B$2:$B$5001,B1369,$I$2:$I$5001,I1369),1,0))</f>
        <v/>
      </c>
      <c r="M1369" s="16" t="str">
        <f aca="false">IF(B1369="","",IF(E1369="Em ajustes",IF(N1369=_xlfn.MINIFS($N$2:$N$5001,$B$2:$B$5001,B1369,$E$2:$E$5001,"Em ajustes"),1,0),0))</f>
        <v/>
      </c>
      <c r="N1369" s="17" t="str">
        <f aca="false">IF(A1369="","",IF(ISNUMBER(A1369),A1369,IFERROR(DATE(VALUE(MID(A1369,7,4)),VALUE(MID(A1369,4,2)),VALUE(MID(A1369,1,2)))+TIME(VALUE(MID(A1369,12,2)),VALUE(MID(A1369,15,2)),VALUE(MID(A1369,18,2))),"")))</f>
        <v/>
      </c>
    </row>
    <row r="1370" customFormat="false" ht="15" hidden="false" customHeight="false" outlineLevel="0" collapsed="false">
      <c r="I1370" s="15" t="str">
        <f aca="false">IF(N1370="","",INT(N1370))</f>
        <v/>
      </c>
      <c r="J1370" s="16" t="str">
        <f aca="false">IF(B1370="","",IF(N1370=_xlfn.MINIFS($N$2:$N$5001,$B$2:$B$5001,B1370),1,0))</f>
        <v/>
      </c>
      <c r="K1370" s="16" t="str">
        <f aca="false">IF(B1370="","",IF(AND(D1370="Formalização",E1370="Concluído"),IF(COUNTIFS($B$2:$B$5001,B1370,$E$2:$E$5001,"Em ajustes",$N$2:$N$5001,"&lt;"&amp;I1370)&gt;0,1,0),0))</f>
        <v/>
      </c>
      <c r="L1370" s="16" t="str">
        <f aca="false">IF(B1370="","",IF(N1370=_xlfn.MAXIFS($N$2:$N$5001,$B$2:$B$5001,B1370,$I$2:$I$5001,I1370),1,0))</f>
        <v/>
      </c>
      <c r="M1370" s="16" t="str">
        <f aca="false">IF(B1370="","",IF(E1370="Em ajustes",IF(N1370=_xlfn.MINIFS($N$2:$N$5001,$B$2:$B$5001,B1370,$E$2:$E$5001,"Em ajustes"),1,0),0))</f>
        <v/>
      </c>
      <c r="N1370" s="17" t="str">
        <f aca="false">IF(A1370="","",IF(ISNUMBER(A1370),A1370,IFERROR(DATE(VALUE(MID(A1370,7,4)),VALUE(MID(A1370,4,2)),VALUE(MID(A1370,1,2)))+TIME(VALUE(MID(A1370,12,2)),VALUE(MID(A1370,15,2)),VALUE(MID(A1370,18,2))),"")))</f>
        <v/>
      </c>
    </row>
    <row r="1371" customFormat="false" ht="15" hidden="false" customHeight="false" outlineLevel="0" collapsed="false">
      <c r="I1371" s="15" t="str">
        <f aca="false">IF(N1371="","",INT(N1371))</f>
        <v/>
      </c>
      <c r="J1371" s="16" t="str">
        <f aca="false">IF(B1371="","",IF(N1371=_xlfn.MINIFS($N$2:$N$5001,$B$2:$B$5001,B1371),1,0))</f>
        <v/>
      </c>
      <c r="K1371" s="16" t="str">
        <f aca="false">IF(B1371="","",IF(AND(D1371="Formalização",E1371="Concluído"),IF(COUNTIFS($B$2:$B$5001,B1371,$E$2:$E$5001,"Em ajustes",$N$2:$N$5001,"&lt;"&amp;I1371)&gt;0,1,0),0))</f>
        <v/>
      </c>
      <c r="L1371" s="16" t="str">
        <f aca="false">IF(B1371="","",IF(N1371=_xlfn.MAXIFS($N$2:$N$5001,$B$2:$B$5001,B1371,$I$2:$I$5001,I1371),1,0))</f>
        <v/>
      </c>
      <c r="M1371" s="16" t="str">
        <f aca="false">IF(B1371="","",IF(E1371="Em ajustes",IF(N1371=_xlfn.MINIFS($N$2:$N$5001,$B$2:$B$5001,B1371,$E$2:$E$5001,"Em ajustes"),1,0),0))</f>
        <v/>
      </c>
      <c r="N1371" s="17" t="str">
        <f aca="false">IF(A1371="","",IF(ISNUMBER(A1371),A1371,IFERROR(DATE(VALUE(MID(A1371,7,4)),VALUE(MID(A1371,4,2)),VALUE(MID(A1371,1,2)))+TIME(VALUE(MID(A1371,12,2)),VALUE(MID(A1371,15,2)),VALUE(MID(A1371,18,2))),"")))</f>
        <v/>
      </c>
    </row>
    <row r="1372" customFormat="false" ht="15" hidden="false" customHeight="false" outlineLevel="0" collapsed="false">
      <c r="I1372" s="15" t="str">
        <f aca="false">IF(N1372="","",INT(N1372))</f>
        <v/>
      </c>
      <c r="J1372" s="16" t="str">
        <f aca="false">IF(B1372="","",IF(N1372=_xlfn.MINIFS($N$2:$N$5001,$B$2:$B$5001,B1372),1,0))</f>
        <v/>
      </c>
      <c r="K1372" s="16" t="str">
        <f aca="false">IF(B1372="","",IF(AND(D1372="Formalização",E1372="Concluído"),IF(COUNTIFS($B$2:$B$5001,B1372,$E$2:$E$5001,"Em ajustes",$N$2:$N$5001,"&lt;"&amp;I1372)&gt;0,1,0),0))</f>
        <v/>
      </c>
      <c r="L1372" s="16" t="str">
        <f aca="false">IF(B1372="","",IF(N1372=_xlfn.MAXIFS($N$2:$N$5001,$B$2:$B$5001,B1372,$I$2:$I$5001,I1372),1,0))</f>
        <v/>
      </c>
      <c r="M1372" s="16" t="str">
        <f aca="false">IF(B1372="","",IF(E1372="Em ajustes",IF(N1372=_xlfn.MINIFS($N$2:$N$5001,$B$2:$B$5001,B1372,$E$2:$E$5001,"Em ajustes"),1,0),0))</f>
        <v/>
      </c>
      <c r="N1372" s="17" t="str">
        <f aca="false">IF(A1372="","",IF(ISNUMBER(A1372),A1372,IFERROR(DATE(VALUE(MID(A1372,7,4)),VALUE(MID(A1372,4,2)),VALUE(MID(A1372,1,2)))+TIME(VALUE(MID(A1372,12,2)),VALUE(MID(A1372,15,2)),VALUE(MID(A1372,18,2))),"")))</f>
        <v/>
      </c>
    </row>
    <row r="1373" customFormat="false" ht="15" hidden="false" customHeight="false" outlineLevel="0" collapsed="false">
      <c r="I1373" s="15" t="str">
        <f aca="false">IF(N1373="","",INT(N1373))</f>
        <v/>
      </c>
      <c r="J1373" s="16" t="str">
        <f aca="false">IF(B1373="","",IF(N1373=_xlfn.MINIFS($N$2:$N$5001,$B$2:$B$5001,B1373),1,0))</f>
        <v/>
      </c>
      <c r="K1373" s="16" t="str">
        <f aca="false">IF(B1373="","",IF(AND(D1373="Formalização",E1373="Concluído"),IF(COUNTIFS($B$2:$B$5001,B1373,$E$2:$E$5001,"Em ajustes",$N$2:$N$5001,"&lt;"&amp;I1373)&gt;0,1,0),0))</f>
        <v/>
      </c>
      <c r="L1373" s="16" t="str">
        <f aca="false">IF(B1373="","",IF(N1373=_xlfn.MAXIFS($N$2:$N$5001,$B$2:$B$5001,B1373,$I$2:$I$5001,I1373),1,0))</f>
        <v/>
      </c>
      <c r="M1373" s="16" t="str">
        <f aca="false">IF(B1373="","",IF(E1373="Em ajustes",IF(N1373=_xlfn.MINIFS($N$2:$N$5001,$B$2:$B$5001,B1373,$E$2:$E$5001,"Em ajustes"),1,0),0))</f>
        <v/>
      </c>
      <c r="N1373" s="17" t="str">
        <f aca="false">IF(A1373="","",IF(ISNUMBER(A1373),A1373,IFERROR(DATE(VALUE(MID(A1373,7,4)),VALUE(MID(A1373,4,2)),VALUE(MID(A1373,1,2)))+TIME(VALUE(MID(A1373,12,2)),VALUE(MID(A1373,15,2)),VALUE(MID(A1373,18,2))),"")))</f>
        <v/>
      </c>
    </row>
    <row r="1374" customFormat="false" ht="15" hidden="false" customHeight="false" outlineLevel="0" collapsed="false">
      <c r="I1374" s="15" t="str">
        <f aca="false">IF(N1374="","",INT(N1374))</f>
        <v/>
      </c>
      <c r="J1374" s="16" t="str">
        <f aca="false">IF(B1374="","",IF(N1374=_xlfn.MINIFS($N$2:$N$5001,$B$2:$B$5001,B1374),1,0))</f>
        <v/>
      </c>
      <c r="K1374" s="16" t="str">
        <f aca="false">IF(B1374="","",IF(AND(D1374="Formalização",E1374="Concluído"),IF(COUNTIFS($B$2:$B$5001,B1374,$E$2:$E$5001,"Em ajustes",$N$2:$N$5001,"&lt;"&amp;I1374)&gt;0,1,0),0))</f>
        <v/>
      </c>
      <c r="L1374" s="16" t="str">
        <f aca="false">IF(B1374="","",IF(N1374=_xlfn.MAXIFS($N$2:$N$5001,$B$2:$B$5001,B1374,$I$2:$I$5001,I1374),1,0))</f>
        <v/>
      </c>
      <c r="M1374" s="16" t="str">
        <f aca="false">IF(B1374="","",IF(E1374="Em ajustes",IF(N1374=_xlfn.MINIFS($N$2:$N$5001,$B$2:$B$5001,B1374,$E$2:$E$5001,"Em ajustes"),1,0),0))</f>
        <v/>
      </c>
      <c r="N1374" s="17" t="str">
        <f aca="false">IF(A1374="","",IF(ISNUMBER(A1374),A1374,IFERROR(DATE(VALUE(MID(A1374,7,4)),VALUE(MID(A1374,4,2)),VALUE(MID(A1374,1,2)))+TIME(VALUE(MID(A1374,12,2)),VALUE(MID(A1374,15,2)),VALUE(MID(A1374,18,2))),"")))</f>
        <v/>
      </c>
    </row>
    <row r="1375" customFormat="false" ht="15" hidden="false" customHeight="false" outlineLevel="0" collapsed="false">
      <c r="I1375" s="15" t="str">
        <f aca="false">IF(N1375="","",INT(N1375))</f>
        <v/>
      </c>
      <c r="J1375" s="16" t="str">
        <f aca="false">IF(B1375="","",IF(N1375=_xlfn.MINIFS($N$2:$N$5001,$B$2:$B$5001,B1375),1,0))</f>
        <v/>
      </c>
      <c r="K1375" s="16" t="str">
        <f aca="false">IF(B1375="","",IF(AND(D1375="Formalização",E1375="Concluído"),IF(COUNTIFS($B$2:$B$5001,B1375,$E$2:$E$5001,"Em ajustes",$N$2:$N$5001,"&lt;"&amp;I1375)&gt;0,1,0),0))</f>
        <v/>
      </c>
      <c r="L1375" s="16" t="str">
        <f aca="false">IF(B1375="","",IF(N1375=_xlfn.MAXIFS($N$2:$N$5001,$B$2:$B$5001,B1375,$I$2:$I$5001,I1375),1,0))</f>
        <v/>
      </c>
      <c r="M1375" s="16" t="str">
        <f aca="false">IF(B1375="","",IF(E1375="Em ajustes",IF(N1375=_xlfn.MINIFS($N$2:$N$5001,$B$2:$B$5001,B1375,$E$2:$E$5001,"Em ajustes"),1,0),0))</f>
        <v/>
      </c>
      <c r="N1375" s="17" t="str">
        <f aca="false">IF(A1375="","",IF(ISNUMBER(A1375),A1375,IFERROR(DATE(VALUE(MID(A1375,7,4)),VALUE(MID(A1375,4,2)),VALUE(MID(A1375,1,2)))+TIME(VALUE(MID(A1375,12,2)),VALUE(MID(A1375,15,2)),VALUE(MID(A1375,18,2))),"")))</f>
        <v/>
      </c>
    </row>
    <row r="1376" customFormat="false" ht="15" hidden="false" customHeight="false" outlineLevel="0" collapsed="false">
      <c r="I1376" s="15" t="str">
        <f aca="false">IF(N1376="","",INT(N1376))</f>
        <v/>
      </c>
      <c r="J1376" s="16" t="str">
        <f aca="false">IF(B1376="","",IF(N1376=_xlfn.MINIFS($N$2:$N$5001,$B$2:$B$5001,B1376),1,0))</f>
        <v/>
      </c>
      <c r="K1376" s="16" t="str">
        <f aca="false">IF(B1376="","",IF(AND(D1376="Formalização",E1376="Concluído"),IF(COUNTIFS($B$2:$B$5001,B1376,$E$2:$E$5001,"Em ajustes",$N$2:$N$5001,"&lt;"&amp;I1376)&gt;0,1,0),0))</f>
        <v/>
      </c>
      <c r="L1376" s="16" t="str">
        <f aca="false">IF(B1376="","",IF(N1376=_xlfn.MAXIFS($N$2:$N$5001,$B$2:$B$5001,B1376,$I$2:$I$5001,I1376),1,0))</f>
        <v/>
      </c>
      <c r="M1376" s="16" t="str">
        <f aca="false">IF(B1376="","",IF(E1376="Em ajustes",IF(N1376=_xlfn.MINIFS($N$2:$N$5001,$B$2:$B$5001,B1376,$E$2:$E$5001,"Em ajustes"),1,0),0))</f>
        <v/>
      </c>
      <c r="N1376" s="17" t="str">
        <f aca="false">IF(A1376="","",IF(ISNUMBER(A1376),A1376,IFERROR(DATE(VALUE(MID(A1376,7,4)),VALUE(MID(A1376,4,2)),VALUE(MID(A1376,1,2)))+TIME(VALUE(MID(A1376,12,2)),VALUE(MID(A1376,15,2)),VALUE(MID(A1376,18,2))),"")))</f>
        <v/>
      </c>
    </row>
    <row r="1377" customFormat="false" ht="15" hidden="false" customHeight="false" outlineLevel="0" collapsed="false">
      <c r="I1377" s="15" t="str">
        <f aca="false">IF(N1377="","",INT(N1377))</f>
        <v/>
      </c>
      <c r="J1377" s="16" t="str">
        <f aca="false">IF(B1377="","",IF(N1377=_xlfn.MINIFS($N$2:$N$5001,$B$2:$B$5001,B1377),1,0))</f>
        <v/>
      </c>
      <c r="K1377" s="16" t="str">
        <f aca="false">IF(B1377="","",IF(AND(D1377="Formalização",E1377="Concluído"),IF(COUNTIFS($B$2:$B$5001,B1377,$E$2:$E$5001,"Em ajustes",$N$2:$N$5001,"&lt;"&amp;I1377)&gt;0,1,0),0))</f>
        <v/>
      </c>
      <c r="L1377" s="16" t="str">
        <f aca="false">IF(B1377="","",IF(N1377=_xlfn.MAXIFS($N$2:$N$5001,$B$2:$B$5001,B1377,$I$2:$I$5001,I1377),1,0))</f>
        <v/>
      </c>
      <c r="M1377" s="16" t="str">
        <f aca="false">IF(B1377="","",IF(E1377="Em ajustes",IF(N1377=_xlfn.MINIFS($N$2:$N$5001,$B$2:$B$5001,B1377,$E$2:$E$5001,"Em ajustes"),1,0),0))</f>
        <v/>
      </c>
      <c r="N1377" s="17" t="str">
        <f aca="false">IF(A1377="","",IF(ISNUMBER(A1377),A1377,IFERROR(DATE(VALUE(MID(A1377,7,4)),VALUE(MID(A1377,4,2)),VALUE(MID(A1377,1,2)))+TIME(VALUE(MID(A1377,12,2)),VALUE(MID(A1377,15,2)),VALUE(MID(A1377,18,2))),"")))</f>
        <v/>
      </c>
    </row>
    <row r="1378" customFormat="false" ht="15" hidden="false" customHeight="false" outlineLevel="0" collapsed="false">
      <c r="I1378" s="15" t="str">
        <f aca="false">IF(N1378="","",INT(N1378))</f>
        <v/>
      </c>
      <c r="J1378" s="16" t="str">
        <f aca="false">IF(B1378="","",IF(N1378=_xlfn.MINIFS($N$2:$N$5001,$B$2:$B$5001,B1378),1,0))</f>
        <v/>
      </c>
      <c r="K1378" s="16" t="str">
        <f aca="false">IF(B1378="","",IF(AND(D1378="Formalização",E1378="Concluído"),IF(COUNTIFS($B$2:$B$5001,B1378,$E$2:$E$5001,"Em ajustes",$N$2:$N$5001,"&lt;"&amp;I1378)&gt;0,1,0),0))</f>
        <v/>
      </c>
      <c r="L1378" s="16" t="str">
        <f aca="false">IF(B1378="","",IF(N1378=_xlfn.MAXIFS($N$2:$N$5001,$B$2:$B$5001,B1378,$I$2:$I$5001,I1378),1,0))</f>
        <v/>
      </c>
      <c r="M1378" s="16" t="str">
        <f aca="false">IF(B1378="","",IF(E1378="Em ajustes",IF(N1378=_xlfn.MINIFS($N$2:$N$5001,$B$2:$B$5001,B1378,$E$2:$E$5001,"Em ajustes"),1,0),0))</f>
        <v/>
      </c>
      <c r="N1378" s="17" t="str">
        <f aca="false">IF(A1378="","",IF(ISNUMBER(A1378),A1378,IFERROR(DATE(VALUE(MID(A1378,7,4)),VALUE(MID(A1378,4,2)),VALUE(MID(A1378,1,2)))+TIME(VALUE(MID(A1378,12,2)),VALUE(MID(A1378,15,2)),VALUE(MID(A1378,18,2))),"")))</f>
        <v/>
      </c>
    </row>
    <row r="1379" customFormat="false" ht="15" hidden="false" customHeight="false" outlineLevel="0" collapsed="false">
      <c r="I1379" s="15" t="str">
        <f aca="false">IF(N1379="","",INT(N1379))</f>
        <v/>
      </c>
      <c r="J1379" s="16" t="str">
        <f aca="false">IF(B1379="","",IF(N1379=_xlfn.MINIFS($N$2:$N$5001,$B$2:$B$5001,B1379),1,0))</f>
        <v/>
      </c>
      <c r="K1379" s="16" t="str">
        <f aca="false">IF(B1379="","",IF(AND(D1379="Formalização",E1379="Concluído"),IF(COUNTIFS($B$2:$B$5001,B1379,$E$2:$E$5001,"Em ajustes",$N$2:$N$5001,"&lt;"&amp;I1379)&gt;0,1,0),0))</f>
        <v/>
      </c>
      <c r="L1379" s="16" t="str">
        <f aca="false">IF(B1379="","",IF(N1379=_xlfn.MAXIFS($N$2:$N$5001,$B$2:$B$5001,B1379,$I$2:$I$5001,I1379),1,0))</f>
        <v/>
      </c>
      <c r="M1379" s="16" t="str">
        <f aca="false">IF(B1379="","",IF(E1379="Em ajustes",IF(N1379=_xlfn.MINIFS($N$2:$N$5001,$B$2:$B$5001,B1379,$E$2:$E$5001,"Em ajustes"),1,0),0))</f>
        <v/>
      </c>
      <c r="N1379" s="17" t="str">
        <f aca="false">IF(A1379="","",IF(ISNUMBER(A1379),A1379,IFERROR(DATE(VALUE(MID(A1379,7,4)),VALUE(MID(A1379,4,2)),VALUE(MID(A1379,1,2)))+TIME(VALUE(MID(A1379,12,2)),VALUE(MID(A1379,15,2)),VALUE(MID(A1379,18,2))),"")))</f>
        <v/>
      </c>
    </row>
    <row r="1380" customFormat="false" ht="15" hidden="false" customHeight="false" outlineLevel="0" collapsed="false">
      <c r="I1380" s="15" t="str">
        <f aca="false">IF(N1380="","",INT(N1380))</f>
        <v/>
      </c>
      <c r="J1380" s="16" t="str">
        <f aca="false">IF(B1380="","",IF(N1380=_xlfn.MINIFS($N$2:$N$5001,$B$2:$B$5001,B1380),1,0))</f>
        <v/>
      </c>
      <c r="K1380" s="16" t="str">
        <f aca="false">IF(B1380="","",IF(AND(D1380="Formalização",E1380="Concluído"),IF(COUNTIFS($B$2:$B$5001,B1380,$E$2:$E$5001,"Em ajustes",$N$2:$N$5001,"&lt;"&amp;I1380)&gt;0,1,0),0))</f>
        <v/>
      </c>
      <c r="L1380" s="16" t="str">
        <f aca="false">IF(B1380="","",IF(N1380=_xlfn.MAXIFS($N$2:$N$5001,$B$2:$B$5001,B1380,$I$2:$I$5001,I1380),1,0))</f>
        <v/>
      </c>
      <c r="M1380" s="16" t="str">
        <f aca="false">IF(B1380="","",IF(E1380="Em ajustes",IF(N1380=_xlfn.MINIFS($N$2:$N$5001,$B$2:$B$5001,B1380,$E$2:$E$5001,"Em ajustes"),1,0),0))</f>
        <v/>
      </c>
      <c r="N1380" s="17" t="str">
        <f aca="false">IF(A1380="","",IF(ISNUMBER(A1380),A1380,IFERROR(DATE(VALUE(MID(A1380,7,4)),VALUE(MID(A1380,4,2)),VALUE(MID(A1380,1,2)))+TIME(VALUE(MID(A1380,12,2)),VALUE(MID(A1380,15,2)),VALUE(MID(A1380,18,2))),"")))</f>
        <v/>
      </c>
    </row>
    <row r="1381" customFormat="false" ht="15" hidden="false" customHeight="false" outlineLevel="0" collapsed="false">
      <c r="I1381" s="15" t="str">
        <f aca="false">IF(N1381="","",INT(N1381))</f>
        <v/>
      </c>
      <c r="J1381" s="16" t="str">
        <f aca="false">IF(B1381="","",IF(N1381=_xlfn.MINIFS($N$2:$N$5001,$B$2:$B$5001,B1381),1,0))</f>
        <v/>
      </c>
      <c r="K1381" s="16" t="str">
        <f aca="false">IF(B1381="","",IF(AND(D1381="Formalização",E1381="Concluído"),IF(COUNTIFS($B$2:$B$5001,B1381,$E$2:$E$5001,"Em ajustes",$N$2:$N$5001,"&lt;"&amp;I1381)&gt;0,1,0),0))</f>
        <v/>
      </c>
      <c r="L1381" s="16" t="str">
        <f aca="false">IF(B1381="","",IF(N1381=_xlfn.MAXIFS($N$2:$N$5001,$B$2:$B$5001,B1381,$I$2:$I$5001,I1381),1,0))</f>
        <v/>
      </c>
      <c r="M1381" s="16" t="str">
        <f aca="false">IF(B1381="","",IF(E1381="Em ajustes",IF(N1381=_xlfn.MINIFS($N$2:$N$5001,$B$2:$B$5001,B1381,$E$2:$E$5001,"Em ajustes"),1,0),0))</f>
        <v/>
      </c>
      <c r="N1381" s="17" t="str">
        <f aca="false">IF(A1381="","",IF(ISNUMBER(A1381),A1381,IFERROR(DATE(VALUE(MID(A1381,7,4)),VALUE(MID(A1381,4,2)),VALUE(MID(A1381,1,2)))+TIME(VALUE(MID(A1381,12,2)),VALUE(MID(A1381,15,2)),VALUE(MID(A1381,18,2))),"")))</f>
        <v/>
      </c>
    </row>
    <row r="1382" customFormat="false" ht="15" hidden="false" customHeight="false" outlineLevel="0" collapsed="false">
      <c r="I1382" s="15" t="str">
        <f aca="false">IF(N1382="","",INT(N1382))</f>
        <v/>
      </c>
      <c r="J1382" s="16" t="str">
        <f aca="false">IF(B1382="","",IF(N1382=_xlfn.MINIFS($N$2:$N$5001,$B$2:$B$5001,B1382),1,0))</f>
        <v/>
      </c>
      <c r="K1382" s="16" t="str">
        <f aca="false">IF(B1382="","",IF(AND(D1382="Formalização",E1382="Concluído"),IF(COUNTIFS($B$2:$B$5001,B1382,$E$2:$E$5001,"Em ajustes",$N$2:$N$5001,"&lt;"&amp;I1382)&gt;0,1,0),0))</f>
        <v/>
      </c>
      <c r="L1382" s="16" t="str">
        <f aca="false">IF(B1382="","",IF(N1382=_xlfn.MAXIFS($N$2:$N$5001,$B$2:$B$5001,B1382,$I$2:$I$5001,I1382),1,0))</f>
        <v/>
      </c>
      <c r="M1382" s="16" t="str">
        <f aca="false">IF(B1382="","",IF(E1382="Em ajustes",IF(N1382=_xlfn.MINIFS($N$2:$N$5001,$B$2:$B$5001,B1382,$E$2:$E$5001,"Em ajustes"),1,0),0))</f>
        <v/>
      </c>
      <c r="N1382" s="17" t="str">
        <f aca="false">IF(A1382="","",IF(ISNUMBER(A1382),A1382,IFERROR(DATE(VALUE(MID(A1382,7,4)),VALUE(MID(A1382,4,2)),VALUE(MID(A1382,1,2)))+TIME(VALUE(MID(A1382,12,2)),VALUE(MID(A1382,15,2)),VALUE(MID(A1382,18,2))),"")))</f>
        <v/>
      </c>
    </row>
    <row r="1383" customFormat="false" ht="15" hidden="false" customHeight="false" outlineLevel="0" collapsed="false">
      <c r="I1383" s="15" t="str">
        <f aca="false">IF(N1383="","",INT(N1383))</f>
        <v/>
      </c>
      <c r="J1383" s="16" t="str">
        <f aca="false">IF(B1383="","",IF(N1383=_xlfn.MINIFS($N$2:$N$5001,$B$2:$B$5001,B1383),1,0))</f>
        <v/>
      </c>
      <c r="K1383" s="16" t="str">
        <f aca="false">IF(B1383="","",IF(AND(D1383="Formalização",E1383="Concluído"),IF(COUNTIFS($B$2:$B$5001,B1383,$E$2:$E$5001,"Em ajustes",$N$2:$N$5001,"&lt;"&amp;I1383)&gt;0,1,0),0))</f>
        <v/>
      </c>
      <c r="L1383" s="16" t="str">
        <f aca="false">IF(B1383="","",IF(N1383=_xlfn.MAXIFS($N$2:$N$5001,$B$2:$B$5001,B1383,$I$2:$I$5001,I1383),1,0))</f>
        <v/>
      </c>
      <c r="M1383" s="16" t="str">
        <f aca="false">IF(B1383="","",IF(E1383="Em ajustes",IF(N1383=_xlfn.MINIFS($N$2:$N$5001,$B$2:$B$5001,B1383,$E$2:$E$5001,"Em ajustes"),1,0),0))</f>
        <v/>
      </c>
      <c r="N1383" s="17" t="str">
        <f aca="false">IF(A1383="","",IF(ISNUMBER(A1383),A1383,IFERROR(DATE(VALUE(MID(A1383,7,4)),VALUE(MID(A1383,4,2)),VALUE(MID(A1383,1,2)))+TIME(VALUE(MID(A1383,12,2)),VALUE(MID(A1383,15,2)),VALUE(MID(A1383,18,2))),"")))</f>
        <v/>
      </c>
    </row>
    <row r="1384" customFormat="false" ht="15" hidden="false" customHeight="false" outlineLevel="0" collapsed="false">
      <c r="I1384" s="15" t="str">
        <f aca="false">IF(N1384="","",INT(N1384))</f>
        <v/>
      </c>
      <c r="J1384" s="16" t="str">
        <f aca="false">IF(B1384="","",IF(N1384=_xlfn.MINIFS($N$2:$N$5001,$B$2:$B$5001,B1384),1,0))</f>
        <v/>
      </c>
      <c r="K1384" s="16" t="str">
        <f aca="false">IF(B1384="","",IF(AND(D1384="Formalização",E1384="Concluído"),IF(COUNTIFS($B$2:$B$5001,B1384,$E$2:$E$5001,"Em ajustes",$N$2:$N$5001,"&lt;"&amp;I1384)&gt;0,1,0),0))</f>
        <v/>
      </c>
      <c r="L1384" s="16" t="str">
        <f aca="false">IF(B1384="","",IF(N1384=_xlfn.MAXIFS($N$2:$N$5001,$B$2:$B$5001,B1384,$I$2:$I$5001,I1384),1,0))</f>
        <v/>
      </c>
      <c r="M1384" s="16" t="str">
        <f aca="false">IF(B1384="","",IF(E1384="Em ajustes",IF(N1384=_xlfn.MINIFS($N$2:$N$5001,$B$2:$B$5001,B1384,$E$2:$E$5001,"Em ajustes"),1,0),0))</f>
        <v/>
      </c>
      <c r="N1384" s="17" t="str">
        <f aca="false">IF(A1384="","",IF(ISNUMBER(A1384),A1384,IFERROR(DATE(VALUE(MID(A1384,7,4)),VALUE(MID(A1384,4,2)),VALUE(MID(A1384,1,2)))+TIME(VALUE(MID(A1384,12,2)),VALUE(MID(A1384,15,2)),VALUE(MID(A1384,18,2))),"")))</f>
        <v/>
      </c>
    </row>
    <row r="1385" customFormat="false" ht="15" hidden="false" customHeight="false" outlineLevel="0" collapsed="false">
      <c r="I1385" s="15" t="str">
        <f aca="false">IF(N1385="","",INT(N1385))</f>
        <v/>
      </c>
      <c r="J1385" s="16" t="str">
        <f aca="false">IF(B1385="","",IF(N1385=_xlfn.MINIFS($N$2:$N$5001,$B$2:$B$5001,B1385),1,0))</f>
        <v/>
      </c>
      <c r="K1385" s="16" t="str">
        <f aca="false">IF(B1385="","",IF(AND(D1385="Formalização",E1385="Concluído"),IF(COUNTIFS($B$2:$B$5001,B1385,$E$2:$E$5001,"Em ajustes",$N$2:$N$5001,"&lt;"&amp;I1385)&gt;0,1,0),0))</f>
        <v/>
      </c>
      <c r="L1385" s="16" t="str">
        <f aca="false">IF(B1385="","",IF(N1385=_xlfn.MAXIFS($N$2:$N$5001,$B$2:$B$5001,B1385,$I$2:$I$5001,I1385),1,0))</f>
        <v/>
      </c>
      <c r="M1385" s="16" t="str">
        <f aca="false">IF(B1385="","",IF(E1385="Em ajustes",IF(N1385=_xlfn.MINIFS($N$2:$N$5001,$B$2:$B$5001,B1385,$E$2:$E$5001,"Em ajustes"),1,0),0))</f>
        <v/>
      </c>
      <c r="N1385" s="17" t="str">
        <f aca="false">IF(A1385="","",IF(ISNUMBER(A1385),A1385,IFERROR(DATE(VALUE(MID(A1385,7,4)),VALUE(MID(A1385,4,2)),VALUE(MID(A1385,1,2)))+TIME(VALUE(MID(A1385,12,2)),VALUE(MID(A1385,15,2)),VALUE(MID(A1385,18,2))),"")))</f>
        <v/>
      </c>
    </row>
    <row r="1386" customFormat="false" ht="15" hidden="false" customHeight="false" outlineLevel="0" collapsed="false">
      <c r="I1386" s="15" t="str">
        <f aca="false">IF(N1386="","",INT(N1386))</f>
        <v/>
      </c>
      <c r="J1386" s="16" t="str">
        <f aca="false">IF(B1386="","",IF(N1386=_xlfn.MINIFS($N$2:$N$5001,$B$2:$B$5001,B1386),1,0))</f>
        <v/>
      </c>
      <c r="K1386" s="16" t="str">
        <f aca="false">IF(B1386="","",IF(AND(D1386="Formalização",E1386="Concluído"),IF(COUNTIFS($B$2:$B$5001,B1386,$E$2:$E$5001,"Em ajustes",$N$2:$N$5001,"&lt;"&amp;I1386)&gt;0,1,0),0))</f>
        <v/>
      </c>
      <c r="L1386" s="16" t="str">
        <f aca="false">IF(B1386="","",IF(N1386=_xlfn.MAXIFS($N$2:$N$5001,$B$2:$B$5001,B1386,$I$2:$I$5001,I1386),1,0))</f>
        <v/>
      </c>
      <c r="M1386" s="16" t="str">
        <f aca="false">IF(B1386="","",IF(E1386="Em ajustes",IF(N1386=_xlfn.MINIFS($N$2:$N$5001,$B$2:$B$5001,B1386,$E$2:$E$5001,"Em ajustes"),1,0),0))</f>
        <v/>
      </c>
      <c r="N1386" s="17" t="str">
        <f aca="false">IF(A1386="","",IF(ISNUMBER(A1386),A1386,IFERROR(DATE(VALUE(MID(A1386,7,4)),VALUE(MID(A1386,4,2)),VALUE(MID(A1386,1,2)))+TIME(VALUE(MID(A1386,12,2)),VALUE(MID(A1386,15,2)),VALUE(MID(A1386,18,2))),"")))</f>
        <v/>
      </c>
    </row>
    <row r="1387" customFormat="false" ht="15" hidden="false" customHeight="false" outlineLevel="0" collapsed="false">
      <c r="I1387" s="15" t="str">
        <f aca="false">IF(N1387="","",INT(N1387))</f>
        <v/>
      </c>
      <c r="J1387" s="16" t="str">
        <f aca="false">IF(B1387="","",IF(N1387=_xlfn.MINIFS($N$2:$N$5001,$B$2:$B$5001,B1387),1,0))</f>
        <v/>
      </c>
      <c r="K1387" s="16" t="str">
        <f aca="false">IF(B1387="","",IF(AND(D1387="Formalização",E1387="Concluído"),IF(COUNTIFS($B$2:$B$5001,B1387,$E$2:$E$5001,"Em ajustes",$N$2:$N$5001,"&lt;"&amp;I1387)&gt;0,1,0),0))</f>
        <v/>
      </c>
      <c r="L1387" s="16" t="str">
        <f aca="false">IF(B1387="","",IF(N1387=_xlfn.MAXIFS($N$2:$N$5001,$B$2:$B$5001,B1387,$I$2:$I$5001,I1387),1,0))</f>
        <v/>
      </c>
      <c r="M1387" s="16" t="str">
        <f aca="false">IF(B1387="","",IF(E1387="Em ajustes",IF(N1387=_xlfn.MINIFS($N$2:$N$5001,$B$2:$B$5001,B1387,$E$2:$E$5001,"Em ajustes"),1,0),0))</f>
        <v/>
      </c>
      <c r="N1387" s="17" t="str">
        <f aca="false">IF(A1387="","",IF(ISNUMBER(A1387),A1387,IFERROR(DATE(VALUE(MID(A1387,7,4)),VALUE(MID(A1387,4,2)),VALUE(MID(A1387,1,2)))+TIME(VALUE(MID(A1387,12,2)),VALUE(MID(A1387,15,2)),VALUE(MID(A1387,18,2))),"")))</f>
        <v/>
      </c>
    </row>
    <row r="1388" customFormat="false" ht="15" hidden="false" customHeight="false" outlineLevel="0" collapsed="false">
      <c r="I1388" s="15" t="str">
        <f aca="false">IF(N1388="","",INT(N1388))</f>
        <v/>
      </c>
      <c r="J1388" s="16" t="str">
        <f aca="false">IF(B1388="","",IF(N1388=_xlfn.MINIFS($N$2:$N$5001,$B$2:$B$5001,B1388),1,0))</f>
        <v/>
      </c>
      <c r="K1388" s="16" t="str">
        <f aca="false">IF(B1388="","",IF(AND(D1388="Formalização",E1388="Concluído"),IF(COUNTIFS($B$2:$B$5001,B1388,$E$2:$E$5001,"Em ajustes",$N$2:$N$5001,"&lt;"&amp;I1388)&gt;0,1,0),0))</f>
        <v/>
      </c>
      <c r="L1388" s="16" t="str">
        <f aca="false">IF(B1388="","",IF(N1388=_xlfn.MAXIFS($N$2:$N$5001,$B$2:$B$5001,B1388,$I$2:$I$5001,I1388),1,0))</f>
        <v/>
      </c>
      <c r="M1388" s="16" t="str">
        <f aca="false">IF(B1388="","",IF(E1388="Em ajustes",IF(N1388=_xlfn.MINIFS($N$2:$N$5001,$B$2:$B$5001,B1388,$E$2:$E$5001,"Em ajustes"),1,0),0))</f>
        <v/>
      </c>
      <c r="N1388" s="17" t="str">
        <f aca="false">IF(A1388="","",IF(ISNUMBER(A1388),A1388,IFERROR(DATE(VALUE(MID(A1388,7,4)),VALUE(MID(A1388,4,2)),VALUE(MID(A1388,1,2)))+TIME(VALUE(MID(A1388,12,2)),VALUE(MID(A1388,15,2)),VALUE(MID(A1388,18,2))),"")))</f>
        <v/>
      </c>
    </row>
    <row r="1389" customFormat="false" ht="15" hidden="false" customHeight="false" outlineLevel="0" collapsed="false">
      <c r="I1389" s="15" t="str">
        <f aca="false">IF(N1389="","",INT(N1389))</f>
        <v/>
      </c>
      <c r="J1389" s="16" t="str">
        <f aca="false">IF(B1389="","",IF(N1389=_xlfn.MINIFS($N$2:$N$5001,$B$2:$B$5001,B1389),1,0))</f>
        <v/>
      </c>
      <c r="K1389" s="16" t="str">
        <f aca="false">IF(B1389="","",IF(AND(D1389="Formalização",E1389="Concluído"),IF(COUNTIFS($B$2:$B$5001,B1389,$E$2:$E$5001,"Em ajustes",$N$2:$N$5001,"&lt;"&amp;I1389)&gt;0,1,0),0))</f>
        <v/>
      </c>
      <c r="L1389" s="16" t="str">
        <f aca="false">IF(B1389="","",IF(N1389=_xlfn.MAXIFS($N$2:$N$5001,$B$2:$B$5001,B1389,$I$2:$I$5001,I1389),1,0))</f>
        <v/>
      </c>
      <c r="M1389" s="16" t="str">
        <f aca="false">IF(B1389="","",IF(E1389="Em ajustes",IF(N1389=_xlfn.MINIFS($N$2:$N$5001,$B$2:$B$5001,B1389,$E$2:$E$5001,"Em ajustes"),1,0),0))</f>
        <v/>
      </c>
      <c r="N1389" s="17" t="str">
        <f aca="false">IF(A1389="","",IF(ISNUMBER(A1389),A1389,IFERROR(DATE(VALUE(MID(A1389,7,4)),VALUE(MID(A1389,4,2)),VALUE(MID(A1389,1,2)))+TIME(VALUE(MID(A1389,12,2)),VALUE(MID(A1389,15,2)),VALUE(MID(A1389,18,2))),"")))</f>
        <v/>
      </c>
    </row>
    <row r="1390" customFormat="false" ht="15" hidden="false" customHeight="false" outlineLevel="0" collapsed="false">
      <c r="I1390" s="15" t="str">
        <f aca="false">IF(N1390="","",INT(N1390))</f>
        <v/>
      </c>
      <c r="J1390" s="16" t="str">
        <f aca="false">IF(B1390="","",IF(N1390=_xlfn.MINIFS($N$2:$N$5001,$B$2:$B$5001,B1390),1,0))</f>
        <v/>
      </c>
      <c r="K1390" s="16" t="str">
        <f aca="false">IF(B1390="","",IF(AND(D1390="Formalização",E1390="Concluído"),IF(COUNTIFS($B$2:$B$5001,B1390,$E$2:$E$5001,"Em ajustes",$N$2:$N$5001,"&lt;"&amp;I1390)&gt;0,1,0),0))</f>
        <v/>
      </c>
      <c r="L1390" s="16" t="str">
        <f aca="false">IF(B1390="","",IF(N1390=_xlfn.MAXIFS($N$2:$N$5001,$B$2:$B$5001,B1390,$I$2:$I$5001,I1390),1,0))</f>
        <v/>
      </c>
      <c r="M1390" s="16" t="str">
        <f aca="false">IF(B1390="","",IF(E1390="Em ajustes",IF(N1390=_xlfn.MINIFS($N$2:$N$5001,$B$2:$B$5001,B1390,$E$2:$E$5001,"Em ajustes"),1,0),0))</f>
        <v/>
      </c>
      <c r="N1390" s="17" t="str">
        <f aca="false">IF(A1390="","",IF(ISNUMBER(A1390),A1390,IFERROR(DATE(VALUE(MID(A1390,7,4)),VALUE(MID(A1390,4,2)),VALUE(MID(A1390,1,2)))+TIME(VALUE(MID(A1390,12,2)),VALUE(MID(A1390,15,2)),VALUE(MID(A1390,18,2))),"")))</f>
        <v/>
      </c>
    </row>
    <row r="1391" customFormat="false" ht="15" hidden="false" customHeight="false" outlineLevel="0" collapsed="false">
      <c r="I1391" s="15" t="str">
        <f aca="false">IF(N1391="","",INT(N1391))</f>
        <v/>
      </c>
      <c r="J1391" s="16" t="str">
        <f aca="false">IF(B1391="","",IF(N1391=_xlfn.MINIFS($N$2:$N$5001,$B$2:$B$5001,B1391),1,0))</f>
        <v/>
      </c>
      <c r="K1391" s="16" t="str">
        <f aca="false">IF(B1391="","",IF(AND(D1391="Formalização",E1391="Concluído"),IF(COUNTIFS($B$2:$B$5001,B1391,$E$2:$E$5001,"Em ajustes",$N$2:$N$5001,"&lt;"&amp;I1391)&gt;0,1,0),0))</f>
        <v/>
      </c>
      <c r="L1391" s="16" t="str">
        <f aca="false">IF(B1391="","",IF(N1391=_xlfn.MAXIFS($N$2:$N$5001,$B$2:$B$5001,B1391,$I$2:$I$5001,I1391),1,0))</f>
        <v/>
      </c>
      <c r="M1391" s="16" t="str">
        <f aca="false">IF(B1391="","",IF(E1391="Em ajustes",IF(N1391=_xlfn.MINIFS($N$2:$N$5001,$B$2:$B$5001,B1391,$E$2:$E$5001,"Em ajustes"),1,0),0))</f>
        <v/>
      </c>
      <c r="N1391" s="17" t="str">
        <f aca="false">IF(A1391="","",IF(ISNUMBER(A1391),A1391,IFERROR(DATE(VALUE(MID(A1391,7,4)),VALUE(MID(A1391,4,2)),VALUE(MID(A1391,1,2)))+TIME(VALUE(MID(A1391,12,2)),VALUE(MID(A1391,15,2)),VALUE(MID(A1391,18,2))),"")))</f>
        <v/>
      </c>
    </row>
    <row r="1392" customFormat="false" ht="15" hidden="false" customHeight="false" outlineLevel="0" collapsed="false">
      <c r="I1392" s="15" t="str">
        <f aca="false">IF(N1392="","",INT(N1392))</f>
        <v/>
      </c>
      <c r="J1392" s="16" t="str">
        <f aca="false">IF(B1392="","",IF(N1392=_xlfn.MINIFS($N$2:$N$5001,$B$2:$B$5001,B1392),1,0))</f>
        <v/>
      </c>
      <c r="K1392" s="16" t="str">
        <f aca="false">IF(B1392="","",IF(AND(D1392="Formalização",E1392="Concluído"),IF(COUNTIFS($B$2:$B$5001,B1392,$E$2:$E$5001,"Em ajustes",$N$2:$N$5001,"&lt;"&amp;I1392)&gt;0,1,0),0))</f>
        <v/>
      </c>
      <c r="L1392" s="16" t="str">
        <f aca="false">IF(B1392="","",IF(N1392=_xlfn.MAXIFS($N$2:$N$5001,$B$2:$B$5001,B1392,$I$2:$I$5001,I1392),1,0))</f>
        <v/>
      </c>
      <c r="M1392" s="16" t="str">
        <f aca="false">IF(B1392="","",IF(E1392="Em ajustes",IF(N1392=_xlfn.MINIFS($N$2:$N$5001,$B$2:$B$5001,B1392,$E$2:$E$5001,"Em ajustes"),1,0),0))</f>
        <v/>
      </c>
      <c r="N1392" s="17" t="str">
        <f aca="false">IF(A1392="","",IF(ISNUMBER(A1392),A1392,IFERROR(DATE(VALUE(MID(A1392,7,4)),VALUE(MID(A1392,4,2)),VALUE(MID(A1392,1,2)))+TIME(VALUE(MID(A1392,12,2)),VALUE(MID(A1392,15,2)),VALUE(MID(A1392,18,2))),"")))</f>
        <v/>
      </c>
    </row>
    <row r="1393" customFormat="false" ht="15" hidden="false" customHeight="false" outlineLevel="0" collapsed="false">
      <c r="I1393" s="15" t="str">
        <f aca="false">IF(N1393="","",INT(N1393))</f>
        <v/>
      </c>
      <c r="J1393" s="16" t="str">
        <f aca="false">IF(B1393="","",IF(N1393=_xlfn.MINIFS($N$2:$N$5001,$B$2:$B$5001,B1393),1,0))</f>
        <v/>
      </c>
      <c r="K1393" s="16" t="str">
        <f aca="false">IF(B1393="","",IF(AND(D1393="Formalização",E1393="Concluído"),IF(COUNTIFS($B$2:$B$5001,B1393,$E$2:$E$5001,"Em ajustes",$N$2:$N$5001,"&lt;"&amp;I1393)&gt;0,1,0),0))</f>
        <v/>
      </c>
      <c r="L1393" s="16" t="str">
        <f aca="false">IF(B1393="","",IF(N1393=_xlfn.MAXIFS($N$2:$N$5001,$B$2:$B$5001,B1393,$I$2:$I$5001,I1393),1,0))</f>
        <v/>
      </c>
      <c r="M1393" s="16" t="str">
        <f aca="false">IF(B1393="","",IF(E1393="Em ajustes",IF(N1393=_xlfn.MINIFS($N$2:$N$5001,$B$2:$B$5001,B1393,$E$2:$E$5001,"Em ajustes"),1,0),0))</f>
        <v/>
      </c>
      <c r="N1393" s="17" t="str">
        <f aca="false">IF(A1393="","",IF(ISNUMBER(A1393),A1393,IFERROR(DATE(VALUE(MID(A1393,7,4)),VALUE(MID(A1393,4,2)),VALUE(MID(A1393,1,2)))+TIME(VALUE(MID(A1393,12,2)),VALUE(MID(A1393,15,2)),VALUE(MID(A1393,18,2))),"")))</f>
        <v/>
      </c>
    </row>
    <row r="1394" customFormat="false" ht="15" hidden="false" customHeight="false" outlineLevel="0" collapsed="false">
      <c r="I1394" s="15" t="str">
        <f aca="false">IF(N1394="","",INT(N1394))</f>
        <v/>
      </c>
      <c r="J1394" s="16" t="str">
        <f aca="false">IF(B1394="","",IF(N1394=_xlfn.MINIFS($N$2:$N$5001,$B$2:$B$5001,B1394),1,0))</f>
        <v/>
      </c>
      <c r="K1394" s="16" t="str">
        <f aca="false">IF(B1394="","",IF(AND(D1394="Formalização",E1394="Concluído"),IF(COUNTIFS($B$2:$B$5001,B1394,$E$2:$E$5001,"Em ajustes",$N$2:$N$5001,"&lt;"&amp;I1394)&gt;0,1,0),0))</f>
        <v/>
      </c>
      <c r="L1394" s="16" t="str">
        <f aca="false">IF(B1394="","",IF(N1394=_xlfn.MAXIFS($N$2:$N$5001,$B$2:$B$5001,B1394,$I$2:$I$5001,I1394),1,0))</f>
        <v/>
      </c>
      <c r="M1394" s="16" t="str">
        <f aca="false">IF(B1394="","",IF(E1394="Em ajustes",IF(N1394=_xlfn.MINIFS($N$2:$N$5001,$B$2:$B$5001,B1394,$E$2:$E$5001,"Em ajustes"),1,0),0))</f>
        <v/>
      </c>
      <c r="N1394" s="17" t="str">
        <f aca="false">IF(A1394="","",IF(ISNUMBER(A1394),A1394,IFERROR(DATE(VALUE(MID(A1394,7,4)),VALUE(MID(A1394,4,2)),VALUE(MID(A1394,1,2)))+TIME(VALUE(MID(A1394,12,2)),VALUE(MID(A1394,15,2)),VALUE(MID(A1394,18,2))),"")))</f>
        <v/>
      </c>
    </row>
    <row r="1395" customFormat="false" ht="15" hidden="false" customHeight="false" outlineLevel="0" collapsed="false">
      <c r="I1395" s="15" t="str">
        <f aca="false">IF(N1395="","",INT(N1395))</f>
        <v/>
      </c>
      <c r="J1395" s="16" t="str">
        <f aca="false">IF(B1395="","",IF(N1395=_xlfn.MINIFS($N$2:$N$5001,$B$2:$B$5001,B1395),1,0))</f>
        <v/>
      </c>
      <c r="K1395" s="16" t="str">
        <f aca="false">IF(B1395="","",IF(AND(D1395="Formalização",E1395="Concluído"),IF(COUNTIFS($B$2:$B$5001,B1395,$E$2:$E$5001,"Em ajustes",$N$2:$N$5001,"&lt;"&amp;I1395)&gt;0,1,0),0))</f>
        <v/>
      </c>
      <c r="L1395" s="16" t="str">
        <f aca="false">IF(B1395="","",IF(N1395=_xlfn.MAXIFS($N$2:$N$5001,$B$2:$B$5001,B1395,$I$2:$I$5001,I1395),1,0))</f>
        <v/>
      </c>
      <c r="M1395" s="16" t="str">
        <f aca="false">IF(B1395="","",IF(E1395="Em ajustes",IF(N1395=_xlfn.MINIFS($N$2:$N$5001,$B$2:$B$5001,B1395,$E$2:$E$5001,"Em ajustes"),1,0),0))</f>
        <v/>
      </c>
      <c r="N1395" s="17" t="str">
        <f aca="false">IF(A1395="","",IF(ISNUMBER(A1395),A1395,IFERROR(DATE(VALUE(MID(A1395,7,4)),VALUE(MID(A1395,4,2)),VALUE(MID(A1395,1,2)))+TIME(VALUE(MID(A1395,12,2)),VALUE(MID(A1395,15,2)),VALUE(MID(A1395,18,2))),"")))</f>
        <v/>
      </c>
    </row>
    <row r="1396" customFormat="false" ht="15" hidden="false" customHeight="false" outlineLevel="0" collapsed="false">
      <c r="I1396" s="15" t="str">
        <f aca="false">IF(N1396="","",INT(N1396))</f>
        <v/>
      </c>
      <c r="J1396" s="16" t="str">
        <f aca="false">IF(B1396="","",IF(N1396=_xlfn.MINIFS($N$2:$N$5001,$B$2:$B$5001,B1396),1,0))</f>
        <v/>
      </c>
      <c r="K1396" s="16" t="str">
        <f aca="false">IF(B1396="","",IF(AND(D1396="Formalização",E1396="Concluído"),IF(COUNTIFS($B$2:$B$5001,B1396,$E$2:$E$5001,"Em ajustes",$N$2:$N$5001,"&lt;"&amp;I1396)&gt;0,1,0),0))</f>
        <v/>
      </c>
      <c r="L1396" s="16" t="str">
        <f aca="false">IF(B1396="","",IF(N1396=_xlfn.MAXIFS($N$2:$N$5001,$B$2:$B$5001,B1396,$I$2:$I$5001,I1396),1,0))</f>
        <v/>
      </c>
      <c r="M1396" s="16" t="str">
        <f aca="false">IF(B1396="","",IF(E1396="Em ajustes",IF(N1396=_xlfn.MINIFS($N$2:$N$5001,$B$2:$B$5001,B1396,$E$2:$E$5001,"Em ajustes"),1,0),0))</f>
        <v/>
      </c>
      <c r="N1396" s="17" t="str">
        <f aca="false">IF(A1396="","",IF(ISNUMBER(A1396),A1396,IFERROR(DATE(VALUE(MID(A1396,7,4)),VALUE(MID(A1396,4,2)),VALUE(MID(A1396,1,2)))+TIME(VALUE(MID(A1396,12,2)),VALUE(MID(A1396,15,2)),VALUE(MID(A1396,18,2))),"")))</f>
        <v/>
      </c>
    </row>
    <row r="1397" customFormat="false" ht="15" hidden="false" customHeight="false" outlineLevel="0" collapsed="false">
      <c r="I1397" s="15" t="str">
        <f aca="false">IF(N1397="","",INT(N1397))</f>
        <v/>
      </c>
      <c r="J1397" s="16" t="str">
        <f aca="false">IF(B1397="","",IF(N1397=_xlfn.MINIFS($N$2:$N$5001,$B$2:$B$5001,B1397),1,0))</f>
        <v/>
      </c>
      <c r="K1397" s="16" t="str">
        <f aca="false">IF(B1397="","",IF(AND(D1397="Formalização",E1397="Concluído"),IF(COUNTIFS($B$2:$B$5001,B1397,$E$2:$E$5001,"Em ajustes",$N$2:$N$5001,"&lt;"&amp;I1397)&gt;0,1,0),0))</f>
        <v/>
      </c>
      <c r="L1397" s="16" t="str">
        <f aca="false">IF(B1397="","",IF(N1397=_xlfn.MAXIFS($N$2:$N$5001,$B$2:$B$5001,B1397,$I$2:$I$5001,I1397),1,0))</f>
        <v/>
      </c>
      <c r="M1397" s="16" t="str">
        <f aca="false">IF(B1397="","",IF(E1397="Em ajustes",IF(N1397=_xlfn.MINIFS($N$2:$N$5001,$B$2:$B$5001,B1397,$E$2:$E$5001,"Em ajustes"),1,0),0))</f>
        <v/>
      </c>
      <c r="N1397" s="17" t="str">
        <f aca="false">IF(A1397="","",IF(ISNUMBER(A1397),A1397,IFERROR(DATE(VALUE(MID(A1397,7,4)),VALUE(MID(A1397,4,2)),VALUE(MID(A1397,1,2)))+TIME(VALUE(MID(A1397,12,2)),VALUE(MID(A1397,15,2)),VALUE(MID(A1397,18,2))),"")))</f>
        <v/>
      </c>
    </row>
    <row r="1398" customFormat="false" ht="15" hidden="false" customHeight="false" outlineLevel="0" collapsed="false">
      <c r="I1398" s="15" t="str">
        <f aca="false">IF(N1398="","",INT(N1398))</f>
        <v/>
      </c>
      <c r="J1398" s="16" t="str">
        <f aca="false">IF(B1398="","",IF(N1398=_xlfn.MINIFS($N$2:$N$5001,$B$2:$B$5001,B1398),1,0))</f>
        <v/>
      </c>
      <c r="K1398" s="16" t="str">
        <f aca="false">IF(B1398="","",IF(AND(D1398="Formalização",E1398="Concluído"),IF(COUNTIFS($B$2:$B$5001,B1398,$E$2:$E$5001,"Em ajustes",$N$2:$N$5001,"&lt;"&amp;I1398)&gt;0,1,0),0))</f>
        <v/>
      </c>
      <c r="L1398" s="16" t="str">
        <f aca="false">IF(B1398="","",IF(N1398=_xlfn.MAXIFS($N$2:$N$5001,$B$2:$B$5001,B1398,$I$2:$I$5001,I1398),1,0))</f>
        <v/>
      </c>
      <c r="M1398" s="16" t="str">
        <f aca="false">IF(B1398="","",IF(E1398="Em ajustes",IF(N1398=_xlfn.MINIFS($N$2:$N$5001,$B$2:$B$5001,B1398,$E$2:$E$5001,"Em ajustes"),1,0),0))</f>
        <v/>
      </c>
      <c r="N1398" s="17" t="str">
        <f aca="false">IF(A1398="","",IF(ISNUMBER(A1398),A1398,IFERROR(DATE(VALUE(MID(A1398,7,4)),VALUE(MID(A1398,4,2)),VALUE(MID(A1398,1,2)))+TIME(VALUE(MID(A1398,12,2)),VALUE(MID(A1398,15,2)),VALUE(MID(A1398,18,2))),"")))</f>
        <v/>
      </c>
    </row>
    <row r="1399" customFormat="false" ht="15" hidden="false" customHeight="false" outlineLevel="0" collapsed="false">
      <c r="I1399" s="15" t="str">
        <f aca="false">IF(N1399="","",INT(N1399))</f>
        <v/>
      </c>
      <c r="J1399" s="16" t="str">
        <f aca="false">IF(B1399="","",IF(N1399=_xlfn.MINIFS($N$2:$N$5001,$B$2:$B$5001,B1399),1,0))</f>
        <v/>
      </c>
      <c r="K1399" s="16" t="str">
        <f aca="false">IF(B1399="","",IF(AND(D1399="Formalização",E1399="Concluído"),IF(COUNTIFS($B$2:$B$5001,B1399,$E$2:$E$5001,"Em ajustes",$N$2:$N$5001,"&lt;"&amp;I1399)&gt;0,1,0),0))</f>
        <v/>
      </c>
      <c r="L1399" s="16" t="str">
        <f aca="false">IF(B1399="","",IF(N1399=_xlfn.MAXIFS($N$2:$N$5001,$B$2:$B$5001,B1399,$I$2:$I$5001,I1399),1,0))</f>
        <v/>
      </c>
      <c r="M1399" s="16" t="str">
        <f aca="false">IF(B1399="","",IF(E1399="Em ajustes",IF(N1399=_xlfn.MINIFS($N$2:$N$5001,$B$2:$B$5001,B1399,$E$2:$E$5001,"Em ajustes"),1,0),0))</f>
        <v/>
      </c>
      <c r="N1399" s="17" t="str">
        <f aca="false">IF(A1399="","",IF(ISNUMBER(A1399),A1399,IFERROR(DATE(VALUE(MID(A1399,7,4)),VALUE(MID(A1399,4,2)),VALUE(MID(A1399,1,2)))+TIME(VALUE(MID(A1399,12,2)),VALUE(MID(A1399,15,2)),VALUE(MID(A1399,18,2))),"")))</f>
        <v/>
      </c>
    </row>
    <row r="1400" customFormat="false" ht="15" hidden="false" customHeight="false" outlineLevel="0" collapsed="false">
      <c r="I1400" s="15" t="str">
        <f aca="false">IF(N1400="","",INT(N1400))</f>
        <v/>
      </c>
      <c r="J1400" s="16" t="str">
        <f aca="false">IF(B1400="","",IF(N1400=_xlfn.MINIFS($N$2:$N$5001,$B$2:$B$5001,B1400),1,0))</f>
        <v/>
      </c>
      <c r="K1400" s="16" t="str">
        <f aca="false">IF(B1400="","",IF(AND(D1400="Formalização",E1400="Concluído"),IF(COUNTIFS($B$2:$B$5001,B1400,$E$2:$E$5001,"Em ajustes",$N$2:$N$5001,"&lt;"&amp;I1400)&gt;0,1,0),0))</f>
        <v/>
      </c>
      <c r="L1400" s="16" t="str">
        <f aca="false">IF(B1400="","",IF(N1400=_xlfn.MAXIFS($N$2:$N$5001,$B$2:$B$5001,B1400,$I$2:$I$5001,I1400),1,0))</f>
        <v/>
      </c>
      <c r="M1400" s="16" t="str">
        <f aca="false">IF(B1400="","",IF(E1400="Em ajustes",IF(N1400=_xlfn.MINIFS($N$2:$N$5001,$B$2:$B$5001,B1400,$E$2:$E$5001,"Em ajustes"),1,0),0))</f>
        <v/>
      </c>
      <c r="N1400" s="17" t="str">
        <f aca="false">IF(A1400="","",IF(ISNUMBER(A1400),A1400,IFERROR(DATE(VALUE(MID(A1400,7,4)),VALUE(MID(A1400,4,2)),VALUE(MID(A1400,1,2)))+TIME(VALUE(MID(A1400,12,2)),VALUE(MID(A1400,15,2)),VALUE(MID(A1400,18,2))),"")))</f>
        <v/>
      </c>
    </row>
    <row r="1401" customFormat="false" ht="15" hidden="false" customHeight="false" outlineLevel="0" collapsed="false">
      <c r="I1401" s="15" t="str">
        <f aca="false">IF(N1401="","",INT(N1401))</f>
        <v/>
      </c>
      <c r="J1401" s="16" t="str">
        <f aca="false">IF(B1401="","",IF(N1401=_xlfn.MINIFS($N$2:$N$5001,$B$2:$B$5001,B1401),1,0))</f>
        <v/>
      </c>
      <c r="K1401" s="16" t="str">
        <f aca="false">IF(B1401="","",IF(AND(D1401="Formalização",E1401="Concluído"),IF(COUNTIFS($B$2:$B$5001,B1401,$E$2:$E$5001,"Em ajustes",$N$2:$N$5001,"&lt;"&amp;I1401)&gt;0,1,0),0))</f>
        <v/>
      </c>
      <c r="L1401" s="16" t="str">
        <f aca="false">IF(B1401="","",IF(N1401=_xlfn.MAXIFS($N$2:$N$5001,$B$2:$B$5001,B1401,$I$2:$I$5001,I1401),1,0))</f>
        <v/>
      </c>
      <c r="M1401" s="16" t="str">
        <f aca="false">IF(B1401="","",IF(E1401="Em ajustes",IF(N1401=_xlfn.MINIFS($N$2:$N$5001,$B$2:$B$5001,B1401,$E$2:$E$5001,"Em ajustes"),1,0),0))</f>
        <v/>
      </c>
      <c r="N1401" s="17" t="str">
        <f aca="false">IF(A1401="","",IF(ISNUMBER(A1401),A1401,IFERROR(DATE(VALUE(MID(A1401,7,4)),VALUE(MID(A1401,4,2)),VALUE(MID(A1401,1,2)))+TIME(VALUE(MID(A1401,12,2)),VALUE(MID(A1401,15,2)),VALUE(MID(A1401,18,2))),"")))</f>
        <v/>
      </c>
    </row>
    <row r="1402" customFormat="false" ht="15" hidden="false" customHeight="false" outlineLevel="0" collapsed="false">
      <c r="I1402" s="15" t="str">
        <f aca="false">IF(N1402="","",INT(N1402))</f>
        <v/>
      </c>
      <c r="J1402" s="16" t="str">
        <f aca="false">IF(B1402="","",IF(N1402=_xlfn.MINIFS($N$2:$N$5001,$B$2:$B$5001,B1402),1,0))</f>
        <v/>
      </c>
      <c r="K1402" s="16" t="str">
        <f aca="false">IF(B1402="","",IF(AND(D1402="Formalização",E1402="Concluído"),IF(COUNTIFS($B$2:$B$5001,B1402,$E$2:$E$5001,"Em ajustes",$N$2:$N$5001,"&lt;"&amp;I1402)&gt;0,1,0),0))</f>
        <v/>
      </c>
      <c r="L1402" s="16" t="str">
        <f aca="false">IF(B1402="","",IF(N1402=_xlfn.MAXIFS($N$2:$N$5001,$B$2:$B$5001,B1402,$I$2:$I$5001,I1402),1,0))</f>
        <v/>
      </c>
      <c r="M1402" s="16" t="str">
        <f aca="false">IF(B1402="","",IF(E1402="Em ajustes",IF(N1402=_xlfn.MINIFS($N$2:$N$5001,$B$2:$B$5001,B1402,$E$2:$E$5001,"Em ajustes"),1,0),0))</f>
        <v/>
      </c>
      <c r="N1402" s="17" t="str">
        <f aca="false">IF(A1402="","",IF(ISNUMBER(A1402),A1402,IFERROR(DATE(VALUE(MID(A1402,7,4)),VALUE(MID(A1402,4,2)),VALUE(MID(A1402,1,2)))+TIME(VALUE(MID(A1402,12,2)),VALUE(MID(A1402,15,2)),VALUE(MID(A1402,18,2))),"")))</f>
        <v/>
      </c>
    </row>
    <row r="1403" customFormat="false" ht="15" hidden="false" customHeight="false" outlineLevel="0" collapsed="false">
      <c r="I1403" s="15" t="str">
        <f aca="false">IF(N1403="","",INT(N1403))</f>
        <v/>
      </c>
      <c r="J1403" s="16" t="str">
        <f aca="false">IF(B1403="","",IF(N1403=_xlfn.MINIFS($N$2:$N$5001,$B$2:$B$5001,B1403),1,0))</f>
        <v/>
      </c>
      <c r="K1403" s="16" t="str">
        <f aca="false">IF(B1403="","",IF(AND(D1403="Formalização",E1403="Concluído"),IF(COUNTIFS($B$2:$B$5001,B1403,$E$2:$E$5001,"Em ajustes",$N$2:$N$5001,"&lt;"&amp;I1403)&gt;0,1,0),0))</f>
        <v/>
      </c>
      <c r="L1403" s="16" t="str">
        <f aca="false">IF(B1403="","",IF(N1403=_xlfn.MAXIFS($N$2:$N$5001,$B$2:$B$5001,B1403,$I$2:$I$5001,I1403),1,0))</f>
        <v/>
      </c>
      <c r="M1403" s="16" t="str">
        <f aca="false">IF(B1403="","",IF(E1403="Em ajustes",IF(N1403=_xlfn.MINIFS($N$2:$N$5001,$B$2:$B$5001,B1403,$E$2:$E$5001,"Em ajustes"),1,0),0))</f>
        <v/>
      </c>
      <c r="N1403" s="17" t="str">
        <f aca="false">IF(A1403="","",IF(ISNUMBER(A1403),A1403,IFERROR(DATE(VALUE(MID(A1403,7,4)),VALUE(MID(A1403,4,2)),VALUE(MID(A1403,1,2)))+TIME(VALUE(MID(A1403,12,2)),VALUE(MID(A1403,15,2)),VALUE(MID(A1403,18,2))),"")))</f>
        <v/>
      </c>
    </row>
    <row r="1404" customFormat="false" ht="15" hidden="false" customHeight="false" outlineLevel="0" collapsed="false">
      <c r="I1404" s="15" t="str">
        <f aca="false">IF(N1404="","",INT(N1404))</f>
        <v/>
      </c>
      <c r="J1404" s="16" t="str">
        <f aca="false">IF(B1404="","",IF(N1404=_xlfn.MINIFS($N$2:$N$5001,$B$2:$B$5001,B1404),1,0))</f>
        <v/>
      </c>
      <c r="K1404" s="16" t="str">
        <f aca="false">IF(B1404="","",IF(AND(D1404="Formalização",E1404="Concluído"),IF(COUNTIFS($B$2:$B$5001,B1404,$E$2:$E$5001,"Em ajustes",$N$2:$N$5001,"&lt;"&amp;I1404)&gt;0,1,0),0))</f>
        <v/>
      </c>
      <c r="L1404" s="16" t="str">
        <f aca="false">IF(B1404="","",IF(N1404=_xlfn.MAXIFS($N$2:$N$5001,$B$2:$B$5001,B1404,$I$2:$I$5001,I1404),1,0))</f>
        <v/>
      </c>
      <c r="M1404" s="16" t="str">
        <f aca="false">IF(B1404="","",IF(E1404="Em ajustes",IF(N1404=_xlfn.MINIFS($N$2:$N$5001,$B$2:$B$5001,B1404,$E$2:$E$5001,"Em ajustes"),1,0),0))</f>
        <v/>
      </c>
      <c r="N1404" s="17" t="str">
        <f aca="false">IF(A1404="","",IF(ISNUMBER(A1404),A1404,IFERROR(DATE(VALUE(MID(A1404,7,4)),VALUE(MID(A1404,4,2)),VALUE(MID(A1404,1,2)))+TIME(VALUE(MID(A1404,12,2)),VALUE(MID(A1404,15,2)),VALUE(MID(A1404,18,2))),"")))</f>
        <v/>
      </c>
    </row>
    <row r="1405" customFormat="false" ht="15" hidden="false" customHeight="false" outlineLevel="0" collapsed="false">
      <c r="I1405" s="15" t="str">
        <f aca="false">IF(N1405="","",INT(N1405))</f>
        <v/>
      </c>
      <c r="J1405" s="16" t="str">
        <f aca="false">IF(B1405="","",IF(N1405=_xlfn.MINIFS($N$2:$N$5001,$B$2:$B$5001,B1405),1,0))</f>
        <v/>
      </c>
      <c r="K1405" s="16" t="str">
        <f aca="false">IF(B1405="","",IF(AND(D1405="Formalização",E1405="Concluído"),IF(COUNTIFS($B$2:$B$5001,B1405,$E$2:$E$5001,"Em ajustes",$N$2:$N$5001,"&lt;"&amp;I1405)&gt;0,1,0),0))</f>
        <v/>
      </c>
      <c r="L1405" s="16" t="str">
        <f aca="false">IF(B1405="","",IF(N1405=_xlfn.MAXIFS($N$2:$N$5001,$B$2:$B$5001,B1405,$I$2:$I$5001,I1405),1,0))</f>
        <v/>
      </c>
      <c r="M1405" s="16" t="str">
        <f aca="false">IF(B1405="","",IF(E1405="Em ajustes",IF(N1405=_xlfn.MINIFS($N$2:$N$5001,$B$2:$B$5001,B1405,$E$2:$E$5001,"Em ajustes"),1,0),0))</f>
        <v/>
      </c>
      <c r="N1405" s="17" t="str">
        <f aca="false">IF(A1405="","",IF(ISNUMBER(A1405),A1405,IFERROR(DATE(VALUE(MID(A1405,7,4)),VALUE(MID(A1405,4,2)),VALUE(MID(A1405,1,2)))+TIME(VALUE(MID(A1405,12,2)),VALUE(MID(A1405,15,2)),VALUE(MID(A1405,18,2))),"")))</f>
        <v/>
      </c>
    </row>
    <row r="1406" customFormat="false" ht="15" hidden="false" customHeight="false" outlineLevel="0" collapsed="false">
      <c r="I1406" s="15" t="str">
        <f aca="false">IF(N1406="","",INT(N1406))</f>
        <v/>
      </c>
      <c r="J1406" s="16" t="str">
        <f aca="false">IF(B1406="","",IF(N1406=_xlfn.MINIFS($N$2:$N$5001,$B$2:$B$5001,B1406),1,0))</f>
        <v/>
      </c>
      <c r="K1406" s="16" t="str">
        <f aca="false">IF(B1406="","",IF(AND(D1406="Formalização",E1406="Concluído"),IF(COUNTIFS($B$2:$B$5001,B1406,$E$2:$E$5001,"Em ajustes",$N$2:$N$5001,"&lt;"&amp;I1406)&gt;0,1,0),0))</f>
        <v/>
      </c>
      <c r="L1406" s="16" t="str">
        <f aca="false">IF(B1406="","",IF(N1406=_xlfn.MAXIFS($N$2:$N$5001,$B$2:$B$5001,B1406,$I$2:$I$5001,I1406),1,0))</f>
        <v/>
      </c>
      <c r="M1406" s="16" t="str">
        <f aca="false">IF(B1406="","",IF(E1406="Em ajustes",IF(N1406=_xlfn.MINIFS($N$2:$N$5001,$B$2:$B$5001,B1406,$E$2:$E$5001,"Em ajustes"),1,0),0))</f>
        <v/>
      </c>
      <c r="N1406" s="17" t="str">
        <f aca="false">IF(A1406="","",IF(ISNUMBER(A1406),A1406,IFERROR(DATE(VALUE(MID(A1406,7,4)),VALUE(MID(A1406,4,2)),VALUE(MID(A1406,1,2)))+TIME(VALUE(MID(A1406,12,2)),VALUE(MID(A1406,15,2)),VALUE(MID(A1406,18,2))),"")))</f>
        <v/>
      </c>
    </row>
    <row r="1407" customFormat="false" ht="15" hidden="false" customHeight="false" outlineLevel="0" collapsed="false">
      <c r="I1407" s="15" t="str">
        <f aca="false">IF(N1407="","",INT(N1407))</f>
        <v/>
      </c>
      <c r="J1407" s="16" t="str">
        <f aca="false">IF(B1407="","",IF(N1407=_xlfn.MINIFS($N$2:$N$5001,$B$2:$B$5001,B1407),1,0))</f>
        <v/>
      </c>
      <c r="K1407" s="16" t="str">
        <f aca="false">IF(B1407="","",IF(AND(D1407="Formalização",E1407="Concluído"),IF(COUNTIFS($B$2:$B$5001,B1407,$E$2:$E$5001,"Em ajustes",$N$2:$N$5001,"&lt;"&amp;I1407)&gt;0,1,0),0))</f>
        <v/>
      </c>
      <c r="L1407" s="16" t="str">
        <f aca="false">IF(B1407="","",IF(N1407=_xlfn.MAXIFS($N$2:$N$5001,$B$2:$B$5001,B1407,$I$2:$I$5001,I1407),1,0))</f>
        <v/>
      </c>
      <c r="M1407" s="16" t="str">
        <f aca="false">IF(B1407="","",IF(E1407="Em ajustes",IF(N1407=_xlfn.MINIFS($N$2:$N$5001,$B$2:$B$5001,B1407,$E$2:$E$5001,"Em ajustes"),1,0),0))</f>
        <v/>
      </c>
      <c r="N1407" s="17" t="str">
        <f aca="false">IF(A1407="","",IF(ISNUMBER(A1407),A1407,IFERROR(DATE(VALUE(MID(A1407,7,4)),VALUE(MID(A1407,4,2)),VALUE(MID(A1407,1,2)))+TIME(VALUE(MID(A1407,12,2)),VALUE(MID(A1407,15,2)),VALUE(MID(A1407,18,2))),"")))</f>
        <v/>
      </c>
    </row>
    <row r="1408" customFormat="false" ht="15" hidden="false" customHeight="false" outlineLevel="0" collapsed="false">
      <c r="I1408" s="15" t="str">
        <f aca="false">IF(N1408="","",INT(N1408))</f>
        <v/>
      </c>
      <c r="J1408" s="16" t="str">
        <f aca="false">IF(B1408="","",IF(N1408=_xlfn.MINIFS($N$2:$N$5001,$B$2:$B$5001,B1408),1,0))</f>
        <v/>
      </c>
      <c r="K1408" s="16" t="str">
        <f aca="false">IF(B1408="","",IF(AND(D1408="Formalização",E1408="Concluído"),IF(COUNTIFS($B$2:$B$5001,B1408,$E$2:$E$5001,"Em ajustes",$N$2:$N$5001,"&lt;"&amp;I1408)&gt;0,1,0),0))</f>
        <v/>
      </c>
      <c r="L1408" s="16" t="str">
        <f aca="false">IF(B1408="","",IF(N1408=_xlfn.MAXIFS($N$2:$N$5001,$B$2:$B$5001,B1408,$I$2:$I$5001,I1408),1,0))</f>
        <v/>
      </c>
      <c r="M1408" s="16" t="str">
        <f aca="false">IF(B1408="","",IF(E1408="Em ajustes",IF(N1408=_xlfn.MINIFS($N$2:$N$5001,$B$2:$B$5001,B1408,$E$2:$E$5001,"Em ajustes"),1,0),0))</f>
        <v/>
      </c>
      <c r="N1408" s="17" t="str">
        <f aca="false">IF(A1408="","",IF(ISNUMBER(A1408),A1408,IFERROR(DATE(VALUE(MID(A1408,7,4)),VALUE(MID(A1408,4,2)),VALUE(MID(A1408,1,2)))+TIME(VALUE(MID(A1408,12,2)),VALUE(MID(A1408,15,2)),VALUE(MID(A1408,18,2))),"")))</f>
        <v/>
      </c>
    </row>
    <row r="1409" customFormat="false" ht="15" hidden="false" customHeight="false" outlineLevel="0" collapsed="false">
      <c r="I1409" s="15" t="str">
        <f aca="false">IF(N1409="","",INT(N1409))</f>
        <v/>
      </c>
      <c r="J1409" s="16" t="str">
        <f aca="false">IF(B1409="","",IF(N1409=_xlfn.MINIFS($N$2:$N$5001,$B$2:$B$5001,B1409),1,0))</f>
        <v/>
      </c>
      <c r="K1409" s="16" t="str">
        <f aca="false">IF(B1409="","",IF(AND(D1409="Formalização",E1409="Concluído"),IF(COUNTIFS($B$2:$B$5001,B1409,$E$2:$E$5001,"Em ajustes",$N$2:$N$5001,"&lt;"&amp;I1409)&gt;0,1,0),0))</f>
        <v/>
      </c>
      <c r="L1409" s="16" t="str">
        <f aca="false">IF(B1409="","",IF(N1409=_xlfn.MAXIFS($N$2:$N$5001,$B$2:$B$5001,B1409,$I$2:$I$5001,I1409),1,0))</f>
        <v/>
      </c>
      <c r="M1409" s="16" t="str">
        <f aca="false">IF(B1409="","",IF(E1409="Em ajustes",IF(N1409=_xlfn.MINIFS($N$2:$N$5001,$B$2:$B$5001,B1409,$E$2:$E$5001,"Em ajustes"),1,0),0))</f>
        <v/>
      </c>
      <c r="N1409" s="17" t="str">
        <f aca="false">IF(A1409="","",IF(ISNUMBER(A1409),A1409,IFERROR(DATE(VALUE(MID(A1409,7,4)),VALUE(MID(A1409,4,2)),VALUE(MID(A1409,1,2)))+TIME(VALUE(MID(A1409,12,2)),VALUE(MID(A1409,15,2)),VALUE(MID(A1409,18,2))),"")))</f>
        <v/>
      </c>
    </row>
    <row r="1410" customFormat="false" ht="15" hidden="false" customHeight="false" outlineLevel="0" collapsed="false">
      <c r="I1410" s="15" t="str">
        <f aca="false">IF(N1410="","",INT(N1410))</f>
        <v/>
      </c>
      <c r="J1410" s="16" t="str">
        <f aca="false">IF(B1410="","",IF(N1410=_xlfn.MINIFS($N$2:$N$5001,$B$2:$B$5001,B1410),1,0))</f>
        <v/>
      </c>
      <c r="K1410" s="16" t="str">
        <f aca="false">IF(B1410="","",IF(AND(D1410="Formalização",E1410="Concluído"),IF(COUNTIFS($B$2:$B$5001,B1410,$E$2:$E$5001,"Em ajustes",$N$2:$N$5001,"&lt;"&amp;I1410)&gt;0,1,0),0))</f>
        <v/>
      </c>
      <c r="L1410" s="16" t="str">
        <f aca="false">IF(B1410="","",IF(N1410=_xlfn.MAXIFS($N$2:$N$5001,$B$2:$B$5001,B1410,$I$2:$I$5001,I1410),1,0))</f>
        <v/>
      </c>
      <c r="M1410" s="16" t="str">
        <f aca="false">IF(B1410="","",IF(E1410="Em ajustes",IF(N1410=_xlfn.MINIFS($N$2:$N$5001,$B$2:$B$5001,B1410,$E$2:$E$5001,"Em ajustes"),1,0),0))</f>
        <v/>
      </c>
      <c r="N1410" s="17" t="str">
        <f aca="false">IF(A1410="","",IF(ISNUMBER(A1410),A1410,IFERROR(DATE(VALUE(MID(A1410,7,4)),VALUE(MID(A1410,4,2)),VALUE(MID(A1410,1,2)))+TIME(VALUE(MID(A1410,12,2)),VALUE(MID(A1410,15,2)),VALUE(MID(A1410,18,2))),"")))</f>
        <v/>
      </c>
    </row>
    <row r="1411" customFormat="false" ht="15" hidden="false" customHeight="false" outlineLevel="0" collapsed="false">
      <c r="I1411" s="15" t="str">
        <f aca="false">IF(N1411="","",INT(N1411))</f>
        <v/>
      </c>
      <c r="J1411" s="16" t="str">
        <f aca="false">IF(B1411="","",IF(N1411=_xlfn.MINIFS($N$2:$N$5001,$B$2:$B$5001,B1411),1,0))</f>
        <v/>
      </c>
      <c r="K1411" s="16" t="str">
        <f aca="false">IF(B1411="","",IF(AND(D1411="Formalização",E1411="Concluído"),IF(COUNTIFS($B$2:$B$5001,B1411,$E$2:$E$5001,"Em ajustes",$N$2:$N$5001,"&lt;"&amp;I1411)&gt;0,1,0),0))</f>
        <v/>
      </c>
      <c r="L1411" s="16" t="str">
        <f aca="false">IF(B1411="","",IF(N1411=_xlfn.MAXIFS($N$2:$N$5001,$B$2:$B$5001,B1411,$I$2:$I$5001,I1411),1,0))</f>
        <v/>
      </c>
      <c r="M1411" s="16" t="str">
        <f aca="false">IF(B1411="","",IF(E1411="Em ajustes",IF(N1411=_xlfn.MINIFS($N$2:$N$5001,$B$2:$B$5001,B1411,$E$2:$E$5001,"Em ajustes"),1,0),0))</f>
        <v/>
      </c>
      <c r="N1411" s="17" t="str">
        <f aca="false">IF(A1411="","",IF(ISNUMBER(A1411),A1411,IFERROR(DATE(VALUE(MID(A1411,7,4)),VALUE(MID(A1411,4,2)),VALUE(MID(A1411,1,2)))+TIME(VALUE(MID(A1411,12,2)),VALUE(MID(A1411,15,2)),VALUE(MID(A1411,18,2))),"")))</f>
        <v/>
      </c>
    </row>
    <row r="1412" customFormat="false" ht="15" hidden="false" customHeight="false" outlineLevel="0" collapsed="false">
      <c r="I1412" s="15" t="str">
        <f aca="false">IF(N1412="","",INT(N1412))</f>
        <v/>
      </c>
      <c r="J1412" s="16" t="str">
        <f aca="false">IF(B1412="","",IF(N1412=_xlfn.MINIFS($N$2:$N$5001,$B$2:$B$5001,B1412),1,0))</f>
        <v/>
      </c>
      <c r="K1412" s="16" t="str">
        <f aca="false">IF(B1412="","",IF(AND(D1412="Formalização",E1412="Concluído"),IF(COUNTIFS($B$2:$B$5001,B1412,$E$2:$E$5001,"Em ajustes",$N$2:$N$5001,"&lt;"&amp;I1412)&gt;0,1,0),0))</f>
        <v/>
      </c>
      <c r="L1412" s="16" t="str">
        <f aca="false">IF(B1412="","",IF(N1412=_xlfn.MAXIFS($N$2:$N$5001,$B$2:$B$5001,B1412,$I$2:$I$5001,I1412),1,0))</f>
        <v/>
      </c>
      <c r="M1412" s="16" t="str">
        <f aca="false">IF(B1412="","",IF(E1412="Em ajustes",IF(N1412=_xlfn.MINIFS($N$2:$N$5001,$B$2:$B$5001,B1412,$E$2:$E$5001,"Em ajustes"),1,0),0))</f>
        <v/>
      </c>
      <c r="N1412" s="17" t="str">
        <f aca="false">IF(A1412="","",IF(ISNUMBER(A1412),A1412,IFERROR(DATE(VALUE(MID(A1412,7,4)),VALUE(MID(A1412,4,2)),VALUE(MID(A1412,1,2)))+TIME(VALUE(MID(A1412,12,2)),VALUE(MID(A1412,15,2)),VALUE(MID(A1412,18,2))),"")))</f>
        <v/>
      </c>
    </row>
    <row r="1413" customFormat="false" ht="15" hidden="false" customHeight="false" outlineLevel="0" collapsed="false">
      <c r="I1413" s="15" t="str">
        <f aca="false">IF(N1413="","",INT(N1413))</f>
        <v/>
      </c>
      <c r="J1413" s="16" t="str">
        <f aca="false">IF(B1413="","",IF(N1413=_xlfn.MINIFS($N$2:$N$5001,$B$2:$B$5001,B1413),1,0))</f>
        <v/>
      </c>
      <c r="K1413" s="16" t="str">
        <f aca="false">IF(B1413="","",IF(AND(D1413="Formalização",E1413="Concluído"),IF(COUNTIFS($B$2:$B$5001,B1413,$E$2:$E$5001,"Em ajustes",$N$2:$N$5001,"&lt;"&amp;I1413)&gt;0,1,0),0))</f>
        <v/>
      </c>
      <c r="L1413" s="16" t="str">
        <f aca="false">IF(B1413="","",IF(N1413=_xlfn.MAXIFS($N$2:$N$5001,$B$2:$B$5001,B1413,$I$2:$I$5001,I1413),1,0))</f>
        <v/>
      </c>
      <c r="M1413" s="16" t="str">
        <f aca="false">IF(B1413="","",IF(E1413="Em ajustes",IF(N1413=_xlfn.MINIFS($N$2:$N$5001,$B$2:$B$5001,B1413,$E$2:$E$5001,"Em ajustes"),1,0),0))</f>
        <v/>
      </c>
      <c r="N1413" s="17" t="str">
        <f aca="false">IF(A1413="","",IF(ISNUMBER(A1413),A1413,IFERROR(DATE(VALUE(MID(A1413,7,4)),VALUE(MID(A1413,4,2)),VALUE(MID(A1413,1,2)))+TIME(VALUE(MID(A1413,12,2)),VALUE(MID(A1413,15,2)),VALUE(MID(A1413,18,2))),"")))</f>
        <v/>
      </c>
    </row>
    <row r="1414" customFormat="false" ht="15" hidden="false" customHeight="false" outlineLevel="0" collapsed="false">
      <c r="I1414" s="15" t="str">
        <f aca="false">IF(N1414="","",INT(N1414))</f>
        <v/>
      </c>
      <c r="J1414" s="16" t="str">
        <f aca="false">IF(B1414="","",IF(N1414=_xlfn.MINIFS($N$2:$N$5001,$B$2:$B$5001,B1414),1,0))</f>
        <v/>
      </c>
      <c r="K1414" s="16" t="str">
        <f aca="false">IF(B1414="","",IF(AND(D1414="Formalização",E1414="Concluído"),IF(COUNTIFS($B$2:$B$5001,B1414,$E$2:$E$5001,"Em ajustes",$N$2:$N$5001,"&lt;"&amp;I1414)&gt;0,1,0),0))</f>
        <v/>
      </c>
      <c r="L1414" s="16" t="str">
        <f aca="false">IF(B1414="","",IF(N1414=_xlfn.MAXIFS($N$2:$N$5001,$B$2:$B$5001,B1414,$I$2:$I$5001,I1414),1,0))</f>
        <v/>
      </c>
      <c r="M1414" s="16" t="str">
        <f aca="false">IF(B1414="","",IF(E1414="Em ajustes",IF(N1414=_xlfn.MINIFS($N$2:$N$5001,$B$2:$B$5001,B1414,$E$2:$E$5001,"Em ajustes"),1,0),0))</f>
        <v/>
      </c>
      <c r="N1414" s="17" t="str">
        <f aca="false">IF(A1414="","",IF(ISNUMBER(A1414),A1414,IFERROR(DATE(VALUE(MID(A1414,7,4)),VALUE(MID(A1414,4,2)),VALUE(MID(A1414,1,2)))+TIME(VALUE(MID(A1414,12,2)),VALUE(MID(A1414,15,2)),VALUE(MID(A1414,18,2))),"")))</f>
        <v/>
      </c>
    </row>
    <row r="1415" customFormat="false" ht="15" hidden="false" customHeight="false" outlineLevel="0" collapsed="false">
      <c r="I1415" s="15" t="str">
        <f aca="false">IF(N1415="","",INT(N1415))</f>
        <v/>
      </c>
      <c r="J1415" s="16" t="str">
        <f aca="false">IF(B1415="","",IF(N1415=_xlfn.MINIFS($N$2:$N$5001,$B$2:$B$5001,B1415),1,0))</f>
        <v/>
      </c>
      <c r="K1415" s="16" t="str">
        <f aca="false">IF(B1415="","",IF(AND(D1415="Formalização",E1415="Concluído"),IF(COUNTIFS($B$2:$B$5001,B1415,$E$2:$E$5001,"Em ajustes",$N$2:$N$5001,"&lt;"&amp;I1415)&gt;0,1,0),0))</f>
        <v/>
      </c>
      <c r="L1415" s="16" t="str">
        <f aca="false">IF(B1415="","",IF(N1415=_xlfn.MAXIFS($N$2:$N$5001,$B$2:$B$5001,B1415,$I$2:$I$5001,I1415),1,0))</f>
        <v/>
      </c>
      <c r="M1415" s="16" t="str">
        <f aca="false">IF(B1415="","",IF(E1415="Em ajustes",IF(N1415=_xlfn.MINIFS($N$2:$N$5001,$B$2:$B$5001,B1415,$E$2:$E$5001,"Em ajustes"),1,0),0))</f>
        <v/>
      </c>
      <c r="N1415" s="17" t="str">
        <f aca="false">IF(A1415="","",IF(ISNUMBER(A1415),A1415,IFERROR(DATE(VALUE(MID(A1415,7,4)),VALUE(MID(A1415,4,2)),VALUE(MID(A1415,1,2)))+TIME(VALUE(MID(A1415,12,2)),VALUE(MID(A1415,15,2)),VALUE(MID(A1415,18,2))),"")))</f>
        <v/>
      </c>
    </row>
    <row r="1416" customFormat="false" ht="15" hidden="false" customHeight="false" outlineLevel="0" collapsed="false">
      <c r="I1416" s="15" t="str">
        <f aca="false">IF(N1416="","",INT(N1416))</f>
        <v/>
      </c>
      <c r="J1416" s="16" t="str">
        <f aca="false">IF(B1416="","",IF(N1416=_xlfn.MINIFS($N$2:$N$5001,$B$2:$B$5001,B1416),1,0))</f>
        <v/>
      </c>
      <c r="K1416" s="16" t="str">
        <f aca="false">IF(B1416="","",IF(AND(D1416="Formalização",E1416="Concluído"),IF(COUNTIFS($B$2:$B$5001,B1416,$E$2:$E$5001,"Em ajustes",$N$2:$N$5001,"&lt;"&amp;I1416)&gt;0,1,0),0))</f>
        <v/>
      </c>
      <c r="L1416" s="16" t="str">
        <f aca="false">IF(B1416="","",IF(N1416=_xlfn.MAXIFS($N$2:$N$5001,$B$2:$B$5001,B1416,$I$2:$I$5001,I1416),1,0))</f>
        <v/>
      </c>
      <c r="M1416" s="16" t="str">
        <f aca="false">IF(B1416="","",IF(E1416="Em ajustes",IF(N1416=_xlfn.MINIFS($N$2:$N$5001,$B$2:$B$5001,B1416,$E$2:$E$5001,"Em ajustes"),1,0),0))</f>
        <v/>
      </c>
      <c r="N1416" s="17" t="str">
        <f aca="false">IF(A1416="","",IF(ISNUMBER(A1416),A1416,IFERROR(DATE(VALUE(MID(A1416,7,4)),VALUE(MID(A1416,4,2)),VALUE(MID(A1416,1,2)))+TIME(VALUE(MID(A1416,12,2)),VALUE(MID(A1416,15,2)),VALUE(MID(A1416,18,2))),"")))</f>
        <v/>
      </c>
    </row>
    <row r="1417" customFormat="false" ht="15" hidden="false" customHeight="false" outlineLevel="0" collapsed="false">
      <c r="I1417" s="15" t="str">
        <f aca="false">IF(N1417="","",INT(N1417))</f>
        <v/>
      </c>
      <c r="J1417" s="16" t="str">
        <f aca="false">IF(B1417="","",IF(N1417=_xlfn.MINIFS($N$2:$N$5001,$B$2:$B$5001,B1417),1,0))</f>
        <v/>
      </c>
      <c r="K1417" s="16" t="str">
        <f aca="false">IF(B1417="","",IF(AND(D1417="Formalização",E1417="Concluído"),IF(COUNTIFS($B$2:$B$5001,B1417,$E$2:$E$5001,"Em ajustes",$N$2:$N$5001,"&lt;"&amp;I1417)&gt;0,1,0),0))</f>
        <v/>
      </c>
      <c r="L1417" s="16" t="str">
        <f aca="false">IF(B1417="","",IF(N1417=_xlfn.MAXIFS($N$2:$N$5001,$B$2:$B$5001,B1417,$I$2:$I$5001,I1417),1,0))</f>
        <v/>
      </c>
      <c r="M1417" s="16" t="str">
        <f aca="false">IF(B1417="","",IF(E1417="Em ajustes",IF(N1417=_xlfn.MINIFS($N$2:$N$5001,$B$2:$B$5001,B1417,$E$2:$E$5001,"Em ajustes"),1,0),0))</f>
        <v/>
      </c>
      <c r="N1417" s="17" t="str">
        <f aca="false">IF(A1417="","",IF(ISNUMBER(A1417),A1417,IFERROR(DATE(VALUE(MID(A1417,7,4)),VALUE(MID(A1417,4,2)),VALUE(MID(A1417,1,2)))+TIME(VALUE(MID(A1417,12,2)),VALUE(MID(A1417,15,2)),VALUE(MID(A1417,18,2))),"")))</f>
        <v/>
      </c>
    </row>
    <row r="1418" customFormat="false" ht="15" hidden="false" customHeight="false" outlineLevel="0" collapsed="false">
      <c r="I1418" s="15" t="str">
        <f aca="false">IF(N1418="","",INT(N1418))</f>
        <v/>
      </c>
      <c r="J1418" s="16" t="str">
        <f aca="false">IF(B1418="","",IF(N1418=_xlfn.MINIFS($N$2:$N$5001,$B$2:$B$5001,B1418),1,0))</f>
        <v/>
      </c>
      <c r="K1418" s="16" t="str">
        <f aca="false">IF(B1418="","",IF(AND(D1418="Formalização",E1418="Concluído"),IF(COUNTIFS($B$2:$B$5001,B1418,$E$2:$E$5001,"Em ajustes",$N$2:$N$5001,"&lt;"&amp;I1418)&gt;0,1,0),0))</f>
        <v/>
      </c>
      <c r="L1418" s="16" t="str">
        <f aca="false">IF(B1418="","",IF(N1418=_xlfn.MAXIFS($N$2:$N$5001,$B$2:$B$5001,B1418,$I$2:$I$5001,I1418),1,0))</f>
        <v/>
      </c>
      <c r="M1418" s="16" t="str">
        <f aca="false">IF(B1418="","",IF(E1418="Em ajustes",IF(N1418=_xlfn.MINIFS($N$2:$N$5001,$B$2:$B$5001,B1418,$E$2:$E$5001,"Em ajustes"),1,0),0))</f>
        <v/>
      </c>
      <c r="N1418" s="17" t="str">
        <f aca="false">IF(A1418="","",IF(ISNUMBER(A1418),A1418,IFERROR(DATE(VALUE(MID(A1418,7,4)),VALUE(MID(A1418,4,2)),VALUE(MID(A1418,1,2)))+TIME(VALUE(MID(A1418,12,2)),VALUE(MID(A1418,15,2)),VALUE(MID(A1418,18,2))),"")))</f>
        <v/>
      </c>
    </row>
    <row r="1419" customFormat="false" ht="15" hidden="false" customHeight="false" outlineLevel="0" collapsed="false">
      <c r="I1419" s="15" t="str">
        <f aca="false">IF(N1419="","",INT(N1419))</f>
        <v/>
      </c>
      <c r="J1419" s="16" t="str">
        <f aca="false">IF(B1419="","",IF(N1419=_xlfn.MINIFS($N$2:$N$5001,$B$2:$B$5001,B1419),1,0))</f>
        <v/>
      </c>
      <c r="K1419" s="16" t="str">
        <f aca="false">IF(B1419="","",IF(AND(D1419="Formalização",E1419="Concluído"),IF(COUNTIFS($B$2:$B$5001,B1419,$E$2:$E$5001,"Em ajustes",$N$2:$N$5001,"&lt;"&amp;I1419)&gt;0,1,0),0))</f>
        <v/>
      </c>
      <c r="L1419" s="16" t="str">
        <f aca="false">IF(B1419="","",IF(N1419=_xlfn.MAXIFS($N$2:$N$5001,$B$2:$B$5001,B1419,$I$2:$I$5001,I1419),1,0))</f>
        <v/>
      </c>
      <c r="M1419" s="16" t="str">
        <f aca="false">IF(B1419="","",IF(E1419="Em ajustes",IF(N1419=_xlfn.MINIFS($N$2:$N$5001,$B$2:$B$5001,B1419,$E$2:$E$5001,"Em ajustes"),1,0),0))</f>
        <v/>
      </c>
      <c r="N1419" s="17" t="str">
        <f aca="false">IF(A1419="","",IF(ISNUMBER(A1419),A1419,IFERROR(DATE(VALUE(MID(A1419,7,4)),VALUE(MID(A1419,4,2)),VALUE(MID(A1419,1,2)))+TIME(VALUE(MID(A1419,12,2)),VALUE(MID(A1419,15,2)),VALUE(MID(A1419,18,2))),"")))</f>
        <v/>
      </c>
    </row>
    <row r="1420" customFormat="false" ht="15" hidden="false" customHeight="false" outlineLevel="0" collapsed="false">
      <c r="I1420" s="15" t="str">
        <f aca="false">IF(N1420="","",INT(N1420))</f>
        <v/>
      </c>
      <c r="J1420" s="16" t="str">
        <f aca="false">IF(B1420="","",IF(N1420=_xlfn.MINIFS($N$2:$N$5001,$B$2:$B$5001,B1420),1,0))</f>
        <v/>
      </c>
      <c r="K1420" s="16" t="str">
        <f aca="false">IF(B1420="","",IF(AND(D1420="Formalização",E1420="Concluído"),IF(COUNTIFS($B$2:$B$5001,B1420,$E$2:$E$5001,"Em ajustes",$N$2:$N$5001,"&lt;"&amp;I1420)&gt;0,1,0),0))</f>
        <v/>
      </c>
      <c r="L1420" s="16" t="str">
        <f aca="false">IF(B1420="","",IF(N1420=_xlfn.MAXIFS($N$2:$N$5001,$B$2:$B$5001,B1420,$I$2:$I$5001,I1420),1,0))</f>
        <v/>
      </c>
      <c r="M1420" s="16" t="str">
        <f aca="false">IF(B1420="","",IF(E1420="Em ajustes",IF(N1420=_xlfn.MINIFS($N$2:$N$5001,$B$2:$B$5001,B1420,$E$2:$E$5001,"Em ajustes"),1,0),0))</f>
        <v/>
      </c>
      <c r="N1420" s="17" t="str">
        <f aca="false">IF(A1420="","",IF(ISNUMBER(A1420),A1420,IFERROR(DATE(VALUE(MID(A1420,7,4)),VALUE(MID(A1420,4,2)),VALUE(MID(A1420,1,2)))+TIME(VALUE(MID(A1420,12,2)),VALUE(MID(A1420,15,2)),VALUE(MID(A1420,18,2))),"")))</f>
        <v/>
      </c>
    </row>
    <row r="1421" customFormat="false" ht="15" hidden="false" customHeight="false" outlineLevel="0" collapsed="false">
      <c r="I1421" s="15" t="str">
        <f aca="false">IF(N1421="","",INT(N1421))</f>
        <v/>
      </c>
      <c r="J1421" s="16" t="str">
        <f aca="false">IF(B1421="","",IF(N1421=_xlfn.MINIFS($N$2:$N$5001,$B$2:$B$5001,B1421),1,0))</f>
        <v/>
      </c>
      <c r="K1421" s="16" t="str">
        <f aca="false">IF(B1421="","",IF(AND(D1421="Formalização",E1421="Concluído"),IF(COUNTIFS($B$2:$B$5001,B1421,$E$2:$E$5001,"Em ajustes",$N$2:$N$5001,"&lt;"&amp;I1421)&gt;0,1,0),0))</f>
        <v/>
      </c>
      <c r="L1421" s="16" t="str">
        <f aca="false">IF(B1421="","",IF(N1421=_xlfn.MAXIFS($N$2:$N$5001,$B$2:$B$5001,B1421,$I$2:$I$5001,I1421),1,0))</f>
        <v/>
      </c>
      <c r="M1421" s="16" t="str">
        <f aca="false">IF(B1421="","",IF(E1421="Em ajustes",IF(N1421=_xlfn.MINIFS($N$2:$N$5001,$B$2:$B$5001,B1421,$E$2:$E$5001,"Em ajustes"),1,0),0))</f>
        <v/>
      </c>
      <c r="N1421" s="17" t="str">
        <f aca="false">IF(A1421="","",IF(ISNUMBER(A1421),A1421,IFERROR(DATE(VALUE(MID(A1421,7,4)),VALUE(MID(A1421,4,2)),VALUE(MID(A1421,1,2)))+TIME(VALUE(MID(A1421,12,2)),VALUE(MID(A1421,15,2)),VALUE(MID(A1421,18,2))),"")))</f>
        <v/>
      </c>
    </row>
    <row r="1422" customFormat="false" ht="15" hidden="false" customHeight="false" outlineLevel="0" collapsed="false">
      <c r="I1422" s="15" t="str">
        <f aca="false">IF(N1422="","",INT(N1422))</f>
        <v/>
      </c>
      <c r="J1422" s="16" t="str">
        <f aca="false">IF(B1422="","",IF(N1422=_xlfn.MINIFS($N$2:$N$5001,$B$2:$B$5001,B1422),1,0))</f>
        <v/>
      </c>
      <c r="K1422" s="16" t="str">
        <f aca="false">IF(B1422="","",IF(AND(D1422="Formalização",E1422="Concluído"),IF(COUNTIFS($B$2:$B$5001,B1422,$E$2:$E$5001,"Em ajustes",$N$2:$N$5001,"&lt;"&amp;I1422)&gt;0,1,0),0))</f>
        <v/>
      </c>
      <c r="L1422" s="16" t="str">
        <f aca="false">IF(B1422="","",IF(N1422=_xlfn.MAXIFS($N$2:$N$5001,$B$2:$B$5001,B1422,$I$2:$I$5001,I1422),1,0))</f>
        <v/>
      </c>
      <c r="M1422" s="16" t="str">
        <f aca="false">IF(B1422="","",IF(E1422="Em ajustes",IF(N1422=_xlfn.MINIFS($N$2:$N$5001,$B$2:$B$5001,B1422,$E$2:$E$5001,"Em ajustes"),1,0),0))</f>
        <v/>
      </c>
      <c r="N1422" s="17" t="str">
        <f aca="false">IF(A1422="","",IF(ISNUMBER(A1422),A1422,IFERROR(DATE(VALUE(MID(A1422,7,4)),VALUE(MID(A1422,4,2)),VALUE(MID(A1422,1,2)))+TIME(VALUE(MID(A1422,12,2)),VALUE(MID(A1422,15,2)),VALUE(MID(A1422,18,2))),"")))</f>
        <v/>
      </c>
    </row>
    <row r="1423" customFormat="false" ht="15" hidden="false" customHeight="false" outlineLevel="0" collapsed="false">
      <c r="I1423" s="15" t="str">
        <f aca="false">IF(N1423="","",INT(N1423))</f>
        <v/>
      </c>
      <c r="J1423" s="16" t="str">
        <f aca="false">IF(B1423="","",IF(N1423=_xlfn.MINIFS($N$2:$N$5001,$B$2:$B$5001,B1423),1,0))</f>
        <v/>
      </c>
      <c r="K1423" s="16" t="str">
        <f aca="false">IF(B1423="","",IF(AND(D1423="Formalização",E1423="Concluído"),IF(COUNTIFS($B$2:$B$5001,B1423,$E$2:$E$5001,"Em ajustes",$N$2:$N$5001,"&lt;"&amp;I1423)&gt;0,1,0),0))</f>
        <v/>
      </c>
      <c r="L1423" s="16" t="str">
        <f aca="false">IF(B1423="","",IF(N1423=_xlfn.MAXIFS($N$2:$N$5001,$B$2:$B$5001,B1423,$I$2:$I$5001,I1423),1,0))</f>
        <v/>
      </c>
      <c r="M1423" s="16" t="str">
        <f aca="false">IF(B1423="","",IF(E1423="Em ajustes",IF(N1423=_xlfn.MINIFS($N$2:$N$5001,$B$2:$B$5001,B1423,$E$2:$E$5001,"Em ajustes"),1,0),0))</f>
        <v/>
      </c>
      <c r="N1423" s="17" t="str">
        <f aca="false">IF(A1423="","",IF(ISNUMBER(A1423),A1423,IFERROR(DATE(VALUE(MID(A1423,7,4)),VALUE(MID(A1423,4,2)),VALUE(MID(A1423,1,2)))+TIME(VALUE(MID(A1423,12,2)),VALUE(MID(A1423,15,2)),VALUE(MID(A1423,18,2))),"")))</f>
        <v/>
      </c>
    </row>
    <row r="1424" customFormat="false" ht="15" hidden="false" customHeight="false" outlineLevel="0" collapsed="false">
      <c r="I1424" s="15" t="str">
        <f aca="false">IF(N1424="","",INT(N1424))</f>
        <v/>
      </c>
      <c r="J1424" s="16" t="str">
        <f aca="false">IF(B1424="","",IF(N1424=_xlfn.MINIFS($N$2:$N$5001,$B$2:$B$5001,B1424),1,0))</f>
        <v/>
      </c>
      <c r="K1424" s="16" t="str">
        <f aca="false">IF(B1424="","",IF(AND(D1424="Formalização",E1424="Concluído"),IF(COUNTIFS($B$2:$B$5001,B1424,$E$2:$E$5001,"Em ajustes",$N$2:$N$5001,"&lt;"&amp;I1424)&gt;0,1,0),0))</f>
        <v/>
      </c>
      <c r="L1424" s="16" t="str">
        <f aca="false">IF(B1424="","",IF(N1424=_xlfn.MAXIFS($N$2:$N$5001,$B$2:$B$5001,B1424,$I$2:$I$5001,I1424),1,0))</f>
        <v/>
      </c>
      <c r="M1424" s="16" t="str">
        <f aca="false">IF(B1424="","",IF(E1424="Em ajustes",IF(N1424=_xlfn.MINIFS($N$2:$N$5001,$B$2:$B$5001,B1424,$E$2:$E$5001,"Em ajustes"),1,0),0))</f>
        <v/>
      </c>
      <c r="N1424" s="17" t="str">
        <f aca="false">IF(A1424="","",IF(ISNUMBER(A1424),A1424,IFERROR(DATE(VALUE(MID(A1424,7,4)),VALUE(MID(A1424,4,2)),VALUE(MID(A1424,1,2)))+TIME(VALUE(MID(A1424,12,2)),VALUE(MID(A1424,15,2)),VALUE(MID(A1424,18,2))),"")))</f>
        <v/>
      </c>
    </row>
    <row r="1425" customFormat="false" ht="15" hidden="false" customHeight="false" outlineLevel="0" collapsed="false">
      <c r="I1425" s="15" t="str">
        <f aca="false">IF(N1425="","",INT(N1425))</f>
        <v/>
      </c>
      <c r="J1425" s="16" t="str">
        <f aca="false">IF(B1425="","",IF(N1425=_xlfn.MINIFS($N$2:$N$5001,$B$2:$B$5001,B1425),1,0))</f>
        <v/>
      </c>
      <c r="K1425" s="16" t="str">
        <f aca="false">IF(B1425="","",IF(AND(D1425="Formalização",E1425="Concluído"),IF(COUNTIFS($B$2:$B$5001,B1425,$E$2:$E$5001,"Em ajustes",$N$2:$N$5001,"&lt;"&amp;I1425)&gt;0,1,0),0))</f>
        <v/>
      </c>
      <c r="L1425" s="16" t="str">
        <f aca="false">IF(B1425="","",IF(N1425=_xlfn.MAXIFS($N$2:$N$5001,$B$2:$B$5001,B1425,$I$2:$I$5001,I1425),1,0))</f>
        <v/>
      </c>
      <c r="M1425" s="16" t="str">
        <f aca="false">IF(B1425="","",IF(E1425="Em ajustes",IF(N1425=_xlfn.MINIFS($N$2:$N$5001,$B$2:$B$5001,B1425,$E$2:$E$5001,"Em ajustes"),1,0),0))</f>
        <v/>
      </c>
      <c r="N1425" s="17" t="str">
        <f aca="false">IF(A1425="","",IF(ISNUMBER(A1425),A1425,IFERROR(DATE(VALUE(MID(A1425,7,4)),VALUE(MID(A1425,4,2)),VALUE(MID(A1425,1,2)))+TIME(VALUE(MID(A1425,12,2)),VALUE(MID(A1425,15,2)),VALUE(MID(A1425,18,2))),"")))</f>
        <v/>
      </c>
    </row>
    <row r="1426" customFormat="false" ht="15" hidden="false" customHeight="false" outlineLevel="0" collapsed="false">
      <c r="I1426" s="15" t="str">
        <f aca="false">IF(N1426="","",INT(N1426))</f>
        <v/>
      </c>
      <c r="J1426" s="16" t="str">
        <f aca="false">IF(B1426="","",IF(N1426=_xlfn.MINIFS($N$2:$N$5001,$B$2:$B$5001,B1426),1,0))</f>
        <v/>
      </c>
      <c r="K1426" s="16" t="str">
        <f aca="false">IF(B1426="","",IF(AND(D1426="Formalização",E1426="Concluído"),IF(COUNTIFS($B$2:$B$5001,B1426,$E$2:$E$5001,"Em ajustes",$N$2:$N$5001,"&lt;"&amp;I1426)&gt;0,1,0),0))</f>
        <v/>
      </c>
      <c r="L1426" s="16" t="str">
        <f aca="false">IF(B1426="","",IF(N1426=_xlfn.MAXIFS($N$2:$N$5001,$B$2:$B$5001,B1426,$I$2:$I$5001,I1426),1,0))</f>
        <v/>
      </c>
      <c r="M1426" s="16" t="str">
        <f aca="false">IF(B1426="","",IF(E1426="Em ajustes",IF(N1426=_xlfn.MINIFS($N$2:$N$5001,$B$2:$B$5001,B1426,$E$2:$E$5001,"Em ajustes"),1,0),0))</f>
        <v/>
      </c>
      <c r="N1426" s="17" t="str">
        <f aca="false">IF(A1426="","",IF(ISNUMBER(A1426),A1426,IFERROR(DATE(VALUE(MID(A1426,7,4)),VALUE(MID(A1426,4,2)),VALUE(MID(A1426,1,2)))+TIME(VALUE(MID(A1426,12,2)),VALUE(MID(A1426,15,2)),VALUE(MID(A1426,18,2))),"")))</f>
        <v/>
      </c>
    </row>
    <row r="1427" customFormat="false" ht="15" hidden="false" customHeight="false" outlineLevel="0" collapsed="false">
      <c r="I1427" s="15" t="str">
        <f aca="false">IF(N1427="","",INT(N1427))</f>
        <v/>
      </c>
      <c r="J1427" s="16" t="str">
        <f aca="false">IF(B1427="","",IF(N1427=_xlfn.MINIFS($N$2:$N$5001,$B$2:$B$5001,B1427),1,0))</f>
        <v/>
      </c>
      <c r="K1427" s="16" t="str">
        <f aca="false">IF(B1427="","",IF(AND(D1427="Formalização",E1427="Concluído"),IF(COUNTIFS($B$2:$B$5001,B1427,$E$2:$E$5001,"Em ajustes",$N$2:$N$5001,"&lt;"&amp;I1427)&gt;0,1,0),0))</f>
        <v/>
      </c>
      <c r="L1427" s="16" t="str">
        <f aca="false">IF(B1427="","",IF(N1427=_xlfn.MAXIFS($N$2:$N$5001,$B$2:$B$5001,B1427,$I$2:$I$5001,I1427),1,0))</f>
        <v/>
      </c>
      <c r="M1427" s="16" t="str">
        <f aca="false">IF(B1427="","",IF(E1427="Em ajustes",IF(N1427=_xlfn.MINIFS($N$2:$N$5001,$B$2:$B$5001,B1427,$E$2:$E$5001,"Em ajustes"),1,0),0))</f>
        <v/>
      </c>
      <c r="N1427" s="17" t="str">
        <f aca="false">IF(A1427="","",IF(ISNUMBER(A1427),A1427,IFERROR(DATE(VALUE(MID(A1427,7,4)),VALUE(MID(A1427,4,2)),VALUE(MID(A1427,1,2)))+TIME(VALUE(MID(A1427,12,2)),VALUE(MID(A1427,15,2)),VALUE(MID(A1427,18,2))),"")))</f>
        <v/>
      </c>
    </row>
    <row r="1428" customFormat="false" ht="15" hidden="false" customHeight="false" outlineLevel="0" collapsed="false">
      <c r="I1428" s="15" t="str">
        <f aca="false">IF(N1428="","",INT(N1428))</f>
        <v/>
      </c>
      <c r="J1428" s="16" t="str">
        <f aca="false">IF(B1428="","",IF(N1428=_xlfn.MINIFS($N$2:$N$5001,$B$2:$B$5001,B1428),1,0))</f>
        <v/>
      </c>
      <c r="K1428" s="16" t="str">
        <f aca="false">IF(B1428="","",IF(AND(D1428="Formalização",E1428="Concluído"),IF(COUNTIFS($B$2:$B$5001,B1428,$E$2:$E$5001,"Em ajustes",$N$2:$N$5001,"&lt;"&amp;I1428)&gt;0,1,0),0))</f>
        <v/>
      </c>
      <c r="L1428" s="16" t="str">
        <f aca="false">IF(B1428="","",IF(N1428=_xlfn.MAXIFS($N$2:$N$5001,$B$2:$B$5001,B1428,$I$2:$I$5001,I1428),1,0))</f>
        <v/>
      </c>
      <c r="M1428" s="16" t="str">
        <f aca="false">IF(B1428="","",IF(E1428="Em ajustes",IF(N1428=_xlfn.MINIFS($N$2:$N$5001,$B$2:$B$5001,B1428,$E$2:$E$5001,"Em ajustes"),1,0),0))</f>
        <v/>
      </c>
      <c r="N1428" s="17" t="str">
        <f aca="false">IF(A1428="","",IF(ISNUMBER(A1428),A1428,IFERROR(DATE(VALUE(MID(A1428,7,4)),VALUE(MID(A1428,4,2)),VALUE(MID(A1428,1,2)))+TIME(VALUE(MID(A1428,12,2)),VALUE(MID(A1428,15,2)),VALUE(MID(A1428,18,2))),"")))</f>
        <v/>
      </c>
    </row>
    <row r="1429" customFormat="false" ht="15" hidden="false" customHeight="false" outlineLevel="0" collapsed="false">
      <c r="I1429" s="15" t="str">
        <f aca="false">IF(N1429="","",INT(N1429))</f>
        <v/>
      </c>
      <c r="J1429" s="16" t="str">
        <f aca="false">IF(B1429="","",IF(N1429=_xlfn.MINIFS($N$2:$N$5001,$B$2:$B$5001,B1429),1,0))</f>
        <v/>
      </c>
      <c r="K1429" s="16" t="str">
        <f aca="false">IF(B1429="","",IF(AND(D1429="Formalização",E1429="Concluído"),IF(COUNTIFS($B$2:$B$5001,B1429,$E$2:$E$5001,"Em ajustes",$N$2:$N$5001,"&lt;"&amp;I1429)&gt;0,1,0),0))</f>
        <v/>
      </c>
      <c r="L1429" s="16" t="str">
        <f aca="false">IF(B1429="","",IF(N1429=_xlfn.MAXIFS($N$2:$N$5001,$B$2:$B$5001,B1429,$I$2:$I$5001,I1429),1,0))</f>
        <v/>
      </c>
      <c r="M1429" s="16" t="str">
        <f aca="false">IF(B1429="","",IF(E1429="Em ajustes",IF(N1429=_xlfn.MINIFS($N$2:$N$5001,$B$2:$B$5001,B1429,$E$2:$E$5001,"Em ajustes"),1,0),0))</f>
        <v/>
      </c>
      <c r="N1429" s="17" t="str">
        <f aca="false">IF(A1429="","",IF(ISNUMBER(A1429),A1429,IFERROR(DATE(VALUE(MID(A1429,7,4)),VALUE(MID(A1429,4,2)),VALUE(MID(A1429,1,2)))+TIME(VALUE(MID(A1429,12,2)),VALUE(MID(A1429,15,2)),VALUE(MID(A1429,18,2))),"")))</f>
        <v/>
      </c>
    </row>
    <row r="1430" customFormat="false" ht="15" hidden="false" customHeight="false" outlineLevel="0" collapsed="false">
      <c r="I1430" s="15" t="str">
        <f aca="false">IF(N1430="","",INT(N1430))</f>
        <v/>
      </c>
      <c r="J1430" s="16" t="str">
        <f aca="false">IF(B1430="","",IF(N1430=_xlfn.MINIFS($N$2:$N$5001,$B$2:$B$5001,B1430),1,0))</f>
        <v/>
      </c>
      <c r="K1430" s="16" t="str">
        <f aca="false">IF(B1430="","",IF(AND(D1430="Formalização",E1430="Concluído"),IF(COUNTIFS($B$2:$B$5001,B1430,$E$2:$E$5001,"Em ajustes",$N$2:$N$5001,"&lt;"&amp;I1430)&gt;0,1,0),0))</f>
        <v/>
      </c>
      <c r="L1430" s="16" t="str">
        <f aca="false">IF(B1430="","",IF(N1430=_xlfn.MAXIFS($N$2:$N$5001,$B$2:$B$5001,B1430,$I$2:$I$5001,I1430),1,0))</f>
        <v/>
      </c>
      <c r="M1430" s="16" t="str">
        <f aca="false">IF(B1430="","",IF(E1430="Em ajustes",IF(N1430=_xlfn.MINIFS($N$2:$N$5001,$B$2:$B$5001,B1430,$E$2:$E$5001,"Em ajustes"),1,0),0))</f>
        <v/>
      </c>
      <c r="N1430" s="17" t="str">
        <f aca="false">IF(A1430="","",IF(ISNUMBER(A1430),A1430,IFERROR(DATE(VALUE(MID(A1430,7,4)),VALUE(MID(A1430,4,2)),VALUE(MID(A1430,1,2)))+TIME(VALUE(MID(A1430,12,2)),VALUE(MID(A1430,15,2)),VALUE(MID(A1430,18,2))),"")))</f>
        <v/>
      </c>
    </row>
    <row r="1431" customFormat="false" ht="15" hidden="false" customHeight="false" outlineLevel="0" collapsed="false">
      <c r="I1431" s="15" t="str">
        <f aca="false">IF(N1431="","",INT(N1431))</f>
        <v/>
      </c>
      <c r="J1431" s="16" t="str">
        <f aca="false">IF(B1431="","",IF(N1431=_xlfn.MINIFS($N$2:$N$5001,$B$2:$B$5001,B1431),1,0))</f>
        <v/>
      </c>
      <c r="K1431" s="16" t="str">
        <f aca="false">IF(B1431="","",IF(AND(D1431="Formalização",E1431="Concluído"),IF(COUNTIFS($B$2:$B$5001,B1431,$E$2:$E$5001,"Em ajustes",$N$2:$N$5001,"&lt;"&amp;I1431)&gt;0,1,0),0))</f>
        <v/>
      </c>
      <c r="L1431" s="16" t="str">
        <f aca="false">IF(B1431="","",IF(N1431=_xlfn.MAXIFS($N$2:$N$5001,$B$2:$B$5001,B1431,$I$2:$I$5001,I1431),1,0))</f>
        <v/>
      </c>
      <c r="M1431" s="16" t="str">
        <f aca="false">IF(B1431="","",IF(E1431="Em ajustes",IF(N1431=_xlfn.MINIFS($N$2:$N$5001,$B$2:$B$5001,B1431,$E$2:$E$5001,"Em ajustes"),1,0),0))</f>
        <v/>
      </c>
      <c r="N1431" s="17" t="str">
        <f aca="false">IF(A1431="","",IF(ISNUMBER(A1431),A1431,IFERROR(DATE(VALUE(MID(A1431,7,4)),VALUE(MID(A1431,4,2)),VALUE(MID(A1431,1,2)))+TIME(VALUE(MID(A1431,12,2)),VALUE(MID(A1431,15,2)),VALUE(MID(A1431,18,2))),"")))</f>
        <v/>
      </c>
    </row>
    <row r="1432" customFormat="false" ht="15" hidden="false" customHeight="false" outlineLevel="0" collapsed="false">
      <c r="I1432" s="15" t="str">
        <f aca="false">IF(N1432="","",INT(N1432))</f>
        <v/>
      </c>
      <c r="J1432" s="16" t="str">
        <f aca="false">IF(B1432="","",IF(N1432=_xlfn.MINIFS($N$2:$N$5001,$B$2:$B$5001,B1432),1,0))</f>
        <v/>
      </c>
      <c r="K1432" s="16" t="str">
        <f aca="false">IF(B1432="","",IF(AND(D1432="Formalização",E1432="Concluído"),IF(COUNTIFS($B$2:$B$5001,B1432,$E$2:$E$5001,"Em ajustes",$N$2:$N$5001,"&lt;"&amp;I1432)&gt;0,1,0),0))</f>
        <v/>
      </c>
      <c r="L1432" s="16" t="str">
        <f aca="false">IF(B1432="","",IF(N1432=_xlfn.MAXIFS($N$2:$N$5001,$B$2:$B$5001,B1432,$I$2:$I$5001,I1432),1,0))</f>
        <v/>
      </c>
      <c r="M1432" s="16" t="str">
        <f aca="false">IF(B1432="","",IF(E1432="Em ajustes",IF(N1432=_xlfn.MINIFS($N$2:$N$5001,$B$2:$B$5001,B1432,$E$2:$E$5001,"Em ajustes"),1,0),0))</f>
        <v/>
      </c>
      <c r="N1432" s="17" t="str">
        <f aca="false">IF(A1432="","",IF(ISNUMBER(A1432),A1432,IFERROR(DATE(VALUE(MID(A1432,7,4)),VALUE(MID(A1432,4,2)),VALUE(MID(A1432,1,2)))+TIME(VALUE(MID(A1432,12,2)),VALUE(MID(A1432,15,2)),VALUE(MID(A1432,18,2))),"")))</f>
        <v/>
      </c>
    </row>
    <row r="1433" customFormat="false" ht="15" hidden="false" customHeight="false" outlineLevel="0" collapsed="false">
      <c r="I1433" s="15" t="str">
        <f aca="false">IF(N1433="","",INT(N1433))</f>
        <v/>
      </c>
      <c r="J1433" s="16" t="str">
        <f aca="false">IF(B1433="","",IF(N1433=_xlfn.MINIFS($N$2:$N$5001,$B$2:$B$5001,B1433),1,0))</f>
        <v/>
      </c>
      <c r="K1433" s="16" t="str">
        <f aca="false">IF(B1433="","",IF(AND(D1433="Formalização",E1433="Concluído"),IF(COUNTIFS($B$2:$B$5001,B1433,$E$2:$E$5001,"Em ajustes",$N$2:$N$5001,"&lt;"&amp;I1433)&gt;0,1,0),0))</f>
        <v/>
      </c>
      <c r="L1433" s="16" t="str">
        <f aca="false">IF(B1433="","",IF(N1433=_xlfn.MAXIFS($N$2:$N$5001,$B$2:$B$5001,B1433,$I$2:$I$5001,I1433),1,0))</f>
        <v/>
      </c>
      <c r="M1433" s="16" t="str">
        <f aca="false">IF(B1433="","",IF(E1433="Em ajustes",IF(N1433=_xlfn.MINIFS($N$2:$N$5001,$B$2:$B$5001,B1433,$E$2:$E$5001,"Em ajustes"),1,0),0))</f>
        <v/>
      </c>
      <c r="N1433" s="17" t="str">
        <f aca="false">IF(A1433="","",IF(ISNUMBER(A1433),A1433,IFERROR(DATE(VALUE(MID(A1433,7,4)),VALUE(MID(A1433,4,2)),VALUE(MID(A1433,1,2)))+TIME(VALUE(MID(A1433,12,2)),VALUE(MID(A1433,15,2)),VALUE(MID(A1433,18,2))),"")))</f>
        <v/>
      </c>
    </row>
    <row r="1434" customFormat="false" ht="15" hidden="false" customHeight="false" outlineLevel="0" collapsed="false">
      <c r="I1434" s="15" t="str">
        <f aca="false">IF(N1434="","",INT(N1434))</f>
        <v/>
      </c>
      <c r="J1434" s="16" t="str">
        <f aca="false">IF(B1434="","",IF(N1434=_xlfn.MINIFS($N$2:$N$5001,$B$2:$B$5001,B1434),1,0))</f>
        <v/>
      </c>
      <c r="K1434" s="16" t="str">
        <f aca="false">IF(B1434="","",IF(AND(D1434="Formalização",E1434="Concluído"),IF(COUNTIFS($B$2:$B$5001,B1434,$E$2:$E$5001,"Em ajustes",$N$2:$N$5001,"&lt;"&amp;I1434)&gt;0,1,0),0))</f>
        <v/>
      </c>
      <c r="L1434" s="16" t="str">
        <f aca="false">IF(B1434="","",IF(N1434=_xlfn.MAXIFS($N$2:$N$5001,$B$2:$B$5001,B1434,$I$2:$I$5001,I1434),1,0))</f>
        <v/>
      </c>
      <c r="M1434" s="16" t="str">
        <f aca="false">IF(B1434="","",IF(E1434="Em ajustes",IF(N1434=_xlfn.MINIFS($N$2:$N$5001,$B$2:$B$5001,B1434,$E$2:$E$5001,"Em ajustes"),1,0),0))</f>
        <v/>
      </c>
      <c r="N1434" s="17" t="str">
        <f aca="false">IF(A1434="","",IF(ISNUMBER(A1434),A1434,IFERROR(DATE(VALUE(MID(A1434,7,4)),VALUE(MID(A1434,4,2)),VALUE(MID(A1434,1,2)))+TIME(VALUE(MID(A1434,12,2)),VALUE(MID(A1434,15,2)),VALUE(MID(A1434,18,2))),"")))</f>
        <v/>
      </c>
    </row>
    <row r="1435" customFormat="false" ht="15" hidden="false" customHeight="false" outlineLevel="0" collapsed="false">
      <c r="I1435" s="15" t="str">
        <f aca="false">IF(N1435="","",INT(N1435))</f>
        <v/>
      </c>
      <c r="J1435" s="16" t="str">
        <f aca="false">IF(B1435="","",IF(N1435=_xlfn.MINIFS($N$2:$N$5001,$B$2:$B$5001,B1435),1,0))</f>
        <v/>
      </c>
      <c r="K1435" s="16" t="str">
        <f aca="false">IF(B1435="","",IF(AND(D1435="Formalização",E1435="Concluído"),IF(COUNTIFS($B$2:$B$5001,B1435,$E$2:$E$5001,"Em ajustes",$N$2:$N$5001,"&lt;"&amp;I1435)&gt;0,1,0),0))</f>
        <v/>
      </c>
      <c r="L1435" s="16" t="str">
        <f aca="false">IF(B1435="","",IF(N1435=_xlfn.MAXIFS($N$2:$N$5001,$B$2:$B$5001,B1435,$I$2:$I$5001,I1435),1,0))</f>
        <v/>
      </c>
      <c r="M1435" s="16" t="str">
        <f aca="false">IF(B1435="","",IF(E1435="Em ajustes",IF(N1435=_xlfn.MINIFS($N$2:$N$5001,$B$2:$B$5001,B1435,$E$2:$E$5001,"Em ajustes"),1,0),0))</f>
        <v/>
      </c>
      <c r="N1435" s="17" t="str">
        <f aca="false">IF(A1435="","",IF(ISNUMBER(A1435),A1435,IFERROR(DATE(VALUE(MID(A1435,7,4)),VALUE(MID(A1435,4,2)),VALUE(MID(A1435,1,2)))+TIME(VALUE(MID(A1435,12,2)),VALUE(MID(A1435,15,2)),VALUE(MID(A1435,18,2))),"")))</f>
        <v/>
      </c>
    </row>
    <row r="1436" customFormat="false" ht="15" hidden="false" customHeight="false" outlineLevel="0" collapsed="false">
      <c r="I1436" s="15" t="str">
        <f aca="false">IF(N1436="","",INT(N1436))</f>
        <v/>
      </c>
      <c r="J1436" s="16" t="str">
        <f aca="false">IF(B1436="","",IF(N1436=_xlfn.MINIFS($N$2:$N$5001,$B$2:$B$5001,B1436),1,0))</f>
        <v/>
      </c>
      <c r="K1436" s="16" t="str">
        <f aca="false">IF(B1436="","",IF(AND(D1436="Formalização",E1436="Concluído"),IF(COUNTIFS($B$2:$B$5001,B1436,$E$2:$E$5001,"Em ajustes",$N$2:$N$5001,"&lt;"&amp;I1436)&gt;0,1,0),0))</f>
        <v/>
      </c>
      <c r="L1436" s="16" t="str">
        <f aca="false">IF(B1436="","",IF(N1436=_xlfn.MAXIFS($N$2:$N$5001,$B$2:$B$5001,B1436,$I$2:$I$5001,I1436),1,0))</f>
        <v/>
      </c>
      <c r="M1436" s="16" t="str">
        <f aca="false">IF(B1436="","",IF(E1436="Em ajustes",IF(N1436=_xlfn.MINIFS($N$2:$N$5001,$B$2:$B$5001,B1436,$E$2:$E$5001,"Em ajustes"),1,0),0))</f>
        <v/>
      </c>
      <c r="N1436" s="17" t="str">
        <f aca="false">IF(A1436="","",IF(ISNUMBER(A1436),A1436,IFERROR(DATE(VALUE(MID(A1436,7,4)),VALUE(MID(A1436,4,2)),VALUE(MID(A1436,1,2)))+TIME(VALUE(MID(A1436,12,2)),VALUE(MID(A1436,15,2)),VALUE(MID(A1436,18,2))),"")))</f>
        <v/>
      </c>
    </row>
    <row r="1437" customFormat="false" ht="15" hidden="false" customHeight="false" outlineLevel="0" collapsed="false">
      <c r="I1437" s="15" t="str">
        <f aca="false">IF(N1437="","",INT(N1437))</f>
        <v/>
      </c>
      <c r="J1437" s="16" t="str">
        <f aca="false">IF(B1437="","",IF(N1437=_xlfn.MINIFS($N$2:$N$5001,$B$2:$B$5001,B1437),1,0))</f>
        <v/>
      </c>
      <c r="K1437" s="16" t="str">
        <f aca="false">IF(B1437="","",IF(AND(D1437="Formalização",E1437="Concluído"),IF(COUNTIFS($B$2:$B$5001,B1437,$E$2:$E$5001,"Em ajustes",$N$2:$N$5001,"&lt;"&amp;I1437)&gt;0,1,0),0))</f>
        <v/>
      </c>
      <c r="L1437" s="16" t="str">
        <f aca="false">IF(B1437="","",IF(N1437=_xlfn.MAXIFS($N$2:$N$5001,$B$2:$B$5001,B1437,$I$2:$I$5001,I1437),1,0))</f>
        <v/>
      </c>
      <c r="M1437" s="16" t="str">
        <f aca="false">IF(B1437="","",IF(E1437="Em ajustes",IF(N1437=_xlfn.MINIFS($N$2:$N$5001,$B$2:$B$5001,B1437,$E$2:$E$5001,"Em ajustes"),1,0),0))</f>
        <v/>
      </c>
      <c r="N1437" s="17" t="str">
        <f aca="false">IF(A1437="","",IF(ISNUMBER(A1437),A1437,IFERROR(DATE(VALUE(MID(A1437,7,4)),VALUE(MID(A1437,4,2)),VALUE(MID(A1437,1,2)))+TIME(VALUE(MID(A1437,12,2)),VALUE(MID(A1437,15,2)),VALUE(MID(A1437,18,2))),"")))</f>
        <v/>
      </c>
    </row>
    <row r="1438" customFormat="false" ht="15" hidden="false" customHeight="false" outlineLevel="0" collapsed="false">
      <c r="I1438" s="15" t="str">
        <f aca="false">IF(N1438="","",INT(N1438))</f>
        <v/>
      </c>
      <c r="J1438" s="16" t="str">
        <f aca="false">IF(B1438="","",IF(N1438=_xlfn.MINIFS($N$2:$N$5001,$B$2:$B$5001,B1438),1,0))</f>
        <v/>
      </c>
      <c r="K1438" s="16" t="str">
        <f aca="false">IF(B1438="","",IF(AND(D1438="Formalização",E1438="Concluído"),IF(COUNTIFS($B$2:$B$5001,B1438,$E$2:$E$5001,"Em ajustes",$N$2:$N$5001,"&lt;"&amp;I1438)&gt;0,1,0),0))</f>
        <v/>
      </c>
      <c r="L1438" s="16" t="str">
        <f aca="false">IF(B1438="","",IF(N1438=_xlfn.MAXIFS($N$2:$N$5001,$B$2:$B$5001,B1438,$I$2:$I$5001,I1438),1,0))</f>
        <v/>
      </c>
      <c r="M1438" s="16" t="str">
        <f aca="false">IF(B1438="","",IF(E1438="Em ajustes",IF(N1438=_xlfn.MINIFS($N$2:$N$5001,$B$2:$B$5001,B1438,$E$2:$E$5001,"Em ajustes"),1,0),0))</f>
        <v/>
      </c>
      <c r="N1438" s="17" t="str">
        <f aca="false">IF(A1438="","",IF(ISNUMBER(A1438),A1438,IFERROR(DATE(VALUE(MID(A1438,7,4)),VALUE(MID(A1438,4,2)),VALUE(MID(A1438,1,2)))+TIME(VALUE(MID(A1438,12,2)),VALUE(MID(A1438,15,2)),VALUE(MID(A1438,18,2))),"")))</f>
        <v/>
      </c>
    </row>
    <row r="1439" customFormat="false" ht="15" hidden="false" customHeight="false" outlineLevel="0" collapsed="false">
      <c r="I1439" s="15" t="str">
        <f aca="false">IF(N1439="","",INT(N1439))</f>
        <v/>
      </c>
      <c r="J1439" s="16" t="str">
        <f aca="false">IF(B1439="","",IF(N1439=_xlfn.MINIFS($N$2:$N$5001,$B$2:$B$5001,B1439),1,0))</f>
        <v/>
      </c>
      <c r="K1439" s="16" t="str">
        <f aca="false">IF(B1439="","",IF(AND(D1439="Formalização",E1439="Concluído"),IF(COUNTIFS($B$2:$B$5001,B1439,$E$2:$E$5001,"Em ajustes",$N$2:$N$5001,"&lt;"&amp;I1439)&gt;0,1,0),0))</f>
        <v/>
      </c>
      <c r="L1439" s="16" t="str">
        <f aca="false">IF(B1439="","",IF(N1439=_xlfn.MAXIFS($N$2:$N$5001,$B$2:$B$5001,B1439,$I$2:$I$5001,I1439),1,0))</f>
        <v/>
      </c>
      <c r="M1439" s="16" t="str">
        <f aca="false">IF(B1439="","",IF(E1439="Em ajustes",IF(N1439=_xlfn.MINIFS($N$2:$N$5001,$B$2:$B$5001,B1439,$E$2:$E$5001,"Em ajustes"),1,0),0))</f>
        <v/>
      </c>
      <c r="N1439" s="17" t="str">
        <f aca="false">IF(A1439="","",IF(ISNUMBER(A1439),A1439,IFERROR(DATE(VALUE(MID(A1439,7,4)),VALUE(MID(A1439,4,2)),VALUE(MID(A1439,1,2)))+TIME(VALUE(MID(A1439,12,2)),VALUE(MID(A1439,15,2)),VALUE(MID(A1439,18,2))),"")))</f>
        <v/>
      </c>
    </row>
    <row r="1440" customFormat="false" ht="15" hidden="false" customHeight="false" outlineLevel="0" collapsed="false">
      <c r="I1440" s="15" t="str">
        <f aca="false">IF(N1440="","",INT(N1440))</f>
        <v/>
      </c>
      <c r="J1440" s="16" t="str">
        <f aca="false">IF(B1440="","",IF(N1440=_xlfn.MINIFS($N$2:$N$5001,$B$2:$B$5001,B1440),1,0))</f>
        <v/>
      </c>
      <c r="K1440" s="16" t="str">
        <f aca="false">IF(B1440="","",IF(AND(D1440="Formalização",E1440="Concluído"),IF(COUNTIFS($B$2:$B$5001,B1440,$E$2:$E$5001,"Em ajustes",$N$2:$N$5001,"&lt;"&amp;I1440)&gt;0,1,0),0))</f>
        <v/>
      </c>
      <c r="L1440" s="16" t="str">
        <f aca="false">IF(B1440="","",IF(N1440=_xlfn.MAXIFS($N$2:$N$5001,$B$2:$B$5001,B1440,$I$2:$I$5001,I1440),1,0))</f>
        <v/>
      </c>
      <c r="M1440" s="16" t="str">
        <f aca="false">IF(B1440="","",IF(E1440="Em ajustes",IF(N1440=_xlfn.MINIFS($N$2:$N$5001,$B$2:$B$5001,B1440,$E$2:$E$5001,"Em ajustes"),1,0),0))</f>
        <v/>
      </c>
      <c r="N1440" s="17" t="str">
        <f aca="false">IF(A1440="","",IF(ISNUMBER(A1440),A1440,IFERROR(DATE(VALUE(MID(A1440,7,4)),VALUE(MID(A1440,4,2)),VALUE(MID(A1440,1,2)))+TIME(VALUE(MID(A1440,12,2)),VALUE(MID(A1440,15,2)),VALUE(MID(A1440,18,2))),"")))</f>
        <v/>
      </c>
    </row>
    <row r="1441" customFormat="false" ht="15" hidden="false" customHeight="false" outlineLevel="0" collapsed="false">
      <c r="I1441" s="15" t="str">
        <f aca="false">IF(N1441="","",INT(N1441))</f>
        <v/>
      </c>
      <c r="J1441" s="16" t="str">
        <f aca="false">IF(B1441="","",IF(N1441=_xlfn.MINIFS($N$2:$N$5001,$B$2:$B$5001,B1441),1,0))</f>
        <v/>
      </c>
      <c r="K1441" s="16" t="str">
        <f aca="false">IF(B1441="","",IF(AND(D1441="Formalização",E1441="Concluído"),IF(COUNTIFS($B$2:$B$5001,B1441,$E$2:$E$5001,"Em ajustes",$N$2:$N$5001,"&lt;"&amp;I1441)&gt;0,1,0),0))</f>
        <v/>
      </c>
      <c r="L1441" s="16" t="str">
        <f aca="false">IF(B1441="","",IF(N1441=_xlfn.MAXIFS($N$2:$N$5001,$B$2:$B$5001,B1441,$I$2:$I$5001,I1441),1,0))</f>
        <v/>
      </c>
      <c r="M1441" s="16" t="str">
        <f aca="false">IF(B1441="","",IF(E1441="Em ajustes",IF(N1441=_xlfn.MINIFS($N$2:$N$5001,$B$2:$B$5001,B1441,$E$2:$E$5001,"Em ajustes"),1,0),0))</f>
        <v/>
      </c>
      <c r="N1441" s="17" t="str">
        <f aca="false">IF(A1441="","",IF(ISNUMBER(A1441),A1441,IFERROR(DATE(VALUE(MID(A1441,7,4)),VALUE(MID(A1441,4,2)),VALUE(MID(A1441,1,2)))+TIME(VALUE(MID(A1441,12,2)),VALUE(MID(A1441,15,2)),VALUE(MID(A1441,18,2))),"")))</f>
        <v/>
      </c>
    </row>
    <row r="1442" customFormat="false" ht="15" hidden="false" customHeight="false" outlineLevel="0" collapsed="false">
      <c r="I1442" s="15" t="str">
        <f aca="false">IF(N1442="","",INT(N1442))</f>
        <v/>
      </c>
      <c r="J1442" s="16" t="str">
        <f aca="false">IF(B1442="","",IF(N1442=_xlfn.MINIFS($N$2:$N$5001,$B$2:$B$5001,B1442),1,0))</f>
        <v/>
      </c>
      <c r="K1442" s="16" t="str">
        <f aca="false">IF(B1442="","",IF(AND(D1442="Formalização",E1442="Concluído"),IF(COUNTIFS($B$2:$B$5001,B1442,$E$2:$E$5001,"Em ajustes",$N$2:$N$5001,"&lt;"&amp;I1442)&gt;0,1,0),0))</f>
        <v/>
      </c>
      <c r="L1442" s="16" t="str">
        <f aca="false">IF(B1442="","",IF(N1442=_xlfn.MAXIFS($N$2:$N$5001,$B$2:$B$5001,B1442,$I$2:$I$5001,I1442),1,0))</f>
        <v/>
      </c>
      <c r="M1442" s="16" t="str">
        <f aca="false">IF(B1442="","",IF(E1442="Em ajustes",IF(N1442=_xlfn.MINIFS($N$2:$N$5001,$B$2:$B$5001,B1442,$E$2:$E$5001,"Em ajustes"),1,0),0))</f>
        <v/>
      </c>
      <c r="N1442" s="17" t="str">
        <f aca="false">IF(A1442="","",IF(ISNUMBER(A1442),A1442,IFERROR(DATE(VALUE(MID(A1442,7,4)),VALUE(MID(A1442,4,2)),VALUE(MID(A1442,1,2)))+TIME(VALUE(MID(A1442,12,2)),VALUE(MID(A1442,15,2)),VALUE(MID(A1442,18,2))),"")))</f>
        <v/>
      </c>
    </row>
    <row r="1443" customFormat="false" ht="15" hidden="false" customHeight="false" outlineLevel="0" collapsed="false">
      <c r="I1443" s="15" t="str">
        <f aca="false">IF(N1443="","",INT(N1443))</f>
        <v/>
      </c>
      <c r="J1443" s="16" t="str">
        <f aca="false">IF(B1443="","",IF(N1443=_xlfn.MINIFS($N$2:$N$5001,$B$2:$B$5001,B1443),1,0))</f>
        <v/>
      </c>
      <c r="K1443" s="16" t="str">
        <f aca="false">IF(B1443="","",IF(AND(D1443="Formalização",E1443="Concluído"),IF(COUNTIFS($B$2:$B$5001,B1443,$E$2:$E$5001,"Em ajustes",$N$2:$N$5001,"&lt;"&amp;I1443)&gt;0,1,0),0))</f>
        <v/>
      </c>
      <c r="L1443" s="16" t="str">
        <f aca="false">IF(B1443="","",IF(N1443=_xlfn.MAXIFS($N$2:$N$5001,$B$2:$B$5001,B1443,$I$2:$I$5001,I1443),1,0))</f>
        <v/>
      </c>
      <c r="M1443" s="16" t="str">
        <f aca="false">IF(B1443="","",IF(E1443="Em ajustes",IF(N1443=_xlfn.MINIFS($N$2:$N$5001,$B$2:$B$5001,B1443,$E$2:$E$5001,"Em ajustes"),1,0),0))</f>
        <v/>
      </c>
      <c r="N1443" s="17" t="str">
        <f aca="false">IF(A1443="","",IF(ISNUMBER(A1443),A1443,IFERROR(DATE(VALUE(MID(A1443,7,4)),VALUE(MID(A1443,4,2)),VALUE(MID(A1443,1,2)))+TIME(VALUE(MID(A1443,12,2)),VALUE(MID(A1443,15,2)),VALUE(MID(A1443,18,2))),"")))</f>
        <v/>
      </c>
    </row>
    <row r="1444" customFormat="false" ht="15" hidden="false" customHeight="false" outlineLevel="0" collapsed="false">
      <c r="I1444" s="15" t="str">
        <f aca="false">IF(N1444="","",INT(N1444))</f>
        <v/>
      </c>
      <c r="J1444" s="16" t="str">
        <f aca="false">IF(B1444="","",IF(N1444=_xlfn.MINIFS($N$2:$N$5001,$B$2:$B$5001,B1444),1,0))</f>
        <v/>
      </c>
      <c r="K1444" s="16" t="str">
        <f aca="false">IF(B1444="","",IF(AND(D1444="Formalização",E1444="Concluído"),IF(COUNTIFS($B$2:$B$5001,B1444,$E$2:$E$5001,"Em ajustes",$N$2:$N$5001,"&lt;"&amp;I1444)&gt;0,1,0),0))</f>
        <v/>
      </c>
      <c r="L1444" s="16" t="str">
        <f aca="false">IF(B1444="","",IF(N1444=_xlfn.MAXIFS($N$2:$N$5001,$B$2:$B$5001,B1444,$I$2:$I$5001,I1444),1,0))</f>
        <v/>
      </c>
      <c r="M1444" s="16" t="str">
        <f aca="false">IF(B1444="","",IF(E1444="Em ajustes",IF(N1444=_xlfn.MINIFS($N$2:$N$5001,$B$2:$B$5001,B1444,$E$2:$E$5001,"Em ajustes"),1,0),0))</f>
        <v/>
      </c>
      <c r="N1444" s="17" t="str">
        <f aca="false">IF(A1444="","",IF(ISNUMBER(A1444),A1444,IFERROR(DATE(VALUE(MID(A1444,7,4)),VALUE(MID(A1444,4,2)),VALUE(MID(A1444,1,2)))+TIME(VALUE(MID(A1444,12,2)),VALUE(MID(A1444,15,2)),VALUE(MID(A1444,18,2))),"")))</f>
        <v/>
      </c>
    </row>
    <row r="1445" customFormat="false" ht="15" hidden="false" customHeight="false" outlineLevel="0" collapsed="false">
      <c r="I1445" s="15" t="str">
        <f aca="false">IF(N1445="","",INT(N1445))</f>
        <v/>
      </c>
      <c r="J1445" s="16" t="str">
        <f aca="false">IF(B1445="","",IF(N1445=_xlfn.MINIFS($N$2:$N$5001,$B$2:$B$5001,B1445),1,0))</f>
        <v/>
      </c>
      <c r="K1445" s="16" t="str">
        <f aca="false">IF(B1445="","",IF(AND(D1445="Formalização",E1445="Concluído"),IF(COUNTIFS($B$2:$B$5001,B1445,$E$2:$E$5001,"Em ajustes",$N$2:$N$5001,"&lt;"&amp;I1445)&gt;0,1,0),0))</f>
        <v/>
      </c>
      <c r="L1445" s="16" t="str">
        <f aca="false">IF(B1445="","",IF(N1445=_xlfn.MAXIFS($N$2:$N$5001,$B$2:$B$5001,B1445,$I$2:$I$5001,I1445),1,0))</f>
        <v/>
      </c>
      <c r="M1445" s="16" t="str">
        <f aca="false">IF(B1445="","",IF(E1445="Em ajustes",IF(N1445=_xlfn.MINIFS($N$2:$N$5001,$B$2:$B$5001,B1445,$E$2:$E$5001,"Em ajustes"),1,0),0))</f>
        <v/>
      </c>
      <c r="N1445" s="17" t="str">
        <f aca="false">IF(A1445="","",IF(ISNUMBER(A1445),A1445,IFERROR(DATE(VALUE(MID(A1445,7,4)),VALUE(MID(A1445,4,2)),VALUE(MID(A1445,1,2)))+TIME(VALUE(MID(A1445,12,2)),VALUE(MID(A1445,15,2)),VALUE(MID(A1445,18,2))),"")))</f>
        <v/>
      </c>
    </row>
    <row r="1446" customFormat="false" ht="15" hidden="false" customHeight="false" outlineLevel="0" collapsed="false">
      <c r="I1446" s="15" t="str">
        <f aca="false">IF(N1446="","",INT(N1446))</f>
        <v/>
      </c>
      <c r="J1446" s="16" t="str">
        <f aca="false">IF(B1446="","",IF(N1446=_xlfn.MINIFS($N$2:$N$5001,$B$2:$B$5001,B1446),1,0))</f>
        <v/>
      </c>
      <c r="K1446" s="16" t="str">
        <f aca="false">IF(B1446="","",IF(AND(D1446="Formalização",E1446="Concluído"),IF(COUNTIFS($B$2:$B$5001,B1446,$E$2:$E$5001,"Em ajustes",$N$2:$N$5001,"&lt;"&amp;I1446)&gt;0,1,0),0))</f>
        <v/>
      </c>
      <c r="L1446" s="16" t="str">
        <f aca="false">IF(B1446="","",IF(N1446=_xlfn.MAXIFS($N$2:$N$5001,$B$2:$B$5001,B1446,$I$2:$I$5001,I1446),1,0))</f>
        <v/>
      </c>
      <c r="M1446" s="16" t="str">
        <f aca="false">IF(B1446="","",IF(E1446="Em ajustes",IF(N1446=_xlfn.MINIFS($N$2:$N$5001,$B$2:$B$5001,B1446,$E$2:$E$5001,"Em ajustes"),1,0),0))</f>
        <v/>
      </c>
      <c r="N1446" s="17" t="str">
        <f aca="false">IF(A1446="","",IF(ISNUMBER(A1446),A1446,IFERROR(DATE(VALUE(MID(A1446,7,4)),VALUE(MID(A1446,4,2)),VALUE(MID(A1446,1,2)))+TIME(VALUE(MID(A1446,12,2)),VALUE(MID(A1446,15,2)),VALUE(MID(A1446,18,2))),"")))</f>
        <v/>
      </c>
    </row>
    <row r="1447" customFormat="false" ht="15" hidden="false" customHeight="false" outlineLevel="0" collapsed="false">
      <c r="I1447" s="15" t="str">
        <f aca="false">IF(N1447="","",INT(N1447))</f>
        <v/>
      </c>
      <c r="J1447" s="16" t="str">
        <f aca="false">IF(B1447="","",IF(N1447=_xlfn.MINIFS($N$2:$N$5001,$B$2:$B$5001,B1447),1,0))</f>
        <v/>
      </c>
      <c r="K1447" s="16" t="str">
        <f aca="false">IF(B1447="","",IF(AND(D1447="Formalização",E1447="Concluído"),IF(COUNTIFS($B$2:$B$5001,B1447,$E$2:$E$5001,"Em ajustes",$N$2:$N$5001,"&lt;"&amp;I1447)&gt;0,1,0),0))</f>
        <v/>
      </c>
      <c r="L1447" s="16" t="str">
        <f aca="false">IF(B1447="","",IF(N1447=_xlfn.MAXIFS($N$2:$N$5001,$B$2:$B$5001,B1447,$I$2:$I$5001,I1447),1,0))</f>
        <v/>
      </c>
      <c r="M1447" s="16" t="str">
        <f aca="false">IF(B1447="","",IF(E1447="Em ajustes",IF(N1447=_xlfn.MINIFS($N$2:$N$5001,$B$2:$B$5001,B1447,$E$2:$E$5001,"Em ajustes"),1,0),0))</f>
        <v/>
      </c>
      <c r="N1447" s="17" t="str">
        <f aca="false">IF(A1447="","",IF(ISNUMBER(A1447),A1447,IFERROR(DATE(VALUE(MID(A1447,7,4)),VALUE(MID(A1447,4,2)),VALUE(MID(A1447,1,2)))+TIME(VALUE(MID(A1447,12,2)),VALUE(MID(A1447,15,2)),VALUE(MID(A1447,18,2))),"")))</f>
        <v/>
      </c>
    </row>
    <row r="1448" customFormat="false" ht="15" hidden="false" customHeight="false" outlineLevel="0" collapsed="false">
      <c r="I1448" s="15" t="str">
        <f aca="false">IF(N1448="","",INT(N1448))</f>
        <v/>
      </c>
      <c r="J1448" s="16" t="str">
        <f aca="false">IF(B1448="","",IF(N1448=_xlfn.MINIFS($N$2:$N$5001,$B$2:$B$5001,B1448),1,0))</f>
        <v/>
      </c>
      <c r="K1448" s="16" t="str">
        <f aca="false">IF(B1448="","",IF(AND(D1448="Formalização",E1448="Concluído"),IF(COUNTIFS($B$2:$B$5001,B1448,$E$2:$E$5001,"Em ajustes",$N$2:$N$5001,"&lt;"&amp;I1448)&gt;0,1,0),0))</f>
        <v/>
      </c>
      <c r="L1448" s="16" t="str">
        <f aca="false">IF(B1448="","",IF(N1448=_xlfn.MAXIFS($N$2:$N$5001,$B$2:$B$5001,B1448,$I$2:$I$5001,I1448),1,0))</f>
        <v/>
      </c>
      <c r="M1448" s="16" t="str">
        <f aca="false">IF(B1448="","",IF(E1448="Em ajustes",IF(N1448=_xlfn.MINIFS($N$2:$N$5001,$B$2:$B$5001,B1448,$E$2:$E$5001,"Em ajustes"),1,0),0))</f>
        <v/>
      </c>
      <c r="N1448" s="17" t="str">
        <f aca="false">IF(A1448="","",IF(ISNUMBER(A1448),A1448,IFERROR(DATE(VALUE(MID(A1448,7,4)),VALUE(MID(A1448,4,2)),VALUE(MID(A1448,1,2)))+TIME(VALUE(MID(A1448,12,2)),VALUE(MID(A1448,15,2)),VALUE(MID(A1448,18,2))),"")))</f>
        <v/>
      </c>
    </row>
    <row r="1449" customFormat="false" ht="15" hidden="false" customHeight="false" outlineLevel="0" collapsed="false">
      <c r="I1449" s="15" t="str">
        <f aca="false">IF(N1449="","",INT(N1449))</f>
        <v/>
      </c>
      <c r="J1449" s="16" t="str">
        <f aca="false">IF(B1449="","",IF(N1449=_xlfn.MINIFS($N$2:$N$5001,$B$2:$B$5001,B1449),1,0))</f>
        <v/>
      </c>
      <c r="K1449" s="16" t="str">
        <f aca="false">IF(B1449="","",IF(AND(D1449="Formalização",E1449="Concluído"),IF(COUNTIFS($B$2:$B$5001,B1449,$E$2:$E$5001,"Em ajustes",$N$2:$N$5001,"&lt;"&amp;I1449)&gt;0,1,0),0))</f>
        <v/>
      </c>
      <c r="L1449" s="16" t="str">
        <f aca="false">IF(B1449="","",IF(N1449=_xlfn.MAXIFS($N$2:$N$5001,$B$2:$B$5001,B1449,$I$2:$I$5001,I1449),1,0))</f>
        <v/>
      </c>
      <c r="M1449" s="16" t="str">
        <f aca="false">IF(B1449="","",IF(E1449="Em ajustes",IF(N1449=_xlfn.MINIFS($N$2:$N$5001,$B$2:$B$5001,B1449,$E$2:$E$5001,"Em ajustes"),1,0),0))</f>
        <v/>
      </c>
      <c r="N1449" s="17" t="str">
        <f aca="false">IF(A1449="","",IF(ISNUMBER(A1449),A1449,IFERROR(DATE(VALUE(MID(A1449,7,4)),VALUE(MID(A1449,4,2)),VALUE(MID(A1449,1,2)))+TIME(VALUE(MID(A1449,12,2)),VALUE(MID(A1449,15,2)),VALUE(MID(A1449,18,2))),"")))</f>
        <v/>
      </c>
    </row>
    <row r="1450" customFormat="false" ht="15" hidden="false" customHeight="false" outlineLevel="0" collapsed="false">
      <c r="I1450" s="15" t="str">
        <f aca="false">IF(N1450="","",INT(N1450))</f>
        <v/>
      </c>
      <c r="J1450" s="16" t="str">
        <f aca="false">IF(B1450="","",IF(N1450=_xlfn.MINIFS($N$2:$N$5001,$B$2:$B$5001,B1450),1,0))</f>
        <v/>
      </c>
      <c r="K1450" s="16" t="str">
        <f aca="false">IF(B1450="","",IF(AND(D1450="Formalização",E1450="Concluído"),IF(COUNTIFS($B$2:$B$5001,B1450,$E$2:$E$5001,"Em ajustes",$N$2:$N$5001,"&lt;"&amp;I1450)&gt;0,1,0),0))</f>
        <v/>
      </c>
      <c r="L1450" s="16" t="str">
        <f aca="false">IF(B1450="","",IF(N1450=_xlfn.MAXIFS($N$2:$N$5001,$B$2:$B$5001,B1450,$I$2:$I$5001,I1450),1,0))</f>
        <v/>
      </c>
      <c r="M1450" s="16" t="str">
        <f aca="false">IF(B1450="","",IF(E1450="Em ajustes",IF(N1450=_xlfn.MINIFS($N$2:$N$5001,$B$2:$B$5001,B1450,$E$2:$E$5001,"Em ajustes"),1,0),0))</f>
        <v/>
      </c>
      <c r="N1450" s="17" t="str">
        <f aca="false">IF(A1450="","",IF(ISNUMBER(A1450),A1450,IFERROR(DATE(VALUE(MID(A1450,7,4)),VALUE(MID(A1450,4,2)),VALUE(MID(A1450,1,2)))+TIME(VALUE(MID(A1450,12,2)),VALUE(MID(A1450,15,2)),VALUE(MID(A1450,18,2))),"")))</f>
        <v/>
      </c>
    </row>
    <row r="1451" customFormat="false" ht="15" hidden="false" customHeight="false" outlineLevel="0" collapsed="false">
      <c r="I1451" s="15" t="str">
        <f aca="false">IF(N1451="","",INT(N1451))</f>
        <v/>
      </c>
      <c r="J1451" s="16" t="str">
        <f aca="false">IF(B1451="","",IF(N1451=_xlfn.MINIFS($N$2:$N$5001,$B$2:$B$5001,B1451),1,0))</f>
        <v/>
      </c>
      <c r="K1451" s="16" t="str">
        <f aca="false">IF(B1451="","",IF(AND(D1451="Formalização",E1451="Concluído"),IF(COUNTIFS($B$2:$B$5001,B1451,$E$2:$E$5001,"Em ajustes",$N$2:$N$5001,"&lt;"&amp;I1451)&gt;0,1,0),0))</f>
        <v/>
      </c>
      <c r="L1451" s="16" t="str">
        <f aca="false">IF(B1451="","",IF(N1451=_xlfn.MAXIFS($N$2:$N$5001,$B$2:$B$5001,B1451,$I$2:$I$5001,I1451),1,0))</f>
        <v/>
      </c>
      <c r="M1451" s="16" t="str">
        <f aca="false">IF(B1451="","",IF(E1451="Em ajustes",IF(N1451=_xlfn.MINIFS($N$2:$N$5001,$B$2:$B$5001,B1451,$E$2:$E$5001,"Em ajustes"),1,0),0))</f>
        <v/>
      </c>
      <c r="N1451" s="17" t="str">
        <f aca="false">IF(A1451="","",IF(ISNUMBER(A1451),A1451,IFERROR(DATE(VALUE(MID(A1451,7,4)),VALUE(MID(A1451,4,2)),VALUE(MID(A1451,1,2)))+TIME(VALUE(MID(A1451,12,2)),VALUE(MID(A1451,15,2)),VALUE(MID(A1451,18,2))),"")))</f>
        <v/>
      </c>
    </row>
    <row r="1452" customFormat="false" ht="15" hidden="false" customHeight="false" outlineLevel="0" collapsed="false">
      <c r="I1452" s="15" t="str">
        <f aca="false">IF(N1452="","",INT(N1452))</f>
        <v/>
      </c>
      <c r="J1452" s="16" t="str">
        <f aca="false">IF(B1452="","",IF(N1452=_xlfn.MINIFS($N$2:$N$5001,$B$2:$B$5001,B1452),1,0))</f>
        <v/>
      </c>
      <c r="K1452" s="16" t="str">
        <f aca="false">IF(B1452="","",IF(AND(D1452="Formalização",E1452="Concluído"),IF(COUNTIFS($B$2:$B$5001,B1452,$E$2:$E$5001,"Em ajustes",$N$2:$N$5001,"&lt;"&amp;I1452)&gt;0,1,0),0))</f>
        <v/>
      </c>
      <c r="L1452" s="16" t="str">
        <f aca="false">IF(B1452="","",IF(N1452=_xlfn.MAXIFS($N$2:$N$5001,$B$2:$B$5001,B1452,$I$2:$I$5001,I1452),1,0))</f>
        <v/>
      </c>
      <c r="M1452" s="16" t="str">
        <f aca="false">IF(B1452="","",IF(E1452="Em ajustes",IF(N1452=_xlfn.MINIFS($N$2:$N$5001,$B$2:$B$5001,B1452,$E$2:$E$5001,"Em ajustes"),1,0),0))</f>
        <v/>
      </c>
      <c r="N1452" s="17" t="str">
        <f aca="false">IF(A1452="","",IF(ISNUMBER(A1452),A1452,IFERROR(DATE(VALUE(MID(A1452,7,4)),VALUE(MID(A1452,4,2)),VALUE(MID(A1452,1,2)))+TIME(VALUE(MID(A1452,12,2)),VALUE(MID(A1452,15,2)),VALUE(MID(A1452,18,2))),"")))</f>
        <v/>
      </c>
    </row>
    <row r="1453" customFormat="false" ht="15" hidden="false" customHeight="false" outlineLevel="0" collapsed="false">
      <c r="I1453" s="15" t="str">
        <f aca="false">IF(N1453="","",INT(N1453))</f>
        <v/>
      </c>
      <c r="J1453" s="16" t="str">
        <f aca="false">IF(B1453="","",IF(N1453=_xlfn.MINIFS($N$2:$N$5001,$B$2:$B$5001,B1453),1,0))</f>
        <v/>
      </c>
      <c r="K1453" s="16" t="str">
        <f aca="false">IF(B1453="","",IF(AND(D1453="Formalização",E1453="Concluído"),IF(COUNTIFS($B$2:$B$5001,B1453,$E$2:$E$5001,"Em ajustes",$N$2:$N$5001,"&lt;"&amp;I1453)&gt;0,1,0),0))</f>
        <v/>
      </c>
      <c r="L1453" s="16" t="str">
        <f aca="false">IF(B1453="","",IF(N1453=_xlfn.MAXIFS($N$2:$N$5001,$B$2:$B$5001,B1453,$I$2:$I$5001,I1453),1,0))</f>
        <v/>
      </c>
      <c r="M1453" s="16" t="str">
        <f aca="false">IF(B1453="","",IF(E1453="Em ajustes",IF(N1453=_xlfn.MINIFS($N$2:$N$5001,$B$2:$B$5001,B1453,$E$2:$E$5001,"Em ajustes"),1,0),0))</f>
        <v/>
      </c>
      <c r="N1453" s="17" t="str">
        <f aca="false">IF(A1453="","",IF(ISNUMBER(A1453),A1453,IFERROR(DATE(VALUE(MID(A1453,7,4)),VALUE(MID(A1453,4,2)),VALUE(MID(A1453,1,2)))+TIME(VALUE(MID(A1453,12,2)),VALUE(MID(A1453,15,2)),VALUE(MID(A1453,18,2))),"")))</f>
        <v/>
      </c>
    </row>
    <row r="1454" customFormat="false" ht="15" hidden="false" customHeight="false" outlineLevel="0" collapsed="false">
      <c r="I1454" s="15" t="str">
        <f aca="false">IF(N1454="","",INT(N1454))</f>
        <v/>
      </c>
      <c r="J1454" s="16" t="str">
        <f aca="false">IF(B1454="","",IF(N1454=_xlfn.MINIFS($N$2:$N$5001,$B$2:$B$5001,B1454),1,0))</f>
        <v/>
      </c>
      <c r="K1454" s="16" t="str">
        <f aca="false">IF(B1454="","",IF(AND(D1454="Formalização",E1454="Concluído"),IF(COUNTIFS($B$2:$B$5001,B1454,$E$2:$E$5001,"Em ajustes",$N$2:$N$5001,"&lt;"&amp;I1454)&gt;0,1,0),0))</f>
        <v/>
      </c>
      <c r="L1454" s="16" t="str">
        <f aca="false">IF(B1454="","",IF(N1454=_xlfn.MAXIFS($N$2:$N$5001,$B$2:$B$5001,B1454,$I$2:$I$5001,I1454),1,0))</f>
        <v/>
      </c>
      <c r="M1454" s="16" t="str">
        <f aca="false">IF(B1454="","",IF(E1454="Em ajustes",IF(N1454=_xlfn.MINIFS($N$2:$N$5001,$B$2:$B$5001,B1454,$E$2:$E$5001,"Em ajustes"),1,0),0))</f>
        <v/>
      </c>
      <c r="N1454" s="17" t="str">
        <f aca="false">IF(A1454="","",IF(ISNUMBER(A1454),A1454,IFERROR(DATE(VALUE(MID(A1454,7,4)),VALUE(MID(A1454,4,2)),VALUE(MID(A1454,1,2)))+TIME(VALUE(MID(A1454,12,2)),VALUE(MID(A1454,15,2)),VALUE(MID(A1454,18,2))),"")))</f>
        <v/>
      </c>
    </row>
    <row r="1455" customFormat="false" ht="15" hidden="false" customHeight="false" outlineLevel="0" collapsed="false">
      <c r="I1455" s="15" t="str">
        <f aca="false">IF(N1455="","",INT(N1455))</f>
        <v/>
      </c>
      <c r="J1455" s="16" t="str">
        <f aca="false">IF(B1455="","",IF(N1455=_xlfn.MINIFS($N$2:$N$5001,$B$2:$B$5001,B1455),1,0))</f>
        <v/>
      </c>
      <c r="K1455" s="16" t="str">
        <f aca="false">IF(B1455="","",IF(AND(D1455="Formalização",E1455="Concluído"),IF(COUNTIFS($B$2:$B$5001,B1455,$E$2:$E$5001,"Em ajustes",$N$2:$N$5001,"&lt;"&amp;I1455)&gt;0,1,0),0))</f>
        <v/>
      </c>
      <c r="L1455" s="16" t="str">
        <f aca="false">IF(B1455="","",IF(N1455=_xlfn.MAXIFS($N$2:$N$5001,$B$2:$B$5001,B1455,$I$2:$I$5001,I1455),1,0))</f>
        <v/>
      </c>
      <c r="M1455" s="16" t="str">
        <f aca="false">IF(B1455="","",IF(E1455="Em ajustes",IF(N1455=_xlfn.MINIFS($N$2:$N$5001,$B$2:$B$5001,B1455,$E$2:$E$5001,"Em ajustes"),1,0),0))</f>
        <v/>
      </c>
      <c r="N1455" s="17" t="str">
        <f aca="false">IF(A1455="","",IF(ISNUMBER(A1455),A1455,IFERROR(DATE(VALUE(MID(A1455,7,4)),VALUE(MID(A1455,4,2)),VALUE(MID(A1455,1,2)))+TIME(VALUE(MID(A1455,12,2)),VALUE(MID(A1455,15,2)),VALUE(MID(A1455,18,2))),"")))</f>
        <v/>
      </c>
    </row>
    <row r="1456" customFormat="false" ht="15" hidden="false" customHeight="false" outlineLevel="0" collapsed="false">
      <c r="I1456" s="15" t="str">
        <f aca="false">IF(N1456="","",INT(N1456))</f>
        <v/>
      </c>
      <c r="J1456" s="16" t="str">
        <f aca="false">IF(B1456="","",IF(N1456=_xlfn.MINIFS($N$2:$N$5001,$B$2:$B$5001,B1456),1,0))</f>
        <v/>
      </c>
      <c r="K1456" s="16" t="str">
        <f aca="false">IF(B1456="","",IF(AND(D1456="Formalização",E1456="Concluído"),IF(COUNTIFS($B$2:$B$5001,B1456,$E$2:$E$5001,"Em ajustes",$N$2:$N$5001,"&lt;"&amp;I1456)&gt;0,1,0),0))</f>
        <v/>
      </c>
      <c r="L1456" s="16" t="str">
        <f aca="false">IF(B1456="","",IF(N1456=_xlfn.MAXIFS($N$2:$N$5001,$B$2:$B$5001,B1456,$I$2:$I$5001,I1456),1,0))</f>
        <v/>
      </c>
      <c r="M1456" s="16" t="str">
        <f aca="false">IF(B1456="","",IF(E1456="Em ajustes",IF(N1456=_xlfn.MINIFS($N$2:$N$5001,$B$2:$B$5001,B1456,$E$2:$E$5001,"Em ajustes"),1,0),0))</f>
        <v/>
      </c>
      <c r="N1456" s="17" t="str">
        <f aca="false">IF(A1456="","",IF(ISNUMBER(A1456),A1456,IFERROR(DATE(VALUE(MID(A1456,7,4)),VALUE(MID(A1456,4,2)),VALUE(MID(A1456,1,2)))+TIME(VALUE(MID(A1456,12,2)),VALUE(MID(A1456,15,2)),VALUE(MID(A1456,18,2))),"")))</f>
        <v/>
      </c>
    </row>
    <row r="1457" customFormat="false" ht="15" hidden="false" customHeight="false" outlineLevel="0" collapsed="false">
      <c r="I1457" s="15" t="str">
        <f aca="false">IF(N1457="","",INT(N1457))</f>
        <v/>
      </c>
      <c r="J1457" s="16" t="str">
        <f aca="false">IF(B1457="","",IF(N1457=_xlfn.MINIFS($N$2:$N$5001,$B$2:$B$5001,B1457),1,0))</f>
        <v/>
      </c>
      <c r="K1457" s="16" t="str">
        <f aca="false">IF(B1457="","",IF(AND(D1457="Formalização",E1457="Concluído"),IF(COUNTIFS($B$2:$B$5001,B1457,$E$2:$E$5001,"Em ajustes",$N$2:$N$5001,"&lt;"&amp;I1457)&gt;0,1,0),0))</f>
        <v/>
      </c>
      <c r="L1457" s="16" t="str">
        <f aca="false">IF(B1457="","",IF(N1457=_xlfn.MAXIFS($N$2:$N$5001,$B$2:$B$5001,B1457,$I$2:$I$5001,I1457),1,0))</f>
        <v/>
      </c>
      <c r="M1457" s="16" t="str">
        <f aca="false">IF(B1457="","",IF(E1457="Em ajustes",IF(N1457=_xlfn.MINIFS($N$2:$N$5001,$B$2:$B$5001,B1457,$E$2:$E$5001,"Em ajustes"),1,0),0))</f>
        <v/>
      </c>
      <c r="N1457" s="17" t="str">
        <f aca="false">IF(A1457="","",IF(ISNUMBER(A1457),A1457,IFERROR(DATE(VALUE(MID(A1457,7,4)),VALUE(MID(A1457,4,2)),VALUE(MID(A1457,1,2)))+TIME(VALUE(MID(A1457,12,2)),VALUE(MID(A1457,15,2)),VALUE(MID(A1457,18,2))),"")))</f>
        <v/>
      </c>
    </row>
    <row r="1458" customFormat="false" ht="15" hidden="false" customHeight="false" outlineLevel="0" collapsed="false">
      <c r="I1458" s="15" t="str">
        <f aca="false">IF(N1458="","",INT(N1458))</f>
        <v/>
      </c>
      <c r="J1458" s="16" t="str">
        <f aca="false">IF(B1458="","",IF(N1458=_xlfn.MINIFS($N$2:$N$5001,$B$2:$B$5001,B1458),1,0))</f>
        <v/>
      </c>
      <c r="K1458" s="16" t="str">
        <f aca="false">IF(B1458="","",IF(AND(D1458="Formalização",E1458="Concluído"),IF(COUNTIFS($B$2:$B$5001,B1458,$E$2:$E$5001,"Em ajustes",$N$2:$N$5001,"&lt;"&amp;I1458)&gt;0,1,0),0))</f>
        <v/>
      </c>
      <c r="L1458" s="16" t="str">
        <f aca="false">IF(B1458="","",IF(N1458=_xlfn.MAXIFS($N$2:$N$5001,$B$2:$B$5001,B1458,$I$2:$I$5001,I1458),1,0))</f>
        <v/>
      </c>
      <c r="M1458" s="16" t="str">
        <f aca="false">IF(B1458="","",IF(E1458="Em ajustes",IF(N1458=_xlfn.MINIFS($N$2:$N$5001,$B$2:$B$5001,B1458,$E$2:$E$5001,"Em ajustes"),1,0),0))</f>
        <v/>
      </c>
      <c r="N1458" s="17" t="str">
        <f aca="false">IF(A1458="","",IF(ISNUMBER(A1458),A1458,IFERROR(DATE(VALUE(MID(A1458,7,4)),VALUE(MID(A1458,4,2)),VALUE(MID(A1458,1,2)))+TIME(VALUE(MID(A1458,12,2)),VALUE(MID(A1458,15,2)),VALUE(MID(A1458,18,2))),"")))</f>
        <v/>
      </c>
    </row>
    <row r="1459" customFormat="false" ht="15" hidden="false" customHeight="false" outlineLevel="0" collapsed="false">
      <c r="I1459" s="15" t="str">
        <f aca="false">IF(N1459="","",INT(N1459))</f>
        <v/>
      </c>
      <c r="J1459" s="16" t="str">
        <f aca="false">IF(B1459="","",IF(N1459=_xlfn.MINIFS($N$2:$N$5001,$B$2:$B$5001,B1459),1,0))</f>
        <v/>
      </c>
      <c r="K1459" s="16" t="str">
        <f aca="false">IF(B1459="","",IF(AND(D1459="Formalização",E1459="Concluído"),IF(COUNTIFS($B$2:$B$5001,B1459,$E$2:$E$5001,"Em ajustes",$N$2:$N$5001,"&lt;"&amp;I1459)&gt;0,1,0),0))</f>
        <v/>
      </c>
      <c r="L1459" s="16" t="str">
        <f aca="false">IF(B1459="","",IF(N1459=_xlfn.MAXIFS($N$2:$N$5001,$B$2:$B$5001,B1459,$I$2:$I$5001,I1459),1,0))</f>
        <v/>
      </c>
      <c r="M1459" s="16" t="str">
        <f aca="false">IF(B1459="","",IF(E1459="Em ajustes",IF(N1459=_xlfn.MINIFS($N$2:$N$5001,$B$2:$B$5001,B1459,$E$2:$E$5001,"Em ajustes"),1,0),0))</f>
        <v/>
      </c>
      <c r="N1459" s="17" t="str">
        <f aca="false">IF(A1459="","",IF(ISNUMBER(A1459),A1459,IFERROR(DATE(VALUE(MID(A1459,7,4)),VALUE(MID(A1459,4,2)),VALUE(MID(A1459,1,2)))+TIME(VALUE(MID(A1459,12,2)),VALUE(MID(A1459,15,2)),VALUE(MID(A1459,18,2))),"")))</f>
        <v/>
      </c>
    </row>
    <row r="1460" customFormat="false" ht="15" hidden="false" customHeight="false" outlineLevel="0" collapsed="false">
      <c r="I1460" s="15" t="str">
        <f aca="false">IF(N1460="","",INT(N1460))</f>
        <v/>
      </c>
      <c r="J1460" s="16" t="str">
        <f aca="false">IF(B1460="","",IF(N1460=_xlfn.MINIFS($N$2:$N$5001,$B$2:$B$5001,B1460),1,0))</f>
        <v/>
      </c>
      <c r="K1460" s="16" t="str">
        <f aca="false">IF(B1460="","",IF(AND(D1460="Formalização",E1460="Concluído"),IF(COUNTIFS($B$2:$B$5001,B1460,$E$2:$E$5001,"Em ajustes",$N$2:$N$5001,"&lt;"&amp;I1460)&gt;0,1,0),0))</f>
        <v/>
      </c>
      <c r="L1460" s="16" t="str">
        <f aca="false">IF(B1460="","",IF(N1460=_xlfn.MAXIFS($N$2:$N$5001,$B$2:$B$5001,B1460,$I$2:$I$5001,I1460),1,0))</f>
        <v/>
      </c>
      <c r="M1460" s="16" t="str">
        <f aca="false">IF(B1460="","",IF(E1460="Em ajustes",IF(N1460=_xlfn.MINIFS($N$2:$N$5001,$B$2:$B$5001,B1460,$E$2:$E$5001,"Em ajustes"),1,0),0))</f>
        <v/>
      </c>
      <c r="N1460" s="17" t="str">
        <f aca="false">IF(A1460="","",IF(ISNUMBER(A1460),A1460,IFERROR(DATE(VALUE(MID(A1460,7,4)),VALUE(MID(A1460,4,2)),VALUE(MID(A1460,1,2)))+TIME(VALUE(MID(A1460,12,2)),VALUE(MID(A1460,15,2)),VALUE(MID(A1460,18,2))),"")))</f>
        <v/>
      </c>
    </row>
    <row r="1461" customFormat="false" ht="15" hidden="false" customHeight="false" outlineLevel="0" collapsed="false">
      <c r="I1461" s="15" t="str">
        <f aca="false">IF(N1461="","",INT(N1461))</f>
        <v/>
      </c>
      <c r="J1461" s="16" t="str">
        <f aca="false">IF(B1461="","",IF(N1461=_xlfn.MINIFS($N$2:$N$5001,$B$2:$B$5001,B1461),1,0))</f>
        <v/>
      </c>
      <c r="K1461" s="16" t="str">
        <f aca="false">IF(B1461="","",IF(AND(D1461="Formalização",E1461="Concluído"),IF(COUNTIFS($B$2:$B$5001,B1461,$E$2:$E$5001,"Em ajustes",$N$2:$N$5001,"&lt;"&amp;I1461)&gt;0,1,0),0))</f>
        <v/>
      </c>
      <c r="L1461" s="16" t="str">
        <f aca="false">IF(B1461="","",IF(N1461=_xlfn.MAXIFS($N$2:$N$5001,$B$2:$B$5001,B1461,$I$2:$I$5001,I1461),1,0))</f>
        <v/>
      </c>
      <c r="M1461" s="16" t="str">
        <f aca="false">IF(B1461="","",IF(E1461="Em ajustes",IF(N1461=_xlfn.MINIFS($N$2:$N$5001,$B$2:$B$5001,B1461,$E$2:$E$5001,"Em ajustes"),1,0),0))</f>
        <v/>
      </c>
      <c r="N1461" s="17" t="str">
        <f aca="false">IF(A1461="","",IF(ISNUMBER(A1461),A1461,IFERROR(DATE(VALUE(MID(A1461,7,4)),VALUE(MID(A1461,4,2)),VALUE(MID(A1461,1,2)))+TIME(VALUE(MID(A1461,12,2)),VALUE(MID(A1461,15,2)),VALUE(MID(A1461,18,2))),"")))</f>
        <v/>
      </c>
    </row>
    <row r="1462" customFormat="false" ht="15" hidden="false" customHeight="false" outlineLevel="0" collapsed="false">
      <c r="I1462" s="15" t="str">
        <f aca="false">IF(N1462="","",INT(N1462))</f>
        <v/>
      </c>
      <c r="J1462" s="16" t="str">
        <f aca="false">IF(B1462="","",IF(N1462=_xlfn.MINIFS($N$2:$N$5001,$B$2:$B$5001,B1462),1,0))</f>
        <v/>
      </c>
      <c r="K1462" s="16" t="str">
        <f aca="false">IF(B1462="","",IF(AND(D1462="Formalização",E1462="Concluído"),IF(COUNTIFS($B$2:$B$5001,B1462,$E$2:$E$5001,"Em ajustes",$N$2:$N$5001,"&lt;"&amp;I1462)&gt;0,1,0),0))</f>
        <v/>
      </c>
      <c r="L1462" s="16" t="str">
        <f aca="false">IF(B1462="","",IF(N1462=_xlfn.MAXIFS($N$2:$N$5001,$B$2:$B$5001,B1462,$I$2:$I$5001,I1462),1,0))</f>
        <v/>
      </c>
      <c r="M1462" s="16" t="str">
        <f aca="false">IF(B1462="","",IF(E1462="Em ajustes",IF(N1462=_xlfn.MINIFS($N$2:$N$5001,$B$2:$B$5001,B1462,$E$2:$E$5001,"Em ajustes"),1,0),0))</f>
        <v/>
      </c>
      <c r="N1462" s="17" t="str">
        <f aca="false">IF(A1462="","",IF(ISNUMBER(A1462),A1462,IFERROR(DATE(VALUE(MID(A1462,7,4)),VALUE(MID(A1462,4,2)),VALUE(MID(A1462,1,2)))+TIME(VALUE(MID(A1462,12,2)),VALUE(MID(A1462,15,2)),VALUE(MID(A1462,18,2))),"")))</f>
        <v/>
      </c>
    </row>
    <row r="1463" customFormat="false" ht="15" hidden="false" customHeight="false" outlineLevel="0" collapsed="false">
      <c r="I1463" s="15" t="str">
        <f aca="false">IF(N1463="","",INT(N1463))</f>
        <v/>
      </c>
      <c r="J1463" s="16" t="str">
        <f aca="false">IF(B1463="","",IF(N1463=_xlfn.MINIFS($N$2:$N$5001,$B$2:$B$5001,B1463),1,0))</f>
        <v/>
      </c>
      <c r="K1463" s="16" t="str">
        <f aca="false">IF(B1463="","",IF(AND(D1463="Formalização",E1463="Concluído"),IF(COUNTIFS($B$2:$B$5001,B1463,$E$2:$E$5001,"Em ajustes",$N$2:$N$5001,"&lt;"&amp;I1463)&gt;0,1,0),0))</f>
        <v/>
      </c>
      <c r="L1463" s="16" t="str">
        <f aca="false">IF(B1463="","",IF(N1463=_xlfn.MAXIFS($N$2:$N$5001,$B$2:$B$5001,B1463,$I$2:$I$5001,I1463),1,0))</f>
        <v/>
      </c>
      <c r="M1463" s="16" t="str">
        <f aca="false">IF(B1463="","",IF(E1463="Em ajustes",IF(N1463=_xlfn.MINIFS($N$2:$N$5001,$B$2:$B$5001,B1463,$E$2:$E$5001,"Em ajustes"),1,0),0))</f>
        <v/>
      </c>
      <c r="N1463" s="17" t="str">
        <f aca="false">IF(A1463="","",IF(ISNUMBER(A1463),A1463,IFERROR(DATE(VALUE(MID(A1463,7,4)),VALUE(MID(A1463,4,2)),VALUE(MID(A1463,1,2)))+TIME(VALUE(MID(A1463,12,2)),VALUE(MID(A1463,15,2)),VALUE(MID(A1463,18,2))),"")))</f>
        <v/>
      </c>
    </row>
    <row r="1464" customFormat="false" ht="15" hidden="false" customHeight="false" outlineLevel="0" collapsed="false">
      <c r="I1464" s="15" t="str">
        <f aca="false">IF(N1464="","",INT(N1464))</f>
        <v/>
      </c>
      <c r="J1464" s="16" t="str">
        <f aca="false">IF(B1464="","",IF(N1464=_xlfn.MINIFS($N$2:$N$5001,$B$2:$B$5001,B1464),1,0))</f>
        <v/>
      </c>
      <c r="K1464" s="16" t="str">
        <f aca="false">IF(B1464="","",IF(AND(D1464="Formalização",E1464="Concluído"),IF(COUNTIFS($B$2:$B$5001,B1464,$E$2:$E$5001,"Em ajustes",$N$2:$N$5001,"&lt;"&amp;I1464)&gt;0,1,0),0))</f>
        <v/>
      </c>
      <c r="L1464" s="16" t="str">
        <f aca="false">IF(B1464="","",IF(N1464=_xlfn.MAXIFS($N$2:$N$5001,$B$2:$B$5001,B1464,$I$2:$I$5001,I1464),1,0))</f>
        <v/>
      </c>
      <c r="M1464" s="16" t="str">
        <f aca="false">IF(B1464="","",IF(E1464="Em ajustes",IF(N1464=_xlfn.MINIFS($N$2:$N$5001,$B$2:$B$5001,B1464,$E$2:$E$5001,"Em ajustes"),1,0),0))</f>
        <v/>
      </c>
      <c r="N1464" s="17" t="str">
        <f aca="false">IF(A1464="","",IF(ISNUMBER(A1464),A1464,IFERROR(DATE(VALUE(MID(A1464,7,4)),VALUE(MID(A1464,4,2)),VALUE(MID(A1464,1,2)))+TIME(VALUE(MID(A1464,12,2)),VALUE(MID(A1464,15,2)),VALUE(MID(A1464,18,2))),"")))</f>
        <v/>
      </c>
    </row>
    <row r="1465" customFormat="false" ht="15" hidden="false" customHeight="false" outlineLevel="0" collapsed="false">
      <c r="I1465" s="15" t="str">
        <f aca="false">IF(N1465="","",INT(N1465))</f>
        <v/>
      </c>
      <c r="J1465" s="16" t="str">
        <f aca="false">IF(B1465="","",IF(N1465=_xlfn.MINIFS($N$2:$N$5001,$B$2:$B$5001,B1465),1,0))</f>
        <v/>
      </c>
      <c r="K1465" s="16" t="str">
        <f aca="false">IF(B1465="","",IF(AND(D1465="Formalização",E1465="Concluído"),IF(COUNTIFS($B$2:$B$5001,B1465,$E$2:$E$5001,"Em ajustes",$N$2:$N$5001,"&lt;"&amp;I1465)&gt;0,1,0),0))</f>
        <v/>
      </c>
      <c r="L1465" s="16" t="str">
        <f aca="false">IF(B1465="","",IF(N1465=_xlfn.MAXIFS($N$2:$N$5001,$B$2:$B$5001,B1465,$I$2:$I$5001,I1465),1,0))</f>
        <v/>
      </c>
      <c r="M1465" s="16" t="str">
        <f aca="false">IF(B1465="","",IF(E1465="Em ajustes",IF(N1465=_xlfn.MINIFS($N$2:$N$5001,$B$2:$B$5001,B1465,$E$2:$E$5001,"Em ajustes"),1,0),0))</f>
        <v/>
      </c>
      <c r="N1465" s="17" t="str">
        <f aca="false">IF(A1465="","",IF(ISNUMBER(A1465),A1465,IFERROR(DATE(VALUE(MID(A1465,7,4)),VALUE(MID(A1465,4,2)),VALUE(MID(A1465,1,2)))+TIME(VALUE(MID(A1465,12,2)),VALUE(MID(A1465,15,2)),VALUE(MID(A1465,18,2))),"")))</f>
        <v/>
      </c>
    </row>
    <row r="1466" customFormat="false" ht="15" hidden="false" customHeight="false" outlineLevel="0" collapsed="false">
      <c r="I1466" s="15" t="str">
        <f aca="false">IF(N1466="","",INT(N1466))</f>
        <v/>
      </c>
      <c r="J1466" s="16" t="str">
        <f aca="false">IF(B1466="","",IF(N1466=_xlfn.MINIFS($N$2:$N$5001,$B$2:$B$5001,B1466),1,0))</f>
        <v/>
      </c>
      <c r="K1466" s="16" t="str">
        <f aca="false">IF(B1466="","",IF(AND(D1466="Formalização",E1466="Concluído"),IF(COUNTIFS($B$2:$B$5001,B1466,$E$2:$E$5001,"Em ajustes",$N$2:$N$5001,"&lt;"&amp;I1466)&gt;0,1,0),0))</f>
        <v/>
      </c>
      <c r="L1466" s="16" t="str">
        <f aca="false">IF(B1466="","",IF(N1466=_xlfn.MAXIFS($N$2:$N$5001,$B$2:$B$5001,B1466,$I$2:$I$5001,I1466),1,0))</f>
        <v/>
      </c>
      <c r="M1466" s="16" t="str">
        <f aca="false">IF(B1466="","",IF(E1466="Em ajustes",IF(N1466=_xlfn.MINIFS($N$2:$N$5001,$B$2:$B$5001,B1466,$E$2:$E$5001,"Em ajustes"),1,0),0))</f>
        <v/>
      </c>
      <c r="N1466" s="17" t="str">
        <f aca="false">IF(A1466="","",IF(ISNUMBER(A1466),A1466,IFERROR(DATE(VALUE(MID(A1466,7,4)),VALUE(MID(A1466,4,2)),VALUE(MID(A1466,1,2)))+TIME(VALUE(MID(A1466,12,2)),VALUE(MID(A1466,15,2)),VALUE(MID(A1466,18,2))),"")))</f>
        <v/>
      </c>
    </row>
    <row r="1467" customFormat="false" ht="15" hidden="false" customHeight="false" outlineLevel="0" collapsed="false">
      <c r="I1467" s="15" t="str">
        <f aca="false">IF(N1467="","",INT(N1467))</f>
        <v/>
      </c>
      <c r="J1467" s="16" t="str">
        <f aca="false">IF(B1467="","",IF(N1467=_xlfn.MINIFS($N$2:$N$5001,$B$2:$B$5001,B1467),1,0))</f>
        <v/>
      </c>
      <c r="K1467" s="16" t="str">
        <f aca="false">IF(B1467="","",IF(AND(D1467="Formalização",E1467="Concluído"),IF(COUNTIFS($B$2:$B$5001,B1467,$E$2:$E$5001,"Em ajustes",$N$2:$N$5001,"&lt;"&amp;I1467)&gt;0,1,0),0))</f>
        <v/>
      </c>
      <c r="L1467" s="16" t="str">
        <f aca="false">IF(B1467="","",IF(N1467=_xlfn.MAXIFS($N$2:$N$5001,$B$2:$B$5001,B1467,$I$2:$I$5001,I1467),1,0))</f>
        <v/>
      </c>
      <c r="M1467" s="16" t="str">
        <f aca="false">IF(B1467="","",IF(E1467="Em ajustes",IF(N1467=_xlfn.MINIFS($N$2:$N$5001,$B$2:$B$5001,B1467,$E$2:$E$5001,"Em ajustes"),1,0),0))</f>
        <v/>
      </c>
      <c r="N1467" s="17" t="str">
        <f aca="false">IF(A1467="","",IF(ISNUMBER(A1467),A1467,IFERROR(DATE(VALUE(MID(A1467,7,4)),VALUE(MID(A1467,4,2)),VALUE(MID(A1467,1,2)))+TIME(VALUE(MID(A1467,12,2)),VALUE(MID(A1467,15,2)),VALUE(MID(A1467,18,2))),"")))</f>
        <v/>
      </c>
    </row>
    <row r="1468" customFormat="false" ht="15" hidden="false" customHeight="false" outlineLevel="0" collapsed="false">
      <c r="I1468" s="15" t="str">
        <f aca="false">IF(N1468="","",INT(N1468))</f>
        <v/>
      </c>
      <c r="J1468" s="16" t="str">
        <f aca="false">IF(B1468="","",IF(N1468=_xlfn.MINIFS($N$2:$N$5001,$B$2:$B$5001,B1468),1,0))</f>
        <v/>
      </c>
      <c r="K1468" s="16" t="str">
        <f aca="false">IF(B1468="","",IF(AND(D1468="Formalização",E1468="Concluído"),IF(COUNTIFS($B$2:$B$5001,B1468,$E$2:$E$5001,"Em ajustes",$N$2:$N$5001,"&lt;"&amp;I1468)&gt;0,1,0),0))</f>
        <v/>
      </c>
      <c r="L1468" s="16" t="str">
        <f aca="false">IF(B1468="","",IF(N1468=_xlfn.MAXIFS($N$2:$N$5001,$B$2:$B$5001,B1468,$I$2:$I$5001,I1468),1,0))</f>
        <v/>
      </c>
      <c r="M1468" s="16" t="str">
        <f aca="false">IF(B1468="","",IF(E1468="Em ajustes",IF(N1468=_xlfn.MINIFS($N$2:$N$5001,$B$2:$B$5001,B1468,$E$2:$E$5001,"Em ajustes"),1,0),0))</f>
        <v/>
      </c>
      <c r="N1468" s="17" t="str">
        <f aca="false">IF(A1468="","",IF(ISNUMBER(A1468),A1468,IFERROR(DATE(VALUE(MID(A1468,7,4)),VALUE(MID(A1468,4,2)),VALUE(MID(A1468,1,2)))+TIME(VALUE(MID(A1468,12,2)),VALUE(MID(A1468,15,2)),VALUE(MID(A1468,18,2))),"")))</f>
        <v/>
      </c>
    </row>
    <row r="1469" customFormat="false" ht="15" hidden="false" customHeight="false" outlineLevel="0" collapsed="false">
      <c r="I1469" s="15" t="str">
        <f aca="false">IF(N1469="","",INT(N1469))</f>
        <v/>
      </c>
      <c r="J1469" s="16" t="str">
        <f aca="false">IF(B1469="","",IF(N1469=_xlfn.MINIFS($N$2:$N$5001,$B$2:$B$5001,B1469),1,0))</f>
        <v/>
      </c>
      <c r="K1469" s="16" t="str">
        <f aca="false">IF(B1469="","",IF(AND(D1469="Formalização",E1469="Concluído"),IF(COUNTIFS($B$2:$B$5001,B1469,$E$2:$E$5001,"Em ajustes",$N$2:$N$5001,"&lt;"&amp;I1469)&gt;0,1,0),0))</f>
        <v/>
      </c>
      <c r="L1469" s="16" t="str">
        <f aca="false">IF(B1469="","",IF(N1469=_xlfn.MAXIFS($N$2:$N$5001,$B$2:$B$5001,B1469,$I$2:$I$5001,I1469),1,0))</f>
        <v/>
      </c>
      <c r="M1469" s="16" t="str">
        <f aca="false">IF(B1469="","",IF(E1469="Em ajustes",IF(N1469=_xlfn.MINIFS($N$2:$N$5001,$B$2:$B$5001,B1469,$E$2:$E$5001,"Em ajustes"),1,0),0))</f>
        <v/>
      </c>
      <c r="N1469" s="17" t="str">
        <f aca="false">IF(A1469="","",IF(ISNUMBER(A1469),A1469,IFERROR(DATE(VALUE(MID(A1469,7,4)),VALUE(MID(A1469,4,2)),VALUE(MID(A1469,1,2)))+TIME(VALUE(MID(A1469,12,2)),VALUE(MID(A1469,15,2)),VALUE(MID(A1469,18,2))),"")))</f>
        <v/>
      </c>
    </row>
    <row r="1470" customFormat="false" ht="15" hidden="false" customHeight="false" outlineLevel="0" collapsed="false">
      <c r="I1470" s="15" t="str">
        <f aca="false">IF(N1470="","",INT(N1470))</f>
        <v/>
      </c>
      <c r="J1470" s="16" t="str">
        <f aca="false">IF(B1470="","",IF(N1470=_xlfn.MINIFS($N$2:$N$5001,$B$2:$B$5001,B1470),1,0))</f>
        <v/>
      </c>
      <c r="K1470" s="16" t="str">
        <f aca="false">IF(B1470="","",IF(AND(D1470="Formalização",E1470="Concluído"),IF(COUNTIFS($B$2:$B$5001,B1470,$E$2:$E$5001,"Em ajustes",$N$2:$N$5001,"&lt;"&amp;I1470)&gt;0,1,0),0))</f>
        <v/>
      </c>
      <c r="L1470" s="16" t="str">
        <f aca="false">IF(B1470="","",IF(N1470=_xlfn.MAXIFS($N$2:$N$5001,$B$2:$B$5001,B1470,$I$2:$I$5001,I1470),1,0))</f>
        <v/>
      </c>
      <c r="M1470" s="16" t="str">
        <f aca="false">IF(B1470="","",IF(E1470="Em ajustes",IF(N1470=_xlfn.MINIFS($N$2:$N$5001,$B$2:$B$5001,B1470,$E$2:$E$5001,"Em ajustes"),1,0),0))</f>
        <v/>
      </c>
      <c r="N1470" s="17" t="str">
        <f aca="false">IF(A1470="","",IF(ISNUMBER(A1470),A1470,IFERROR(DATE(VALUE(MID(A1470,7,4)),VALUE(MID(A1470,4,2)),VALUE(MID(A1470,1,2)))+TIME(VALUE(MID(A1470,12,2)),VALUE(MID(A1470,15,2)),VALUE(MID(A1470,18,2))),"")))</f>
        <v/>
      </c>
    </row>
    <row r="1471" customFormat="false" ht="15" hidden="false" customHeight="false" outlineLevel="0" collapsed="false">
      <c r="I1471" s="15" t="str">
        <f aca="false">IF(N1471="","",INT(N1471))</f>
        <v/>
      </c>
      <c r="J1471" s="16" t="str">
        <f aca="false">IF(B1471="","",IF(N1471=_xlfn.MINIFS($N$2:$N$5001,$B$2:$B$5001,B1471),1,0))</f>
        <v/>
      </c>
      <c r="K1471" s="16" t="str">
        <f aca="false">IF(B1471="","",IF(AND(D1471="Formalização",E1471="Concluído"),IF(COUNTIFS($B$2:$B$5001,B1471,$E$2:$E$5001,"Em ajustes",$N$2:$N$5001,"&lt;"&amp;I1471)&gt;0,1,0),0))</f>
        <v/>
      </c>
      <c r="L1471" s="16" t="str">
        <f aca="false">IF(B1471="","",IF(N1471=_xlfn.MAXIFS($N$2:$N$5001,$B$2:$B$5001,B1471,$I$2:$I$5001,I1471),1,0))</f>
        <v/>
      </c>
      <c r="M1471" s="16" t="str">
        <f aca="false">IF(B1471="","",IF(E1471="Em ajustes",IF(N1471=_xlfn.MINIFS($N$2:$N$5001,$B$2:$B$5001,B1471,$E$2:$E$5001,"Em ajustes"),1,0),0))</f>
        <v/>
      </c>
      <c r="N1471" s="17" t="str">
        <f aca="false">IF(A1471="","",IF(ISNUMBER(A1471),A1471,IFERROR(DATE(VALUE(MID(A1471,7,4)),VALUE(MID(A1471,4,2)),VALUE(MID(A1471,1,2)))+TIME(VALUE(MID(A1471,12,2)),VALUE(MID(A1471,15,2)),VALUE(MID(A1471,18,2))),"")))</f>
        <v/>
      </c>
    </row>
    <row r="1472" customFormat="false" ht="15" hidden="false" customHeight="false" outlineLevel="0" collapsed="false">
      <c r="I1472" s="15" t="str">
        <f aca="false">IF(N1472="","",INT(N1472))</f>
        <v/>
      </c>
      <c r="J1472" s="16" t="str">
        <f aca="false">IF(B1472="","",IF(N1472=_xlfn.MINIFS($N$2:$N$5001,$B$2:$B$5001,B1472),1,0))</f>
        <v/>
      </c>
      <c r="K1472" s="16" t="str">
        <f aca="false">IF(B1472="","",IF(AND(D1472="Formalização",E1472="Concluído"),IF(COUNTIFS($B$2:$B$5001,B1472,$E$2:$E$5001,"Em ajustes",$N$2:$N$5001,"&lt;"&amp;I1472)&gt;0,1,0),0))</f>
        <v/>
      </c>
      <c r="L1472" s="16" t="str">
        <f aca="false">IF(B1472="","",IF(N1472=_xlfn.MAXIFS($N$2:$N$5001,$B$2:$B$5001,B1472,$I$2:$I$5001,I1472),1,0))</f>
        <v/>
      </c>
      <c r="M1472" s="16" t="str">
        <f aca="false">IF(B1472="","",IF(E1472="Em ajustes",IF(N1472=_xlfn.MINIFS($N$2:$N$5001,$B$2:$B$5001,B1472,$E$2:$E$5001,"Em ajustes"),1,0),0))</f>
        <v/>
      </c>
      <c r="N1472" s="17" t="str">
        <f aca="false">IF(A1472="","",IF(ISNUMBER(A1472),A1472,IFERROR(DATE(VALUE(MID(A1472,7,4)),VALUE(MID(A1472,4,2)),VALUE(MID(A1472,1,2)))+TIME(VALUE(MID(A1472,12,2)),VALUE(MID(A1472,15,2)),VALUE(MID(A1472,18,2))),"")))</f>
        <v/>
      </c>
    </row>
    <row r="1473" customFormat="false" ht="15" hidden="false" customHeight="false" outlineLevel="0" collapsed="false">
      <c r="I1473" s="15" t="str">
        <f aca="false">IF(N1473="","",INT(N1473))</f>
        <v/>
      </c>
      <c r="J1473" s="16" t="str">
        <f aca="false">IF(B1473="","",IF(N1473=_xlfn.MINIFS($N$2:$N$5001,$B$2:$B$5001,B1473),1,0))</f>
        <v/>
      </c>
      <c r="K1473" s="16" t="str">
        <f aca="false">IF(B1473="","",IF(AND(D1473="Formalização",E1473="Concluído"),IF(COUNTIFS($B$2:$B$5001,B1473,$E$2:$E$5001,"Em ajustes",$N$2:$N$5001,"&lt;"&amp;I1473)&gt;0,1,0),0))</f>
        <v/>
      </c>
      <c r="L1473" s="16" t="str">
        <f aca="false">IF(B1473="","",IF(N1473=_xlfn.MAXIFS($N$2:$N$5001,$B$2:$B$5001,B1473,$I$2:$I$5001,I1473),1,0))</f>
        <v/>
      </c>
      <c r="M1473" s="16" t="str">
        <f aca="false">IF(B1473="","",IF(E1473="Em ajustes",IF(N1473=_xlfn.MINIFS($N$2:$N$5001,$B$2:$B$5001,B1473,$E$2:$E$5001,"Em ajustes"),1,0),0))</f>
        <v/>
      </c>
      <c r="N1473" s="17" t="str">
        <f aca="false">IF(A1473="","",IF(ISNUMBER(A1473),A1473,IFERROR(DATE(VALUE(MID(A1473,7,4)),VALUE(MID(A1473,4,2)),VALUE(MID(A1473,1,2)))+TIME(VALUE(MID(A1473,12,2)),VALUE(MID(A1473,15,2)),VALUE(MID(A1473,18,2))),"")))</f>
        <v/>
      </c>
    </row>
    <row r="1474" customFormat="false" ht="15" hidden="false" customHeight="false" outlineLevel="0" collapsed="false">
      <c r="I1474" s="15" t="str">
        <f aca="false">IF(N1474="","",INT(N1474))</f>
        <v/>
      </c>
      <c r="J1474" s="16" t="str">
        <f aca="false">IF(B1474="","",IF(N1474=_xlfn.MINIFS($N$2:$N$5001,$B$2:$B$5001,B1474),1,0))</f>
        <v/>
      </c>
      <c r="K1474" s="16" t="str">
        <f aca="false">IF(B1474="","",IF(AND(D1474="Formalização",E1474="Concluído"),IF(COUNTIFS($B$2:$B$5001,B1474,$E$2:$E$5001,"Em ajustes",$N$2:$N$5001,"&lt;"&amp;I1474)&gt;0,1,0),0))</f>
        <v/>
      </c>
      <c r="L1474" s="16" t="str">
        <f aca="false">IF(B1474="","",IF(N1474=_xlfn.MAXIFS($N$2:$N$5001,$B$2:$B$5001,B1474,$I$2:$I$5001,I1474),1,0))</f>
        <v/>
      </c>
      <c r="M1474" s="16" t="str">
        <f aca="false">IF(B1474="","",IF(E1474="Em ajustes",IF(N1474=_xlfn.MINIFS($N$2:$N$5001,$B$2:$B$5001,B1474,$E$2:$E$5001,"Em ajustes"),1,0),0))</f>
        <v/>
      </c>
      <c r="N1474" s="17" t="str">
        <f aca="false">IF(A1474="","",IF(ISNUMBER(A1474),A1474,IFERROR(DATE(VALUE(MID(A1474,7,4)),VALUE(MID(A1474,4,2)),VALUE(MID(A1474,1,2)))+TIME(VALUE(MID(A1474,12,2)),VALUE(MID(A1474,15,2)),VALUE(MID(A1474,18,2))),"")))</f>
        <v/>
      </c>
    </row>
    <row r="1475" customFormat="false" ht="15" hidden="false" customHeight="false" outlineLevel="0" collapsed="false">
      <c r="I1475" s="15" t="str">
        <f aca="false">IF(N1475="","",INT(N1475))</f>
        <v/>
      </c>
      <c r="J1475" s="16" t="str">
        <f aca="false">IF(B1475="","",IF(N1475=_xlfn.MINIFS($N$2:$N$5001,$B$2:$B$5001,B1475),1,0))</f>
        <v/>
      </c>
      <c r="K1475" s="16" t="str">
        <f aca="false">IF(B1475="","",IF(AND(D1475="Formalização",E1475="Concluído"),IF(COUNTIFS($B$2:$B$5001,B1475,$E$2:$E$5001,"Em ajustes",$N$2:$N$5001,"&lt;"&amp;I1475)&gt;0,1,0),0))</f>
        <v/>
      </c>
      <c r="L1475" s="16" t="str">
        <f aca="false">IF(B1475="","",IF(N1475=_xlfn.MAXIFS($N$2:$N$5001,$B$2:$B$5001,B1475,$I$2:$I$5001,I1475),1,0))</f>
        <v/>
      </c>
      <c r="M1475" s="16" t="str">
        <f aca="false">IF(B1475="","",IF(E1475="Em ajustes",IF(N1475=_xlfn.MINIFS($N$2:$N$5001,$B$2:$B$5001,B1475,$E$2:$E$5001,"Em ajustes"),1,0),0))</f>
        <v/>
      </c>
      <c r="N1475" s="17" t="str">
        <f aca="false">IF(A1475="","",IF(ISNUMBER(A1475),A1475,IFERROR(DATE(VALUE(MID(A1475,7,4)),VALUE(MID(A1475,4,2)),VALUE(MID(A1475,1,2)))+TIME(VALUE(MID(A1475,12,2)),VALUE(MID(A1475,15,2)),VALUE(MID(A1475,18,2))),"")))</f>
        <v/>
      </c>
    </row>
    <row r="1476" customFormat="false" ht="15" hidden="false" customHeight="false" outlineLevel="0" collapsed="false">
      <c r="I1476" s="15" t="str">
        <f aca="false">IF(N1476="","",INT(N1476))</f>
        <v/>
      </c>
      <c r="J1476" s="16" t="str">
        <f aca="false">IF(B1476="","",IF(N1476=_xlfn.MINIFS($N$2:$N$5001,$B$2:$B$5001,B1476),1,0))</f>
        <v/>
      </c>
      <c r="K1476" s="16" t="str">
        <f aca="false">IF(B1476="","",IF(AND(D1476="Formalização",E1476="Concluído"),IF(COUNTIFS($B$2:$B$5001,B1476,$E$2:$E$5001,"Em ajustes",$N$2:$N$5001,"&lt;"&amp;I1476)&gt;0,1,0),0))</f>
        <v/>
      </c>
      <c r="L1476" s="16" t="str">
        <f aca="false">IF(B1476="","",IF(N1476=_xlfn.MAXIFS($N$2:$N$5001,$B$2:$B$5001,B1476,$I$2:$I$5001,I1476),1,0))</f>
        <v/>
      </c>
      <c r="M1476" s="16" t="str">
        <f aca="false">IF(B1476="","",IF(E1476="Em ajustes",IF(N1476=_xlfn.MINIFS($N$2:$N$5001,$B$2:$B$5001,B1476,$E$2:$E$5001,"Em ajustes"),1,0),0))</f>
        <v/>
      </c>
      <c r="N1476" s="17" t="str">
        <f aca="false">IF(A1476="","",IF(ISNUMBER(A1476),A1476,IFERROR(DATE(VALUE(MID(A1476,7,4)),VALUE(MID(A1476,4,2)),VALUE(MID(A1476,1,2)))+TIME(VALUE(MID(A1476,12,2)),VALUE(MID(A1476,15,2)),VALUE(MID(A1476,18,2))),"")))</f>
        <v/>
      </c>
    </row>
    <row r="1477" customFormat="false" ht="15" hidden="false" customHeight="false" outlineLevel="0" collapsed="false">
      <c r="I1477" s="15" t="str">
        <f aca="false">IF(N1477="","",INT(N1477))</f>
        <v/>
      </c>
      <c r="J1477" s="16" t="str">
        <f aca="false">IF(B1477="","",IF(N1477=_xlfn.MINIFS($N$2:$N$5001,$B$2:$B$5001,B1477),1,0))</f>
        <v/>
      </c>
      <c r="K1477" s="16" t="str">
        <f aca="false">IF(B1477="","",IF(AND(D1477="Formalização",E1477="Concluído"),IF(COUNTIFS($B$2:$B$5001,B1477,$E$2:$E$5001,"Em ajustes",$N$2:$N$5001,"&lt;"&amp;I1477)&gt;0,1,0),0))</f>
        <v/>
      </c>
      <c r="L1477" s="16" t="str">
        <f aca="false">IF(B1477="","",IF(N1477=_xlfn.MAXIFS($N$2:$N$5001,$B$2:$B$5001,B1477,$I$2:$I$5001,I1477),1,0))</f>
        <v/>
      </c>
      <c r="M1477" s="16" t="str">
        <f aca="false">IF(B1477="","",IF(E1477="Em ajustes",IF(N1477=_xlfn.MINIFS($N$2:$N$5001,$B$2:$B$5001,B1477,$E$2:$E$5001,"Em ajustes"),1,0),0))</f>
        <v/>
      </c>
      <c r="N1477" s="17" t="str">
        <f aca="false">IF(A1477="","",IF(ISNUMBER(A1477),A1477,IFERROR(DATE(VALUE(MID(A1477,7,4)),VALUE(MID(A1477,4,2)),VALUE(MID(A1477,1,2)))+TIME(VALUE(MID(A1477,12,2)),VALUE(MID(A1477,15,2)),VALUE(MID(A1477,18,2))),"")))</f>
        <v/>
      </c>
    </row>
    <row r="1478" customFormat="false" ht="15" hidden="false" customHeight="false" outlineLevel="0" collapsed="false">
      <c r="I1478" s="15" t="str">
        <f aca="false">IF(N1478="","",INT(N1478))</f>
        <v/>
      </c>
      <c r="J1478" s="16" t="str">
        <f aca="false">IF(B1478="","",IF(N1478=_xlfn.MINIFS($N$2:$N$5001,$B$2:$B$5001,B1478),1,0))</f>
        <v/>
      </c>
      <c r="K1478" s="16" t="str">
        <f aca="false">IF(B1478="","",IF(AND(D1478="Formalização",E1478="Concluído"),IF(COUNTIFS($B$2:$B$5001,B1478,$E$2:$E$5001,"Em ajustes",$N$2:$N$5001,"&lt;"&amp;I1478)&gt;0,1,0),0))</f>
        <v/>
      </c>
      <c r="L1478" s="16" t="str">
        <f aca="false">IF(B1478="","",IF(N1478=_xlfn.MAXIFS($N$2:$N$5001,$B$2:$B$5001,B1478,$I$2:$I$5001,I1478),1,0))</f>
        <v/>
      </c>
      <c r="M1478" s="16" t="str">
        <f aca="false">IF(B1478="","",IF(E1478="Em ajustes",IF(N1478=_xlfn.MINIFS($N$2:$N$5001,$B$2:$B$5001,B1478,$E$2:$E$5001,"Em ajustes"),1,0),0))</f>
        <v/>
      </c>
      <c r="N1478" s="17" t="str">
        <f aca="false">IF(A1478="","",IF(ISNUMBER(A1478),A1478,IFERROR(DATE(VALUE(MID(A1478,7,4)),VALUE(MID(A1478,4,2)),VALUE(MID(A1478,1,2)))+TIME(VALUE(MID(A1478,12,2)),VALUE(MID(A1478,15,2)),VALUE(MID(A1478,18,2))),"")))</f>
        <v/>
      </c>
    </row>
    <row r="1479" customFormat="false" ht="15" hidden="false" customHeight="false" outlineLevel="0" collapsed="false">
      <c r="I1479" s="15" t="str">
        <f aca="false">IF(N1479="","",INT(N1479))</f>
        <v/>
      </c>
      <c r="J1479" s="16" t="str">
        <f aca="false">IF(B1479="","",IF(N1479=_xlfn.MINIFS($N$2:$N$5001,$B$2:$B$5001,B1479),1,0))</f>
        <v/>
      </c>
      <c r="K1479" s="16" t="str">
        <f aca="false">IF(B1479="","",IF(AND(D1479="Formalização",E1479="Concluído"),IF(COUNTIFS($B$2:$B$5001,B1479,$E$2:$E$5001,"Em ajustes",$N$2:$N$5001,"&lt;"&amp;I1479)&gt;0,1,0),0))</f>
        <v/>
      </c>
      <c r="L1479" s="16" t="str">
        <f aca="false">IF(B1479="","",IF(N1479=_xlfn.MAXIFS($N$2:$N$5001,$B$2:$B$5001,B1479,$I$2:$I$5001,I1479),1,0))</f>
        <v/>
      </c>
      <c r="M1479" s="16" t="str">
        <f aca="false">IF(B1479="","",IF(E1479="Em ajustes",IF(N1479=_xlfn.MINIFS($N$2:$N$5001,$B$2:$B$5001,B1479,$E$2:$E$5001,"Em ajustes"),1,0),0))</f>
        <v/>
      </c>
      <c r="N1479" s="17" t="str">
        <f aca="false">IF(A1479="","",IF(ISNUMBER(A1479),A1479,IFERROR(DATE(VALUE(MID(A1479,7,4)),VALUE(MID(A1479,4,2)),VALUE(MID(A1479,1,2)))+TIME(VALUE(MID(A1479,12,2)),VALUE(MID(A1479,15,2)),VALUE(MID(A1479,18,2))),"")))</f>
        <v/>
      </c>
    </row>
    <row r="1480" customFormat="false" ht="15" hidden="false" customHeight="false" outlineLevel="0" collapsed="false">
      <c r="I1480" s="15" t="str">
        <f aca="false">IF(N1480="","",INT(N1480))</f>
        <v/>
      </c>
      <c r="J1480" s="16" t="str">
        <f aca="false">IF(B1480="","",IF(N1480=_xlfn.MINIFS($N$2:$N$5001,$B$2:$B$5001,B1480),1,0))</f>
        <v/>
      </c>
      <c r="K1480" s="16" t="str">
        <f aca="false">IF(B1480="","",IF(AND(D1480="Formalização",E1480="Concluído"),IF(COUNTIFS($B$2:$B$5001,B1480,$E$2:$E$5001,"Em ajustes",$N$2:$N$5001,"&lt;"&amp;I1480)&gt;0,1,0),0))</f>
        <v/>
      </c>
      <c r="L1480" s="16" t="str">
        <f aca="false">IF(B1480="","",IF(N1480=_xlfn.MAXIFS($N$2:$N$5001,$B$2:$B$5001,B1480,$I$2:$I$5001,I1480),1,0))</f>
        <v/>
      </c>
      <c r="M1480" s="16" t="str">
        <f aca="false">IF(B1480="","",IF(E1480="Em ajustes",IF(N1480=_xlfn.MINIFS($N$2:$N$5001,$B$2:$B$5001,B1480,$E$2:$E$5001,"Em ajustes"),1,0),0))</f>
        <v/>
      </c>
      <c r="N1480" s="17" t="str">
        <f aca="false">IF(A1480="","",IF(ISNUMBER(A1480),A1480,IFERROR(DATE(VALUE(MID(A1480,7,4)),VALUE(MID(A1480,4,2)),VALUE(MID(A1480,1,2)))+TIME(VALUE(MID(A1480,12,2)),VALUE(MID(A1480,15,2)),VALUE(MID(A1480,18,2))),"")))</f>
        <v/>
      </c>
    </row>
    <row r="1481" customFormat="false" ht="15" hidden="false" customHeight="false" outlineLevel="0" collapsed="false">
      <c r="I1481" s="15" t="str">
        <f aca="false">IF(N1481="","",INT(N1481))</f>
        <v/>
      </c>
      <c r="J1481" s="16" t="str">
        <f aca="false">IF(B1481="","",IF(N1481=_xlfn.MINIFS($N$2:$N$5001,$B$2:$B$5001,B1481),1,0))</f>
        <v/>
      </c>
      <c r="K1481" s="16" t="str">
        <f aca="false">IF(B1481="","",IF(AND(D1481="Formalização",E1481="Concluído"),IF(COUNTIFS($B$2:$B$5001,B1481,$E$2:$E$5001,"Em ajustes",$N$2:$N$5001,"&lt;"&amp;I1481)&gt;0,1,0),0))</f>
        <v/>
      </c>
      <c r="L1481" s="16" t="str">
        <f aca="false">IF(B1481="","",IF(N1481=_xlfn.MAXIFS($N$2:$N$5001,$B$2:$B$5001,B1481,$I$2:$I$5001,I1481),1,0))</f>
        <v/>
      </c>
      <c r="M1481" s="16" t="str">
        <f aca="false">IF(B1481="","",IF(E1481="Em ajustes",IF(N1481=_xlfn.MINIFS($N$2:$N$5001,$B$2:$B$5001,B1481,$E$2:$E$5001,"Em ajustes"),1,0),0))</f>
        <v/>
      </c>
      <c r="N1481" s="17" t="str">
        <f aca="false">IF(A1481="","",IF(ISNUMBER(A1481),A1481,IFERROR(DATE(VALUE(MID(A1481,7,4)),VALUE(MID(A1481,4,2)),VALUE(MID(A1481,1,2)))+TIME(VALUE(MID(A1481,12,2)),VALUE(MID(A1481,15,2)),VALUE(MID(A1481,18,2))),"")))</f>
        <v/>
      </c>
    </row>
    <row r="1482" customFormat="false" ht="15" hidden="false" customHeight="false" outlineLevel="0" collapsed="false">
      <c r="I1482" s="15" t="str">
        <f aca="false">IF(N1482="","",INT(N1482))</f>
        <v/>
      </c>
      <c r="J1482" s="16" t="str">
        <f aca="false">IF(B1482="","",IF(N1482=_xlfn.MINIFS($N$2:$N$5001,$B$2:$B$5001,B1482),1,0))</f>
        <v/>
      </c>
      <c r="K1482" s="16" t="str">
        <f aca="false">IF(B1482="","",IF(AND(D1482="Formalização",E1482="Concluído"),IF(COUNTIFS($B$2:$B$5001,B1482,$E$2:$E$5001,"Em ajustes",$N$2:$N$5001,"&lt;"&amp;I1482)&gt;0,1,0),0))</f>
        <v/>
      </c>
      <c r="L1482" s="16" t="str">
        <f aca="false">IF(B1482="","",IF(N1482=_xlfn.MAXIFS($N$2:$N$5001,$B$2:$B$5001,B1482,$I$2:$I$5001,I1482),1,0))</f>
        <v/>
      </c>
      <c r="M1482" s="16" t="str">
        <f aca="false">IF(B1482="","",IF(E1482="Em ajustes",IF(N1482=_xlfn.MINIFS($N$2:$N$5001,$B$2:$B$5001,B1482,$E$2:$E$5001,"Em ajustes"),1,0),0))</f>
        <v/>
      </c>
      <c r="N1482" s="17" t="str">
        <f aca="false">IF(A1482="","",IF(ISNUMBER(A1482),A1482,IFERROR(DATE(VALUE(MID(A1482,7,4)),VALUE(MID(A1482,4,2)),VALUE(MID(A1482,1,2)))+TIME(VALUE(MID(A1482,12,2)),VALUE(MID(A1482,15,2)),VALUE(MID(A1482,18,2))),"")))</f>
        <v/>
      </c>
    </row>
    <row r="1483" customFormat="false" ht="15" hidden="false" customHeight="false" outlineLevel="0" collapsed="false">
      <c r="I1483" s="15" t="str">
        <f aca="false">IF(N1483="","",INT(N1483))</f>
        <v/>
      </c>
      <c r="J1483" s="16" t="str">
        <f aca="false">IF(B1483="","",IF(N1483=_xlfn.MINIFS($N$2:$N$5001,$B$2:$B$5001,B1483),1,0))</f>
        <v/>
      </c>
      <c r="K1483" s="16" t="str">
        <f aca="false">IF(B1483="","",IF(AND(D1483="Formalização",E1483="Concluído"),IF(COUNTIFS($B$2:$B$5001,B1483,$E$2:$E$5001,"Em ajustes",$N$2:$N$5001,"&lt;"&amp;I1483)&gt;0,1,0),0))</f>
        <v/>
      </c>
      <c r="L1483" s="16" t="str">
        <f aca="false">IF(B1483="","",IF(N1483=_xlfn.MAXIFS($N$2:$N$5001,$B$2:$B$5001,B1483,$I$2:$I$5001,I1483),1,0))</f>
        <v/>
      </c>
      <c r="M1483" s="16" t="str">
        <f aca="false">IF(B1483="","",IF(E1483="Em ajustes",IF(N1483=_xlfn.MINIFS($N$2:$N$5001,$B$2:$B$5001,B1483,$E$2:$E$5001,"Em ajustes"),1,0),0))</f>
        <v/>
      </c>
      <c r="N1483" s="17" t="str">
        <f aca="false">IF(A1483="","",IF(ISNUMBER(A1483),A1483,IFERROR(DATE(VALUE(MID(A1483,7,4)),VALUE(MID(A1483,4,2)),VALUE(MID(A1483,1,2)))+TIME(VALUE(MID(A1483,12,2)),VALUE(MID(A1483,15,2)),VALUE(MID(A1483,18,2))),"")))</f>
        <v/>
      </c>
    </row>
    <row r="1484" customFormat="false" ht="15" hidden="false" customHeight="false" outlineLevel="0" collapsed="false">
      <c r="I1484" s="15" t="str">
        <f aca="false">IF(N1484="","",INT(N1484))</f>
        <v/>
      </c>
      <c r="J1484" s="16" t="str">
        <f aca="false">IF(B1484="","",IF(N1484=_xlfn.MINIFS($N$2:$N$5001,$B$2:$B$5001,B1484),1,0))</f>
        <v/>
      </c>
      <c r="K1484" s="16" t="str">
        <f aca="false">IF(B1484="","",IF(AND(D1484="Formalização",E1484="Concluído"),IF(COUNTIFS($B$2:$B$5001,B1484,$E$2:$E$5001,"Em ajustes",$N$2:$N$5001,"&lt;"&amp;I1484)&gt;0,1,0),0))</f>
        <v/>
      </c>
      <c r="L1484" s="16" t="str">
        <f aca="false">IF(B1484="","",IF(N1484=_xlfn.MAXIFS($N$2:$N$5001,$B$2:$B$5001,B1484,$I$2:$I$5001,I1484),1,0))</f>
        <v/>
      </c>
      <c r="M1484" s="16" t="str">
        <f aca="false">IF(B1484="","",IF(E1484="Em ajustes",IF(N1484=_xlfn.MINIFS($N$2:$N$5001,$B$2:$B$5001,B1484,$E$2:$E$5001,"Em ajustes"),1,0),0))</f>
        <v/>
      </c>
      <c r="N1484" s="17" t="str">
        <f aca="false">IF(A1484="","",IF(ISNUMBER(A1484),A1484,IFERROR(DATE(VALUE(MID(A1484,7,4)),VALUE(MID(A1484,4,2)),VALUE(MID(A1484,1,2)))+TIME(VALUE(MID(A1484,12,2)),VALUE(MID(A1484,15,2)),VALUE(MID(A1484,18,2))),"")))</f>
        <v/>
      </c>
    </row>
    <row r="1485" customFormat="false" ht="15" hidden="false" customHeight="false" outlineLevel="0" collapsed="false">
      <c r="I1485" s="15" t="str">
        <f aca="false">IF(N1485="","",INT(N1485))</f>
        <v/>
      </c>
      <c r="J1485" s="16" t="str">
        <f aca="false">IF(B1485="","",IF(N1485=_xlfn.MINIFS($N$2:$N$5001,$B$2:$B$5001,B1485),1,0))</f>
        <v/>
      </c>
      <c r="K1485" s="16" t="str">
        <f aca="false">IF(B1485="","",IF(AND(D1485="Formalização",E1485="Concluído"),IF(COUNTIFS($B$2:$B$5001,B1485,$E$2:$E$5001,"Em ajustes",$N$2:$N$5001,"&lt;"&amp;I1485)&gt;0,1,0),0))</f>
        <v/>
      </c>
      <c r="L1485" s="16" t="str">
        <f aca="false">IF(B1485="","",IF(N1485=_xlfn.MAXIFS($N$2:$N$5001,$B$2:$B$5001,B1485,$I$2:$I$5001,I1485),1,0))</f>
        <v/>
      </c>
      <c r="M1485" s="16" t="str">
        <f aca="false">IF(B1485="","",IF(E1485="Em ajustes",IF(N1485=_xlfn.MINIFS($N$2:$N$5001,$B$2:$B$5001,B1485,$E$2:$E$5001,"Em ajustes"),1,0),0))</f>
        <v/>
      </c>
      <c r="N1485" s="17" t="str">
        <f aca="false">IF(A1485="","",IF(ISNUMBER(A1485),A1485,IFERROR(DATE(VALUE(MID(A1485,7,4)),VALUE(MID(A1485,4,2)),VALUE(MID(A1485,1,2)))+TIME(VALUE(MID(A1485,12,2)),VALUE(MID(A1485,15,2)),VALUE(MID(A1485,18,2))),"")))</f>
        <v/>
      </c>
    </row>
    <row r="1486" customFormat="false" ht="15" hidden="false" customHeight="false" outlineLevel="0" collapsed="false">
      <c r="I1486" s="15" t="str">
        <f aca="false">IF(N1486="","",INT(N1486))</f>
        <v/>
      </c>
      <c r="J1486" s="16" t="str">
        <f aca="false">IF(B1486="","",IF(N1486=_xlfn.MINIFS($N$2:$N$5001,$B$2:$B$5001,B1486),1,0))</f>
        <v/>
      </c>
      <c r="K1486" s="16" t="str">
        <f aca="false">IF(B1486="","",IF(AND(D1486="Formalização",E1486="Concluído"),IF(COUNTIFS($B$2:$B$5001,B1486,$E$2:$E$5001,"Em ajustes",$N$2:$N$5001,"&lt;"&amp;I1486)&gt;0,1,0),0))</f>
        <v/>
      </c>
      <c r="L1486" s="16" t="str">
        <f aca="false">IF(B1486="","",IF(N1486=_xlfn.MAXIFS($N$2:$N$5001,$B$2:$B$5001,B1486,$I$2:$I$5001,I1486),1,0))</f>
        <v/>
      </c>
      <c r="M1486" s="16" t="str">
        <f aca="false">IF(B1486="","",IF(E1486="Em ajustes",IF(N1486=_xlfn.MINIFS($N$2:$N$5001,$B$2:$B$5001,B1486,$E$2:$E$5001,"Em ajustes"),1,0),0))</f>
        <v/>
      </c>
      <c r="N1486" s="17" t="str">
        <f aca="false">IF(A1486="","",IF(ISNUMBER(A1486),A1486,IFERROR(DATE(VALUE(MID(A1486,7,4)),VALUE(MID(A1486,4,2)),VALUE(MID(A1486,1,2)))+TIME(VALUE(MID(A1486,12,2)),VALUE(MID(A1486,15,2)),VALUE(MID(A1486,18,2))),"")))</f>
        <v/>
      </c>
    </row>
    <row r="1487" customFormat="false" ht="15" hidden="false" customHeight="false" outlineLevel="0" collapsed="false">
      <c r="I1487" s="15" t="str">
        <f aca="false">IF(N1487="","",INT(N1487))</f>
        <v/>
      </c>
      <c r="J1487" s="16" t="str">
        <f aca="false">IF(B1487="","",IF(N1487=_xlfn.MINIFS($N$2:$N$5001,$B$2:$B$5001,B1487),1,0))</f>
        <v/>
      </c>
      <c r="K1487" s="16" t="str">
        <f aca="false">IF(B1487="","",IF(AND(D1487="Formalização",E1487="Concluído"),IF(COUNTIFS($B$2:$B$5001,B1487,$E$2:$E$5001,"Em ajustes",$N$2:$N$5001,"&lt;"&amp;I1487)&gt;0,1,0),0))</f>
        <v/>
      </c>
      <c r="L1487" s="16" t="str">
        <f aca="false">IF(B1487="","",IF(N1487=_xlfn.MAXIFS($N$2:$N$5001,$B$2:$B$5001,B1487,$I$2:$I$5001,I1487),1,0))</f>
        <v/>
      </c>
      <c r="M1487" s="16" t="str">
        <f aca="false">IF(B1487="","",IF(E1487="Em ajustes",IF(N1487=_xlfn.MINIFS($N$2:$N$5001,$B$2:$B$5001,B1487,$E$2:$E$5001,"Em ajustes"),1,0),0))</f>
        <v/>
      </c>
      <c r="N1487" s="17" t="str">
        <f aca="false">IF(A1487="","",IF(ISNUMBER(A1487),A1487,IFERROR(DATE(VALUE(MID(A1487,7,4)),VALUE(MID(A1487,4,2)),VALUE(MID(A1487,1,2)))+TIME(VALUE(MID(A1487,12,2)),VALUE(MID(A1487,15,2)),VALUE(MID(A1487,18,2))),"")))</f>
        <v/>
      </c>
    </row>
    <row r="1488" customFormat="false" ht="15" hidden="false" customHeight="false" outlineLevel="0" collapsed="false">
      <c r="I1488" s="15" t="str">
        <f aca="false">IF(N1488="","",INT(N1488))</f>
        <v/>
      </c>
      <c r="J1488" s="16" t="str">
        <f aca="false">IF(B1488="","",IF(N1488=_xlfn.MINIFS($N$2:$N$5001,$B$2:$B$5001,B1488),1,0))</f>
        <v/>
      </c>
      <c r="K1488" s="16" t="str">
        <f aca="false">IF(B1488="","",IF(AND(D1488="Formalização",E1488="Concluído"),IF(COUNTIFS($B$2:$B$5001,B1488,$E$2:$E$5001,"Em ajustes",$N$2:$N$5001,"&lt;"&amp;I1488)&gt;0,1,0),0))</f>
        <v/>
      </c>
      <c r="L1488" s="16" t="str">
        <f aca="false">IF(B1488="","",IF(N1488=_xlfn.MAXIFS($N$2:$N$5001,$B$2:$B$5001,B1488,$I$2:$I$5001,I1488),1,0))</f>
        <v/>
      </c>
      <c r="M1488" s="16" t="str">
        <f aca="false">IF(B1488="","",IF(E1488="Em ajustes",IF(N1488=_xlfn.MINIFS($N$2:$N$5001,$B$2:$B$5001,B1488,$E$2:$E$5001,"Em ajustes"),1,0),0))</f>
        <v/>
      </c>
      <c r="N1488" s="17" t="str">
        <f aca="false">IF(A1488="","",IF(ISNUMBER(A1488),A1488,IFERROR(DATE(VALUE(MID(A1488,7,4)),VALUE(MID(A1488,4,2)),VALUE(MID(A1488,1,2)))+TIME(VALUE(MID(A1488,12,2)),VALUE(MID(A1488,15,2)),VALUE(MID(A1488,18,2))),"")))</f>
        <v/>
      </c>
    </row>
    <row r="1489" customFormat="false" ht="15" hidden="false" customHeight="false" outlineLevel="0" collapsed="false">
      <c r="I1489" s="15" t="str">
        <f aca="false">IF(N1489="","",INT(N1489))</f>
        <v/>
      </c>
      <c r="J1489" s="16" t="str">
        <f aca="false">IF(B1489="","",IF(N1489=_xlfn.MINIFS($N$2:$N$5001,$B$2:$B$5001,B1489),1,0))</f>
        <v/>
      </c>
      <c r="K1489" s="16" t="str">
        <f aca="false">IF(B1489="","",IF(AND(D1489="Formalização",E1489="Concluído"),IF(COUNTIFS($B$2:$B$5001,B1489,$E$2:$E$5001,"Em ajustes",$N$2:$N$5001,"&lt;"&amp;I1489)&gt;0,1,0),0))</f>
        <v/>
      </c>
      <c r="L1489" s="16" t="str">
        <f aca="false">IF(B1489="","",IF(N1489=_xlfn.MAXIFS($N$2:$N$5001,$B$2:$B$5001,B1489,$I$2:$I$5001,I1489),1,0))</f>
        <v/>
      </c>
      <c r="M1489" s="16" t="str">
        <f aca="false">IF(B1489="","",IF(E1489="Em ajustes",IF(N1489=_xlfn.MINIFS($N$2:$N$5001,$B$2:$B$5001,B1489,$E$2:$E$5001,"Em ajustes"),1,0),0))</f>
        <v/>
      </c>
      <c r="N1489" s="17" t="str">
        <f aca="false">IF(A1489="","",IF(ISNUMBER(A1489),A1489,IFERROR(DATE(VALUE(MID(A1489,7,4)),VALUE(MID(A1489,4,2)),VALUE(MID(A1489,1,2)))+TIME(VALUE(MID(A1489,12,2)),VALUE(MID(A1489,15,2)),VALUE(MID(A1489,18,2))),"")))</f>
        <v/>
      </c>
    </row>
    <row r="1490" customFormat="false" ht="15" hidden="false" customHeight="false" outlineLevel="0" collapsed="false">
      <c r="I1490" s="15" t="str">
        <f aca="false">IF(N1490="","",INT(N1490))</f>
        <v/>
      </c>
      <c r="J1490" s="16" t="str">
        <f aca="false">IF(B1490="","",IF(N1490=_xlfn.MINIFS($N$2:$N$5001,$B$2:$B$5001,B1490),1,0))</f>
        <v/>
      </c>
      <c r="K1490" s="16" t="str">
        <f aca="false">IF(B1490="","",IF(AND(D1490="Formalização",E1490="Concluído"),IF(COUNTIFS($B$2:$B$5001,B1490,$E$2:$E$5001,"Em ajustes",$N$2:$N$5001,"&lt;"&amp;I1490)&gt;0,1,0),0))</f>
        <v/>
      </c>
      <c r="L1490" s="16" t="str">
        <f aca="false">IF(B1490="","",IF(N1490=_xlfn.MAXIFS($N$2:$N$5001,$B$2:$B$5001,B1490,$I$2:$I$5001,I1490),1,0))</f>
        <v/>
      </c>
      <c r="M1490" s="16" t="str">
        <f aca="false">IF(B1490="","",IF(E1490="Em ajustes",IF(N1490=_xlfn.MINIFS($N$2:$N$5001,$B$2:$B$5001,B1490,$E$2:$E$5001,"Em ajustes"),1,0),0))</f>
        <v/>
      </c>
      <c r="N1490" s="17" t="str">
        <f aca="false">IF(A1490="","",IF(ISNUMBER(A1490),A1490,IFERROR(DATE(VALUE(MID(A1490,7,4)),VALUE(MID(A1490,4,2)),VALUE(MID(A1490,1,2)))+TIME(VALUE(MID(A1490,12,2)),VALUE(MID(A1490,15,2)),VALUE(MID(A1490,18,2))),"")))</f>
        <v/>
      </c>
    </row>
    <row r="1491" customFormat="false" ht="15" hidden="false" customHeight="false" outlineLevel="0" collapsed="false">
      <c r="I1491" s="15" t="str">
        <f aca="false">IF(N1491="","",INT(N1491))</f>
        <v/>
      </c>
      <c r="J1491" s="16" t="str">
        <f aca="false">IF(B1491="","",IF(N1491=_xlfn.MINIFS($N$2:$N$5001,$B$2:$B$5001,B1491),1,0))</f>
        <v/>
      </c>
      <c r="K1491" s="16" t="str">
        <f aca="false">IF(B1491="","",IF(AND(D1491="Formalização",E1491="Concluído"),IF(COUNTIFS($B$2:$B$5001,B1491,$E$2:$E$5001,"Em ajustes",$N$2:$N$5001,"&lt;"&amp;I1491)&gt;0,1,0),0))</f>
        <v/>
      </c>
      <c r="L1491" s="16" t="str">
        <f aca="false">IF(B1491="","",IF(N1491=_xlfn.MAXIFS($N$2:$N$5001,$B$2:$B$5001,B1491,$I$2:$I$5001,I1491),1,0))</f>
        <v/>
      </c>
      <c r="M1491" s="16" t="str">
        <f aca="false">IF(B1491="","",IF(E1491="Em ajustes",IF(N1491=_xlfn.MINIFS($N$2:$N$5001,$B$2:$B$5001,B1491,$E$2:$E$5001,"Em ajustes"),1,0),0))</f>
        <v/>
      </c>
      <c r="N1491" s="17" t="str">
        <f aca="false">IF(A1491="","",IF(ISNUMBER(A1491),A1491,IFERROR(DATE(VALUE(MID(A1491,7,4)),VALUE(MID(A1491,4,2)),VALUE(MID(A1491,1,2)))+TIME(VALUE(MID(A1491,12,2)),VALUE(MID(A1491,15,2)),VALUE(MID(A1491,18,2))),"")))</f>
        <v/>
      </c>
    </row>
    <row r="1492" customFormat="false" ht="15" hidden="false" customHeight="false" outlineLevel="0" collapsed="false">
      <c r="I1492" s="15" t="str">
        <f aca="false">IF(N1492="","",INT(N1492))</f>
        <v/>
      </c>
      <c r="J1492" s="16" t="str">
        <f aca="false">IF(B1492="","",IF(N1492=_xlfn.MINIFS($N$2:$N$5001,$B$2:$B$5001,B1492),1,0))</f>
        <v/>
      </c>
      <c r="K1492" s="16" t="str">
        <f aca="false">IF(B1492="","",IF(AND(D1492="Formalização",E1492="Concluído"),IF(COUNTIFS($B$2:$B$5001,B1492,$E$2:$E$5001,"Em ajustes",$N$2:$N$5001,"&lt;"&amp;I1492)&gt;0,1,0),0))</f>
        <v/>
      </c>
      <c r="L1492" s="16" t="str">
        <f aca="false">IF(B1492="","",IF(N1492=_xlfn.MAXIFS($N$2:$N$5001,$B$2:$B$5001,B1492,$I$2:$I$5001,I1492),1,0))</f>
        <v/>
      </c>
      <c r="M1492" s="16" t="str">
        <f aca="false">IF(B1492="","",IF(E1492="Em ajustes",IF(N1492=_xlfn.MINIFS($N$2:$N$5001,$B$2:$B$5001,B1492,$E$2:$E$5001,"Em ajustes"),1,0),0))</f>
        <v/>
      </c>
      <c r="N1492" s="17" t="str">
        <f aca="false">IF(A1492="","",IF(ISNUMBER(A1492),A1492,IFERROR(DATE(VALUE(MID(A1492,7,4)),VALUE(MID(A1492,4,2)),VALUE(MID(A1492,1,2)))+TIME(VALUE(MID(A1492,12,2)),VALUE(MID(A1492,15,2)),VALUE(MID(A1492,18,2))),"")))</f>
        <v/>
      </c>
    </row>
    <row r="1493" customFormat="false" ht="15" hidden="false" customHeight="false" outlineLevel="0" collapsed="false">
      <c r="I1493" s="15" t="str">
        <f aca="false">IF(N1493="","",INT(N1493))</f>
        <v/>
      </c>
      <c r="J1493" s="16" t="str">
        <f aca="false">IF(B1493="","",IF(N1493=_xlfn.MINIFS($N$2:$N$5001,$B$2:$B$5001,B1493),1,0))</f>
        <v/>
      </c>
      <c r="K1493" s="16" t="str">
        <f aca="false">IF(B1493="","",IF(AND(D1493="Formalização",E1493="Concluído"),IF(COUNTIFS($B$2:$B$5001,B1493,$E$2:$E$5001,"Em ajustes",$N$2:$N$5001,"&lt;"&amp;I1493)&gt;0,1,0),0))</f>
        <v/>
      </c>
      <c r="L1493" s="16" t="str">
        <f aca="false">IF(B1493="","",IF(N1493=_xlfn.MAXIFS($N$2:$N$5001,$B$2:$B$5001,B1493,$I$2:$I$5001,I1493),1,0))</f>
        <v/>
      </c>
      <c r="M1493" s="16" t="str">
        <f aca="false">IF(B1493="","",IF(E1493="Em ajustes",IF(N1493=_xlfn.MINIFS($N$2:$N$5001,$B$2:$B$5001,B1493,$E$2:$E$5001,"Em ajustes"),1,0),0))</f>
        <v/>
      </c>
      <c r="N1493" s="17" t="str">
        <f aca="false">IF(A1493="","",IF(ISNUMBER(A1493),A1493,IFERROR(DATE(VALUE(MID(A1493,7,4)),VALUE(MID(A1493,4,2)),VALUE(MID(A1493,1,2)))+TIME(VALUE(MID(A1493,12,2)),VALUE(MID(A1493,15,2)),VALUE(MID(A1493,18,2))),"")))</f>
        <v/>
      </c>
    </row>
    <row r="1494" customFormat="false" ht="15" hidden="false" customHeight="false" outlineLevel="0" collapsed="false">
      <c r="I1494" s="15" t="str">
        <f aca="false">IF(N1494="","",INT(N1494))</f>
        <v/>
      </c>
      <c r="J1494" s="16" t="str">
        <f aca="false">IF(B1494="","",IF(N1494=_xlfn.MINIFS($N$2:$N$5001,$B$2:$B$5001,B1494),1,0))</f>
        <v/>
      </c>
      <c r="K1494" s="16" t="str">
        <f aca="false">IF(B1494="","",IF(AND(D1494="Formalização",E1494="Concluído"),IF(COUNTIFS($B$2:$B$5001,B1494,$E$2:$E$5001,"Em ajustes",$N$2:$N$5001,"&lt;"&amp;I1494)&gt;0,1,0),0))</f>
        <v/>
      </c>
      <c r="L1494" s="16" t="str">
        <f aca="false">IF(B1494="","",IF(N1494=_xlfn.MAXIFS($N$2:$N$5001,$B$2:$B$5001,B1494,$I$2:$I$5001,I1494),1,0))</f>
        <v/>
      </c>
      <c r="M1494" s="16" t="str">
        <f aca="false">IF(B1494="","",IF(E1494="Em ajustes",IF(N1494=_xlfn.MINIFS($N$2:$N$5001,$B$2:$B$5001,B1494,$E$2:$E$5001,"Em ajustes"),1,0),0))</f>
        <v/>
      </c>
      <c r="N1494" s="17" t="str">
        <f aca="false">IF(A1494="","",IF(ISNUMBER(A1494),A1494,IFERROR(DATE(VALUE(MID(A1494,7,4)),VALUE(MID(A1494,4,2)),VALUE(MID(A1494,1,2)))+TIME(VALUE(MID(A1494,12,2)),VALUE(MID(A1494,15,2)),VALUE(MID(A1494,18,2))),"")))</f>
        <v/>
      </c>
    </row>
    <row r="1495" customFormat="false" ht="15" hidden="false" customHeight="false" outlineLevel="0" collapsed="false">
      <c r="I1495" s="15" t="str">
        <f aca="false">IF(N1495="","",INT(N1495))</f>
        <v/>
      </c>
      <c r="J1495" s="16" t="str">
        <f aca="false">IF(B1495="","",IF(N1495=_xlfn.MINIFS($N$2:$N$5001,$B$2:$B$5001,B1495),1,0))</f>
        <v/>
      </c>
      <c r="K1495" s="16" t="str">
        <f aca="false">IF(B1495="","",IF(AND(D1495="Formalização",E1495="Concluído"),IF(COUNTIFS($B$2:$B$5001,B1495,$E$2:$E$5001,"Em ajustes",$N$2:$N$5001,"&lt;"&amp;I1495)&gt;0,1,0),0))</f>
        <v/>
      </c>
      <c r="L1495" s="16" t="str">
        <f aca="false">IF(B1495="","",IF(N1495=_xlfn.MAXIFS($N$2:$N$5001,$B$2:$B$5001,B1495,$I$2:$I$5001,I1495),1,0))</f>
        <v/>
      </c>
      <c r="M1495" s="16" t="str">
        <f aca="false">IF(B1495="","",IF(E1495="Em ajustes",IF(N1495=_xlfn.MINIFS($N$2:$N$5001,$B$2:$B$5001,B1495,$E$2:$E$5001,"Em ajustes"),1,0),0))</f>
        <v/>
      </c>
      <c r="N1495" s="17" t="str">
        <f aca="false">IF(A1495="","",IF(ISNUMBER(A1495),A1495,IFERROR(DATE(VALUE(MID(A1495,7,4)),VALUE(MID(A1495,4,2)),VALUE(MID(A1495,1,2)))+TIME(VALUE(MID(A1495,12,2)),VALUE(MID(A1495,15,2)),VALUE(MID(A1495,18,2))),"")))</f>
        <v/>
      </c>
    </row>
    <row r="1496" customFormat="false" ht="15" hidden="false" customHeight="false" outlineLevel="0" collapsed="false">
      <c r="I1496" s="15" t="str">
        <f aca="false">IF(N1496="","",INT(N1496))</f>
        <v/>
      </c>
      <c r="J1496" s="16" t="str">
        <f aca="false">IF(B1496="","",IF(N1496=_xlfn.MINIFS($N$2:$N$5001,$B$2:$B$5001,B1496),1,0))</f>
        <v/>
      </c>
      <c r="K1496" s="16" t="str">
        <f aca="false">IF(B1496="","",IF(AND(D1496="Formalização",E1496="Concluído"),IF(COUNTIFS($B$2:$B$5001,B1496,$E$2:$E$5001,"Em ajustes",$N$2:$N$5001,"&lt;"&amp;I1496)&gt;0,1,0),0))</f>
        <v/>
      </c>
      <c r="L1496" s="16" t="str">
        <f aca="false">IF(B1496="","",IF(N1496=_xlfn.MAXIFS($N$2:$N$5001,$B$2:$B$5001,B1496,$I$2:$I$5001,I1496),1,0))</f>
        <v/>
      </c>
      <c r="M1496" s="16" t="str">
        <f aca="false">IF(B1496="","",IF(E1496="Em ajustes",IF(N1496=_xlfn.MINIFS($N$2:$N$5001,$B$2:$B$5001,B1496,$E$2:$E$5001,"Em ajustes"),1,0),0))</f>
        <v/>
      </c>
      <c r="N1496" s="17" t="str">
        <f aca="false">IF(A1496="","",IF(ISNUMBER(A1496),A1496,IFERROR(DATE(VALUE(MID(A1496,7,4)),VALUE(MID(A1496,4,2)),VALUE(MID(A1496,1,2)))+TIME(VALUE(MID(A1496,12,2)),VALUE(MID(A1496,15,2)),VALUE(MID(A1496,18,2))),"")))</f>
        <v/>
      </c>
    </row>
    <row r="1497" customFormat="false" ht="15" hidden="false" customHeight="false" outlineLevel="0" collapsed="false">
      <c r="I1497" s="15" t="str">
        <f aca="false">IF(N1497="","",INT(N1497))</f>
        <v/>
      </c>
      <c r="J1497" s="16" t="str">
        <f aca="false">IF(B1497="","",IF(N1497=_xlfn.MINIFS($N$2:$N$5001,$B$2:$B$5001,B1497),1,0))</f>
        <v/>
      </c>
      <c r="K1497" s="16" t="str">
        <f aca="false">IF(B1497="","",IF(AND(D1497="Formalização",E1497="Concluído"),IF(COUNTIFS($B$2:$B$5001,B1497,$E$2:$E$5001,"Em ajustes",$N$2:$N$5001,"&lt;"&amp;I1497)&gt;0,1,0),0))</f>
        <v/>
      </c>
      <c r="L1497" s="16" t="str">
        <f aca="false">IF(B1497="","",IF(N1497=_xlfn.MAXIFS($N$2:$N$5001,$B$2:$B$5001,B1497,$I$2:$I$5001,I1497),1,0))</f>
        <v/>
      </c>
      <c r="M1497" s="16" t="str">
        <f aca="false">IF(B1497="","",IF(E1497="Em ajustes",IF(N1497=_xlfn.MINIFS($N$2:$N$5001,$B$2:$B$5001,B1497,$E$2:$E$5001,"Em ajustes"),1,0),0))</f>
        <v/>
      </c>
      <c r="N1497" s="17" t="str">
        <f aca="false">IF(A1497="","",IF(ISNUMBER(A1497),A1497,IFERROR(DATE(VALUE(MID(A1497,7,4)),VALUE(MID(A1497,4,2)),VALUE(MID(A1497,1,2)))+TIME(VALUE(MID(A1497,12,2)),VALUE(MID(A1497,15,2)),VALUE(MID(A1497,18,2))),"")))</f>
        <v/>
      </c>
    </row>
    <row r="1498" customFormat="false" ht="15" hidden="false" customHeight="false" outlineLevel="0" collapsed="false">
      <c r="I1498" s="15" t="str">
        <f aca="false">IF(N1498="","",INT(N1498))</f>
        <v/>
      </c>
      <c r="J1498" s="16" t="str">
        <f aca="false">IF(B1498="","",IF(N1498=_xlfn.MINIFS($N$2:$N$5001,$B$2:$B$5001,B1498),1,0))</f>
        <v/>
      </c>
      <c r="K1498" s="16" t="str">
        <f aca="false">IF(B1498="","",IF(AND(D1498="Formalização",E1498="Concluído"),IF(COUNTIFS($B$2:$B$5001,B1498,$E$2:$E$5001,"Em ajustes",$N$2:$N$5001,"&lt;"&amp;I1498)&gt;0,1,0),0))</f>
        <v/>
      </c>
      <c r="L1498" s="16" t="str">
        <f aca="false">IF(B1498="","",IF(N1498=_xlfn.MAXIFS($N$2:$N$5001,$B$2:$B$5001,B1498,$I$2:$I$5001,I1498),1,0))</f>
        <v/>
      </c>
      <c r="M1498" s="16" t="str">
        <f aca="false">IF(B1498="","",IF(E1498="Em ajustes",IF(N1498=_xlfn.MINIFS($N$2:$N$5001,$B$2:$B$5001,B1498,$E$2:$E$5001,"Em ajustes"),1,0),0))</f>
        <v/>
      </c>
      <c r="N1498" s="17" t="str">
        <f aca="false">IF(A1498="","",IF(ISNUMBER(A1498),A1498,IFERROR(DATE(VALUE(MID(A1498,7,4)),VALUE(MID(A1498,4,2)),VALUE(MID(A1498,1,2)))+TIME(VALUE(MID(A1498,12,2)),VALUE(MID(A1498,15,2)),VALUE(MID(A1498,18,2))),"")))</f>
        <v/>
      </c>
    </row>
    <row r="1499" customFormat="false" ht="15" hidden="false" customHeight="false" outlineLevel="0" collapsed="false">
      <c r="I1499" s="15" t="str">
        <f aca="false">IF(N1499="","",INT(N1499))</f>
        <v/>
      </c>
      <c r="J1499" s="16" t="str">
        <f aca="false">IF(B1499="","",IF(N1499=_xlfn.MINIFS($N$2:$N$5001,$B$2:$B$5001,B1499),1,0))</f>
        <v/>
      </c>
      <c r="K1499" s="16" t="str">
        <f aca="false">IF(B1499="","",IF(AND(D1499="Formalização",E1499="Concluído"),IF(COUNTIFS($B$2:$B$5001,B1499,$E$2:$E$5001,"Em ajustes",$N$2:$N$5001,"&lt;"&amp;I1499)&gt;0,1,0),0))</f>
        <v/>
      </c>
      <c r="L1499" s="16" t="str">
        <f aca="false">IF(B1499="","",IF(N1499=_xlfn.MAXIFS($N$2:$N$5001,$B$2:$B$5001,B1499,$I$2:$I$5001,I1499),1,0))</f>
        <v/>
      </c>
      <c r="M1499" s="16" t="str">
        <f aca="false">IF(B1499="","",IF(E1499="Em ajustes",IF(N1499=_xlfn.MINIFS($N$2:$N$5001,$B$2:$B$5001,B1499,$E$2:$E$5001,"Em ajustes"),1,0),0))</f>
        <v/>
      </c>
      <c r="N1499" s="17" t="str">
        <f aca="false">IF(A1499="","",IF(ISNUMBER(A1499),A1499,IFERROR(DATE(VALUE(MID(A1499,7,4)),VALUE(MID(A1499,4,2)),VALUE(MID(A1499,1,2)))+TIME(VALUE(MID(A1499,12,2)),VALUE(MID(A1499,15,2)),VALUE(MID(A1499,18,2))),"")))</f>
        <v/>
      </c>
    </row>
    <row r="1500" customFormat="false" ht="15" hidden="false" customHeight="false" outlineLevel="0" collapsed="false">
      <c r="I1500" s="15" t="str">
        <f aca="false">IF(N1500="","",INT(N1500))</f>
        <v/>
      </c>
      <c r="J1500" s="16" t="str">
        <f aca="false">IF(B1500="","",IF(N1500=_xlfn.MINIFS($N$2:$N$5001,$B$2:$B$5001,B1500),1,0))</f>
        <v/>
      </c>
      <c r="K1500" s="16" t="str">
        <f aca="false">IF(B1500="","",IF(AND(D1500="Formalização",E1500="Concluído"),IF(COUNTIFS($B$2:$B$5001,B1500,$E$2:$E$5001,"Em ajustes",$N$2:$N$5001,"&lt;"&amp;I1500)&gt;0,1,0),0))</f>
        <v/>
      </c>
      <c r="L1500" s="16" t="str">
        <f aca="false">IF(B1500="","",IF(N1500=_xlfn.MAXIFS($N$2:$N$5001,$B$2:$B$5001,B1500,$I$2:$I$5001,I1500),1,0))</f>
        <v/>
      </c>
      <c r="M1500" s="16" t="str">
        <f aca="false">IF(B1500="","",IF(E1500="Em ajustes",IF(N1500=_xlfn.MINIFS($N$2:$N$5001,$B$2:$B$5001,B1500,$E$2:$E$5001,"Em ajustes"),1,0),0))</f>
        <v/>
      </c>
      <c r="N1500" s="17" t="str">
        <f aca="false">IF(A1500="","",IF(ISNUMBER(A1500),A1500,IFERROR(DATE(VALUE(MID(A1500,7,4)),VALUE(MID(A1500,4,2)),VALUE(MID(A1500,1,2)))+TIME(VALUE(MID(A1500,12,2)),VALUE(MID(A1500,15,2)),VALUE(MID(A1500,18,2))),"")))</f>
        <v/>
      </c>
    </row>
    <row r="1501" customFormat="false" ht="15" hidden="false" customHeight="false" outlineLevel="0" collapsed="false">
      <c r="I1501" s="15" t="str">
        <f aca="false">IF(N1501="","",INT(N1501))</f>
        <v/>
      </c>
      <c r="J1501" s="16" t="str">
        <f aca="false">IF(B1501="","",IF(N1501=_xlfn.MINIFS($N$2:$N$5001,$B$2:$B$5001,B1501),1,0))</f>
        <v/>
      </c>
      <c r="K1501" s="16" t="str">
        <f aca="false">IF(B1501="","",IF(AND(D1501="Formalização",E1501="Concluído"),IF(COUNTIFS($B$2:$B$5001,B1501,$E$2:$E$5001,"Em ajustes",$N$2:$N$5001,"&lt;"&amp;I1501)&gt;0,1,0),0))</f>
        <v/>
      </c>
      <c r="L1501" s="16" t="str">
        <f aca="false">IF(B1501="","",IF(N1501=_xlfn.MAXIFS($N$2:$N$5001,$B$2:$B$5001,B1501,$I$2:$I$5001,I1501),1,0))</f>
        <v/>
      </c>
      <c r="M1501" s="16" t="str">
        <f aca="false">IF(B1501="","",IF(E1501="Em ajustes",IF(N1501=_xlfn.MINIFS($N$2:$N$5001,$B$2:$B$5001,B1501,$E$2:$E$5001,"Em ajustes"),1,0),0))</f>
        <v/>
      </c>
      <c r="N1501" s="17" t="str">
        <f aca="false">IF(A1501="","",IF(ISNUMBER(A1501),A1501,IFERROR(DATE(VALUE(MID(A1501,7,4)),VALUE(MID(A1501,4,2)),VALUE(MID(A1501,1,2)))+TIME(VALUE(MID(A1501,12,2)),VALUE(MID(A1501,15,2)),VALUE(MID(A1501,18,2))),"")))</f>
        <v/>
      </c>
    </row>
    <row r="1502" customFormat="false" ht="15" hidden="false" customHeight="false" outlineLevel="0" collapsed="false">
      <c r="I1502" s="15" t="str">
        <f aca="false">IF(N1502="","",INT(N1502))</f>
        <v/>
      </c>
      <c r="J1502" s="16" t="str">
        <f aca="false">IF(B1502="","",IF(N1502=_xlfn.MINIFS($N$2:$N$5001,$B$2:$B$5001,B1502),1,0))</f>
        <v/>
      </c>
      <c r="K1502" s="16" t="str">
        <f aca="false">IF(B1502="","",IF(AND(D1502="Formalização",E1502="Concluído"),IF(COUNTIFS($B$2:$B$5001,B1502,$E$2:$E$5001,"Em ajustes",$N$2:$N$5001,"&lt;"&amp;I1502)&gt;0,1,0),0))</f>
        <v/>
      </c>
      <c r="L1502" s="16" t="str">
        <f aca="false">IF(B1502="","",IF(N1502=_xlfn.MAXIFS($N$2:$N$5001,$B$2:$B$5001,B1502,$I$2:$I$5001,I1502),1,0))</f>
        <v/>
      </c>
      <c r="M1502" s="16" t="str">
        <f aca="false">IF(B1502="","",IF(E1502="Em ajustes",IF(N1502=_xlfn.MINIFS($N$2:$N$5001,$B$2:$B$5001,B1502,$E$2:$E$5001,"Em ajustes"),1,0),0))</f>
        <v/>
      </c>
      <c r="N1502" s="17" t="str">
        <f aca="false">IF(A1502="","",IF(ISNUMBER(A1502),A1502,IFERROR(DATE(VALUE(MID(A1502,7,4)),VALUE(MID(A1502,4,2)),VALUE(MID(A1502,1,2)))+TIME(VALUE(MID(A1502,12,2)),VALUE(MID(A1502,15,2)),VALUE(MID(A1502,18,2))),"")))</f>
        <v/>
      </c>
    </row>
    <row r="1503" customFormat="false" ht="15" hidden="false" customHeight="false" outlineLevel="0" collapsed="false">
      <c r="I1503" s="15" t="str">
        <f aca="false">IF(N1503="","",INT(N1503))</f>
        <v/>
      </c>
      <c r="J1503" s="16" t="str">
        <f aca="false">IF(B1503="","",IF(N1503=_xlfn.MINIFS($N$2:$N$5001,$B$2:$B$5001,B1503),1,0))</f>
        <v/>
      </c>
      <c r="K1503" s="16" t="str">
        <f aca="false">IF(B1503="","",IF(AND(D1503="Formalização",E1503="Concluído"),IF(COUNTIFS($B$2:$B$5001,B1503,$E$2:$E$5001,"Em ajustes",$N$2:$N$5001,"&lt;"&amp;I1503)&gt;0,1,0),0))</f>
        <v/>
      </c>
      <c r="L1503" s="16" t="str">
        <f aca="false">IF(B1503="","",IF(N1503=_xlfn.MAXIFS($N$2:$N$5001,$B$2:$B$5001,B1503,$I$2:$I$5001,I1503),1,0))</f>
        <v/>
      </c>
      <c r="M1503" s="16" t="str">
        <f aca="false">IF(B1503="","",IF(E1503="Em ajustes",IF(N1503=_xlfn.MINIFS($N$2:$N$5001,$B$2:$B$5001,B1503,$E$2:$E$5001,"Em ajustes"),1,0),0))</f>
        <v/>
      </c>
      <c r="N1503" s="17" t="str">
        <f aca="false">IF(A1503="","",IF(ISNUMBER(A1503),A1503,IFERROR(DATE(VALUE(MID(A1503,7,4)),VALUE(MID(A1503,4,2)),VALUE(MID(A1503,1,2)))+TIME(VALUE(MID(A1503,12,2)),VALUE(MID(A1503,15,2)),VALUE(MID(A1503,18,2))),"")))</f>
        <v/>
      </c>
    </row>
    <row r="1504" customFormat="false" ht="15" hidden="false" customHeight="false" outlineLevel="0" collapsed="false">
      <c r="I1504" s="15" t="str">
        <f aca="false">IF(N1504="","",INT(N1504))</f>
        <v/>
      </c>
      <c r="J1504" s="16" t="str">
        <f aca="false">IF(B1504="","",IF(N1504=_xlfn.MINIFS($N$2:$N$5001,$B$2:$B$5001,B1504),1,0))</f>
        <v/>
      </c>
      <c r="K1504" s="16" t="str">
        <f aca="false">IF(B1504="","",IF(AND(D1504="Formalização",E1504="Concluído"),IF(COUNTIFS($B$2:$B$5001,B1504,$E$2:$E$5001,"Em ajustes",$N$2:$N$5001,"&lt;"&amp;I1504)&gt;0,1,0),0))</f>
        <v/>
      </c>
      <c r="L1504" s="16" t="str">
        <f aca="false">IF(B1504="","",IF(N1504=_xlfn.MAXIFS($N$2:$N$5001,$B$2:$B$5001,B1504,$I$2:$I$5001,I1504),1,0))</f>
        <v/>
      </c>
      <c r="M1504" s="16" t="str">
        <f aca="false">IF(B1504="","",IF(E1504="Em ajustes",IF(N1504=_xlfn.MINIFS($N$2:$N$5001,$B$2:$B$5001,B1504,$E$2:$E$5001,"Em ajustes"),1,0),0))</f>
        <v/>
      </c>
      <c r="N1504" s="17" t="str">
        <f aca="false">IF(A1504="","",IF(ISNUMBER(A1504),A1504,IFERROR(DATE(VALUE(MID(A1504,7,4)),VALUE(MID(A1504,4,2)),VALUE(MID(A1504,1,2)))+TIME(VALUE(MID(A1504,12,2)),VALUE(MID(A1504,15,2)),VALUE(MID(A1504,18,2))),"")))</f>
        <v/>
      </c>
    </row>
    <row r="1505" customFormat="false" ht="15" hidden="false" customHeight="false" outlineLevel="0" collapsed="false">
      <c r="I1505" s="15" t="str">
        <f aca="false">IF(N1505="","",INT(N1505))</f>
        <v/>
      </c>
      <c r="J1505" s="16" t="str">
        <f aca="false">IF(B1505="","",IF(N1505=_xlfn.MINIFS($N$2:$N$5001,$B$2:$B$5001,B1505),1,0))</f>
        <v/>
      </c>
      <c r="K1505" s="16" t="str">
        <f aca="false">IF(B1505="","",IF(AND(D1505="Formalização",E1505="Concluído"),IF(COUNTIFS($B$2:$B$5001,B1505,$E$2:$E$5001,"Em ajustes",$N$2:$N$5001,"&lt;"&amp;I1505)&gt;0,1,0),0))</f>
        <v/>
      </c>
      <c r="L1505" s="16" t="str">
        <f aca="false">IF(B1505="","",IF(N1505=_xlfn.MAXIFS($N$2:$N$5001,$B$2:$B$5001,B1505,$I$2:$I$5001,I1505),1,0))</f>
        <v/>
      </c>
      <c r="M1505" s="16" t="str">
        <f aca="false">IF(B1505="","",IF(E1505="Em ajustes",IF(N1505=_xlfn.MINIFS($N$2:$N$5001,$B$2:$B$5001,B1505,$E$2:$E$5001,"Em ajustes"),1,0),0))</f>
        <v/>
      </c>
      <c r="N1505" s="17" t="str">
        <f aca="false">IF(A1505="","",IF(ISNUMBER(A1505),A1505,IFERROR(DATE(VALUE(MID(A1505,7,4)),VALUE(MID(A1505,4,2)),VALUE(MID(A1505,1,2)))+TIME(VALUE(MID(A1505,12,2)),VALUE(MID(A1505,15,2)),VALUE(MID(A1505,18,2))),"")))</f>
        <v/>
      </c>
    </row>
    <row r="1506" customFormat="false" ht="15" hidden="false" customHeight="false" outlineLevel="0" collapsed="false">
      <c r="I1506" s="15" t="str">
        <f aca="false">IF(N1506="","",INT(N1506))</f>
        <v/>
      </c>
      <c r="J1506" s="16" t="str">
        <f aca="false">IF(B1506="","",IF(N1506=_xlfn.MINIFS($N$2:$N$5001,$B$2:$B$5001,B1506),1,0))</f>
        <v/>
      </c>
      <c r="K1506" s="16" t="str">
        <f aca="false">IF(B1506="","",IF(AND(D1506="Formalização",E1506="Concluído"),IF(COUNTIFS($B$2:$B$5001,B1506,$E$2:$E$5001,"Em ajustes",$N$2:$N$5001,"&lt;"&amp;I1506)&gt;0,1,0),0))</f>
        <v/>
      </c>
      <c r="L1506" s="16" t="str">
        <f aca="false">IF(B1506="","",IF(N1506=_xlfn.MAXIFS($N$2:$N$5001,$B$2:$B$5001,B1506,$I$2:$I$5001,I1506),1,0))</f>
        <v/>
      </c>
      <c r="M1506" s="16" t="str">
        <f aca="false">IF(B1506="","",IF(E1506="Em ajustes",IF(N1506=_xlfn.MINIFS($N$2:$N$5001,$B$2:$B$5001,B1506,$E$2:$E$5001,"Em ajustes"),1,0),0))</f>
        <v/>
      </c>
      <c r="N1506" s="17" t="str">
        <f aca="false">IF(A1506="","",IF(ISNUMBER(A1506),A1506,IFERROR(DATE(VALUE(MID(A1506,7,4)),VALUE(MID(A1506,4,2)),VALUE(MID(A1506,1,2)))+TIME(VALUE(MID(A1506,12,2)),VALUE(MID(A1506,15,2)),VALUE(MID(A1506,18,2))),"")))</f>
        <v/>
      </c>
    </row>
    <row r="1507" customFormat="false" ht="15" hidden="false" customHeight="false" outlineLevel="0" collapsed="false">
      <c r="I1507" s="15" t="str">
        <f aca="false">IF(N1507="","",INT(N1507))</f>
        <v/>
      </c>
      <c r="J1507" s="16" t="str">
        <f aca="false">IF(B1507="","",IF(N1507=_xlfn.MINIFS($N$2:$N$5001,$B$2:$B$5001,B1507),1,0))</f>
        <v/>
      </c>
      <c r="K1507" s="16" t="str">
        <f aca="false">IF(B1507="","",IF(AND(D1507="Formalização",E1507="Concluído"),IF(COUNTIFS($B$2:$B$5001,B1507,$E$2:$E$5001,"Em ajustes",$N$2:$N$5001,"&lt;"&amp;I1507)&gt;0,1,0),0))</f>
        <v/>
      </c>
      <c r="L1507" s="16" t="str">
        <f aca="false">IF(B1507="","",IF(N1507=_xlfn.MAXIFS($N$2:$N$5001,$B$2:$B$5001,B1507,$I$2:$I$5001,I1507),1,0))</f>
        <v/>
      </c>
      <c r="M1507" s="16" t="str">
        <f aca="false">IF(B1507="","",IF(E1507="Em ajustes",IF(N1507=_xlfn.MINIFS($N$2:$N$5001,$B$2:$B$5001,B1507,$E$2:$E$5001,"Em ajustes"),1,0),0))</f>
        <v/>
      </c>
      <c r="N1507" s="17" t="str">
        <f aca="false">IF(A1507="","",IF(ISNUMBER(A1507),A1507,IFERROR(DATE(VALUE(MID(A1507,7,4)),VALUE(MID(A1507,4,2)),VALUE(MID(A1507,1,2)))+TIME(VALUE(MID(A1507,12,2)),VALUE(MID(A1507,15,2)),VALUE(MID(A1507,18,2))),"")))</f>
        <v/>
      </c>
    </row>
    <row r="1508" customFormat="false" ht="15" hidden="false" customHeight="false" outlineLevel="0" collapsed="false">
      <c r="I1508" s="15" t="str">
        <f aca="false">IF(N1508="","",INT(N1508))</f>
        <v/>
      </c>
      <c r="J1508" s="16" t="str">
        <f aca="false">IF(B1508="","",IF(N1508=_xlfn.MINIFS($N$2:$N$5001,$B$2:$B$5001,B1508),1,0))</f>
        <v/>
      </c>
      <c r="K1508" s="16" t="str">
        <f aca="false">IF(B1508="","",IF(AND(D1508="Formalização",E1508="Concluído"),IF(COUNTIFS($B$2:$B$5001,B1508,$E$2:$E$5001,"Em ajustes",$N$2:$N$5001,"&lt;"&amp;I1508)&gt;0,1,0),0))</f>
        <v/>
      </c>
      <c r="L1508" s="16" t="str">
        <f aca="false">IF(B1508="","",IF(N1508=_xlfn.MAXIFS($N$2:$N$5001,$B$2:$B$5001,B1508,$I$2:$I$5001,I1508),1,0))</f>
        <v/>
      </c>
      <c r="M1508" s="16" t="str">
        <f aca="false">IF(B1508="","",IF(E1508="Em ajustes",IF(N1508=_xlfn.MINIFS($N$2:$N$5001,$B$2:$B$5001,B1508,$E$2:$E$5001,"Em ajustes"),1,0),0))</f>
        <v/>
      </c>
      <c r="N1508" s="17" t="str">
        <f aca="false">IF(A1508="","",IF(ISNUMBER(A1508),A1508,IFERROR(DATE(VALUE(MID(A1508,7,4)),VALUE(MID(A1508,4,2)),VALUE(MID(A1508,1,2)))+TIME(VALUE(MID(A1508,12,2)),VALUE(MID(A1508,15,2)),VALUE(MID(A1508,18,2))),"")))</f>
        <v/>
      </c>
    </row>
    <row r="1509" customFormat="false" ht="15" hidden="false" customHeight="false" outlineLevel="0" collapsed="false">
      <c r="I1509" s="15" t="str">
        <f aca="false">IF(N1509="","",INT(N1509))</f>
        <v/>
      </c>
      <c r="J1509" s="16" t="str">
        <f aca="false">IF(B1509="","",IF(N1509=_xlfn.MINIFS($N$2:$N$5001,$B$2:$B$5001,B1509),1,0))</f>
        <v/>
      </c>
      <c r="K1509" s="16" t="str">
        <f aca="false">IF(B1509="","",IF(AND(D1509="Formalização",E1509="Concluído"),IF(COUNTIFS($B$2:$B$5001,B1509,$E$2:$E$5001,"Em ajustes",$N$2:$N$5001,"&lt;"&amp;I1509)&gt;0,1,0),0))</f>
        <v/>
      </c>
      <c r="L1509" s="16" t="str">
        <f aca="false">IF(B1509="","",IF(N1509=_xlfn.MAXIFS($N$2:$N$5001,$B$2:$B$5001,B1509,$I$2:$I$5001,I1509),1,0))</f>
        <v/>
      </c>
      <c r="M1509" s="16" t="str">
        <f aca="false">IF(B1509="","",IF(E1509="Em ajustes",IF(N1509=_xlfn.MINIFS($N$2:$N$5001,$B$2:$B$5001,B1509,$E$2:$E$5001,"Em ajustes"),1,0),0))</f>
        <v/>
      </c>
      <c r="N1509" s="17" t="str">
        <f aca="false">IF(A1509="","",IF(ISNUMBER(A1509),A1509,IFERROR(DATE(VALUE(MID(A1509,7,4)),VALUE(MID(A1509,4,2)),VALUE(MID(A1509,1,2)))+TIME(VALUE(MID(A1509,12,2)),VALUE(MID(A1509,15,2)),VALUE(MID(A1509,18,2))),"")))</f>
        <v/>
      </c>
    </row>
    <row r="1510" customFormat="false" ht="15" hidden="false" customHeight="false" outlineLevel="0" collapsed="false">
      <c r="I1510" s="15" t="str">
        <f aca="false">IF(N1510="","",INT(N1510))</f>
        <v/>
      </c>
      <c r="J1510" s="16" t="str">
        <f aca="false">IF(B1510="","",IF(N1510=_xlfn.MINIFS($N$2:$N$5001,$B$2:$B$5001,B1510),1,0))</f>
        <v/>
      </c>
      <c r="K1510" s="16" t="str">
        <f aca="false">IF(B1510="","",IF(AND(D1510="Formalização",E1510="Concluído"),IF(COUNTIFS($B$2:$B$5001,B1510,$E$2:$E$5001,"Em ajustes",$N$2:$N$5001,"&lt;"&amp;I1510)&gt;0,1,0),0))</f>
        <v/>
      </c>
      <c r="L1510" s="16" t="str">
        <f aca="false">IF(B1510="","",IF(N1510=_xlfn.MAXIFS($N$2:$N$5001,$B$2:$B$5001,B1510,$I$2:$I$5001,I1510),1,0))</f>
        <v/>
      </c>
      <c r="M1510" s="16" t="str">
        <f aca="false">IF(B1510="","",IF(E1510="Em ajustes",IF(N1510=_xlfn.MINIFS($N$2:$N$5001,$B$2:$B$5001,B1510,$E$2:$E$5001,"Em ajustes"),1,0),0))</f>
        <v/>
      </c>
      <c r="N1510" s="17" t="str">
        <f aca="false">IF(A1510="","",IF(ISNUMBER(A1510),A1510,IFERROR(DATE(VALUE(MID(A1510,7,4)),VALUE(MID(A1510,4,2)),VALUE(MID(A1510,1,2)))+TIME(VALUE(MID(A1510,12,2)),VALUE(MID(A1510,15,2)),VALUE(MID(A1510,18,2))),"")))</f>
        <v/>
      </c>
    </row>
    <row r="1511" customFormat="false" ht="15" hidden="false" customHeight="false" outlineLevel="0" collapsed="false">
      <c r="I1511" s="15" t="str">
        <f aca="false">IF(N1511="","",INT(N1511))</f>
        <v/>
      </c>
      <c r="J1511" s="16" t="str">
        <f aca="false">IF(B1511="","",IF(N1511=_xlfn.MINIFS($N$2:$N$5001,$B$2:$B$5001,B1511),1,0))</f>
        <v/>
      </c>
      <c r="K1511" s="16" t="str">
        <f aca="false">IF(B1511="","",IF(AND(D1511="Formalização",E1511="Concluído"),IF(COUNTIFS($B$2:$B$5001,B1511,$E$2:$E$5001,"Em ajustes",$N$2:$N$5001,"&lt;"&amp;I1511)&gt;0,1,0),0))</f>
        <v/>
      </c>
      <c r="L1511" s="16" t="str">
        <f aca="false">IF(B1511="","",IF(N1511=_xlfn.MAXIFS($N$2:$N$5001,$B$2:$B$5001,B1511,$I$2:$I$5001,I1511),1,0))</f>
        <v/>
      </c>
      <c r="M1511" s="16" t="str">
        <f aca="false">IF(B1511="","",IF(E1511="Em ajustes",IF(N1511=_xlfn.MINIFS($N$2:$N$5001,$B$2:$B$5001,B1511,$E$2:$E$5001,"Em ajustes"),1,0),0))</f>
        <v/>
      </c>
      <c r="N1511" s="17" t="str">
        <f aca="false">IF(A1511="","",IF(ISNUMBER(A1511),A1511,IFERROR(DATE(VALUE(MID(A1511,7,4)),VALUE(MID(A1511,4,2)),VALUE(MID(A1511,1,2)))+TIME(VALUE(MID(A1511,12,2)),VALUE(MID(A1511,15,2)),VALUE(MID(A1511,18,2))),"")))</f>
        <v/>
      </c>
    </row>
    <row r="1512" customFormat="false" ht="15" hidden="false" customHeight="false" outlineLevel="0" collapsed="false">
      <c r="I1512" s="15" t="str">
        <f aca="false">IF(N1512="","",INT(N1512))</f>
        <v/>
      </c>
      <c r="J1512" s="16" t="str">
        <f aca="false">IF(B1512="","",IF(N1512=_xlfn.MINIFS($N$2:$N$5001,$B$2:$B$5001,B1512),1,0))</f>
        <v/>
      </c>
      <c r="K1512" s="16" t="str">
        <f aca="false">IF(B1512="","",IF(AND(D1512="Formalização",E1512="Concluído"),IF(COUNTIFS($B$2:$B$5001,B1512,$E$2:$E$5001,"Em ajustes",$N$2:$N$5001,"&lt;"&amp;I1512)&gt;0,1,0),0))</f>
        <v/>
      </c>
      <c r="L1512" s="16" t="str">
        <f aca="false">IF(B1512="","",IF(N1512=_xlfn.MAXIFS($N$2:$N$5001,$B$2:$B$5001,B1512,$I$2:$I$5001,I1512),1,0))</f>
        <v/>
      </c>
      <c r="M1512" s="16" t="str">
        <f aca="false">IF(B1512="","",IF(E1512="Em ajustes",IF(N1512=_xlfn.MINIFS($N$2:$N$5001,$B$2:$B$5001,B1512,$E$2:$E$5001,"Em ajustes"),1,0),0))</f>
        <v/>
      </c>
      <c r="N1512" s="17" t="str">
        <f aca="false">IF(A1512="","",IF(ISNUMBER(A1512),A1512,IFERROR(DATE(VALUE(MID(A1512,7,4)),VALUE(MID(A1512,4,2)),VALUE(MID(A1512,1,2)))+TIME(VALUE(MID(A1512,12,2)),VALUE(MID(A1512,15,2)),VALUE(MID(A1512,18,2))),"")))</f>
        <v/>
      </c>
    </row>
    <row r="1513" customFormat="false" ht="15" hidden="false" customHeight="false" outlineLevel="0" collapsed="false">
      <c r="I1513" s="15" t="str">
        <f aca="false">IF(N1513="","",INT(N1513))</f>
        <v/>
      </c>
      <c r="J1513" s="16" t="str">
        <f aca="false">IF(B1513="","",IF(N1513=_xlfn.MINIFS($N$2:$N$5001,$B$2:$B$5001,B1513),1,0))</f>
        <v/>
      </c>
      <c r="K1513" s="16" t="str">
        <f aca="false">IF(B1513="","",IF(AND(D1513="Formalização",E1513="Concluído"),IF(COUNTIFS($B$2:$B$5001,B1513,$E$2:$E$5001,"Em ajustes",$N$2:$N$5001,"&lt;"&amp;I1513)&gt;0,1,0),0))</f>
        <v/>
      </c>
      <c r="L1513" s="16" t="str">
        <f aca="false">IF(B1513="","",IF(N1513=_xlfn.MAXIFS($N$2:$N$5001,$B$2:$B$5001,B1513,$I$2:$I$5001,I1513),1,0))</f>
        <v/>
      </c>
      <c r="M1513" s="16" t="str">
        <f aca="false">IF(B1513="","",IF(E1513="Em ajustes",IF(N1513=_xlfn.MINIFS($N$2:$N$5001,$B$2:$B$5001,B1513,$E$2:$E$5001,"Em ajustes"),1,0),0))</f>
        <v/>
      </c>
      <c r="N1513" s="17" t="str">
        <f aca="false">IF(A1513="","",IF(ISNUMBER(A1513),A1513,IFERROR(DATE(VALUE(MID(A1513,7,4)),VALUE(MID(A1513,4,2)),VALUE(MID(A1513,1,2)))+TIME(VALUE(MID(A1513,12,2)),VALUE(MID(A1513,15,2)),VALUE(MID(A1513,18,2))),"")))</f>
        <v/>
      </c>
    </row>
    <row r="1514" customFormat="false" ht="15" hidden="false" customHeight="false" outlineLevel="0" collapsed="false">
      <c r="I1514" s="15" t="str">
        <f aca="false">IF(N1514="","",INT(N1514))</f>
        <v/>
      </c>
      <c r="J1514" s="16" t="str">
        <f aca="false">IF(B1514="","",IF(N1514=_xlfn.MINIFS($N$2:$N$5001,$B$2:$B$5001,B1514),1,0))</f>
        <v/>
      </c>
      <c r="K1514" s="16" t="str">
        <f aca="false">IF(B1514="","",IF(AND(D1514="Formalização",E1514="Concluído"),IF(COUNTIFS($B$2:$B$5001,B1514,$E$2:$E$5001,"Em ajustes",$N$2:$N$5001,"&lt;"&amp;I1514)&gt;0,1,0),0))</f>
        <v/>
      </c>
      <c r="L1514" s="16" t="str">
        <f aca="false">IF(B1514="","",IF(N1514=_xlfn.MAXIFS($N$2:$N$5001,$B$2:$B$5001,B1514,$I$2:$I$5001,I1514),1,0))</f>
        <v/>
      </c>
      <c r="M1514" s="16" t="str">
        <f aca="false">IF(B1514="","",IF(E1514="Em ajustes",IF(N1514=_xlfn.MINIFS($N$2:$N$5001,$B$2:$B$5001,B1514,$E$2:$E$5001,"Em ajustes"),1,0),0))</f>
        <v/>
      </c>
      <c r="N1514" s="17" t="str">
        <f aca="false">IF(A1514="","",IF(ISNUMBER(A1514),A1514,IFERROR(DATE(VALUE(MID(A1514,7,4)),VALUE(MID(A1514,4,2)),VALUE(MID(A1514,1,2)))+TIME(VALUE(MID(A1514,12,2)),VALUE(MID(A1514,15,2)),VALUE(MID(A1514,18,2))),"")))</f>
        <v/>
      </c>
    </row>
    <row r="1515" customFormat="false" ht="15" hidden="false" customHeight="false" outlineLevel="0" collapsed="false">
      <c r="I1515" s="15" t="str">
        <f aca="false">IF(N1515="","",INT(N1515))</f>
        <v/>
      </c>
      <c r="J1515" s="16" t="str">
        <f aca="false">IF(B1515="","",IF(N1515=_xlfn.MINIFS($N$2:$N$5001,$B$2:$B$5001,B1515),1,0))</f>
        <v/>
      </c>
      <c r="K1515" s="16" t="str">
        <f aca="false">IF(B1515="","",IF(AND(D1515="Formalização",E1515="Concluído"),IF(COUNTIFS($B$2:$B$5001,B1515,$E$2:$E$5001,"Em ajustes",$N$2:$N$5001,"&lt;"&amp;I1515)&gt;0,1,0),0))</f>
        <v/>
      </c>
      <c r="L1515" s="16" t="str">
        <f aca="false">IF(B1515="","",IF(N1515=_xlfn.MAXIFS($N$2:$N$5001,$B$2:$B$5001,B1515,$I$2:$I$5001,I1515),1,0))</f>
        <v/>
      </c>
      <c r="M1515" s="16" t="str">
        <f aca="false">IF(B1515="","",IF(E1515="Em ajustes",IF(N1515=_xlfn.MINIFS($N$2:$N$5001,$B$2:$B$5001,B1515,$E$2:$E$5001,"Em ajustes"),1,0),0))</f>
        <v/>
      </c>
      <c r="N1515" s="17" t="str">
        <f aca="false">IF(A1515="","",IF(ISNUMBER(A1515),A1515,IFERROR(DATE(VALUE(MID(A1515,7,4)),VALUE(MID(A1515,4,2)),VALUE(MID(A1515,1,2)))+TIME(VALUE(MID(A1515,12,2)),VALUE(MID(A1515,15,2)),VALUE(MID(A1515,18,2))),"")))</f>
        <v/>
      </c>
    </row>
    <row r="1516" customFormat="false" ht="15" hidden="false" customHeight="false" outlineLevel="0" collapsed="false">
      <c r="I1516" s="15" t="str">
        <f aca="false">IF(N1516="","",INT(N1516))</f>
        <v/>
      </c>
      <c r="J1516" s="16" t="str">
        <f aca="false">IF(B1516="","",IF(N1516=_xlfn.MINIFS($N$2:$N$5001,$B$2:$B$5001,B1516),1,0))</f>
        <v/>
      </c>
      <c r="K1516" s="16" t="str">
        <f aca="false">IF(B1516="","",IF(AND(D1516="Formalização",E1516="Concluído"),IF(COUNTIFS($B$2:$B$5001,B1516,$E$2:$E$5001,"Em ajustes",$N$2:$N$5001,"&lt;"&amp;I1516)&gt;0,1,0),0))</f>
        <v/>
      </c>
      <c r="L1516" s="16" t="str">
        <f aca="false">IF(B1516="","",IF(N1516=_xlfn.MAXIFS($N$2:$N$5001,$B$2:$B$5001,B1516,$I$2:$I$5001,I1516),1,0))</f>
        <v/>
      </c>
      <c r="M1516" s="16" t="str">
        <f aca="false">IF(B1516="","",IF(E1516="Em ajustes",IF(N1516=_xlfn.MINIFS($N$2:$N$5001,$B$2:$B$5001,B1516,$E$2:$E$5001,"Em ajustes"),1,0),0))</f>
        <v/>
      </c>
      <c r="N1516" s="17" t="str">
        <f aca="false">IF(A1516="","",IF(ISNUMBER(A1516),A1516,IFERROR(DATE(VALUE(MID(A1516,7,4)),VALUE(MID(A1516,4,2)),VALUE(MID(A1516,1,2)))+TIME(VALUE(MID(A1516,12,2)),VALUE(MID(A1516,15,2)),VALUE(MID(A1516,18,2))),"")))</f>
        <v/>
      </c>
    </row>
    <row r="1517" customFormat="false" ht="15" hidden="false" customHeight="false" outlineLevel="0" collapsed="false">
      <c r="I1517" s="15" t="str">
        <f aca="false">IF(N1517="","",INT(N1517))</f>
        <v/>
      </c>
      <c r="J1517" s="16" t="str">
        <f aca="false">IF(B1517="","",IF(N1517=_xlfn.MINIFS($N$2:$N$5001,$B$2:$B$5001,B1517),1,0))</f>
        <v/>
      </c>
      <c r="K1517" s="16" t="str">
        <f aca="false">IF(B1517="","",IF(AND(D1517="Formalização",E1517="Concluído"),IF(COUNTIFS($B$2:$B$5001,B1517,$E$2:$E$5001,"Em ajustes",$N$2:$N$5001,"&lt;"&amp;I1517)&gt;0,1,0),0))</f>
        <v/>
      </c>
      <c r="L1517" s="16" t="str">
        <f aca="false">IF(B1517="","",IF(N1517=_xlfn.MAXIFS($N$2:$N$5001,$B$2:$B$5001,B1517,$I$2:$I$5001,I1517),1,0))</f>
        <v/>
      </c>
      <c r="M1517" s="16" t="str">
        <f aca="false">IF(B1517="","",IF(E1517="Em ajustes",IF(N1517=_xlfn.MINIFS($N$2:$N$5001,$B$2:$B$5001,B1517,$E$2:$E$5001,"Em ajustes"),1,0),0))</f>
        <v/>
      </c>
      <c r="N1517" s="17" t="str">
        <f aca="false">IF(A1517="","",IF(ISNUMBER(A1517),A1517,IFERROR(DATE(VALUE(MID(A1517,7,4)),VALUE(MID(A1517,4,2)),VALUE(MID(A1517,1,2)))+TIME(VALUE(MID(A1517,12,2)),VALUE(MID(A1517,15,2)),VALUE(MID(A1517,18,2))),"")))</f>
        <v/>
      </c>
    </row>
    <row r="1518" customFormat="false" ht="15" hidden="false" customHeight="false" outlineLevel="0" collapsed="false">
      <c r="I1518" s="15" t="str">
        <f aca="false">IF(N1518="","",INT(N1518))</f>
        <v/>
      </c>
      <c r="J1518" s="16" t="str">
        <f aca="false">IF(B1518="","",IF(N1518=_xlfn.MINIFS($N$2:$N$5001,$B$2:$B$5001,B1518),1,0))</f>
        <v/>
      </c>
      <c r="K1518" s="16" t="str">
        <f aca="false">IF(B1518="","",IF(AND(D1518="Formalização",E1518="Concluído"),IF(COUNTIFS($B$2:$B$5001,B1518,$E$2:$E$5001,"Em ajustes",$N$2:$N$5001,"&lt;"&amp;I1518)&gt;0,1,0),0))</f>
        <v/>
      </c>
      <c r="L1518" s="16" t="str">
        <f aca="false">IF(B1518="","",IF(N1518=_xlfn.MAXIFS($N$2:$N$5001,$B$2:$B$5001,B1518,$I$2:$I$5001,I1518),1,0))</f>
        <v/>
      </c>
      <c r="M1518" s="16" t="str">
        <f aca="false">IF(B1518="","",IF(E1518="Em ajustes",IF(N1518=_xlfn.MINIFS($N$2:$N$5001,$B$2:$B$5001,B1518,$E$2:$E$5001,"Em ajustes"),1,0),0))</f>
        <v/>
      </c>
      <c r="N1518" s="17" t="str">
        <f aca="false">IF(A1518="","",IF(ISNUMBER(A1518),A1518,IFERROR(DATE(VALUE(MID(A1518,7,4)),VALUE(MID(A1518,4,2)),VALUE(MID(A1518,1,2)))+TIME(VALUE(MID(A1518,12,2)),VALUE(MID(A1518,15,2)),VALUE(MID(A1518,18,2))),"")))</f>
        <v/>
      </c>
    </row>
    <row r="1519" customFormat="false" ht="15" hidden="false" customHeight="false" outlineLevel="0" collapsed="false">
      <c r="I1519" s="15" t="str">
        <f aca="false">IF(N1519="","",INT(N1519))</f>
        <v/>
      </c>
      <c r="J1519" s="16" t="str">
        <f aca="false">IF(B1519="","",IF(N1519=_xlfn.MINIFS($N$2:$N$5001,$B$2:$B$5001,B1519),1,0))</f>
        <v/>
      </c>
      <c r="K1519" s="16" t="str">
        <f aca="false">IF(B1519="","",IF(AND(D1519="Formalização",E1519="Concluído"),IF(COUNTIFS($B$2:$B$5001,B1519,$E$2:$E$5001,"Em ajustes",$N$2:$N$5001,"&lt;"&amp;I1519)&gt;0,1,0),0))</f>
        <v/>
      </c>
      <c r="L1519" s="16" t="str">
        <f aca="false">IF(B1519="","",IF(N1519=_xlfn.MAXIFS($N$2:$N$5001,$B$2:$B$5001,B1519,$I$2:$I$5001,I1519),1,0))</f>
        <v/>
      </c>
      <c r="M1519" s="16" t="str">
        <f aca="false">IF(B1519="","",IF(E1519="Em ajustes",IF(N1519=_xlfn.MINIFS($N$2:$N$5001,$B$2:$B$5001,B1519,$E$2:$E$5001,"Em ajustes"),1,0),0))</f>
        <v/>
      </c>
      <c r="N1519" s="17" t="str">
        <f aca="false">IF(A1519="","",IF(ISNUMBER(A1519),A1519,IFERROR(DATE(VALUE(MID(A1519,7,4)),VALUE(MID(A1519,4,2)),VALUE(MID(A1519,1,2)))+TIME(VALUE(MID(A1519,12,2)),VALUE(MID(A1519,15,2)),VALUE(MID(A1519,18,2))),"")))</f>
        <v/>
      </c>
    </row>
    <row r="1520" customFormat="false" ht="15" hidden="false" customHeight="false" outlineLevel="0" collapsed="false">
      <c r="I1520" s="15" t="str">
        <f aca="false">IF(N1520="","",INT(N1520))</f>
        <v/>
      </c>
      <c r="J1520" s="16" t="str">
        <f aca="false">IF(B1520="","",IF(N1520=_xlfn.MINIFS($N$2:$N$5001,$B$2:$B$5001,B1520),1,0))</f>
        <v/>
      </c>
      <c r="K1520" s="16" t="str">
        <f aca="false">IF(B1520="","",IF(AND(D1520="Formalização",E1520="Concluído"),IF(COUNTIFS($B$2:$B$5001,B1520,$E$2:$E$5001,"Em ajustes",$N$2:$N$5001,"&lt;"&amp;I1520)&gt;0,1,0),0))</f>
        <v/>
      </c>
      <c r="L1520" s="16" t="str">
        <f aca="false">IF(B1520="","",IF(N1520=_xlfn.MAXIFS($N$2:$N$5001,$B$2:$B$5001,B1520,$I$2:$I$5001,I1520),1,0))</f>
        <v/>
      </c>
      <c r="M1520" s="16" t="str">
        <f aca="false">IF(B1520="","",IF(E1520="Em ajustes",IF(N1520=_xlfn.MINIFS($N$2:$N$5001,$B$2:$B$5001,B1520,$E$2:$E$5001,"Em ajustes"),1,0),0))</f>
        <v/>
      </c>
      <c r="N1520" s="17" t="str">
        <f aca="false">IF(A1520="","",IF(ISNUMBER(A1520),A1520,IFERROR(DATE(VALUE(MID(A1520,7,4)),VALUE(MID(A1520,4,2)),VALUE(MID(A1520,1,2)))+TIME(VALUE(MID(A1520,12,2)),VALUE(MID(A1520,15,2)),VALUE(MID(A1520,18,2))),"")))</f>
        <v/>
      </c>
    </row>
    <row r="1521" customFormat="false" ht="15" hidden="false" customHeight="false" outlineLevel="0" collapsed="false">
      <c r="I1521" s="15" t="str">
        <f aca="false">IF(N1521="","",INT(N1521))</f>
        <v/>
      </c>
      <c r="J1521" s="16" t="str">
        <f aca="false">IF(B1521="","",IF(N1521=_xlfn.MINIFS($N$2:$N$5001,$B$2:$B$5001,B1521),1,0))</f>
        <v/>
      </c>
      <c r="K1521" s="16" t="str">
        <f aca="false">IF(B1521="","",IF(AND(D1521="Formalização",E1521="Concluído"),IF(COUNTIFS($B$2:$B$5001,B1521,$E$2:$E$5001,"Em ajustes",$N$2:$N$5001,"&lt;"&amp;I1521)&gt;0,1,0),0))</f>
        <v/>
      </c>
      <c r="L1521" s="16" t="str">
        <f aca="false">IF(B1521="","",IF(N1521=_xlfn.MAXIFS($N$2:$N$5001,$B$2:$B$5001,B1521,$I$2:$I$5001,I1521),1,0))</f>
        <v/>
      </c>
      <c r="M1521" s="16" t="str">
        <f aca="false">IF(B1521="","",IF(E1521="Em ajustes",IF(N1521=_xlfn.MINIFS($N$2:$N$5001,$B$2:$B$5001,B1521,$E$2:$E$5001,"Em ajustes"),1,0),0))</f>
        <v/>
      </c>
      <c r="N1521" s="17" t="str">
        <f aca="false">IF(A1521="","",IF(ISNUMBER(A1521),A1521,IFERROR(DATE(VALUE(MID(A1521,7,4)),VALUE(MID(A1521,4,2)),VALUE(MID(A1521,1,2)))+TIME(VALUE(MID(A1521,12,2)),VALUE(MID(A1521,15,2)),VALUE(MID(A1521,18,2))),"")))</f>
        <v/>
      </c>
    </row>
    <row r="1522" customFormat="false" ht="15" hidden="false" customHeight="false" outlineLevel="0" collapsed="false">
      <c r="I1522" s="15" t="str">
        <f aca="false">IF(N1522="","",INT(N1522))</f>
        <v/>
      </c>
      <c r="J1522" s="16" t="str">
        <f aca="false">IF(B1522="","",IF(N1522=_xlfn.MINIFS($N$2:$N$5001,$B$2:$B$5001,B1522),1,0))</f>
        <v/>
      </c>
      <c r="K1522" s="16" t="str">
        <f aca="false">IF(B1522="","",IF(AND(D1522="Formalização",E1522="Concluído"),IF(COUNTIFS($B$2:$B$5001,B1522,$E$2:$E$5001,"Em ajustes",$N$2:$N$5001,"&lt;"&amp;I1522)&gt;0,1,0),0))</f>
        <v/>
      </c>
      <c r="L1522" s="16" t="str">
        <f aca="false">IF(B1522="","",IF(N1522=_xlfn.MAXIFS($N$2:$N$5001,$B$2:$B$5001,B1522,$I$2:$I$5001,I1522),1,0))</f>
        <v/>
      </c>
      <c r="M1522" s="16" t="str">
        <f aca="false">IF(B1522="","",IF(E1522="Em ajustes",IF(N1522=_xlfn.MINIFS($N$2:$N$5001,$B$2:$B$5001,B1522,$E$2:$E$5001,"Em ajustes"),1,0),0))</f>
        <v/>
      </c>
      <c r="N1522" s="17" t="str">
        <f aca="false">IF(A1522="","",IF(ISNUMBER(A1522),A1522,IFERROR(DATE(VALUE(MID(A1522,7,4)),VALUE(MID(A1522,4,2)),VALUE(MID(A1522,1,2)))+TIME(VALUE(MID(A1522,12,2)),VALUE(MID(A1522,15,2)),VALUE(MID(A1522,18,2))),"")))</f>
        <v/>
      </c>
    </row>
    <row r="1523" customFormat="false" ht="15" hidden="false" customHeight="false" outlineLevel="0" collapsed="false">
      <c r="I1523" s="15" t="str">
        <f aca="false">IF(N1523="","",INT(N1523))</f>
        <v/>
      </c>
      <c r="J1523" s="16" t="str">
        <f aca="false">IF(B1523="","",IF(N1523=_xlfn.MINIFS($N$2:$N$5001,$B$2:$B$5001,B1523),1,0))</f>
        <v/>
      </c>
      <c r="K1523" s="16" t="str">
        <f aca="false">IF(B1523="","",IF(AND(D1523="Formalização",E1523="Concluído"),IF(COUNTIFS($B$2:$B$5001,B1523,$E$2:$E$5001,"Em ajustes",$N$2:$N$5001,"&lt;"&amp;I1523)&gt;0,1,0),0))</f>
        <v/>
      </c>
      <c r="L1523" s="16" t="str">
        <f aca="false">IF(B1523="","",IF(N1523=_xlfn.MAXIFS($N$2:$N$5001,$B$2:$B$5001,B1523,$I$2:$I$5001,I1523),1,0))</f>
        <v/>
      </c>
      <c r="M1523" s="16" t="str">
        <f aca="false">IF(B1523="","",IF(E1523="Em ajustes",IF(N1523=_xlfn.MINIFS($N$2:$N$5001,$B$2:$B$5001,B1523,$E$2:$E$5001,"Em ajustes"),1,0),0))</f>
        <v/>
      </c>
      <c r="N1523" s="17" t="str">
        <f aca="false">IF(A1523="","",IF(ISNUMBER(A1523),A1523,IFERROR(DATE(VALUE(MID(A1523,7,4)),VALUE(MID(A1523,4,2)),VALUE(MID(A1523,1,2)))+TIME(VALUE(MID(A1523,12,2)),VALUE(MID(A1523,15,2)),VALUE(MID(A1523,18,2))),"")))</f>
        <v/>
      </c>
    </row>
    <row r="1524" customFormat="false" ht="15" hidden="false" customHeight="false" outlineLevel="0" collapsed="false">
      <c r="I1524" s="15" t="str">
        <f aca="false">IF(N1524="","",INT(N1524))</f>
        <v/>
      </c>
      <c r="J1524" s="16" t="str">
        <f aca="false">IF(B1524="","",IF(N1524=_xlfn.MINIFS($N$2:$N$5001,$B$2:$B$5001,B1524),1,0))</f>
        <v/>
      </c>
      <c r="K1524" s="16" t="str">
        <f aca="false">IF(B1524="","",IF(AND(D1524="Formalização",E1524="Concluído"),IF(COUNTIFS($B$2:$B$5001,B1524,$E$2:$E$5001,"Em ajustes",$N$2:$N$5001,"&lt;"&amp;I1524)&gt;0,1,0),0))</f>
        <v/>
      </c>
      <c r="L1524" s="16" t="str">
        <f aca="false">IF(B1524="","",IF(N1524=_xlfn.MAXIFS($N$2:$N$5001,$B$2:$B$5001,B1524,$I$2:$I$5001,I1524),1,0))</f>
        <v/>
      </c>
      <c r="M1524" s="16" t="str">
        <f aca="false">IF(B1524="","",IF(E1524="Em ajustes",IF(N1524=_xlfn.MINIFS($N$2:$N$5001,$B$2:$B$5001,B1524,$E$2:$E$5001,"Em ajustes"),1,0),0))</f>
        <v/>
      </c>
      <c r="N1524" s="17" t="str">
        <f aca="false">IF(A1524="","",IF(ISNUMBER(A1524),A1524,IFERROR(DATE(VALUE(MID(A1524,7,4)),VALUE(MID(A1524,4,2)),VALUE(MID(A1524,1,2)))+TIME(VALUE(MID(A1524,12,2)),VALUE(MID(A1524,15,2)),VALUE(MID(A1524,18,2))),"")))</f>
        <v/>
      </c>
    </row>
    <row r="1525" customFormat="false" ht="15" hidden="false" customHeight="false" outlineLevel="0" collapsed="false">
      <c r="I1525" s="15" t="str">
        <f aca="false">IF(N1525="","",INT(N1525))</f>
        <v/>
      </c>
      <c r="J1525" s="16" t="str">
        <f aca="false">IF(B1525="","",IF(N1525=_xlfn.MINIFS($N$2:$N$5001,$B$2:$B$5001,B1525),1,0))</f>
        <v/>
      </c>
      <c r="K1525" s="16" t="str">
        <f aca="false">IF(B1525="","",IF(AND(D1525="Formalização",E1525="Concluído"),IF(COUNTIFS($B$2:$B$5001,B1525,$E$2:$E$5001,"Em ajustes",$N$2:$N$5001,"&lt;"&amp;I1525)&gt;0,1,0),0))</f>
        <v/>
      </c>
      <c r="L1525" s="16" t="str">
        <f aca="false">IF(B1525="","",IF(N1525=_xlfn.MAXIFS($N$2:$N$5001,$B$2:$B$5001,B1525,$I$2:$I$5001,I1525),1,0))</f>
        <v/>
      </c>
      <c r="M1525" s="16" t="str">
        <f aca="false">IF(B1525="","",IF(E1525="Em ajustes",IF(N1525=_xlfn.MINIFS($N$2:$N$5001,$B$2:$B$5001,B1525,$E$2:$E$5001,"Em ajustes"),1,0),0))</f>
        <v/>
      </c>
      <c r="N1525" s="17" t="str">
        <f aca="false">IF(A1525="","",IF(ISNUMBER(A1525),A1525,IFERROR(DATE(VALUE(MID(A1525,7,4)),VALUE(MID(A1525,4,2)),VALUE(MID(A1525,1,2)))+TIME(VALUE(MID(A1525,12,2)),VALUE(MID(A1525,15,2)),VALUE(MID(A1525,18,2))),"")))</f>
        <v/>
      </c>
    </row>
    <row r="1526" customFormat="false" ht="15" hidden="false" customHeight="false" outlineLevel="0" collapsed="false">
      <c r="I1526" s="15" t="str">
        <f aca="false">IF(N1526="","",INT(N1526))</f>
        <v/>
      </c>
      <c r="J1526" s="16" t="str">
        <f aca="false">IF(B1526="","",IF(N1526=_xlfn.MINIFS($N$2:$N$5001,$B$2:$B$5001,B1526),1,0))</f>
        <v/>
      </c>
      <c r="K1526" s="16" t="str">
        <f aca="false">IF(B1526="","",IF(AND(D1526="Formalização",E1526="Concluído"),IF(COUNTIFS($B$2:$B$5001,B1526,$E$2:$E$5001,"Em ajustes",$N$2:$N$5001,"&lt;"&amp;I1526)&gt;0,1,0),0))</f>
        <v/>
      </c>
      <c r="L1526" s="16" t="str">
        <f aca="false">IF(B1526="","",IF(N1526=_xlfn.MAXIFS($N$2:$N$5001,$B$2:$B$5001,B1526,$I$2:$I$5001,I1526),1,0))</f>
        <v/>
      </c>
      <c r="M1526" s="16" t="str">
        <f aca="false">IF(B1526="","",IF(E1526="Em ajustes",IF(N1526=_xlfn.MINIFS($N$2:$N$5001,$B$2:$B$5001,B1526,$E$2:$E$5001,"Em ajustes"),1,0),0))</f>
        <v/>
      </c>
      <c r="N1526" s="17" t="str">
        <f aca="false">IF(A1526="","",IF(ISNUMBER(A1526),A1526,IFERROR(DATE(VALUE(MID(A1526,7,4)),VALUE(MID(A1526,4,2)),VALUE(MID(A1526,1,2)))+TIME(VALUE(MID(A1526,12,2)),VALUE(MID(A1526,15,2)),VALUE(MID(A1526,18,2))),"")))</f>
        <v/>
      </c>
    </row>
    <row r="1527" customFormat="false" ht="15" hidden="false" customHeight="false" outlineLevel="0" collapsed="false">
      <c r="I1527" s="15" t="str">
        <f aca="false">IF(N1527="","",INT(N1527))</f>
        <v/>
      </c>
      <c r="J1527" s="16" t="str">
        <f aca="false">IF(B1527="","",IF(N1527=_xlfn.MINIFS($N$2:$N$5001,$B$2:$B$5001,B1527),1,0))</f>
        <v/>
      </c>
      <c r="K1527" s="16" t="str">
        <f aca="false">IF(B1527="","",IF(AND(D1527="Formalização",E1527="Concluído"),IF(COUNTIFS($B$2:$B$5001,B1527,$E$2:$E$5001,"Em ajustes",$N$2:$N$5001,"&lt;"&amp;I1527)&gt;0,1,0),0))</f>
        <v/>
      </c>
      <c r="L1527" s="16" t="str">
        <f aca="false">IF(B1527="","",IF(N1527=_xlfn.MAXIFS($N$2:$N$5001,$B$2:$B$5001,B1527,$I$2:$I$5001,I1527),1,0))</f>
        <v/>
      </c>
      <c r="M1527" s="16" t="str">
        <f aca="false">IF(B1527="","",IF(E1527="Em ajustes",IF(N1527=_xlfn.MINIFS($N$2:$N$5001,$B$2:$B$5001,B1527,$E$2:$E$5001,"Em ajustes"),1,0),0))</f>
        <v/>
      </c>
      <c r="N1527" s="17" t="str">
        <f aca="false">IF(A1527="","",IF(ISNUMBER(A1527),A1527,IFERROR(DATE(VALUE(MID(A1527,7,4)),VALUE(MID(A1527,4,2)),VALUE(MID(A1527,1,2)))+TIME(VALUE(MID(A1527,12,2)),VALUE(MID(A1527,15,2)),VALUE(MID(A1527,18,2))),"")))</f>
        <v/>
      </c>
    </row>
    <row r="1528" customFormat="false" ht="15" hidden="false" customHeight="false" outlineLevel="0" collapsed="false">
      <c r="I1528" s="15" t="str">
        <f aca="false">IF(N1528="","",INT(N1528))</f>
        <v/>
      </c>
      <c r="J1528" s="16" t="str">
        <f aca="false">IF(B1528="","",IF(N1528=_xlfn.MINIFS($N$2:$N$5001,$B$2:$B$5001,B1528),1,0))</f>
        <v/>
      </c>
      <c r="K1528" s="16" t="str">
        <f aca="false">IF(B1528="","",IF(AND(D1528="Formalização",E1528="Concluído"),IF(COUNTIFS($B$2:$B$5001,B1528,$E$2:$E$5001,"Em ajustes",$N$2:$N$5001,"&lt;"&amp;I1528)&gt;0,1,0),0))</f>
        <v/>
      </c>
      <c r="L1528" s="16" t="str">
        <f aca="false">IF(B1528="","",IF(N1528=_xlfn.MAXIFS($N$2:$N$5001,$B$2:$B$5001,B1528,$I$2:$I$5001,I1528),1,0))</f>
        <v/>
      </c>
      <c r="M1528" s="16" t="str">
        <f aca="false">IF(B1528="","",IF(E1528="Em ajustes",IF(N1528=_xlfn.MINIFS($N$2:$N$5001,$B$2:$B$5001,B1528,$E$2:$E$5001,"Em ajustes"),1,0),0))</f>
        <v/>
      </c>
      <c r="N1528" s="17" t="str">
        <f aca="false">IF(A1528="","",IF(ISNUMBER(A1528),A1528,IFERROR(DATE(VALUE(MID(A1528,7,4)),VALUE(MID(A1528,4,2)),VALUE(MID(A1528,1,2)))+TIME(VALUE(MID(A1528,12,2)),VALUE(MID(A1528,15,2)),VALUE(MID(A1528,18,2))),"")))</f>
        <v/>
      </c>
    </row>
    <row r="1529" customFormat="false" ht="15" hidden="false" customHeight="false" outlineLevel="0" collapsed="false">
      <c r="I1529" s="15" t="str">
        <f aca="false">IF(N1529="","",INT(N1529))</f>
        <v/>
      </c>
      <c r="J1529" s="16" t="str">
        <f aca="false">IF(B1529="","",IF(N1529=_xlfn.MINIFS($N$2:$N$5001,$B$2:$B$5001,B1529),1,0))</f>
        <v/>
      </c>
      <c r="K1529" s="16" t="str">
        <f aca="false">IF(B1529="","",IF(AND(D1529="Formalização",E1529="Concluído"),IF(COUNTIFS($B$2:$B$5001,B1529,$E$2:$E$5001,"Em ajustes",$N$2:$N$5001,"&lt;"&amp;I1529)&gt;0,1,0),0))</f>
        <v/>
      </c>
      <c r="L1529" s="16" t="str">
        <f aca="false">IF(B1529="","",IF(N1529=_xlfn.MAXIFS($N$2:$N$5001,$B$2:$B$5001,B1529,$I$2:$I$5001,I1529),1,0))</f>
        <v/>
      </c>
      <c r="M1529" s="16" t="str">
        <f aca="false">IF(B1529="","",IF(E1529="Em ajustes",IF(N1529=_xlfn.MINIFS($N$2:$N$5001,$B$2:$B$5001,B1529,$E$2:$E$5001,"Em ajustes"),1,0),0))</f>
        <v/>
      </c>
      <c r="N1529" s="17" t="str">
        <f aca="false">IF(A1529="","",IF(ISNUMBER(A1529),A1529,IFERROR(DATE(VALUE(MID(A1529,7,4)),VALUE(MID(A1529,4,2)),VALUE(MID(A1529,1,2)))+TIME(VALUE(MID(A1529,12,2)),VALUE(MID(A1529,15,2)),VALUE(MID(A1529,18,2))),"")))</f>
        <v/>
      </c>
    </row>
    <row r="1530" customFormat="false" ht="15" hidden="false" customHeight="false" outlineLevel="0" collapsed="false">
      <c r="I1530" s="15" t="str">
        <f aca="false">IF(N1530="","",INT(N1530))</f>
        <v/>
      </c>
      <c r="J1530" s="16" t="str">
        <f aca="false">IF(B1530="","",IF(N1530=_xlfn.MINIFS($N$2:$N$5001,$B$2:$B$5001,B1530),1,0))</f>
        <v/>
      </c>
      <c r="K1530" s="16" t="str">
        <f aca="false">IF(B1530="","",IF(AND(D1530="Formalização",E1530="Concluído"),IF(COUNTIFS($B$2:$B$5001,B1530,$E$2:$E$5001,"Em ajustes",$N$2:$N$5001,"&lt;"&amp;I1530)&gt;0,1,0),0))</f>
        <v/>
      </c>
      <c r="L1530" s="16" t="str">
        <f aca="false">IF(B1530="","",IF(N1530=_xlfn.MAXIFS($N$2:$N$5001,$B$2:$B$5001,B1530,$I$2:$I$5001,I1530),1,0))</f>
        <v/>
      </c>
      <c r="M1530" s="16" t="str">
        <f aca="false">IF(B1530="","",IF(E1530="Em ajustes",IF(N1530=_xlfn.MINIFS($N$2:$N$5001,$B$2:$B$5001,B1530,$E$2:$E$5001,"Em ajustes"),1,0),0))</f>
        <v/>
      </c>
      <c r="N1530" s="17" t="str">
        <f aca="false">IF(A1530="","",IF(ISNUMBER(A1530),A1530,IFERROR(DATE(VALUE(MID(A1530,7,4)),VALUE(MID(A1530,4,2)),VALUE(MID(A1530,1,2)))+TIME(VALUE(MID(A1530,12,2)),VALUE(MID(A1530,15,2)),VALUE(MID(A1530,18,2))),"")))</f>
        <v/>
      </c>
    </row>
    <row r="1531" customFormat="false" ht="15" hidden="false" customHeight="false" outlineLevel="0" collapsed="false">
      <c r="I1531" s="15" t="str">
        <f aca="false">IF(N1531="","",INT(N1531))</f>
        <v/>
      </c>
      <c r="J1531" s="16" t="str">
        <f aca="false">IF(B1531="","",IF(N1531=_xlfn.MINIFS($N$2:$N$5001,$B$2:$B$5001,B1531),1,0))</f>
        <v/>
      </c>
      <c r="K1531" s="16" t="str">
        <f aca="false">IF(B1531="","",IF(AND(D1531="Formalização",E1531="Concluído"),IF(COUNTIFS($B$2:$B$5001,B1531,$E$2:$E$5001,"Em ajustes",$N$2:$N$5001,"&lt;"&amp;I1531)&gt;0,1,0),0))</f>
        <v/>
      </c>
      <c r="L1531" s="16" t="str">
        <f aca="false">IF(B1531="","",IF(N1531=_xlfn.MAXIFS($N$2:$N$5001,$B$2:$B$5001,B1531,$I$2:$I$5001,I1531),1,0))</f>
        <v/>
      </c>
      <c r="M1531" s="16" t="str">
        <f aca="false">IF(B1531="","",IF(E1531="Em ajustes",IF(N1531=_xlfn.MINIFS($N$2:$N$5001,$B$2:$B$5001,B1531,$E$2:$E$5001,"Em ajustes"),1,0),0))</f>
        <v/>
      </c>
      <c r="N1531" s="17" t="str">
        <f aca="false">IF(A1531="","",IF(ISNUMBER(A1531),A1531,IFERROR(DATE(VALUE(MID(A1531,7,4)),VALUE(MID(A1531,4,2)),VALUE(MID(A1531,1,2)))+TIME(VALUE(MID(A1531,12,2)),VALUE(MID(A1531,15,2)),VALUE(MID(A1531,18,2))),"")))</f>
        <v/>
      </c>
    </row>
    <row r="1532" customFormat="false" ht="15" hidden="false" customHeight="false" outlineLevel="0" collapsed="false">
      <c r="I1532" s="15" t="str">
        <f aca="false">IF(N1532="","",INT(N1532))</f>
        <v/>
      </c>
      <c r="J1532" s="16" t="str">
        <f aca="false">IF(B1532="","",IF(N1532=_xlfn.MINIFS($N$2:$N$5001,$B$2:$B$5001,B1532),1,0))</f>
        <v/>
      </c>
      <c r="K1532" s="16" t="str">
        <f aca="false">IF(B1532="","",IF(AND(D1532="Formalização",E1532="Concluído"),IF(COUNTIFS($B$2:$B$5001,B1532,$E$2:$E$5001,"Em ajustes",$N$2:$N$5001,"&lt;"&amp;I1532)&gt;0,1,0),0))</f>
        <v/>
      </c>
      <c r="L1532" s="16" t="str">
        <f aca="false">IF(B1532="","",IF(N1532=_xlfn.MAXIFS($N$2:$N$5001,$B$2:$B$5001,B1532,$I$2:$I$5001,I1532),1,0))</f>
        <v/>
      </c>
      <c r="M1532" s="16" t="str">
        <f aca="false">IF(B1532="","",IF(E1532="Em ajustes",IF(N1532=_xlfn.MINIFS($N$2:$N$5001,$B$2:$B$5001,B1532,$E$2:$E$5001,"Em ajustes"),1,0),0))</f>
        <v/>
      </c>
      <c r="N1532" s="17" t="str">
        <f aca="false">IF(A1532="","",IF(ISNUMBER(A1532),A1532,IFERROR(DATE(VALUE(MID(A1532,7,4)),VALUE(MID(A1532,4,2)),VALUE(MID(A1532,1,2)))+TIME(VALUE(MID(A1532,12,2)),VALUE(MID(A1532,15,2)),VALUE(MID(A1532,18,2))),"")))</f>
        <v/>
      </c>
    </row>
    <row r="1533" customFormat="false" ht="15" hidden="false" customHeight="false" outlineLevel="0" collapsed="false">
      <c r="I1533" s="15" t="str">
        <f aca="false">IF(N1533="","",INT(N1533))</f>
        <v/>
      </c>
      <c r="J1533" s="16" t="str">
        <f aca="false">IF(B1533="","",IF(N1533=_xlfn.MINIFS($N$2:$N$5001,$B$2:$B$5001,B1533),1,0))</f>
        <v/>
      </c>
      <c r="K1533" s="16" t="str">
        <f aca="false">IF(B1533="","",IF(AND(D1533="Formalização",E1533="Concluído"),IF(COUNTIFS($B$2:$B$5001,B1533,$E$2:$E$5001,"Em ajustes",$N$2:$N$5001,"&lt;"&amp;I1533)&gt;0,1,0),0))</f>
        <v/>
      </c>
      <c r="L1533" s="16" t="str">
        <f aca="false">IF(B1533="","",IF(N1533=_xlfn.MAXIFS($N$2:$N$5001,$B$2:$B$5001,B1533,$I$2:$I$5001,I1533),1,0))</f>
        <v/>
      </c>
      <c r="M1533" s="16" t="str">
        <f aca="false">IF(B1533="","",IF(E1533="Em ajustes",IF(N1533=_xlfn.MINIFS($N$2:$N$5001,$B$2:$B$5001,B1533,$E$2:$E$5001,"Em ajustes"),1,0),0))</f>
        <v/>
      </c>
      <c r="N1533" s="17" t="str">
        <f aca="false">IF(A1533="","",IF(ISNUMBER(A1533),A1533,IFERROR(DATE(VALUE(MID(A1533,7,4)),VALUE(MID(A1533,4,2)),VALUE(MID(A1533,1,2)))+TIME(VALUE(MID(A1533,12,2)),VALUE(MID(A1533,15,2)),VALUE(MID(A1533,18,2))),"")))</f>
        <v/>
      </c>
    </row>
    <row r="1534" customFormat="false" ht="15" hidden="false" customHeight="false" outlineLevel="0" collapsed="false">
      <c r="I1534" s="15" t="str">
        <f aca="false">IF(N1534="","",INT(N1534))</f>
        <v/>
      </c>
      <c r="J1534" s="16" t="str">
        <f aca="false">IF(B1534="","",IF(N1534=_xlfn.MINIFS($N$2:$N$5001,$B$2:$B$5001,B1534),1,0))</f>
        <v/>
      </c>
      <c r="K1534" s="16" t="str">
        <f aca="false">IF(B1534="","",IF(AND(D1534="Formalização",E1534="Concluído"),IF(COUNTIFS($B$2:$B$5001,B1534,$E$2:$E$5001,"Em ajustes",$N$2:$N$5001,"&lt;"&amp;I1534)&gt;0,1,0),0))</f>
        <v/>
      </c>
      <c r="L1534" s="16" t="str">
        <f aca="false">IF(B1534="","",IF(N1534=_xlfn.MAXIFS($N$2:$N$5001,$B$2:$B$5001,B1534,$I$2:$I$5001,I1534),1,0))</f>
        <v/>
      </c>
      <c r="M1534" s="16" t="str">
        <f aca="false">IF(B1534="","",IF(E1534="Em ajustes",IF(N1534=_xlfn.MINIFS($N$2:$N$5001,$B$2:$B$5001,B1534,$E$2:$E$5001,"Em ajustes"),1,0),0))</f>
        <v/>
      </c>
      <c r="N1534" s="17" t="str">
        <f aca="false">IF(A1534="","",IF(ISNUMBER(A1534),A1534,IFERROR(DATE(VALUE(MID(A1534,7,4)),VALUE(MID(A1534,4,2)),VALUE(MID(A1534,1,2)))+TIME(VALUE(MID(A1534,12,2)),VALUE(MID(A1534,15,2)),VALUE(MID(A1534,18,2))),"")))</f>
        <v/>
      </c>
    </row>
    <row r="1535" customFormat="false" ht="15" hidden="false" customHeight="false" outlineLevel="0" collapsed="false">
      <c r="I1535" s="15" t="str">
        <f aca="false">IF(N1535="","",INT(N1535))</f>
        <v/>
      </c>
      <c r="J1535" s="16" t="str">
        <f aca="false">IF(B1535="","",IF(N1535=_xlfn.MINIFS($N$2:$N$5001,$B$2:$B$5001,B1535),1,0))</f>
        <v/>
      </c>
      <c r="K1535" s="16" t="str">
        <f aca="false">IF(B1535="","",IF(AND(D1535="Formalização",E1535="Concluído"),IF(COUNTIFS($B$2:$B$5001,B1535,$E$2:$E$5001,"Em ajustes",$N$2:$N$5001,"&lt;"&amp;I1535)&gt;0,1,0),0))</f>
        <v/>
      </c>
      <c r="L1535" s="16" t="str">
        <f aca="false">IF(B1535="","",IF(N1535=_xlfn.MAXIFS($N$2:$N$5001,$B$2:$B$5001,B1535,$I$2:$I$5001,I1535),1,0))</f>
        <v/>
      </c>
      <c r="M1535" s="16" t="str">
        <f aca="false">IF(B1535="","",IF(E1535="Em ajustes",IF(N1535=_xlfn.MINIFS($N$2:$N$5001,$B$2:$B$5001,B1535,$E$2:$E$5001,"Em ajustes"),1,0),0))</f>
        <v/>
      </c>
      <c r="N1535" s="17" t="str">
        <f aca="false">IF(A1535="","",IF(ISNUMBER(A1535),A1535,IFERROR(DATE(VALUE(MID(A1535,7,4)),VALUE(MID(A1535,4,2)),VALUE(MID(A1535,1,2)))+TIME(VALUE(MID(A1535,12,2)),VALUE(MID(A1535,15,2)),VALUE(MID(A1535,18,2))),"")))</f>
        <v/>
      </c>
    </row>
    <row r="1536" customFormat="false" ht="15" hidden="false" customHeight="false" outlineLevel="0" collapsed="false">
      <c r="I1536" s="15" t="str">
        <f aca="false">IF(N1536="","",INT(N1536))</f>
        <v/>
      </c>
      <c r="J1536" s="16" t="str">
        <f aca="false">IF(B1536="","",IF(N1536=_xlfn.MINIFS($N$2:$N$5001,$B$2:$B$5001,B1536),1,0))</f>
        <v/>
      </c>
      <c r="K1536" s="16" t="str">
        <f aca="false">IF(B1536="","",IF(AND(D1536="Formalização",E1536="Concluído"),IF(COUNTIFS($B$2:$B$5001,B1536,$E$2:$E$5001,"Em ajustes",$N$2:$N$5001,"&lt;"&amp;I1536)&gt;0,1,0),0))</f>
        <v/>
      </c>
      <c r="L1536" s="16" t="str">
        <f aca="false">IF(B1536="","",IF(N1536=_xlfn.MAXIFS($N$2:$N$5001,$B$2:$B$5001,B1536,$I$2:$I$5001,I1536),1,0))</f>
        <v/>
      </c>
      <c r="M1536" s="16" t="str">
        <f aca="false">IF(B1536="","",IF(E1536="Em ajustes",IF(N1536=_xlfn.MINIFS($N$2:$N$5001,$B$2:$B$5001,B1536,$E$2:$E$5001,"Em ajustes"),1,0),0))</f>
        <v/>
      </c>
      <c r="N1536" s="17" t="str">
        <f aca="false">IF(A1536="","",IF(ISNUMBER(A1536),A1536,IFERROR(DATE(VALUE(MID(A1536,7,4)),VALUE(MID(A1536,4,2)),VALUE(MID(A1536,1,2)))+TIME(VALUE(MID(A1536,12,2)),VALUE(MID(A1536,15,2)),VALUE(MID(A1536,18,2))),"")))</f>
        <v/>
      </c>
    </row>
    <row r="1537" customFormat="false" ht="15" hidden="false" customHeight="false" outlineLevel="0" collapsed="false">
      <c r="I1537" s="15" t="str">
        <f aca="false">IF(N1537="","",INT(N1537))</f>
        <v/>
      </c>
      <c r="J1537" s="16" t="str">
        <f aca="false">IF(B1537="","",IF(N1537=_xlfn.MINIFS($N$2:$N$5001,$B$2:$B$5001,B1537),1,0))</f>
        <v/>
      </c>
      <c r="K1537" s="16" t="str">
        <f aca="false">IF(B1537="","",IF(AND(D1537="Formalização",E1537="Concluído"),IF(COUNTIFS($B$2:$B$5001,B1537,$E$2:$E$5001,"Em ajustes",$N$2:$N$5001,"&lt;"&amp;I1537)&gt;0,1,0),0))</f>
        <v/>
      </c>
      <c r="L1537" s="16" t="str">
        <f aca="false">IF(B1537="","",IF(N1537=_xlfn.MAXIFS($N$2:$N$5001,$B$2:$B$5001,B1537,$I$2:$I$5001,I1537),1,0))</f>
        <v/>
      </c>
      <c r="M1537" s="16" t="str">
        <f aca="false">IF(B1537="","",IF(E1537="Em ajustes",IF(N1537=_xlfn.MINIFS($N$2:$N$5001,$B$2:$B$5001,B1537,$E$2:$E$5001,"Em ajustes"),1,0),0))</f>
        <v/>
      </c>
      <c r="N1537" s="17" t="str">
        <f aca="false">IF(A1537="","",IF(ISNUMBER(A1537),A1537,IFERROR(DATE(VALUE(MID(A1537,7,4)),VALUE(MID(A1537,4,2)),VALUE(MID(A1537,1,2)))+TIME(VALUE(MID(A1537,12,2)),VALUE(MID(A1537,15,2)),VALUE(MID(A1537,18,2))),"")))</f>
        <v/>
      </c>
    </row>
    <row r="1538" customFormat="false" ht="15" hidden="false" customHeight="false" outlineLevel="0" collapsed="false">
      <c r="I1538" s="15" t="str">
        <f aca="false">IF(N1538="","",INT(N1538))</f>
        <v/>
      </c>
      <c r="J1538" s="16" t="str">
        <f aca="false">IF(B1538="","",IF(N1538=_xlfn.MINIFS($N$2:$N$5001,$B$2:$B$5001,B1538),1,0))</f>
        <v/>
      </c>
      <c r="K1538" s="16" t="str">
        <f aca="false">IF(B1538="","",IF(AND(D1538="Formalização",E1538="Concluído"),IF(COUNTIFS($B$2:$B$5001,B1538,$E$2:$E$5001,"Em ajustes",$N$2:$N$5001,"&lt;"&amp;I1538)&gt;0,1,0),0))</f>
        <v/>
      </c>
      <c r="L1538" s="16" t="str">
        <f aca="false">IF(B1538="","",IF(N1538=_xlfn.MAXIFS($N$2:$N$5001,$B$2:$B$5001,B1538,$I$2:$I$5001,I1538),1,0))</f>
        <v/>
      </c>
      <c r="M1538" s="16" t="str">
        <f aca="false">IF(B1538="","",IF(E1538="Em ajustes",IF(N1538=_xlfn.MINIFS($N$2:$N$5001,$B$2:$B$5001,B1538,$E$2:$E$5001,"Em ajustes"),1,0),0))</f>
        <v/>
      </c>
      <c r="N1538" s="17" t="str">
        <f aca="false">IF(A1538="","",IF(ISNUMBER(A1538),A1538,IFERROR(DATE(VALUE(MID(A1538,7,4)),VALUE(MID(A1538,4,2)),VALUE(MID(A1538,1,2)))+TIME(VALUE(MID(A1538,12,2)),VALUE(MID(A1538,15,2)),VALUE(MID(A1538,18,2))),"")))</f>
        <v/>
      </c>
    </row>
    <row r="1539" customFormat="false" ht="15" hidden="false" customHeight="false" outlineLevel="0" collapsed="false">
      <c r="I1539" s="15" t="str">
        <f aca="false">IF(N1539="","",INT(N1539))</f>
        <v/>
      </c>
      <c r="J1539" s="16" t="str">
        <f aca="false">IF(B1539="","",IF(N1539=_xlfn.MINIFS($N$2:$N$5001,$B$2:$B$5001,B1539),1,0))</f>
        <v/>
      </c>
      <c r="K1539" s="16" t="str">
        <f aca="false">IF(B1539="","",IF(AND(D1539="Formalização",E1539="Concluído"),IF(COUNTIFS($B$2:$B$5001,B1539,$E$2:$E$5001,"Em ajustes",$N$2:$N$5001,"&lt;"&amp;I1539)&gt;0,1,0),0))</f>
        <v/>
      </c>
      <c r="L1539" s="16" t="str">
        <f aca="false">IF(B1539="","",IF(N1539=_xlfn.MAXIFS($N$2:$N$5001,$B$2:$B$5001,B1539,$I$2:$I$5001,I1539),1,0))</f>
        <v/>
      </c>
      <c r="M1539" s="16" t="str">
        <f aca="false">IF(B1539="","",IF(E1539="Em ajustes",IF(N1539=_xlfn.MINIFS($N$2:$N$5001,$B$2:$B$5001,B1539,$E$2:$E$5001,"Em ajustes"),1,0),0))</f>
        <v/>
      </c>
      <c r="N1539" s="17" t="str">
        <f aca="false">IF(A1539="","",IF(ISNUMBER(A1539),A1539,IFERROR(DATE(VALUE(MID(A1539,7,4)),VALUE(MID(A1539,4,2)),VALUE(MID(A1539,1,2)))+TIME(VALUE(MID(A1539,12,2)),VALUE(MID(A1539,15,2)),VALUE(MID(A1539,18,2))),"")))</f>
        <v/>
      </c>
    </row>
    <row r="1540" customFormat="false" ht="15" hidden="false" customHeight="false" outlineLevel="0" collapsed="false">
      <c r="I1540" s="15" t="str">
        <f aca="false">IF(N1540="","",INT(N1540))</f>
        <v/>
      </c>
      <c r="J1540" s="16" t="str">
        <f aca="false">IF(B1540="","",IF(N1540=_xlfn.MINIFS($N$2:$N$5001,$B$2:$B$5001,B1540),1,0))</f>
        <v/>
      </c>
      <c r="K1540" s="16" t="str">
        <f aca="false">IF(B1540="","",IF(AND(D1540="Formalização",E1540="Concluído"),IF(COUNTIFS($B$2:$B$5001,B1540,$E$2:$E$5001,"Em ajustes",$N$2:$N$5001,"&lt;"&amp;I1540)&gt;0,1,0),0))</f>
        <v/>
      </c>
      <c r="L1540" s="16" t="str">
        <f aca="false">IF(B1540="","",IF(N1540=_xlfn.MAXIFS($N$2:$N$5001,$B$2:$B$5001,B1540,$I$2:$I$5001,I1540),1,0))</f>
        <v/>
      </c>
      <c r="M1540" s="16" t="str">
        <f aca="false">IF(B1540="","",IF(E1540="Em ajustes",IF(N1540=_xlfn.MINIFS($N$2:$N$5001,$B$2:$B$5001,B1540,$E$2:$E$5001,"Em ajustes"),1,0),0))</f>
        <v/>
      </c>
      <c r="N1540" s="17" t="str">
        <f aca="false">IF(A1540="","",IF(ISNUMBER(A1540),A1540,IFERROR(DATE(VALUE(MID(A1540,7,4)),VALUE(MID(A1540,4,2)),VALUE(MID(A1540,1,2)))+TIME(VALUE(MID(A1540,12,2)),VALUE(MID(A1540,15,2)),VALUE(MID(A1540,18,2))),"")))</f>
        <v/>
      </c>
    </row>
    <row r="1541" customFormat="false" ht="15" hidden="false" customHeight="false" outlineLevel="0" collapsed="false">
      <c r="I1541" s="15" t="str">
        <f aca="false">IF(N1541="","",INT(N1541))</f>
        <v/>
      </c>
      <c r="J1541" s="16" t="str">
        <f aca="false">IF(B1541="","",IF(N1541=_xlfn.MINIFS($N$2:$N$5001,$B$2:$B$5001,B1541),1,0))</f>
        <v/>
      </c>
      <c r="K1541" s="16" t="str">
        <f aca="false">IF(B1541="","",IF(AND(D1541="Formalização",E1541="Concluído"),IF(COUNTIFS($B$2:$B$5001,B1541,$E$2:$E$5001,"Em ajustes",$N$2:$N$5001,"&lt;"&amp;I1541)&gt;0,1,0),0))</f>
        <v/>
      </c>
      <c r="L1541" s="16" t="str">
        <f aca="false">IF(B1541="","",IF(N1541=_xlfn.MAXIFS($N$2:$N$5001,$B$2:$B$5001,B1541,$I$2:$I$5001,I1541),1,0))</f>
        <v/>
      </c>
      <c r="M1541" s="16" t="str">
        <f aca="false">IF(B1541="","",IF(E1541="Em ajustes",IF(N1541=_xlfn.MINIFS($N$2:$N$5001,$B$2:$B$5001,B1541,$E$2:$E$5001,"Em ajustes"),1,0),0))</f>
        <v/>
      </c>
      <c r="N1541" s="17" t="str">
        <f aca="false">IF(A1541="","",IF(ISNUMBER(A1541),A1541,IFERROR(DATE(VALUE(MID(A1541,7,4)),VALUE(MID(A1541,4,2)),VALUE(MID(A1541,1,2)))+TIME(VALUE(MID(A1541,12,2)),VALUE(MID(A1541,15,2)),VALUE(MID(A1541,18,2))),"")))</f>
        <v/>
      </c>
    </row>
    <row r="1542" customFormat="false" ht="15" hidden="false" customHeight="false" outlineLevel="0" collapsed="false">
      <c r="I1542" s="15" t="str">
        <f aca="false">IF(N1542="","",INT(N1542))</f>
        <v/>
      </c>
      <c r="J1542" s="16" t="str">
        <f aca="false">IF(B1542="","",IF(N1542=_xlfn.MINIFS($N$2:$N$5001,$B$2:$B$5001,B1542),1,0))</f>
        <v/>
      </c>
      <c r="K1542" s="16" t="str">
        <f aca="false">IF(B1542="","",IF(AND(D1542="Formalização",E1542="Concluído"),IF(COUNTIFS($B$2:$B$5001,B1542,$E$2:$E$5001,"Em ajustes",$N$2:$N$5001,"&lt;"&amp;I1542)&gt;0,1,0),0))</f>
        <v/>
      </c>
      <c r="L1542" s="16" t="str">
        <f aca="false">IF(B1542="","",IF(N1542=_xlfn.MAXIFS($N$2:$N$5001,$B$2:$B$5001,B1542,$I$2:$I$5001,I1542),1,0))</f>
        <v/>
      </c>
      <c r="M1542" s="16" t="str">
        <f aca="false">IF(B1542="","",IF(E1542="Em ajustes",IF(N1542=_xlfn.MINIFS($N$2:$N$5001,$B$2:$B$5001,B1542,$E$2:$E$5001,"Em ajustes"),1,0),0))</f>
        <v/>
      </c>
      <c r="N1542" s="17" t="str">
        <f aca="false">IF(A1542="","",IF(ISNUMBER(A1542),A1542,IFERROR(DATE(VALUE(MID(A1542,7,4)),VALUE(MID(A1542,4,2)),VALUE(MID(A1542,1,2)))+TIME(VALUE(MID(A1542,12,2)),VALUE(MID(A1542,15,2)),VALUE(MID(A1542,18,2))),"")))</f>
        <v/>
      </c>
    </row>
    <row r="1543" customFormat="false" ht="15" hidden="false" customHeight="false" outlineLevel="0" collapsed="false">
      <c r="I1543" s="15" t="str">
        <f aca="false">IF(N1543="","",INT(N1543))</f>
        <v/>
      </c>
      <c r="J1543" s="16" t="str">
        <f aca="false">IF(B1543="","",IF(N1543=_xlfn.MINIFS($N$2:$N$5001,$B$2:$B$5001,B1543),1,0))</f>
        <v/>
      </c>
      <c r="K1543" s="16" t="str">
        <f aca="false">IF(B1543="","",IF(AND(D1543="Formalização",E1543="Concluído"),IF(COUNTIFS($B$2:$B$5001,B1543,$E$2:$E$5001,"Em ajustes",$N$2:$N$5001,"&lt;"&amp;I1543)&gt;0,1,0),0))</f>
        <v/>
      </c>
      <c r="L1543" s="16" t="str">
        <f aca="false">IF(B1543="","",IF(N1543=_xlfn.MAXIFS($N$2:$N$5001,$B$2:$B$5001,B1543,$I$2:$I$5001,I1543),1,0))</f>
        <v/>
      </c>
      <c r="M1543" s="16" t="str">
        <f aca="false">IF(B1543="","",IF(E1543="Em ajustes",IF(N1543=_xlfn.MINIFS($N$2:$N$5001,$B$2:$B$5001,B1543,$E$2:$E$5001,"Em ajustes"),1,0),0))</f>
        <v/>
      </c>
      <c r="N1543" s="17" t="str">
        <f aca="false">IF(A1543="","",IF(ISNUMBER(A1543),A1543,IFERROR(DATE(VALUE(MID(A1543,7,4)),VALUE(MID(A1543,4,2)),VALUE(MID(A1543,1,2)))+TIME(VALUE(MID(A1543,12,2)),VALUE(MID(A1543,15,2)),VALUE(MID(A1543,18,2))),"")))</f>
        <v/>
      </c>
    </row>
    <row r="1544" customFormat="false" ht="15" hidden="false" customHeight="false" outlineLevel="0" collapsed="false">
      <c r="I1544" s="15" t="str">
        <f aca="false">IF(N1544="","",INT(N1544))</f>
        <v/>
      </c>
      <c r="J1544" s="16" t="str">
        <f aca="false">IF(B1544="","",IF(N1544=_xlfn.MINIFS($N$2:$N$5001,$B$2:$B$5001,B1544),1,0))</f>
        <v/>
      </c>
      <c r="K1544" s="16" t="str">
        <f aca="false">IF(B1544="","",IF(AND(D1544="Formalização",E1544="Concluído"),IF(COUNTIFS($B$2:$B$5001,B1544,$E$2:$E$5001,"Em ajustes",$N$2:$N$5001,"&lt;"&amp;I1544)&gt;0,1,0),0))</f>
        <v/>
      </c>
      <c r="L1544" s="16" t="str">
        <f aca="false">IF(B1544="","",IF(N1544=_xlfn.MAXIFS($N$2:$N$5001,$B$2:$B$5001,B1544,$I$2:$I$5001,I1544),1,0))</f>
        <v/>
      </c>
      <c r="M1544" s="16" t="str">
        <f aca="false">IF(B1544="","",IF(E1544="Em ajustes",IF(N1544=_xlfn.MINIFS($N$2:$N$5001,$B$2:$B$5001,B1544,$E$2:$E$5001,"Em ajustes"),1,0),0))</f>
        <v/>
      </c>
      <c r="N1544" s="17" t="str">
        <f aca="false">IF(A1544="","",IF(ISNUMBER(A1544),A1544,IFERROR(DATE(VALUE(MID(A1544,7,4)),VALUE(MID(A1544,4,2)),VALUE(MID(A1544,1,2)))+TIME(VALUE(MID(A1544,12,2)),VALUE(MID(A1544,15,2)),VALUE(MID(A1544,18,2))),"")))</f>
        <v/>
      </c>
    </row>
    <row r="1545" customFormat="false" ht="15" hidden="false" customHeight="false" outlineLevel="0" collapsed="false">
      <c r="I1545" s="15" t="str">
        <f aca="false">IF(N1545="","",INT(N1545))</f>
        <v/>
      </c>
      <c r="J1545" s="16" t="str">
        <f aca="false">IF(B1545="","",IF(N1545=_xlfn.MINIFS($N$2:$N$5001,$B$2:$B$5001,B1545),1,0))</f>
        <v/>
      </c>
      <c r="K1545" s="16" t="str">
        <f aca="false">IF(B1545="","",IF(AND(D1545="Formalização",E1545="Concluído"),IF(COUNTIFS($B$2:$B$5001,B1545,$E$2:$E$5001,"Em ajustes",$N$2:$N$5001,"&lt;"&amp;I1545)&gt;0,1,0),0))</f>
        <v/>
      </c>
      <c r="L1545" s="16" t="str">
        <f aca="false">IF(B1545="","",IF(N1545=_xlfn.MAXIFS($N$2:$N$5001,$B$2:$B$5001,B1545,$I$2:$I$5001,I1545),1,0))</f>
        <v/>
      </c>
      <c r="M1545" s="16" t="str">
        <f aca="false">IF(B1545="","",IF(E1545="Em ajustes",IF(N1545=_xlfn.MINIFS($N$2:$N$5001,$B$2:$B$5001,B1545,$E$2:$E$5001,"Em ajustes"),1,0),0))</f>
        <v/>
      </c>
      <c r="N1545" s="17" t="str">
        <f aca="false">IF(A1545="","",IF(ISNUMBER(A1545),A1545,IFERROR(DATE(VALUE(MID(A1545,7,4)),VALUE(MID(A1545,4,2)),VALUE(MID(A1545,1,2)))+TIME(VALUE(MID(A1545,12,2)),VALUE(MID(A1545,15,2)),VALUE(MID(A1545,18,2))),"")))</f>
        <v/>
      </c>
    </row>
    <row r="1546" customFormat="false" ht="15" hidden="false" customHeight="false" outlineLevel="0" collapsed="false">
      <c r="I1546" s="15" t="str">
        <f aca="false">IF(N1546="","",INT(N1546))</f>
        <v/>
      </c>
      <c r="J1546" s="16" t="str">
        <f aca="false">IF(B1546="","",IF(N1546=_xlfn.MINIFS($N$2:$N$5001,$B$2:$B$5001,B1546),1,0))</f>
        <v/>
      </c>
      <c r="K1546" s="16" t="str">
        <f aca="false">IF(B1546="","",IF(AND(D1546="Formalização",E1546="Concluído"),IF(COUNTIFS($B$2:$B$5001,B1546,$E$2:$E$5001,"Em ajustes",$N$2:$N$5001,"&lt;"&amp;I1546)&gt;0,1,0),0))</f>
        <v/>
      </c>
      <c r="L1546" s="16" t="str">
        <f aca="false">IF(B1546="","",IF(N1546=_xlfn.MAXIFS($N$2:$N$5001,$B$2:$B$5001,B1546,$I$2:$I$5001,I1546),1,0))</f>
        <v/>
      </c>
      <c r="M1546" s="16" t="str">
        <f aca="false">IF(B1546="","",IF(E1546="Em ajustes",IF(N1546=_xlfn.MINIFS($N$2:$N$5001,$B$2:$B$5001,B1546,$E$2:$E$5001,"Em ajustes"),1,0),0))</f>
        <v/>
      </c>
      <c r="N1546" s="17" t="str">
        <f aca="false">IF(A1546="","",IF(ISNUMBER(A1546),A1546,IFERROR(DATE(VALUE(MID(A1546,7,4)),VALUE(MID(A1546,4,2)),VALUE(MID(A1546,1,2)))+TIME(VALUE(MID(A1546,12,2)),VALUE(MID(A1546,15,2)),VALUE(MID(A1546,18,2))),"")))</f>
        <v/>
      </c>
    </row>
    <row r="1547" customFormat="false" ht="15" hidden="false" customHeight="false" outlineLevel="0" collapsed="false">
      <c r="I1547" s="15" t="str">
        <f aca="false">IF(N1547="","",INT(N1547))</f>
        <v/>
      </c>
      <c r="J1547" s="16" t="str">
        <f aca="false">IF(B1547="","",IF(N1547=_xlfn.MINIFS($N$2:$N$5001,$B$2:$B$5001,B1547),1,0))</f>
        <v/>
      </c>
      <c r="K1547" s="16" t="str">
        <f aca="false">IF(B1547="","",IF(AND(D1547="Formalização",E1547="Concluído"),IF(COUNTIFS($B$2:$B$5001,B1547,$E$2:$E$5001,"Em ajustes",$N$2:$N$5001,"&lt;"&amp;I1547)&gt;0,1,0),0))</f>
        <v/>
      </c>
      <c r="L1547" s="16" t="str">
        <f aca="false">IF(B1547="","",IF(N1547=_xlfn.MAXIFS($N$2:$N$5001,$B$2:$B$5001,B1547,$I$2:$I$5001,I1547),1,0))</f>
        <v/>
      </c>
      <c r="M1547" s="16" t="str">
        <f aca="false">IF(B1547="","",IF(E1547="Em ajustes",IF(N1547=_xlfn.MINIFS($N$2:$N$5001,$B$2:$B$5001,B1547,$E$2:$E$5001,"Em ajustes"),1,0),0))</f>
        <v/>
      </c>
      <c r="N1547" s="17" t="str">
        <f aca="false">IF(A1547="","",IF(ISNUMBER(A1547),A1547,IFERROR(DATE(VALUE(MID(A1547,7,4)),VALUE(MID(A1547,4,2)),VALUE(MID(A1547,1,2)))+TIME(VALUE(MID(A1547,12,2)),VALUE(MID(A1547,15,2)),VALUE(MID(A1547,18,2))),"")))</f>
        <v/>
      </c>
    </row>
    <row r="1548" customFormat="false" ht="15" hidden="false" customHeight="false" outlineLevel="0" collapsed="false">
      <c r="I1548" s="15" t="str">
        <f aca="false">IF(N1548="","",INT(N1548))</f>
        <v/>
      </c>
      <c r="J1548" s="16" t="str">
        <f aca="false">IF(B1548="","",IF(N1548=_xlfn.MINIFS($N$2:$N$5001,$B$2:$B$5001,B1548),1,0))</f>
        <v/>
      </c>
      <c r="K1548" s="16" t="str">
        <f aca="false">IF(B1548="","",IF(AND(D1548="Formalização",E1548="Concluído"),IF(COUNTIFS($B$2:$B$5001,B1548,$E$2:$E$5001,"Em ajustes",$N$2:$N$5001,"&lt;"&amp;I1548)&gt;0,1,0),0))</f>
        <v/>
      </c>
      <c r="L1548" s="16" t="str">
        <f aca="false">IF(B1548="","",IF(N1548=_xlfn.MAXIFS($N$2:$N$5001,$B$2:$B$5001,B1548,$I$2:$I$5001,I1548),1,0))</f>
        <v/>
      </c>
      <c r="M1548" s="16" t="str">
        <f aca="false">IF(B1548="","",IF(E1548="Em ajustes",IF(N1548=_xlfn.MINIFS($N$2:$N$5001,$B$2:$B$5001,B1548,$E$2:$E$5001,"Em ajustes"),1,0),0))</f>
        <v/>
      </c>
      <c r="N1548" s="17" t="str">
        <f aca="false">IF(A1548="","",IF(ISNUMBER(A1548),A1548,IFERROR(DATE(VALUE(MID(A1548,7,4)),VALUE(MID(A1548,4,2)),VALUE(MID(A1548,1,2)))+TIME(VALUE(MID(A1548,12,2)),VALUE(MID(A1548,15,2)),VALUE(MID(A1548,18,2))),"")))</f>
        <v/>
      </c>
    </row>
    <row r="1549" customFormat="false" ht="15" hidden="false" customHeight="false" outlineLevel="0" collapsed="false">
      <c r="I1549" s="15" t="str">
        <f aca="false">IF(N1549="","",INT(N1549))</f>
        <v/>
      </c>
      <c r="J1549" s="16" t="str">
        <f aca="false">IF(B1549="","",IF(N1549=_xlfn.MINIFS($N$2:$N$5001,$B$2:$B$5001,B1549),1,0))</f>
        <v/>
      </c>
      <c r="K1549" s="16" t="str">
        <f aca="false">IF(B1549="","",IF(AND(D1549="Formalização",E1549="Concluído"),IF(COUNTIFS($B$2:$B$5001,B1549,$E$2:$E$5001,"Em ajustes",$N$2:$N$5001,"&lt;"&amp;I1549)&gt;0,1,0),0))</f>
        <v/>
      </c>
      <c r="L1549" s="16" t="str">
        <f aca="false">IF(B1549="","",IF(N1549=_xlfn.MAXIFS($N$2:$N$5001,$B$2:$B$5001,B1549,$I$2:$I$5001,I1549),1,0))</f>
        <v/>
      </c>
      <c r="M1549" s="16" t="str">
        <f aca="false">IF(B1549="","",IF(E1549="Em ajustes",IF(N1549=_xlfn.MINIFS($N$2:$N$5001,$B$2:$B$5001,B1549,$E$2:$E$5001,"Em ajustes"),1,0),0))</f>
        <v/>
      </c>
      <c r="N1549" s="17" t="str">
        <f aca="false">IF(A1549="","",IF(ISNUMBER(A1549),A1549,IFERROR(DATE(VALUE(MID(A1549,7,4)),VALUE(MID(A1549,4,2)),VALUE(MID(A1549,1,2)))+TIME(VALUE(MID(A1549,12,2)),VALUE(MID(A1549,15,2)),VALUE(MID(A1549,18,2))),"")))</f>
        <v/>
      </c>
    </row>
    <row r="1550" customFormat="false" ht="15" hidden="false" customHeight="false" outlineLevel="0" collapsed="false">
      <c r="I1550" s="15" t="str">
        <f aca="false">IF(N1550="","",INT(N1550))</f>
        <v/>
      </c>
      <c r="J1550" s="16" t="str">
        <f aca="false">IF(B1550="","",IF(N1550=_xlfn.MINIFS($N$2:$N$5001,$B$2:$B$5001,B1550),1,0))</f>
        <v/>
      </c>
      <c r="K1550" s="16" t="str">
        <f aca="false">IF(B1550="","",IF(AND(D1550="Formalização",E1550="Concluído"),IF(COUNTIFS($B$2:$B$5001,B1550,$E$2:$E$5001,"Em ajustes",$N$2:$N$5001,"&lt;"&amp;I1550)&gt;0,1,0),0))</f>
        <v/>
      </c>
      <c r="L1550" s="16" t="str">
        <f aca="false">IF(B1550="","",IF(N1550=_xlfn.MAXIFS($N$2:$N$5001,$B$2:$B$5001,B1550,$I$2:$I$5001,I1550),1,0))</f>
        <v/>
      </c>
      <c r="M1550" s="16" t="str">
        <f aca="false">IF(B1550="","",IF(E1550="Em ajustes",IF(N1550=_xlfn.MINIFS($N$2:$N$5001,$B$2:$B$5001,B1550,$E$2:$E$5001,"Em ajustes"),1,0),0))</f>
        <v/>
      </c>
      <c r="N1550" s="17" t="str">
        <f aca="false">IF(A1550="","",IF(ISNUMBER(A1550),A1550,IFERROR(DATE(VALUE(MID(A1550,7,4)),VALUE(MID(A1550,4,2)),VALUE(MID(A1550,1,2)))+TIME(VALUE(MID(A1550,12,2)),VALUE(MID(A1550,15,2)),VALUE(MID(A1550,18,2))),"")))</f>
        <v/>
      </c>
    </row>
    <row r="1551" customFormat="false" ht="15" hidden="false" customHeight="false" outlineLevel="0" collapsed="false">
      <c r="I1551" s="15" t="str">
        <f aca="false">IF(N1551="","",INT(N1551))</f>
        <v/>
      </c>
      <c r="J1551" s="16" t="str">
        <f aca="false">IF(B1551="","",IF(N1551=_xlfn.MINIFS($N$2:$N$5001,$B$2:$B$5001,B1551),1,0))</f>
        <v/>
      </c>
      <c r="K1551" s="16" t="str">
        <f aca="false">IF(B1551="","",IF(AND(D1551="Formalização",E1551="Concluído"),IF(COUNTIFS($B$2:$B$5001,B1551,$E$2:$E$5001,"Em ajustes",$N$2:$N$5001,"&lt;"&amp;I1551)&gt;0,1,0),0))</f>
        <v/>
      </c>
      <c r="L1551" s="16" t="str">
        <f aca="false">IF(B1551="","",IF(N1551=_xlfn.MAXIFS($N$2:$N$5001,$B$2:$B$5001,B1551,$I$2:$I$5001,I1551),1,0))</f>
        <v/>
      </c>
      <c r="M1551" s="16" t="str">
        <f aca="false">IF(B1551="","",IF(E1551="Em ajustes",IF(N1551=_xlfn.MINIFS($N$2:$N$5001,$B$2:$B$5001,B1551,$E$2:$E$5001,"Em ajustes"),1,0),0))</f>
        <v/>
      </c>
      <c r="N1551" s="17" t="str">
        <f aca="false">IF(A1551="","",IF(ISNUMBER(A1551),A1551,IFERROR(DATE(VALUE(MID(A1551,7,4)),VALUE(MID(A1551,4,2)),VALUE(MID(A1551,1,2)))+TIME(VALUE(MID(A1551,12,2)),VALUE(MID(A1551,15,2)),VALUE(MID(A1551,18,2))),"")))</f>
        <v/>
      </c>
    </row>
    <row r="1552" customFormat="false" ht="15" hidden="false" customHeight="false" outlineLevel="0" collapsed="false">
      <c r="I1552" s="15" t="str">
        <f aca="false">IF(N1552="","",INT(N1552))</f>
        <v/>
      </c>
      <c r="J1552" s="16" t="str">
        <f aca="false">IF(B1552="","",IF(N1552=_xlfn.MINIFS($N$2:$N$5001,$B$2:$B$5001,B1552),1,0))</f>
        <v/>
      </c>
      <c r="K1552" s="16" t="str">
        <f aca="false">IF(B1552="","",IF(AND(D1552="Formalização",E1552="Concluído"),IF(COUNTIFS($B$2:$B$5001,B1552,$E$2:$E$5001,"Em ajustes",$N$2:$N$5001,"&lt;"&amp;I1552)&gt;0,1,0),0))</f>
        <v/>
      </c>
      <c r="L1552" s="16" t="str">
        <f aca="false">IF(B1552="","",IF(N1552=_xlfn.MAXIFS($N$2:$N$5001,$B$2:$B$5001,B1552,$I$2:$I$5001,I1552),1,0))</f>
        <v/>
      </c>
      <c r="M1552" s="16" t="str">
        <f aca="false">IF(B1552="","",IF(E1552="Em ajustes",IF(N1552=_xlfn.MINIFS($N$2:$N$5001,$B$2:$B$5001,B1552,$E$2:$E$5001,"Em ajustes"),1,0),0))</f>
        <v/>
      </c>
      <c r="N1552" s="17" t="str">
        <f aca="false">IF(A1552="","",IF(ISNUMBER(A1552),A1552,IFERROR(DATE(VALUE(MID(A1552,7,4)),VALUE(MID(A1552,4,2)),VALUE(MID(A1552,1,2)))+TIME(VALUE(MID(A1552,12,2)),VALUE(MID(A1552,15,2)),VALUE(MID(A1552,18,2))),"")))</f>
        <v/>
      </c>
    </row>
    <row r="1553" customFormat="false" ht="15" hidden="false" customHeight="false" outlineLevel="0" collapsed="false">
      <c r="I1553" s="15" t="str">
        <f aca="false">IF(N1553="","",INT(N1553))</f>
        <v/>
      </c>
      <c r="J1553" s="16" t="str">
        <f aca="false">IF(B1553="","",IF(N1553=_xlfn.MINIFS($N$2:$N$5001,$B$2:$B$5001,B1553),1,0))</f>
        <v/>
      </c>
      <c r="K1553" s="16" t="str">
        <f aca="false">IF(B1553="","",IF(AND(D1553="Formalização",E1553="Concluído"),IF(COUNTIFS($B$2:$B$5001,B1553,$E$2:$E$5001,"Em ajustes",$N$2:$N$5001,"&lt;"&amp;I1553)&gt;0,1,0),0))</f>
        <v/>
      </c>
      <c r="L1553" s="16" t="str">
        <f aca="false">IF(B1553="","",IF(N1553=_xlfn.MAXIFS($N$2:$N$5001,$B$2:$B$5001,B1553,$I$2:$I$5001,I1553),1,0))</f>
        <v/>
      </c>
      <c r="M1553" s="16" t="str">
        <f aca="false">IF(B1553="","",IF(E1553="Em ajustes",IF(N1553=_xlfn.MINIFS($N$2:$N$5001,$B$2:$B$5001,B1553,$E$2:$E$5001,"Em ajustes"),1,0),0))</f>
        <v/>
      </c>
      <c r="N1553" s="17" t="str">
        <f aca="false">IF(A1553="","",IF(ISNUMBER(A1553),A1553,IFERROR(DATE(VALUE(MID(A1553,7,4)),VALUE(MID(A1553,4,2)),VALUE(MID(A1553,1,2)))+TIME(VALUE(MID(A1553,12,2)),VALUE(MID(A1553,15,2)),VALUE(MID(A1553,18,2))),"")))</f>
        <v/>
      </c>
    </row>
    <row r="1554" customFormat="false" ht="15" hidden="false" customHeight="false" outlineLevel="0" collapsed="false">
      <c r="I1554" s="15" t="str">
        <f aca="false">IF(N1554="","",INT(N1554))</f>
        <v/>
      </c>
      <c r="J1554" s="16" t="str">
        <f aca="false">IF(B1554="","",IF(N1554=_xlfn.MINIFS($N$2:$N$5001,$B$2:$B$5001,B1554),1,0))</f>
        <v/>
      </c>
      <c r="K1554" s="16" t="str">
        <f aca="false">IF(B1554="","",IF(AND(D1554="Formalização",E1554="Concluído"),IF(COUNTIFS($B$2:$B$5001,B1554,$E$2:$E$5001,"Em ajustes",$N$2:$N$5001,"&lt;"&amp;I1554)&gt;0,1,0),0))</f>
        <v/>
      </c>
      <c r="L1554" s="16" t="str">
        <f aca="false">IF(B1554="","",IF(N1554=_xlfn.MAXIFS($N$2:$N$5001,$B$2:$B$5001,B1554,$I$2:$I$5001,I1554),1,0))</f>
        <v/>
      </c>
      <c r="M1554" s="16" t="str">
        <f aca="false">IF(B1554="","",IF(E1554="Em ajustes",IF(N1554=_xlfn.MINIFS($N$2:$N$5001,$B$2:$B$5001,B1554,$E$2:$E$5001,"Em ajustes"),1,0),0))</f>
        <v/>
      </c>
      <c r="N1554" s="17" t="str">
        <f aca="false">IF(A1554="","",IF(ISNUMBER(A1554),A1554,IFERROR(DATE(VALUE(MID(A1554,7,4)),VALUE(MID(A1554,4,2)),VALUE(MID(A1554,1,2)))+TIME(VALUE(MID(A1554,12,2)),VALUE(MID(A1554,15,2)),VALUE(MID(A1554,18,2))),"")))</f>
        <v/>
      </c>
    </row>
    <row r="1555" customFormat="false" ht="15" hidden="false" customHeight="false" outlineLevel="0" collapsed="false">
      <c r="I1555" s="15" t="str">
        <f aca="false">IF(N1555="","",INT(N1555))</f>
        <v/>
      </c>
      <c r="J1555" s="16" t="str">
        <f aca="false">IF(B1555="","",IF(N1555=_xlfn.MINIFS($N$2:$N$5001,$B$2:$B$5001,B1555),1,0))</f>
        <v/>
      </c>
      <c r="K1555" s="16" t="str">
        <f aca="false">IF(B1555="","",IF(AND(D1555="Formalização",E1555="Concluído"),IF(COUNTIFS($B$2:$B$5001,B1555,$E$2:$E$5001,"Em ajustes",$N$2:$N$5001,"&lt;"&amp;I1555)&gt;0,1,0),0))</f>
        <v/>
      </c>
      <c r="L1555" s="16" t="str">
        <f aca="false">IF(B1555="","",IF(N1555=_xlfn.MAXIFS($N$2:$N$5001,$B$2:$B$5001,B1555,$I$2:$I$5001,I1555),1,0))</f>
        <v/>
      </c>
      <c r="M1555" s="16" t="str">
        <f aca="false">IF(B1555="","",IF(E1555="Em ajustes",IF(N1555=_xlfn.MINIFS($N$2:$N$5001,$B$2:$B$5001,B1555,$E$2:$E$5001,"Em ajustes"),1,0),0))</f>
        <v/>
      </c>
      <c r="N1555" s="17" t="str">
        <f aca="false">IF(A1555="","",IF(ISNUMBER(A1555),A1555,IFERROR(DATE(VALUE(MID(A1555,7,4)),VALUE(MID(A1555,4,2)),VALUE(MID(A1555,1,2)))+TIME(VALUE(MID(A1555,12,2)),VALUE(MID(A1555,15,2)),VALUE(MID(A1555,18,2))),"")))</f>
        <v/>
      </c>
    </row>
    <row r="1556" customFormat="false" ht="15" hidden="false" customHeight="false" outlineLevel="0" collapsed="false">
      <c r="I1556" s="15" t="str">
        <f aca="false">IF(N1556="","",INT(N1556))</f>
        <v/>
      </c>
      <c r="J1556" s="16" t="str">
        <f aca="false">IF(B1556="","",IF(N1556=_xlfn.MINIFS($N$2:$N$5001,$B$2:$B$5001,B1556),1,0))</f>
        <v/>
      </c>
      <c r="K1556" s="16" t="str">
        <f aca="false">IF(B1556="","",IF(AND(D1556="Formalização",E1556="Concluído"),IF(COUNTIFS($B$2:$B$5001,B1556,$E$2:$E$5001,"Em ajustes",$N$2:$N$5001,"&lt;"&amp;I1556)&gt;0,1,0),0))</f>
        <v/>
      </c>
      <c r="L1556" s="16" t="str">
        <f aca="false">IF(B1556="","",IF(N1556=_xlfn.MAXIFS($N$2:$N$5001,$B$2:$B$5001,B1556,$I$2:$I$5001,I1556),1,0))</f>
        <v/>
      </c>
      <c r="M1556" s="16" t="str">
        <f aca="false">IF(B1556="","",IF(E1556="Em ajustes",IF(N1556=_xlfn.MINIFS($N$2:$N$5001,$B$2:$B$5001,B1556,$E$2:$E$5001,"Em ajustes"),1,0),0))</f>
        <v/>
      </c>
      <c r="N1556" s="17" t="str">
        <f aca="false">IF(A1556="","",IF(ISNUMBER(A1556),A1556,IFERROR(DATE(VALUE(MID(A1556,7,4)),VALUE(MID(A1556,4,2)),VALUE(MID(A1556,1,2)))+TIME(VALUE(MID(A1556,12,2)),VALUE(MID(A1556,15,2)),VALUE(MID(A1556,18,2))),"")))</f>
        <v/>
      </c>
    </row>
    <row r="1557" customFormat="false" ht="15" hidden="false" customHeight="false" outlineLevel="0" collapsed="false">
      <c r="I1557" s="15" t="str">
        <f aca="false">IF(N1557="","",INT(N1557))</f>
        <v/>
      </c>
      <c r="J1557" s="16" t="str">
        <f aca="false">IF(B1557="","",IF(N1557=_xlfn.MINIFS($N$2:$N$5001,$B$2:$B$5001,B1557),1,0))</f>
        <v/>
      </c>
      <c r="K1557" s="16" t="str">
        <f aca="false">IF(B1557="","",IF(AND(D1557="Formalização",E1557="Concluído"),IF(COUNTIFS($B$2:$B$5001,B1557,$E$2:$E$5001,"Em ajustes",$N$2:$N$5001,"&lt;"&amp;I1557)&gt;0,1,0),0))</f>
        <v/>
      </c>
      <c r="L1557" s="16" t="str">
        <f aca="false">IF(B1557="","",IF(N1557=_xlfn.MAXIFS($N$2:$N$5001,$B$2:$B$5001,B1557,$I$2:$I$5001,I1557),1,0))</f>
        <v/>
      </c>
      <c r="M1557" s="16" t="str">
        <f aca="false">IF(B1557="","",IF(E1557="Em ajustes",IF(N1557=_xlfn.MINIFS($N$2:$N$5001,$B$2:$B$5001,B1557,$E$2:$E$5001,"Em ajustes"),1,0),0))</f>
        <v/>
      </c>
      <c r="N1557" s="17" t="str">
        <f aca="false">IF(A1557="","",IF(ISNUMBER(A1557),A1557,IFERROR(DATE(VALUE(MID(A1557,7,4)),VALUE(MID(A1557,4,2)),VALUE(MID(A1557,1,2)))+TIME(VALUE(MID(A1557,12,2)),VALUE(MID(A1557,15,2)),VALUE(MID(A1557,18,2))),"")))</f>
        <v/>
      </c>
    </row>
    <row r="1558" customFormat="false" ht="15" hidden="false" customHeight="false" outlineLevel="0" collapsed="false">
      <c r="I1558" s="15" t="str">
        <f aca="false">IF(N1558="","",INT(N1558))</f>
        <v/>
      </c>
      <c r="J1558" s="16" t="str">
        <f aca="false">IF(B1558="","",IF(N1558=_xlfn.MINIFS($N$2:$N$5001,$B$2:$B$5001,B1558),1,0))</f>
        <v/>
      </c>
      <c r="K1558" s="16" t="str">
        <f aca="false">IF(B1558="","",IF(AND(D1558="Formalização",E1558="Concluído"),IF(COUNTIFS($B$2:$B$5001,B1558,$E$2:$E$5001,"Em ajustes",$N$2:$N$5001,"&lt;"&amp;I1558)&gt;0,1,0),0))</f>
        <v/>
      </c>
      <c r="L1558" s="16" t="str">
        <f aca="false">IF(B1558="","",IF(N1558=_xlfn.MAXIFS($N$2:$N$5001,$B$2:$B$5001,B1558,$I$2:$I$5001,I1558),1,0))</f>
        <v/>
      </c>
      <c r="M1558" s="16" t="str">
        <f aca="false">IF(B1558="","",IF(E1558="Em ajustes",IF(N1558=_xlfn.MINIFS($N$2:$N$5001,$B$2:$B$5001,B1558,$E$2:$E$5001,"Em ajustes"),1,0),0))</f>
        <v/>
      </c>
      <c r="N1558" s="17" t="str">
        <f aca="false">IF(A1558="","",IF(ISNUMBER(A1558),A1558,IFERROR(DATE(VALUE(MID(A1558,7,4)),VALUE(MID(A1558,4,2)),VALUE(MID(A1558,1,2)))+TIME(VALUE(MID(A1558,12,2)),VALUE(MID(A1558,15,2)),VALUE(MID(A1558,18,2))),"")))</f>
        <v/>
      </c>
    </row>
    <row r="1559" customFormat="false" ht="15" hidden="false" customHeight="false" outlineLevel="0" collapsed="false">
      <c r="I1559" s="15" t="str">
        <f aca="false">IF(N1559="","",INT(N1559))</f>
        <v/>
      </c>
      <c r="J1559" s="16" t="str">
        <f aca="false">IF(B1559="","",IF(N1559=_xlfn.MINIFS($N$2:$N$5001,$B$2:$B$5001,B1559),1,0))</f>
        <v/>
      </c>
      <c r="K1559" s="16" t="str">
        <f aca="false">IF(B1559="","",IF(AND(D1559="Formalização",E1559="Concluído"),IF(COUNTIFS($B$2:$B$5001,B1559,$E$2:$E$5001,"Em ajustes",$N$2:$N$5001,"&lt;"&amp;I1559)&gt;0,1,0),0))</f>
        <v/>
      </c>
      <c r="L1559" s="16" t="str">
        <f aca="false">IF(B1559="","",IF(N1559=_xlfn.MAXIFS($N$2:$N$5001,$B$2:$B$5001,B1559,$I$2:$I$5001,I1559),1,0))</f>
        <v/>
      </c>
      <c r="M1559" s="16" t="str">
        <f aca="false">IF(B1559="","",IF(E1559="Em ajustes",IF(N1559=_xlfn.MINIFS($N$2:$N$5001,$B$2:$B$5001,B1559,$E$2:$E$5001,"Em ajustes"),1,0),0))</f>
        <v/>
      </c>
      <c r="N1559" s="17" t="str">
        <f aca="false">IF(A1559="","",IF(ISNUMBER(A1559),A1559,IFERROR(DATE(VALUE(MID(A1559,7,4)),VALUE(MID(A1559,4,2)),VALUE(MID(A1559,1,2)))+TIME(VALUE(MID(A1559,12,2)),VALUE(MID(A1559,15,2)),VALUE(MID(A1559,18,2))),"")))</f>
        <v/>
      </c>
    </row>
    <row r="1560" customFormat="false" ht="15" hidden="false" customHeight="false" outlineLevel="0" collapsed="false">
      <c r="I1560" s="15" t="str">
        <f aca="false">IF(N1560="","",INT(N1560))</f>
        <v/>
      </c>
      <c r="J1560" s="16" t="str">
        <f aca="false">IF(B1560="","",IF(N1560=_xlfn.MINIFS($N$2:$N$5001,$B$2:$B$5001,B1560),1,0))</f>
        <v/>
      </c>
      <c r="K1560" s="16" t="str">
        <f aca="false">IF(B1560="","",IF(AND(D1560="Formalização",E1560="Concluído"),IF(COUNTIFS($B$2:$B$5001,B1560,$E$2:$E$5001,"Em ajustes",$N$2:$N$5001,"&lt;"&amp;I1560)&gt;0,1,0),0))</f>
        <v/>
      </c>
      <c r="L1560" s="16" t="str">
        <f aca="false">IF(B1560="","",IF(N1560=_xlfn.MAXIFS($N$2:$N$5001,$B$2:$B$5001,B1560,$I$2:$I$5001,I1560),1,0))</f>
        <v/>
      </c>
      <c r="M1560" s="16" t="str">
        <f aca="false">IF(B1560="","",IF(E1560="Em ajustes",IF(N1560=_xlfn.MINIFS($N$2:$N$5001,$B$2:$B$5001,B1560,$E$2:$E$5001,"Em ajustes"),1,0),0))</f>
        <v/>
      </c>
      <c r="N1560" s="17" t="str">
        <f aca="false">IF(A1560="","",IF(ISNUMBER(A1560),A1560,IFERROR(DATE(VALUE(MID(A1560,7,4)),VALUE(MID(A1560,4,2)),VALUE(MID(A1560,1,2)))+TIME(VALUE(MID(A1560,12,2)),VALUE(MID(A1560,15,2)),VALUE(MID(A1560,18,2))),"")))</f>
        <v/>
      </c>
    </row>
    <row r="1561" customFormat="false" ht="15" hidden="false" customHeight="false" outlineLevel="0" collapsed="false">
      <c r="I1561" s="15" t="str">
        <f aca="false">IF(N1561="","",INT(N1561))</f>
        <v/>
      </c>
      <c r="J1561" s="16" t="str">
        <f aca="false">IF(B1561="","",IF(N1561=_xlfn.MINIFS($N$2:$N$5001,$B$2:$B$5001,B1561),1,0))</f>
        <v/>
      </c>
      <c r="K1561" s="16" t="str">
        <f aca="false">IF(B1561="","",IF(AND(D1561="Formalização",E1561="Concluído"),IF(COUNTIFS($B$2:$B$5001,B1561,$E$2:$E$5001,"Em ajustes",$N$2:$N$5001,"&lt;"&amp;I1561)&gt;0,1,0),0))</f>
        <v/>
      </c>
      <c r="L1561" s="16" t="str">
        <f aca="false">IF(B1561="","",IF(N1561=_xlfn.MAXIFS($N$2:$N$5001,$B$2:$B$5001,B1561,$I$2:$I$5001,I1561),1,0))</f>
        <v/>
      </c>
      <c r="M1561" s="16" t="str">
        <f aca="false">IF(B1561="","",IF(E1561="Em ajustes",IF(N1561=_xlfn.MINIFS($N$2:$N$5001,$B$2:$B$5001,B1561,$E$2:$E$5001,"Em ajustes"),1,0),0))</f>
        <v/>
      </c>
      <c r="N1561" s="17" t="str">
        <f aca="false">IF(A1561="","",IF(ISNUMBER(A1561),A1561,IFERROR(DATE(VALUE(MID(A1561,7,4)),VALUE(MID(A1561,4,2)),VALUE(MID(A1561,1,2)))+TIME(VALUE(MID(A1561,12,2)),VALUE(MID(A1561,15,2)),VALUE(MID(A1561,18,2))),"")))</f>
        <v/>
      </c>
    </row>
    <row r="1562" customFormat="false" ht="15" hidden="false" customHeight="false" outlineLevel="0" collapsed="false">
      <c r="I1562" s="15" t="str">
        <f aca="false">IF(N1562="","",INT(N1562))</f>
        <v/>
      </c>
      <c r="J1562" s="16" t="str">
        <f aca="false">IF(B1562="","",IF(N1562=_xlfn.MINIFS($N$2:$N$5001,$B$2:$B$5001,B1562),1,0))</f>
        <v/>
      </c>
      <c r="K1562" s="16" t="str">
        <f aca="false">IF(B1562="","",IF(AND(D1562="Formalização",E1562="Concluído"),IF(COUNTIFS($B$2:$B$5001,B1562,$E$2:$E$5001,"Em ajustes",$N$2:$N$5001,"&lt;"&amp;I1562)&gt;0,1,0),0))</f>
        <v/>
      </c>
      <c r="L1562" s="16" t="str">
        <f aca="false">IF(B1562="","",IF(N1562=_xlfn.MAXIFS($N$2:$N$5001,$B$2:$B$5001,B1562,$I$2:$I$5001,I1562),1,0))</f>
        <v/>
      </c>
      <c r="M1562" s="16" t="str">
        <f aca="false">IF(B1562="","",IF(E1562="Em ajustes",IF(N1562=_xlfn.MINIFS($N$2:$N$5001,$B$2:$B$5001,B1562,$E$2:$E$5001,"Em ajustes"),1,0),0))</f>
        <v/>
      </c>
      <c r="N1562" s="17" t="str">
        <f aca="false">IF(A1562="","",IF(ISNUMBER(A1562),A1562,IFERROR(DATE(VALUE(MID(A1562,7,4)),VALUE(MID(A1562,4,2)),VALUE(MID(A1562,1,2)))+TIME(VALUE(MID(A1562,12,2)),VALUE(MID(A1562,15,2)),VALUE(MID(A1562,18,2))),"")))</f>
        <v/>
      </c>
    </row>
    <row r="1563" customFormat="false" ht="15" hidden="false" customHeight="false" outlineLevel="0" collapsed="false">
      <c r="I1563" s="15" t="str">
        <f aca="false">IF(N1563="","",INT(N1563))</f>
        <v/>
      </c>
      <c r="J1563" s="16" t="str">
        <f aca="false">IF(B1563="","",IF(N1563=_xlfn.MINIFS($N$2:$N$5001,$B$2:$B$5001,B1563),1,0))</f>
        <v/>
      </c>
      <c r="K1563" s="16" t="str">
        <f aca="false">IF(B1563="","",IF(AND(D1563="Formalização",E1563="Concluído"),IF(COUNTIFS($B$2:$B$5001,B1563,$E$2:$E$5001,"Em ajustes",$N$2:$N$5001,"&lt;"&amp;I1563)&gt;0,1,0),0))</f>
        <v/>
      </c>
      <c r="L1563" s="16" t="str">
        <f aca="false">IF(B1563="","",IF(N1563=_xlfn.MAXIFS($N$2:$N$5001,$B$2:$B$5001,B1563,$I$2:$I$5001,I1563),1,0))</f>
        <v/>
      </c>
      <c r="M1563" s="16" t="str">
        <f aca="false">IF(B1563="","",IF(E1563="Em ajustes",IF(N1563=_xlfn.MINIFS($N$2:$N$5001,$B$2:$B$5001,B1563,$E$2:$E$5001,"Em ajustes"),1,0),0))</f>
        <v/>
      </c>
      <c r="N1563" s="17" t="str">
        <f aca="false">IF(A1563="","",IF(ISNUMBER(A1563),A1563,IFERROR(DATE(VALUE(MID(A1563,7,4)),VALUE(MID(A1563,4,2)),VALUE(MID(A1563,1,2)))+TIME(VALUE(MID(A1563,12,2)),VALUE(MID(A1563,15,2)),VALUE(MID(A1563,18,2))),"")))</f>
        <v/>
      </c>
    </row>
    <row r="1564" customFormat="false" ht="15" hidden="false" customHeight="false" outlineLevel="0" collapsed="false">
      <c r="I1564" s="15" t="str">
        <f aca="false">IF(N1564="","",INT(N1564))</f>
        <v/>
      </c>
      <c r="J1564" s="16" t="str">
        <f aca="false">IF(B1564="","",IF(N1564=_xlfn.MINIFS($N$2:$N$5001,$B$2:$B$5001,B1564),1,0))</f>
        <v/>
      </c>
      <c r="K1564" s="16" t="str">
        <f aca="false">IF(B1564="","",IF(AND(D1564="Formalização",E1564="Concluído"),IF(COUNTIFS($B$2:$B$5001,B1564,$E$2:$E$5001,"Em ajustes",$N$2:$N$5001,"&lt;"&amp;I1564)&gt;0,1,0),0))</f>
        <v/>
      </c>
      <c r="L1564" s="16" t="str">
        <f aca="false">IF(B1564="","",IF(N1564=_xlfn.MAXIFS($N$2:$N$5001,$B$2:$B$5001,B1564,$I$2:$I$5001,I1564),1,0))</f>
        <v/>
      </c>
      <c r="M1564" s="16" t="str">
        <f aca="false">IF(B1564="","",IF(E1564="Em ajustes",IF(N1564=_xlfn.MINIFS($N$2:$N$5001,$B$2:$B$5001,B1564,$E$2:$E$5001,"Em ajustes"),1,0),0))</f>
        <v/>
      </c>
      <c r="N1564" s="17" t="str">
        <f aca="false">IF(A1564="","",IF(ISNUMBER(A1564),A1564,IFERROR(DATE(VALUE(MID(A1564,7,4)),VALUE(MID(A1564,4,2)),VALUE(MID(A1564,1,2)))+TIME(VALUE(MID(A1564,12,2)),VALUE(MID(A1564,15,2)),VALUE(MID(A1564,18,2))),"")))</f>
        <v/>
      </c>
    </row>
    <row r="1565" customFormat="false" ht="15" hidden="false" customHeight="false" outlineLevel="0" collapsed="false">
      <c r="I1565" s="15" t="str">
        <f aca="false">IF(N1565="","",INT(N1565))</f>
        <v/>
      </c>
      <c r="J1565" s="16" t="str">
        <f aca="false">IF(B1565="","",IF(N1565=_xlfn.MINIFS($N$2:$N$5001,$B$2:$B$5001,B1565),1,0))</f>
        <v/>
      </c>
      <c r="K1565" s="16" t="str">
        <f aca="false">IF(B1565="","",IF(AND(D1565="Formalização",E1565="Concluído"),IF(COUNTIFS($B$2:$B$5001,B1565,$E$2:$E$5001,"Em ajustes",$N$2:$N$5001,"&lt;"&amp;I1565)&gt;0,1,0),0))</f>
        <v/>
      </c>
      <c r="L1565" s="16" t="str">
        <f aca="false">IF(B1565="","",IF(N1565=_xlfn.MAXIFS($N$2:$N$5001,$B$2:$B$5001,B1565,$I$2:$I$5001,I1565),1,0))</f>
        <v/>
      </c>
      <c r="M1565" s="16" t="str">
        <f aca="false">IF(B1565="","",IF(E1565="Em ajustes",IF(N1565=_xlfn.MINIFS($N$2:$N$5001,$B$2:$B$5001,B1565,$E$2:$E$5001,"Em ajustes"),1,0),0))</f>
        <v/>
      </c>
      <c r="N1565" s="17" t="str">
        <f aca="false">IF(A1565="","",IF(ISNUMBER(A1565),A1565,IFERROR(DATE(VALUE(MID(A1565,7,4)),VALUE(MID(A1565,4,2)),VALUE(MID(A1565,1,2)))+TIME(VALUE(MID(A1565,12,2)),VALUE(MID(A1565,15,2)),VALUE(MID(A1565,18,2))),"")))</f>
        <v/>
      </c>
    </row>
    <row r="1566" customFormat="false" ht="15" hidden="false" customHeight="false" outlineLevel="0" collapsed="false">
      <c r="I1566" s="15" t="str">
        <f aca="false">IF(N1566="","",INT(N1566))</f>
        <v/>
      </c>
      <c r="J1566" s="16" t="str">
        <f aca="false">IF(B1566="","",IF(N1566=_xlfn.MINIFS($N$2:$N$5001,$B$2:$B$5001,B1566),1,0))</f>
        <v/>
      </c>
      <c r="K1566" s="16" t="str">
        <f aca="false">IF(B1566="","",IF(AND(D1566="Formalização",E1566="Concluído"),IF(COUNTIFS($B$2:$B$5001,B1566,$E$2:$E$5001,"Em ajustes",$N$2:$N$5001,"&lt;"&amp;I1566)&gt;0,1,0),0))</f>
        <v/>
      </c>
      <c r="L1566" s="16" t="str">
        <f aca="false">IF(B1566="","",IF(N1566=_xlfn.MAXIFS($N$2:$N$5001,$B$2:$B$5001,B1566,$I$2:$I$5001,I1566),1,0))</f>
        <v/>
      </c>
      <c r="M1566" s="16" t="str">
        <f aca="false">IF(B1566="","",IF(E1566="Em ajustes",IF(N1566=_xlfn.MINIFS($N$2:$N$5001,$B$2:$B$5001,B1566,$E$2:$E$5001,"Em ajustes"),1,0),0))</f>
        <v/>
      </c>
      <c r="N1566" s="17" t="str">
        <f aca="false">IF(A1566="","",IF(ISNUMBER(A1566),A1566,IFERROR(DATE(VALUE(MID(A1566,7,4)),VALUE(MID(A1566,4,2)),VALUE(MID(A1566,1,2)))+TIME(VALUE(MID(A1566,12,2)),VALUE(MID(A1566,15,2)),VALUE(MID(A1566,18,2))),"")))</f>
        <v/>
      </c>
    </row>
    <row r="1567" customFormat="false" ht="15" hidden="false" customHeight="false" outlineLevel="0" collapsed="false">
      <c r="I1567" s="15" t="str">
        <f aca="false">IF(N1567="","",INT(N1567))</f>
        <v/>
      </c>
      <c r="J1567" s="16" t="str">
        <f aca="false">IF(B1567="","",IF(N1567=_xlfn.MINIFS($N$2:$N$5001,$B$2:$B$5001,B1567),1,0))</f>
        <v/>
      </c>
      <c r="K1567" s="16" t="str">
        <f aca="false">IF(B1567="","",IF(AND(D1567="Formalização",E1567="Concluído"),IF(COUNTIFS($B$2:$B$5001,B1567,$E$2:$E$5001,"Em ajustes",$N$2:$N$5001,"&lt;"&amp;I1567)&gt;0,1,0),0))</f>
        <v/>
      </c>
      <c r="L1567" s="16" t="str">
        <f aca="false">IF(B1567="","",IF(N1567=_xlfn.MAXIFS($N$2:$N$5001,$B$2:$B$5001,B1567,$I$2:$I$5001,I1567),1,0))</f>
        <v/>
      </c>
      <c r="M1567" s="16" t="str">
        <f aca="false">IF(B1567="","",IF(E1567="Em ajustes",IF(N1567=_xlfn.MINIFS($N$2:$N$5001,$B$2:$B$5001,B1567,$E$2:$E$5001,"Em ajustes"),1,0),0))</f>
        <v/>
      </c>
      <c r="N1567" s="17" t="str">
        <f aca="false">IF(A1567="","",IF(ISNUMBER(A1567),A1567,IFERROR(DATE(VALUE(MID(A1567,7,4)),VALUE(MID(A1567,4,2)),VALUE(MID(A1567,1,2)))+TIME(VALUE(MID(A1567,12,2)),VALUE(MID(A1567,15,2)),VALUE(MID(A1567,18,2))),"")))</f>
        <v/>
      </c>
    </row>
    <row r="1568" customFormat="false" ht="15" hidden="false" customHeight="false" outlineLevel="0" collapsed="false">
      <c r="I1568" s="15" t="str">
        <f aca="false">IF(N1568="","",INT(N1568))</f>
        <v/>
      </c>
      <c r="J1568" s="16" t="str">
        <f aca="false">IF(B1568="","",IF(N1568=_xlfn.MINIFS($N$2:$N$5001,$B$2:$B$5001,B1568),1,0))</f>
        <v/>
      </c>
      <c r="K1568" s="16" t="str">
        <f aca="false">IF(B1568="","",IF(AND(D1568="Formalização",E1568="Concluído"),IF(COUNTIFS($B$2:$B$5001,B1568,$E$2:$E$5001,"Em ajustes",$N$2:$N$5001,"&lt;"&amp;I1568)&gt;0,1,0),0))</f>
        <v/>
      </c>
      <c r="L1568" s="16" t="str">
        <f aca="false">IF(B1568="","",IF(N1568=_xlfn.MAXIFS($N$2:$N$5001,$B$2:$B$5001,B1568,$I$2:$I$5001,I1568),1,0))</f>
        <v/>
      </c>
      <c r="M1568" s="16" t="str">
        <f aca="false">IF(B1568="","",IF(E1568="Em ajustes",IF(N1568=_xlfn.MINIFS($N$2:$N$5001,$B$2:$B$5001,B1568,$E$2:$E$5001,"Em ajustes"),1,0),0))</f>
        <v/>
      </c>
      <c r="N1568" s="17" t="str">
        <f aca="false">IF(A1568="","",IF(ISNUMBER(A1568),A1568,IFERROR(DATE(VALUE(MID(A1568,7,4)),VALUE(MID(A1568,4,2)),VALUE(MID(A1568,1,2)))+TIME(VALUE(MID(A1568,12,2)),VALUE(MID(A1568,15,2)),VALUE(MID(A1568,18,2))),"")))</f>
        <v/>
      </c>
    </row>
    <row r="1569" customFormat="false" ht="15" hidden="false" customHeight="false" outlineLevel="0" collapsed="false">
      <c r="I1569" s="15" t="str">
        <f aca="false">IF(N1569="","",INT(N1569))</f>
        <v/>
      </c>
      <c r="J1569" s="16" t="str">
        <f aca="false">IF(B1569="","",IF(N1569=_xlfn.MINIFS($N$2:$N$5001,$B$2:$B$5001,B1569),1,0))</f>
        <v/>
      </c>
      <c r="K1569" s="16" t="str">
        <f aca="false">IF(B1569="","",IF(AND(D1569="Formalização",E1569="Concluído"),IF(COUNTIFS($B$2:$B$5001,B1569,$E$2:$E$5001,"Em ajustes",$N$2:$N$5001,"&lt;"&amp;I1569)&gt;0,1,0),0))</f>
        <v/>
      </c>
      <c r="L1569" s="16" t="str">
        <f aca="false">IF(B1569="","",IF(N1569=_xlfn.MAXIFS($N$2:$N$5001,$B$2:$B$5001,B1569,$I$2:$I$5001,I1569),1,0))</f>
        <v/>
      </c>
      <c r="M1569" s="16" t="str">
        <f aca="false">IF(B1569="","",IF(E1569="Em ajustes",IF(N1569=_xlfn.MINIFS($N$2:$N$5001,$B$2:$B$5001,B1569,$E$2:$E$5001,"Em ajustes"),1,0),0))</f>
        <v/>
      </c>
      <c r="N1569" s="17" t="str">
        <f aca="false">IF(A1569="","",IF(ISNUMBER(A1569),A1569,IFERROR(DATE(VALUE(MID(A1569,7,4)),VALUE(MID(A1569,4,2)),VALUE(MID(A1569,1,2)))+TIME(VALUE(MID(A1569,12,2)),VALUE(MID(A1569,15,2)),VALUE(MID(A1569,18,2))),"")))</f>
        <v/>
      </c>
    </row>
    <row r="1570" customFormat="false" ht="15" hidden="false" customHeight="false" outlineLevel="0" collapsed="false">
      <c r="I1570" s="15" t="str">
        <f aca="false">IF(N1570="","",INT(N1570))</f>
        <v/>
      </c>
      <c r="J1570" s="16" t="str">
        <f aca="false">IF(B1570="","",IF(N1570=_xlfn.MINIFS($N$2:$N$5001,$B$2:$B$5001,B1570),1,0))</f>
        <v/>
      </c>
      <c r="K1570" s="16" t="str">
        <f aca="false">IF(B1570="","",IF(AND(D1570="Formalização",E1570="Concluído"),IF(COUNTIFS($B$2:$B$5001,B1570,$E$2:$E$5001,"Em ajustes",$N$2:$N$5001,"&lt;"&amp;I1570)&gt;0,1,0),0))</f>
        <v/>
      </c>
      <c r="L1570" s="16" t="str">
        <f aca="false">IF(B1570="","",IF(N1570=_xlfn.MAXIFS($N$2:$N$5001,$B$2:$B$5001,B1570,$I$2:$I$5001,I1570),1,0))</f>
        <v/>
      </c>
      <c r="M1570" s="16" t="str">
        <f aca="false">IF(B1570="","",IF(E1570="Em ajustes",IF(N1570=_xlfn.MINIFS($N$2:$N$5001,$B$2:$B$5001,B1570,$E$2:$E$5001,"Em ajustes"),1,0),0))</f>
        <v/>
      </c>
      <c r="N1570" s="17" t="str">
        <f aca="false">IF(A1570="","",IF(ISNUMBER(A1570),A1570,IFERROR(DATE(VALUE(MID(A1570,7,4)),VALUE(MID(A1570,4,2)),VALUE(MID(A1570,1,2)))+TIME(VALUE(MID(A1570,12,2)),VALUE(MID(A1570,15,2)),VALUE(MID(A1570,18,2))),"")))</f>
        <v/>
      </c>
    </row>
    <row r="1571" customFormat="false" ht="15" hidden="false" customHeight="false" outlineLevel="0" collapsed="false">
      <c r="I1571" s="15" t="str">
        <f aca="false">IF(N1571="","",INT(N1571))</f>
        <v/>
      </c>
      <c r="J1571" s="16" t="str">
        <f aca="false">IF(B1571="","",IF(N1571=_xlfn.MINIFS($N$2:$N$5001,$B$2:$B$5001,B1571),1,0))</f>
        <v/>
      </c>
      <c r="K1571" s="16" t="str">
        <f aca="false">IF(B1571="","",IF(AND(D1571="Formalização",E1571="Concluído"),IF(COUNTIFS($B$2:$B$5001,B1571,$E$2:$E$5001,"Em ajustes",$N$2:$N$5001,"&lt;"&amp;I1571)&gt;0,1,0),0))</f>
        <v/>
      </c>
      <c r="L1571" s="16" t="str">
        <f aca="false">IF(B1571="","",IF(N1571=_xlfn.MAXIFS($N$2:$N$5001,$B$2:$B$5001,B1571,$I$2:$I$5001,I1571),1,0))</f>
        <v/>
      </c>
      <c r="M1571" s="16" t="str">
        <f aca="false">IF(B1571="","",IF(E1571="Em ajustes",IF(N1571=_xlfn.MINIFS($N$2:$N$5001,$B$2:$B$5001,B1571,$E$2:$E$5001,"Em ajustes"),1,0),0))</f>
        <v/>
      </c>
      <c r="N1571" s="17" t="str">
        <f aca="false">IF(A1571="","",IF(ISNUMBER(A1571),A1571,IFERROR(DATE(VALUE(MID(A1571,7,4)),VALUE(MID(A1571,4,2)),VALUE(MID(A1571,1,2)))+TIME(VALUE(MID(A1571,12,2)),VALUE(MID(A1571,15,2)),VALUE(MID(A1571,18,2))),"")))</f>
        <v/>
      </c>
    </row>
    <row r="1572" customFormat="false" ht="15" hidden="false" customHeight="false" outlineLevel="0" collapsed="false">
      <c r="I1572" s="15" t="str">
        <f aca="false">IF(N1572="","",INT(N1572))</f>
        <v/>
      </c>
      <c r="J1572" s="16" t="str">
        <f aca="false">IF(B1572="","",IF(N1572=_xlfn.MINIFS($N$2:$N$5001,$B$2:$B$5001,B1572),1,0))</f>
        <v/>
      </c>
      <c r="K1572" s="16" t="str">
        <f aca="false">IF(B1572="","",IF(AND(D1572="Formalização",E1572="Concluído"),IF(COUNTIFS($B$2:$B$5001,B1572,$E$2:$E$5001,"Em ajustes",$N$2:$N$5001,"&lt;"&amp;I1572)&gt;0,1,0),0))</f>
        <v/>
      </c>
      <c r="L1572" s="16" t="str">
        <f aca="false">IF(B1572="","",IF(N1572=_xlfn.MAXIFS($N$2:$N$5001,$B$2:$B$5001,B1572,$I$2:$I$5001,I1572),1,0))</f>
        <v/>
      </c>
      <c r="M1572" s="16" t="str">
        <f aca="false">IF(B1572="","",IF(E1572="Em ajustes",IF(N1572=_xlfn.MINIFS($N$2:$N$5001,$B$2:$B$5001,B1572,$E$2:$E$5001,"Em ajustes"),1,0),0))</f>
        <v/>
      </c>
      <c r="N1572" s="17" t="str">
        <f aca="false">IF(A1572="","",IF(ISNUMBER(A1572),A1572,IFERROR(DATE(VALUE(MID(A1572,7,4)),VALUE(MID(A1572,4,2)),VALUE(MID(A1572,1,2)))+TIME(VALUE(MID(A1572,12,2)),VALUE(MID(A1572,15,2)),VALUE(MID(A1572,18,2))),"")))</f>
        <v/>
      </c>
    </row>
    <row r="1573" customFormat="false" ht="15" hidden="false" customHeight="false" outlineLevel="0" collapsed="false">
      <c r="I1573" s="15" t="str">
        <f aca="false">IF(N1573="","",INT(N1573))</f>
        <v/>
      </c>
      <c r="J1573" s="16" t="str">
        <f aca="false">IF(B1573="","",IF(N1573=_xlfn.MINIFS($N$2:$N$5001,$B$2:$B$5001,B1573),1,0))</f>
        <v/>
      </c>
      <c r="K1573" s="16" t="str">
        <f aca="false">IF(B1573="","",IF(AND(D1573="Formalização",E1573="Concluído"),IF(COUNTIFS($B$2:$B$5001,B1573,$E$2:$E$5001,"Em ajustes",$N$2:$N$5001,"&lt;"&amp;I1573)&gt;0,1,0),0))</f>
        <v/>
      </c>
      <c r="L1573" s="16" t="str">
        <f aca="false">IF(B1573="","",IF(N1573=_xlfn.MAXIFS($N$2:$N$5001,$B$2:$B$5001,B1573,$I$2:$I$5001,I1573),1,0))</f>
        <v/>
      </c>
      <c r="M1573" s="16" t="str">
        <f aca="false">IF(B1573="","",IF(E1573="Em ajustes",IF(N1573=_xlfn.MINIFS($N$2:$N$5001,$B$2:$B$5001,B1573,$E$2:$E$5001,"Em ajustes"),1,0),0))</f>
        <v/>
      </c>
      <c r="N1573" s="17" t="str">
        <f aca="false">IF(A1573="","",IF(ISNUMBER(A1573),A1573,IFERROR(DATE(VALUE(MID(A1573,7,4)),VALUE(MID(A1573,4,2)),VALUE(MID(A1573,1,2)))+TIME(VALUE(MID(A1573,12,2)),VALUE(MID(A1573,15,2)),VALUE(MID(A1573,18,2))),"")))</f>
        <v/>
      </c>
    </row>
    <row r="1574" customFormat="false" ht="15" hidden="false" customHeight="false" outlineLevel="0" collapsed="false">
      <c r="I1574" s="15" t="str">
        <f aca="false">IF(N1574="","",INT(N1574))</f>
        <v/>
      </c>
      <c r="J1574" s="16" t="str">
        <f aca="false">IF(B1574="","",IF(N1574=_xlfn.MINIFS($N$2:$N$5001,$B$2:$B$5001,B1574),1,0))</f>
        <v/>
      </c>
      <c r="K1574" s="16" t="str">
        <f aca="false">IF(B1574="","",IF(AND(D1574="Formalização",E1574="Concluído"),IF(COUNTIFS($B$2:$B$5001,B1574,$E$2:$E$5001,"Em ajustes",$N$2:$N$5001,"&lt;"&amp;I1574)&gt;0,1,0),0))</f>
        <v/>
      </c>
      <c r="L1574" s="16" t="str">
        <f aca="false">IF(B1574="","",IF(N1574=_xlfn.MAXIFS($N$2:$N$5001,$B$2:$B$5001,B1574,$I$2:$I$5001,I1574),1,0))</f>
        <v/>
      </c>
      <c r="M1574" s="16" t="str">
        <f aca="false">IF(B1574="","",IF(E1574="Em ajustes",IF(N1574=_xlfn.MINIFS($N$2:$N$5001,$B$2:$B$5001,B1574,$E$2:$E$5001,"Em ajustes"),1,0),0))</f>
        <v/>
      </c>
      <c r="N1574" s="17" t="str">
        <f aca="false">IF(A1574="","",IF(ISNUMBER(A1574),A1574,IFERROR(DATE(VALUE(MID(A1574,7,4)),VALUE(MID(A1574,4,2)),VALUE(MID(A1574,1,2)))+TIME(VALUE(MID(A1574,12,2)),VALUE(MID(A1574,15,2)),VALUE(MID(A1574,18,2))),"")))</f>
        <v/>
      </c>
    </row>
    <row r="1575" customFormat="false" ht="15" hidden="false" customHeight="false" outlineLevel="0" collapsed="false">
      <c r="I1575" s="15" t="str">
        <f aca="false">IF(N1575="","",INT(N1575))</f>
        <v/>
      </c>
      <c r="J1575" s="16" t="str">
        <f aca="false">IF(B1575="","",IF(N1575=_xlfn.MINIFS($N$2:$N$5001,$B$2:$B$5001,B1575),1,0))</f>
        <v/>
      </c>
      <c r="K1575" s="16" t="str">
        <f aca="false">IF(B1575="","",IF(AND(D1575="Formalização",E1575="Concluído"),IF(COUNTIFS($B$2:$B$5001,B1575,$E$2:$E$5001,"Em ajustes",$N$2:$N$5001,"&lt;"&amp;I1575)&gt;0,1,0),0))</f>
        <v/>
      </c>
      <c r="L1575" s="16" t="str">
        <f aca="false">IF(B1575="","",IF(N1575=_xlfn.MAXIFS($N$2:$N$5001,$B$2:$B$5001,B1575,$I$2:$I$5001,I1575),1,0))</f>
        <v/>
      </c>
      <c r="M1575" s="16" t="str">
        <f aca="false">IF(B1575="","",IF(E1575="Em ajustes",IF(N1575=_xlfn.MINIFS($N$2:$N$5001,$B$2:$B$5001,B1575,$E$2:$E$5001,"Em ajustes"),1,0),0))</f>
        <v/>
      </c>
      <c r="N1575" s="17" t="str">
        <f aca="false">IF(A1575="","",IF(ISNUMBER(A1575),A1575,IFERROR(DATE(VALUE(MID(A1575,7,4)),VALUE(MID(A1575,4,2)),VALUE(MID(A1575,1,2)))+TIME(VALUE(MID(A1575,12,2)),VALUE(MID(A1575,15,2)),VALUE(MID(A1575,18,2))),"")))</f>
        <v/>
      </c>
    </row>
    <row r="1576" customFormat="false" ht="15" hidden="false" customHeight="false" outlineLevel="0" collapsed="false">
      <c r="I1576" s="15" t="str">
        <f aca="false">IF(N1576="","",INT(N1576))</f>
        <v/>
      </c>
      <c r="J1576" s="16" t="str">
        <f aca="false">IF(B1576="","",IF(N1576=_xlfn.MINIFS($N$2:$N$5001,$B$2:$B$5001,B1576),1,0))</f>
        <v/>
      </c>
      <c r="K1576" s="16" t="str">
        <f aca="false">IF(B1576="","",IF(AND(D1576="Formalização",E1576="Concluído"),IF(COUNTIFS($B$2:$B$5001,B1576,$E$2:$E$5001,"Em ajustes",$N$2:$N$5001,"&lt;"&amp;I1576)&gt;0,1,0),0))</f>
        <v/>
      </c>
      <c r="L1576" s="16" t="str">
        <f aca="false">IF(B1576="","",IF(N1576=_xlfn.MAXIFS($N$2:$N$5001,$B$2:$B$5001,B1576,$I$2:$I$5001,I1576),1,0))</f>
        <v/>
      </c>
      <c r="M1576" s="16" t="str">
        <f aca="false">IF(B1576="","",IF(E1576="Em ajustes",IF(N1576=_xlfn.MINIFS($N$2:$N$5001,$B$2:$B$5001,B1576,$E$2:$E$5001,"Em ajustes"),1,0),0))</f>
        <v/>
      </c>
      <c r="N1576" s="17" t="str">
        <f aca="false">IF(A1576="","",IF(ISNUMBER(A1576),A1576,IFERROR(DATE(VALUE(MID(A1576,7,4)),VALUE(MID(A1576,4,2)),VALUE(MID(A1576,1,2)))+TIME(VALUE(MID(A1576,12,2)),VALUE(MID(A1576,15,2)),VALUE(MID(A1576,18,2))),"")))</f>
        <v/>
      </c>
    </row>
    <row r="1577" customFormat="false" ht="15" hidden="false" customHeight="false" outlineLevel="0" collapsed="false">
      <c r="I1577" s="15" t="str">
        <f aca="false">IF(N1577="","",INT(N1577))</f>
        <v/>
      </c>
      <c r="J1577" s="16" t="str">
        <f aca="false">IF(B1577="","",IF(N1577=_xlfn.MINIFS($N$2:$N$5001,$B$2:$B$5001,B1577),1,0))</f>
        <v/>
      </c>
      <c r="K1577" s="16" t="str">
        <f aca="false">IF(B1577="","",IF(AND(D1577="Formalização",E1577="Concluído"),IF(COUNTIFS($B$2:$B$5001,B1577,$E$2:$E$5001,"Em ajustes",$N$2:$N$5001,"&lt;"&amp;I1577)&gt;0,1,0),0))</f>
        <v/>
      </c>
      <c r="L1577" s="16" t="str">
        <f aca="false">IF(B1577="","",IF(N1577=_xlfn.MAXIFS($N$2:$N$5001,$B$2:$B$5001,B1577,$I$2:$I$5001,I1577),1,0))</f>
        <v/>
      </c>
      <c r="M1577" s="16" t="str">
        <f aca="false">IF(B1577="","",IF(E1577="Em ajustes",IF(N1577=_xlfn.MINIFS($N$2:$N$5001,$B$2:$B$5001,B1577,$E$2:$E$5001,"Em ajustes"),1,0),0))</f>
        <v/>
      </c>
      <c r="N1577" s="17" t="str">
        <f aca="false">IF(A1577="","",IF(ISNUMBER(A1577),A1577,IFERROR(DATE(VALUE(MID(A1577,7,4)),VALUE(MID(A1577,4,2)),VALUE(MID(A1577,1,2)))+TIME(VALUE(MID(A1577,12,2)),VALUE(MID(A1577,15,2)),VALUE(MID(A1577,18,2))),"")))</f>
        <v/>
      </c>
    </row>
    <row r="1578" customFormat="false" ht="15" hidden="false" customHeight="false" outlineLevel="0" collapsed="false">
      <c r="I1578" s="15" t="str">
        <f aca="false">IF(N1578="","",INT(N1578))</f>
        <v/>
      </c>
      <c r="J1578" s="16" t="str">
        <f aca="false">IF(B1578="","",IF(N1578=_xlfn.MINIFS($N$2:$N$5001,$B$2:$B$5001,B1578),1,0))</f>
        <v/>
      </c>
      <c r="K1578" s="16" t="str">
        <f aca="false">IF(B1578="","",IF(AND(D1578="Formalização",E1578="Concluído"),IF(COUNTIFS($B$2:$B$5001,B1578,$E$2:$E$5001,"Em ajustes",$N$2:$N$5001,"&lt;"&amp;I1578)&gt;0,1,0),0))</f>
        <v/>
      </c>
      <c r="L1578" s="16" t="str">
        <f aca="false">IF(B1578="","",IF(N1578=_xlfn.MAXIFS($N$2:$N$5001,$B$2:$B$5001,B1578,$I$2:$I$5001,I1578),1,0))</f>
        <v/>
      </c>
      <c r="M1578" s="16" t="str">
        <f aca="false">IF(B1578="","",IF(E1578="Em ajustes",IF(N1578=_xlfn.MINIFS($N$2:$N$5001,$B$2:$B$5001,B1578,$E$2:$E$5001,"Em ajustes"),1,0),0))</f>
        <v/>
      </c>
      <c r="N1578" s="17" t="str">
        <f aca="false">IF(A1578="","",IF(ISNUMBER(A1578),A1578,IFERROR(DATE(VALUE(MID(A1578,7,4)),VALUE(MID(A1578,4,2)),VALUE(MID(A1578,1,2)))+TIME(VALUE(MID(A1578,12,2)),VALUE(MID(A1578,15,2)),VALUE(MID(A1578,18,2))),"")))</f>
        <v/>
      </c>
    </row>
    <row r="1579" customFormat="false" ht="15" hidden="false" customHeight="false" outlineLevel="0" collapsed="false">
      <c r="I1579" s="15" t="str">
        <f aca="false">IF(N1579="","",INT(N1579))</f>
        <v/>
      </c>
      <c r="J1579" s="16" t="str">
        <f aca="false">IF(B1579="","",IF(N1579=_xlfn.MINIFS($N$2:$N$5001,$B$2:$B$5001,B1579),1,0))</f>
        <v/>
      </c>
      <c r="K1579" s="16" t="str">
        <f aca="false">IF(B1579="","",IF(AND(D1579="Formalização",E1579="Concluído"),IF(COUNTIFS($B$2:$B$5001,B1579,$E$2:$E$5001,"Em ajustes",$N$2:$N$5001,"&lt;"&amp;I1579)&gt;0,1,0),0))</f>
        <v/>
      </c>
      <c r="L1579" s="16" t="str">
        <f aca="false">IF(B1579="","",IF(N1579=_xlfn.MAXIFS($N$2:$N$5001,$B$2:$B$5001,B1579,$I$2:$I$5001,I1579),1,0))</f>
        <v/>
      </c>
      <c r="M1579" s="16" t="str">
        <f aca="false">IF(B1579="","",IF(E1579="Em ajustes",IF(N1579=_xlfn.MINIFS($N$2:$N$5001,$B$2:$B$5001,B1579,$E$2:$E$5001,"Em ajustes"),1,0),0))</f>
        <v/>
      </c>
      <c r="N1579" s="17" t="str">
        <f aca="false">IF(A1579="","",IF(ISNUMBER(A1579),A1579,IFERROR(DATE(VALUE(MID(A1579,7,4)),VALUE(MID(A1579,4,2)),VALUE(MID(A1579,1,2)))+TIME(VALUE(MID(A1579,12,2)),VALUE(MID(A1579,15,2)),VALUE(MID(A1579,18,2))),"")))</f>
        <v/>
      </c>
    </row>
    <row r="1580" customFormat="false" ht="15" hidden="false" customHeight="false" outlineLevel="0" collapsed="false">
      <c r="I1580" s="15" t="str">
        <f aca="false">IF(N1580="","",INT(N1580))</f>
        <v/>
      </c>
      <c r="J1580" s="16" t="str">
        <f aca="false">IF(B1580="","",IF(N1580=_xlfn.MINIFS($N$2:$N$5001,$B$2:$B$5001,B1580),1,0))</f>
        <v/>
      </c>
      <c r="K1580" s="16" t="str">
        <f aca="false">IF(B1580="","",IF(AND(D1580="Formalização",E1580="Concluído"),IF(COUNTIFS($B$2:$B$5001,B1580,$E$2:$E$5001,"Em ajustes",$N$2:$N$5001,"&lt;"&amp;I1580)&gt;0,1,0),0))</f>
        <v/>
      </c>
      <c r="L1580" s="16" t="str">
        <f aca="false">IF(B1580="","",IF(N1580=_xlfn.MAXIFS($N$2:$N$5001,$B$2:$B$5001,B1580,$I$2:$I$5001,I1580),1,0))</f>
        <v/>
      </c>
      <c r="M1580" s="16" t="str">
        <f aca="false">IF(B1580="","",IF(E1580="Em ajustes",IF(N1580=_xlfn.MINIFS($N$2:$N$5001,$B$2:$B$5001,B1580,$E$2:$E$5001,"Em ajustes"),1,0),0))</f>
        <v/>
      </c>
      <c r="N1580" s="17" t="str">
        <f aca="false">IF(A1580="","",IF(ISNUMBER(A1580),A1580,IFERROR(DATE(VALUE(MID(A1580,7,4)),VALUE(MID(A1580,4,2)),VALUE(MID(A1580,1,2)))+TIME(VALUE(MID(A1580,12,2)),VALUE(MID(A1580,15,2)),VALUE(MID(A1580,18,2))),"")))</f>
        <v/>
      </c>
    </row>
    <row r="1581" customFormat="false" ht="15" hidden="false" customHeight="false" outlineLevel="0" collapsed="false">
      <c r="I1581" s="15" t="str">
        <f aca="false">IF(N1581="","",INT(N1581))</f>
        <v/>
      </c>
      <c r="J1581" s="16" t="str">
        <f aca="false">IF(B1581="","",IF(N1581=_xlfn.MINIFS($N$2:$N$5001,$B$2:$B$5001,B1581),1,0))</f>
        <v/>
      </c>
      <c r="K1581" s="16" t="str">
        <f aca="false">IF(B1581="","",IF(AND(D1581="Formalização",E1581="Concluído"),IF(COUNTIFS($B$2:$B$5001,B1581,$E$2:$E$5001,"Em ajustes",$N$2:$N$5001,"&lt;"&amp;I1581)&gt;0,1,0),0))</f>
        <v/>
      </c>
      <c r="L1581" s="16" t="str">
        <f aca="false">IF(B1581="","",IF(N1581=_xlfn.MAXIFS($N$2:$N$5001,$B$2:$B$5001,B1581,$I$2:$I$5001,I1581),1,0))</f>
        <v/>
      </c>
      <c r="M1581" s="16" t="str">
        <f aca="false">IF(B1581="","",IF(E1581="Em ajustes",IF(N1581=_xlfn.MINIFS($N$2:$N$5001,$B$2:$B$5001,B1581,$E$2:$E$5001,"Em ajustes"),1,0),0))</f>
        <v/>
      </c>
      <c r="N1581" s="17" t="str">
        <f aca="false">IF(A1581="","",IF(ISNUMBER(A1581),A1581,IFERROR(DATE(VALUE(MID(A1581,7,4)),VALUE(MID(A1581,4,2)),VALUE(MID(A1581,1,2)))+TIME(VALUE(MID(A1581,12,2)),VALUE(MID(A1581,15,2)),VALUE(MID(A1581,18,2))),"")))</f>
        <v/>
      </c>
    </row>
    <row r="1582" customFormat="false" ht="15" hidden="false" customHeight="false" outlineLevel="0" collapsed="false">
      <c r="I1582" s="15" t="str">
        <f aca="false">IF(N1582="","",INT(N1582))</f>
        <v/>
      </c>
      <c r="J1582" s="16" t="str">
        <f aca="false">IF(B1582="","",IF(N1582=_xlfn.MINIFS($N$2:$N$5001,$B$2:$B$5001,B1582),1,0))</f>
        <v/>
      </c>
      <c r="K1582" s="16" t="str">
        <f aca="false">IF(B1582="","",IF(AND(D1582="Formalização",E1582="Concluído"),IF(COUNTIFS($B$2:$B$5001,B1582,$E$2:$E$5001,"Em ajustes",$N$2:$N$5001,"&lt;"&amp;I1582)&gt;0,1,0),0))</f>
        <v/>
      </c>
      <c r="L1582" s="16" t="str">
        <f aca="false">IF(B1582="","",IF(N1582=_xlfn.MAXIFS($N$2:$N$5001,$B$2:$B$5001,B1582,$I$2:$I$5001,I1582),1,0))</f>
        <v/>
      </c>
      <c r="M1582" s="16" t="str">
        <f aca="false">IF(B1582="","",IF(E1582="Em ajustes",IF(N1582=_xlfn.MINIFS($N$2:$N$5001,$B$2:$B$5001,B1582,$E$2:$E$5001,"Em ajustes"),1,0),0))</f>
        <v/>
      </c>
      <c r="N1582" s="17" t="str">
        <f aca="false">IF(A1582="","",IF(ISNUMBER(A1582),A1582,IFERROR(DATE(VALUE(MID(A1582,7,4)),VALUE(MID(A1582,4,2)),VALUE(MID(A1582,1,2)))+TIME(VALUE(MID(A1582,12,2)),VALUE(MID(A1582,15,2)),VALUE(MID(A1582,18,2))),"")))</f>
        <v/>
      </c>
    </row>
    <row r="1583" customFormat="false" ht="15" hidden="false" customHeight="false" outlineLevel="0" collapsed="false">
      <c r="I1583" s="15" t="str">
        <f aca="false">IF(N1583="","",INT(N1583))</f>
        <v/>
      </c>
      <c r="J1583" s="16" t="str">
        <f aca="false">IF(B1583="","",IF(N1583=_xlfn.MINIFS($N$2:$N$5001,$B$2:$B$5001,B1583),1,0))</f>
        <v/>
      </c>
      <c r="K1583" s="16" t="str">
        <f aca="false">IF(B1583="","",IF(AND(D1583="Formalização",E1583="Concluído"),IF(COUNTIFS($B$2:$B$5001,B1583,$E$2:$E$5001,"Em ajustes",$N$2:$N$5001,"&lt;"&amp;I1583)&gt;0,1,0),0))</f>
        <v/>
      </c>
      <c r="L1583" s="16" t="str">
        <f aca="false">IF(B1583="","",IF(N1583=_xlfn.MAXIFS($N$2:$N$5001,$B$2:$B$5001,B1583,$I$2:$I$5001,I1583),1,0))</f>
        <v/>
      </c>
      <c r="M1583" s="16" t="str">
        <f aca="false">IF(B1583="","",IF(E1583="Em ajustes",IF(N1583=_xlfn.MINIFS($N$2:$N$5001,$B$2:$B$5001,B1583,$E$2:$E$5001,"Em ajustes"),1,0),0))</f>
        <v/>
      </c>
      <c r="N1583" s="17" t="str">
        <f aca="false">IF(A1583="","",IF(ISNUMBER(A1583),A1583,IFERROR(DATE(VALUE(MID(A1583,7,4)),VALUE(MID(A1583,4,2)),VALUE(MID(A1583,1,2)))+TIME(VALUE(MID(A1583,12,2)),VALUE(MID(A1583,15,2)),VALUE(MID(A1583,18,2))),"")))</f>
        <v/>
      </c>
    </row>
    <row r="1584" customFormat="false" ht="15" hidden="false" customHeight="false" outlineLevel="0" collapsed="false">
      <c r="I1584" s="15" t="str">
        <f aca="false">IF(N1584="","",INT(N1584))</f>
        <v/>
      </c>
      <c r="J1584" s="16" t="str">
        <f aca="false">IF(B1584="","",IF(N1584=_xlfn.MINIFS($N$2:$N$5001,$B$2:$B$5001,B1584),1,0))</f>
        <v/>
      </c>
      <c r="K1584" s="16" t="str">
        <f aca="false">IF(B1584="","",IF(AND(D1584="Formalização",E1584="Concluído"),IF(COUNTIFS($B$2:$B$5001,B1584,$E$2:$E$5001,"Em ajustes",$N$2:$N$5001,"&lt;"&amp;I1584)&gt;0,1,0),0))</f>
        <v/>
      </c>
      <c r="L1584" s="16" t="str">
        <f aca="false">IF(B1584="","",IF(N1584=_xlfn.MAXIFS($N$2:$N$5001,$B$2:$B$5001,B1584,$I$2:$I$5001,I1584),1,0))</f>
        <v/>
      </c>
      <c r="M1584" s="16" t="str">
        <f aca="false">IF(B1584="","",IF(E1584="Em ajustes",IF(N1584=_xlfn.MINIFS($N$2:$N$5001,$B$2:$B$5001,B1584,$E$2:$E$5001,"Em ajustes"),1,0),0))</f>
        <v/>
      </c>
      <c r="N1584" s="17" t="str">
        <f aca="false">IF(A1584="","",IF(ISNUMBER(A1584),A1584,IFERROR(DATE(VALUE(MID(A1584,7,4)),VALUE(MID(A1584,4,2)),VALUE(MID(A1584,1,2)))+TIME(VALUE(MID(A1584,12,2)),VALUE(MID(A1584,15,2)),VALUE(MID(A1584,18,2))),"")))</f>
        <v/>
      </c>
    </row>
    <row r="1585" customFormat="false" ht="15" hidden="false" customHeight="false" outlineLevel="0" collapsed="false">
      <c r="I1585" s="15" t="str">
        <f aca="false">IF(N1585="","",INT(N1585))</f>
        <v/>
      </c>
      <c r="J1585" s="16" t="str">
        <f aca="false">IF(B1585="","",IF(N1585=_xlfn.MINIFS($N$2:$N$5001,$B$2:$B$5001,B1585),1,0))</f>
        <v/>
      </c>
      <c r="K1585" s="16" t="str">
        <f aca="false">IF(B1585="","",IF(AND(D1585="Formalização",E1585="Concluído"),IF(COUNTIFS($B$2:$B$5001,B1585,$E$2:$E$5001,"Em ajustes",$N$2:$N$5001,"&lt;"&amp;I1585)&gt;0,1,0),0))</f>
        <v/>
      </c>
      <c r="L1585" s="16" t="str">
        <f aca="false">IF(B1585="","",IF(N1585=_xlfn.MAXIFS($N$2:$N$5001,$B$2:$B$5001,B1585,$I$2:$I$5001,I1585),1,0))</f>
        <v/>
      </c>
      <c r="M1585" s="16" t="str">
        <f aca="false">IF(B1585="","",IF(E1585="Em ajustes",IF(N1585=_xlfn.MINIFS($N$2:$N$5001,$B$2:$B$5001,B1585,$E$2:$E$5001,"Em ajustes"),1,0),0))</f>
        <v/>
      </c>
      <c r="N1585" s="17" t="str">
        <f aca="false">IF(A1585="","",IF(ISNUMBER(A1585),A1585,IFERROR(DATE(VALUE(MID(A1585,7,4)),VALUE(MID(A1585,4,2)),VALUE(MID(A1585,1,2)))+TIME(VALUE(MID(A1585,12,2)),VALUE(MID(A1585,15,2)),VALUE(MID(A1585,18,2))),"")))</f>
        <v/>
      </c>
    </row>
    <row r="1586" customFormat="false" ht="15" hidden="false" customHeight="false" outlineLevel="0" collapsed="false">
      <c r="I1586" s="15" t="str">
        <f aca="false">IF(N1586="","",INT(N1586))</f>
        <v/>
      </c>
      <c r="J1586" s="16" t="str">
        <f aca="false">IF(B1586="","",IF(N1586=_xlfn.MINIFS($N$2:$N$5001,$B$2:$B$5001,B1586),1,0))</f>
        <v/>
      </c>
      <c r="K1586" s="16" t="str">
        <f aca="false">IF(B1586="","",IF(AND(D1586="Formalização",E1586="Concluído"),IF(COUNTIFS($B$2:$B$5001,B1586,$E$2:$E$5001,"Em ajustes",$N$2:$N$5001,"&lt;"&amp;I1586)&gt;0,1,0),0))</f>
        <v/>
      </c>
      <c r="L1586" s="16" t="str">
        <f aca="false">IF(B1586="","",IF(N1586=_xlfn.MAXIFS($N$2:$N$5001,$B$2:$B$5001,B1586,$I$2:$I$5001,I1586),1,0))</f>
        <v/>
      </c>
      <c r="M1586" s="16" t="str">
        <f aca="false">IF(B1586="","",IF(E1586="Em ajustes",IF(N1586=_xlfn.MINIFS($N$2:$N$5001,$B$2:$B$5001,B1586,$E$2:$E$5001,"Em ajustes"),1,0),0))</f>
        <v/>
      </c>
      <c r="N1586" s="17" t="str">
        <f aca="false">IF(A1586="","",IF(ISNUMBER(A1586),A1586,IFERROR(DATE(VALUE(MID(A1586,7,4)),VALUE(MID(A1586,4,2)),VALUE(MID(A1586,1,2)))+TIME(VALUE(MID(A1586,12,2)),VALUE(MID(A1586,15,2)),VALUE(MID(A1586,18,2))),"")))</f>
        <v/>
      </c>
    </row>
    <row r="1587" customFormat="false" ht="15" hidden="false" customHeight="false" outlineLevel="0" collapsed="false">
      <c r="I1587" s="15" t="str">
        <f aca="false">IF(N1587="","",INT(N1587))</f>
        <v/>
      </c>
      <c r="J1587" s="16" t="str">
        <f aca="false">IF(B1587="","",IF(N1587=_xlfn.MINIFS($N$2:$N$5001,$B$2:$B$5001,B1587),1,0))</f>
        <v/>
      </c>
      <c r="K1587" s="16" t="str">
        <f aca="false">IF(B1587="","",IF(AND(D1587="Formalização",E1587="Concluído"),IF(COUNTIFS($B$2:$B$5001,B1587,$E$2:$E$5001,"Em ajustes",$N$2:$N$5001,"&lt;"&amp;I1587)&gt;0,1,0),0))</f>
        <v/>
      </c>
      <c r="L1587" s="16" t="str">
        <f aca="false">IF(B1587="","",IF(N1587=_xlfn.MAXIFS($N$2:$N$5001,$B$2:$B$5001,B1587,$I$2:$I$5001,I1587),1,0))</f>
        <v/>
      </c>
      <c r="M1587" s="16" t="str">
        <f aca="false">IF(B1587="","",IF(E1587="Em ajustes",IF(N1587=_xlfn.MINIFS($N$2:$N$5001,$B$2:$B$5001,B1587,$E$2:$E$5001,"Em ajustes"),1,0),0))</f>
        <v/>
      </c>
      <c r="N1587" s="17" t="str">
        <f aca="false">IF(A1587="","",IF(ISNUMBER(A1587),A1587,IFERROR(DATE(VALUE(MID(A1587,7,4)),VALUE(MID(A1587,4,2)),VALUE(MID(A1587,1,2)))+TIME(VALUE(MID(A1587,12,2)),VALUE(MID(A1587,15,2)),VALUE(MID(A1587,18,2))),"")))</f>
        <v/>
      </c>
    </row>
    <row r="1588" customFormat="false" ht="15" hidden="false" customHeight="false" outlineLevel="0" collapsed="false">
      <c r="I1588" s="15" t="str">
        <f aca="false">IF(N1588="","",INT(N1588))</f>
        <v/>
      </c>
      <c r="J1588" s="16" t="str">
        <f aca="false">IF(B1588="","",IF(N1588=_xlfn.MINIFS($N$2:$N$5001,$B$2:$B$5001,B1588),1,0))</f>
        <v/>
      </c>
      <c r="K1588" s="16" t="str">
        <f aca="false">IF(B1588="","",IF(AND(D1588="Formalização",E1588="Concluído"),IF(COUNTIFS($B$2:$B$5001,B1588,$E$2:$E$5001,"Em ajustes",$N$2:$N$5001,"&lt;"&amp;I1588)&gt;0,1,0),0))</f>
        <v/>
      </c>
      <c r="L1588" s="16" t="str">
        <f aca="false">IF(B1588="","",IF(N1588=_xlfn.MAXIFS($N$2:$N$5001,$B$2:$B$5001,B1588,$I$2:$I$5001,I1588),1,0))</f>
        <v/>
      </c>
      <c r="M1588" s="16" t="str">
        <f aca="false">IF(B1588="","",IF(E1588="Em ajustes",IF(N1588=_xlfn.MINIFS($N$2:$N$5001,$B$2:$B$5001,B1588,$E$2:$E$5001,"Em ajustes"),1,0),0))</f>
        <v/>
      </c>
      <c r="N1588" s="17" t="str">
        <f aca="false">IF(A1588="","",IF(ISNUMBER(A1588),A1588,IFERROR(DATE(VALUE(MID(A1588,7,4)),VALUE(MID(A1588,4,2)),VALUE(MID(A1588,1,2)))+TIME(VALUE(MID(A1588,12,2)),VALUE(MID(A1588,15,2)),VALUE(MID(A1588,18,2))),"")))</f>
        <v/>
      </c>
    </row>
    <row r="1589" customFormat="false" ht="15" hidden="false" customHeight="false" outlineLevel="0" collapsed="false">
      <c r="I1589" s="15" t="str">
        <f aca="false">IF(N1589="","",INT(N1589))</f>
        <v/>
      </c>
      <c r="J1589" s="16" t="str">
        <f aca="false">IF(B1589="","",IF(N1589=_xlfn.MINIFS($N$2:$N$5001,$B$2:$B$5001,B1589),1,0))</f>
        <v/>
      </c>
      <c r="K1589" s="16" t="str">
        <f aca="false">IF(B1589="","",IF(AND(D1589="Formalização",E1589="Concluído"),IF(COUNTIFS($B$2:$B$5001,B1589,$E$2:$E$5001,"Em ajustes",$N$2:$N$5001,"&lt;"&amp;I1589)&gt;0,1,0),0))</f>
        <v/>
      </c>
      <c r="L1589" s="16" t="str">
        <f aca="false">IF(B1589="","",IF(N1589=_xlfn.MAXIFS($N$2:$N$5001,$B$2:$B$5001,B1589,$I$2:$I$5001,I1589),1,0))</f>
        <v/>
      </c>
      <c r="M1589" s="16" t="str">
        <f aca="false">IF(B1589="","",IF(E1589="Em ajustes",IF(N1589=_xlfn.MINIFS($N$2:$N$5001,$B$2:$B$5001,B1589,$E$2:$E$5001,"Em ajustes"),1,0),0))</f>
        <v/>
      </c>
      <c r="N1589" s="17" t="str">
        <f aca="false">IF(A1589="","",IF(ISNUMBER(A1589),A1589,IFERROR(DATE(VALUE(MID(A1589,7,4)),VALUE(MID(A1589,4,2)),VALUE(MID(A1589,1,2)))+TIME(VALUE(MID(A1589,12,2)),VALUE(MID(A1589,15,2)),VALUE(MID(A1589,18,2))),"")))</f>
        <v/>
      </c>
    </row>
    <row r="1590" customFormat="false" ht="15" hidden="false" customHeight="false" outlineLevel="0" collapsed="false">
      <c r="I1590" s="15" t="str">
        <f aca="false">IF(N1590="","",INT(N1590))</f>
        <v/>
      </c>
      <c r="J1590" s="16" t="str">
        <f aca="false">IF(B1590="","",IF(N1590=_xlfn.MINIFS($N$2:$N$5001,$B$2:$B$5001,B1590),1,0))</f>
        <v/>
      </c>
      <c r="K1590" s="16" t="str">
        <f aca="false">IF(B1590="","",IF(AND(D1590="Formalização",E1590="Concluído"),IF(COUNTIFS($B$2:$B$5001,B1590,$E$2:$E$5001,"Em ajustes",$N$2:$N$5001,"&lt;"&amp;I1590)&gt;0,1,0),0))</f>
        <v/>
      </c>
      <c r="L1590" s="16" t="str">
        <f aca="false">IF(B1590="","",IF(N1590=_xlfn.MAXIFS($N$2:$N$5001,$B$2:$B$5001,B1590,$I$2:$I$5001,I1590),1,0))</f>
        <v/>
      </c>
      <c r="M1590" s="16" t="str">
        <f aca="false">IF(B1590="","",IF(E1590="Em ajustes",IF(N1590=_xlfn.MINIFS($N$2:$N$5001,$B$2:$B$5001,B1590,$E$2:$E$5001,"Em ajustes"),1,0),0))</f>
        <v/>
      </c>
      <c r="N1590" s="17" t="str">
        <f aca="false">IF(A1590="","",IF(ISNUMBER(A1590),A1590,IFERROR(DATE(VALUE(MID(A1590,7,4)),VALUE(MID(A1590,4,2)),VALUE(MID(A1590,1,2)))+TIME(VALUE(MID(A1590,12,2)),VALUE(MID(A1590,15,2)),VALUE(MID(A1590,18,2))),"")))</f>
        <v/>
      </c>
    </row>
    <row r="1591" customFormat="false" ht="15" hidden="false" customHeight="false" outlineLevel="0" collapsed="false">
      <c r="I1591" s="15" t="str">
        <f aca="false">IF(N1591="","",INT(N1591))</f>
        <v/>
      </c>
      <c r="J1591" s="16" t="str">
        <f aca="false">IF(B1591="","",IF(N1591=_xlfn.MINIFS($N$2:$N$5001,$B$2:$B$5001,B1591),1,0))</f>
        <v/>
      </c>
      <c r="K1591" s="16" t="str">
        <f aca="false">IF(B1591="","",IF(AND(D1591="Formalização",E1591="Concluído"),IF(COUNTIFS($B$2:$B$5001,B1591,$E$2:$E$5001,"Em ajustes",$N$2:$N$5001,"&lt;"&amp;I1591)&gt;0,1,0),0))</f>
        <v/>
      </c>
      <c r="L1591" s="16" t="str">
        <f aca="false">IF(B1591="","",IF(N1591=_xlfn.MAXIFS($N$2:$N$5001,$B$2:$B$5001,B1591,$I$2:$I$5001,I1591),1,0))</f>
        <v/>
      </c>
      <c r="M1591" s="16" t="str">
        <f aca="false">IF(B1591="","",IF(E1591="Em ajustes",IF(N1591=_xlfn.MINIFS($N$2:$N$5001,$B$2:$B$5001,B1591,$E$2:$E$5001,"Em ajustes"),1,0),0))</f>
        <v/>
      </c>
      <c r="N1591" s="17" t="str">
        <f aca="false">IF(A1591="","",IF(ISNUMBER(A1591),A1591,IFERROR(DATE(VALUE(MID(A1591,7,4)),VALUE(MID(A1591,4,2)),VALUE(MID(A1591,1,2)))+TIME(VALUE(MID(A1591,12,2)),VALUE(MID(A1591,15,2)),VALUE(MID(A1591,18,2))),"")))</f>
        <v/>
      </c>
    </row>
    <row r="1592" customFormat="false" ht="15" hidden="false" customHeight="false" outlineLevel="0" collapsed="false">
      <c r="I1592" s="15" t="str">
        <f aca="false">IF(N1592="","",INT(N1592))</f>
        <v/>
      </c>
      <c r="J1592" s="16" t="str">
        <f aca="false">IF(B1592="","",IF(N1592=_xlfn.MINIFS($N$2:$N$5001,$B$2:$B$5001,B1592),1,0))</f>
        <v/>
      </c>
      <c r="K1592" s="16" t="str">
        <f aca="false">IF(B1592="","",IF(AND(D1592="Formalização",E1592="Concluído"),IF(COUNTIFS($B$2:$B$5001,B1592,$E$2:$E$5001,"Em ajustes",$N$2:$N$5001,"&lt;"&amp;I1592)&gt;0,1,0),0))</f>
        <v/>
      </c>
      <c r="L1592" s="16" t="str">
        <f aca="false">IF(B1592="","",IF(N1592=_xlfn.MAXIFS($N$2:$N$5001,$B$2:$B$5001,B1592,$I$2:$I$5001,I1592),1,0))</f>
        <v/>
      </c>
      <c r="M1592" s="16" t="str">
        <f aca="false">IF(B1592="","",IF(E1592="Em ajustes",IF(N1592=_xlfn.MINIFS($N$2:$N$5001,$B$2:$B$5001,B1592,$E$2:$E$5001,"Em ajustes"),1,0),0))</f>
        <v/>
      </c>
      <c r="N1592" s="17" t="str">
        <f aca="false">IF(A1592="","",IF(ISNUMBER(A1592),A1592,IFERROR(DATE(VALUE(MID(A1592,7,4)),VALUE(MID(A1592,4,2)),VALUE(MID(A1592,1,2)))+TIME(VALUE(MID(A1592,12,2)),VALUE(MID(A1592,15,2)),VALUE(MID(A1592,18,2))),"")))</f>
        <v/>
      </c>
    </row>
    <row r="1593" customFormat="false" ht="15" hidden="false" customHeight="false" outlineLevel="0" collapsed="false">
      <c r="I1593" s="15" t="str">
        <f aca="false">IF(N1593="","",INT(N1593))</f>
        <v/>
      </c>
      <c r="J1593" s="16" t="str">
        <f aca="false">IF(B1593="","",IF(N1593=_xlfn.MINIFS($N$2:$N$5001,$B$2:$B$5001,B1593),1,0))</f>
        <v/>
      </c>
      <c r="K1593" s="16" t="str">
        <f aca="false">IF(B1593="","",IF(AND(D1593="Formalização",E1593="Concluído"),IF(COUNTIFS($B$2:$B$5001,B1593,$E$2:$E$5001,"Em ajustes",$N$2:$N$5001,"&lt;"&amp;I1593)&gt;0,1,0),0))</f>
        <v/>
      </c>
      <c r="L1593" s="16" t="str">
        <f aca="false">IF(B1593="","",IF(N1593=_xlfn.MAXIFS($N$2:$N$5001,$B$2:$B$5001,B1593,$I$2:$I$5001,I1593),1,0))</f>
        <v/>
      </c>
      <c r="M1593" s="16" t="str">
        <f aca="false">IF(B1593="","",IF(E1593="Em ajustes",IF(N1593=_xlfn.MINIFS($N$2:$N$5001,$B$2:$B$5001,B1593,$E$2:$E$5001,"Em ajustes"),1,0),0))</f>
        <v/>
      </c>
      <c r="N1593" s="17" t="str">
        <f aca="false">IF(A1593="","",IF(ISNUMBER(A1593),A1593,IFERROR(DATE(VALUE(MID(A1593,7,4)),VALUE(MID(A1593,4,2)),VALUE(MID(A1593,1,2)))+TIME(VALUE(MID(A1593,12,2)),VALUE(MID(A1593,15,2)),VALUE(MID(A1593,18,2))),"")))</f>
        <v/>
      </c>
    </row>
    <row r="1594" customFormat="false" ht="15" hidden="false" customHeight="false" outlineLevel="0" collapsed="false">
      <c r="I1594" s="15" t="str">
        <f aca="false">IF(N1594="","",INT(N1594))</f>
        <v/>
      </c>
      <c r="J1594" s="16" t="str">
        <f aca="false">IF(B1594="","",IF(N1594=_xlfn.MINIFS($N$2:$N$5001,$B$2:$B$5001,B1594),1,0))</f>
        <v/>
      </c>
      <c r="K1594" s="16" t="str">
        <f aca="false">IF(B1594="","",IF(AND(D1594="Formalização",E1594="Concluído"),IF(COUNTIFS($B$2:$B$5001,B1594,$E$2:$E$5001,"Em ajustes",$N$2:$N$5001,"&lt;"&amp;I1594)&gt;0,1,0),0))</f>
        <v/>
      </c>
      <c r="L1594" s="16" t="str">
        <f aca="false">IF(B1594="","",IF(N1594=_xlfn.MAXIFS($N$2:$N$5001,$B$2:$B$5001,B1594,$I$2:$I$5001,I1594),1,0))</f>
        <v/>
      </c>
      <c r="M1594" s="16" t="str">
        <f aca="false">IF(B1594="","",IF(E1594="Em ajustes",IF(N1594=_xlfn.MINIFS($N$2:$N$5001,$B$2:$B$5001,B1594,$E$2:$E$5001,"Em ajustes"),1,0),0))</f>
        <v/>
      </c>
      <c r="N1594" s="17" t="str">
        <f aca="false">IF(A1594="","",IF(ISNUMBER(A1594),A1594,IFERROR(DATE(VALUE(MID(A1594,7,4)),VALUE(MID(A1594,4,2)),VALUE(MID(A1594,1,2)))+TIME(VALUE(MID(A1594,12,2)),VALUE(MID(A1594,15,2)),VALUE(MID(A1594,18,2))),"")))</f>
        <v/>
      </c>
    </row>
    <row r="1595" customFormat="false" ht="15" hidden="false" customHeight="false" outlineLevel="0" collapsed="false">
      <c r="I1595" s="15" t="str">
        <f aca="false">IF(N1595="","",INT(N1595))</f>
        <v/>
      </c>
      <c r="J1595" s="16" t="str">
        <f aca="false">IF(B1595="","",IF(N1595=_xlfn.MINIFS($N$2:$N$5001,$B$2:$B$5001,B1595),1,0))</f>
        <v/>
      </c>
      <c r="K1595" s="16" t="str">
        <f aca="false">IF(B1595="","",IF(AND(D1595="Formalização",E1595="Concluído"),IF(COUNTIFS($B$2:$B$5001,B1595,$E$2:$E$5001,"Em ajustes",$N$2:$N$5001,"&lt;"&amp;I1595)&gt;0,1,0),0))</f>
        <v/>
      </c>
      <c r="L1595" s="16" t="str">
        <f aca="false">IF(B1595="","",IF(N1595=_xlfn.MAXIFS($N$2:$N$5001,$B$2:$B$5001,B1595,$I$2:$I$5001,I1595),1,0))</f>
        <v/>
      </c>
      <c r="M1595" s="16" t="str">
        <f aca="false">IF(B1595="","",IF(E1595="Em ajustes",IF(N1595=_xlfn.MINIFS($N$2:$N$5001,$B$2:$B$5001,B1595,$E$2:$E$5001,"Em ajustes"),1,0),0))</f>
        <v/>
      </c>
      <c r="N1595" s="17" t="str">
        <f aca="false">IF(A1595="","",IF(ISNUMBER(A1595),A1595,IFERROR(DATE(VALUE(MID(A1595,7,4)),VALUE(MID(A1595,4,2)),VALUE(MID(A1595,1,2)))+TIME(VALUE(MID(A1595,12,2)),VALUE(MID(A1595,15,2)),VALUE(MID(A1595,18,2))),"")))</f>
        <v/>
      </c>
    </row>
    <row r="1596" customFormat="false" ht="15" hidden="false" customHeight="false" outlineLevel="0" collapsed="false">
      <c r="I1596" s="15" t="str">
        <f aca="false">IF(N1596="","",INT(N1596))</f>
        <v/>
      </c>
      <c r="J1596" s="16" t="str">
        <f aca="false">IF(B1596="","",IF(N1596=_xlfn.MINIFS($N$2:$N$5001,$B$2:$B$5001,B1596),1,0))</f>
        <v/>
      </c>
      <c r="K1596" s="16" t="str">
        <f aca="false">IF(B1596="","",IF(AND(D1596="Formalização",E1596="Concluído"),IF(COUNTIFS($B$2:$B$5001,B1596,$E$2:$E$5001,"Em ajustes",$N$2:$N$5001,"&lt;"&amp;I1596)&gt;0,1,0),0))</f>
        <v/>
      </c>
      <c r="L1596" s="16" t="str">
        <f aca="false">IF(B1596="","",IF(N1596=_xlfn.MAXIFS($N$2:$N$5001,$B$2:$B$5001,B1596,$I$2:$I$5001,I1596),1,0))</f>
        <v/>
      </c>
      <c r="M1596" s="16" t="str">
        <f aca="false">IF(B1596="","",IF(E1596="Em ajustes",IF(N1596=_xlfn.MINIFS($N$2:$N$5001,$B$2:$B$5001,B1596,$E$2:$E$5001,"Em ajustes"),1,0),0))</f>
        <v/>
      </c>
      <c r="N1596" s="17" t="str">
        <f aca="false">IF(A1596="","",IF(ISNUMBER(A1596),A1596,IFERROR(DATE(VALUE(MID(A1596,7,4)),VALUE(MID(A1596,4,2)),VALUE(MID(A1596,1,2)))+TIME(VALUE(MID(A1596,12,2)),VALUE(MID(A1596,15,2)),VALUE(MID(A1596,18,2))),"")))</f>
        <v/>
      </c>
    </row>
    <row r="1597" customFormat="false" ht="15" hidden="false" customHeight="false" outlineLevel="0" collapsed="false">
      <c r="I1597" s="15" t="str">
        <f aca="false">IF(N1597="","",INT(N1597))</f>
        <v/>
      </c>
      <c r="J1597" s="16" t="str">
        <f aca="false">IF(B1597="","",IF(N1597=_xlfn.MINIFS($N$2:$N$5001,$B$2:$B$5001,B1597),1,0))</f>
        <v/>
      </c>
      <c r="K1597" s="16" t="str">
        <f aca="false">IF(B1597="","",IF(AND(D1597="Formalização",E1597="Concluído"),IF(COUNTIFS($B$2:$B$5001,B1597,$E$2:$E$5001,"Em ajustes",$N$2:$N$5001,"&lt;"&amp;I1597)&gt;0,1,0),0))</f>
        <v/>
      </c>
      <c r="L1597" s="16" t="str">
        <f aca="false">IF(B1597="","",IF(N1597=_xlfn.MAXIFS($N$2:$N$5001,$B$2:$B$5001,B1597,$I$2:$I$5001,I1597),1,0))</f>
        <v/>
      </c>
      <c r="M1597" s="16" t="str">
        <f aca="false">IF(B1597="","",IF(E1597="Em ajustes",IF(N1597=_xlfn.MINIFS($N$2:$N$5001,$B$2:$B$5001,B1597,$E$2:$E$5001,"Em ajustes"),1,0),0))</f>
        <v/>
      </c>
      <c r="N1597" s="17" t="str">
        <f aca="false">IF(A1597="","",IF(ISNUMBER(A1597),A1597,IFERROR(DATE(VALUE(MID(A1597,7,4)),VALUE(MID(A1597,4,2)),VALUE(MID(A1597,1,2)))+TIME(VALUE(MID(A1597,12,2)),VALUE(MID(A1597,15,2)),VALUE(MID(A1597,18,2))),"")))</f>
        <v/>
      </c>
    </row>
    <row r="1598" customFormat="false" ht="15" hidden="false" customHeight="false" outlineLevel="0" collapsed="false">
      <c r="I1598" s="15" t="str">
        <f aca="false">IF(N1598="","",INT(N1598))</f>
        <v/>
      </c>
      <c r="J1598" s="16" t="str">
        <f aca="false">IF(B1598="","",IF(N1598=_xlfn.MINIFS($N$2:$N$5001,$B$2:$B$5001,B1598),1,0))</f>
        <v/>
      </c>
      <c r="K1598" s="16" t="str">
        <f aca="false">IF(B1598="","",IF(AND(D1598="Formalização",E1598="Concluído"),IF(COUNTIFS($B$2:$B$5001,B1598,$E$2:$E$5001,"Em ajustes",$N$2:$N$5001,"&lt;"&amp;I1598)&gt;0,1,0),0))</f>
        <v/>
      </c>
      <c r="L1598" s="16" t="str">
        <f aca="false">IF(B1598="","",IF(N1598=_xlfn.MAXIFS($N$2:$N$5001,$B$2:$B$5001,B1598,$I$2:$I$5001,I1598),1,0))</f>
        <v/>
      </c>
      <c r="M1598" s="16" t="str">
        <f aca="false">IF(B1598="","",IF(E1598="Em ajustes",IF(N1598=_xlfn.MINIFS($N$2:$N$5001,$B$2:$B$5001,B1598,$E$2:$E$5001,"Em ajustes"),1,0),0))</f>
        <v/>
      </c>
      <c r="N1598" s="17" t="str">
        <f aca="false">IF(A1598="","",IF(ISNUMBER(A1598),A1598,IFERROR(DATE(VALUE(MID(A1598,7,4)),VALUE(MID(A1598,4,2)),VALUE(MID(A1598,1,2)))+TIME(VALUE(MID(A1598,12,2)),VALUE(MID(A1598,15,2)),VALUE(MID(A1598,18,2))),"")))</f>
        <v/>
      </c>
    </row>
    <row r="1599" customFormat="false" ht="15" hidden="false" customHeight="false" outlineLevel="0" collapsed="false">
      <c r="I1599" s="15" t="str">
        <f aca="false">IF(N1599="","",INT(N1599))</f>
        <v/>
      </c>
      <c r="J1599" s="16" t="str">
        <f aca="false">IF(B1599="","",IF(N1599=_xlfn.MINIFS($N$2:$N$5001,$B$2:$B$5001,B1599),1,0))</f>
        <v/>
      </c>
      <c r="K1599" s="16" t="str">
        <f aca="false">IF(B1599="","",IF(AND(D1599="Formalização",E1599="Concluído"),IF(COUNTIFS($B$2:$B$5001,B1599,$E$2:$E$5001,"Em ajustes",$N$2:$N$5001,"&lt;"&amp;I1599)&gt;0,1,0),0))</f>
        <v/>
      </c>
      <c r="L1599" s="16" t="str">
        <f aca="false">IF(B1599="","",IF(N1599=_xlfn.MAXIFS($N$2:$N$5001,$B$2:$B$5001,B1599,$I$2:$I$5001,I1599),1,0))</f>
        <v/>
      </c>
      <c r="M1599" s="16" t="str">
        <f aca="false">IF(B1599="","",IF(E1599="Em ajustes",IF(N1599=_xlfn.MINIFS($N$2:$N$5001,$B$2:$B$5001,B1599,$E$2:$E$5001,"Em ajustes"),1,0),0))</f>
        <v/>
      </c>
      <c r="N1599" s="17" t="str">
        <f aca="false">IF(A1599="","",IF(ISNUMBER(A1599),A1599,IFERROR(DATE(VALUE(MID(A1599,7,4)),VALUE(MID(A1599,4,2)),VALUE(MID(A1599,1,2)))+TIME(VALUE(MID(A1599,12,2)),VALUE(MID(A1599,15,2)),VALUE(MID(A1599,18,2))),"")))</f>
        <v/>
      </c>
    </row>
    <row r="1600" customFormat="false" ht="15" hidden="false" customHeight="false" outlineLevel="0" collapsed="false">
      <c r="I1600" s="15" t="str">
        <f aca="false">IF(N1600="","",INT(N1600))</f>
        <v/>
      </c>
      <c r="J1600" s="16" t="str">
        <f aca="false">IF(B1600="","",IF(N1600=_xlfn.MINIFS($N$2:$N$5001,$B$2:$B$5001,B1600),1,0))</f>
        <v/>
      </c>
      <c r="K1600" s="16" t="str">
        <f aca="false">IF(B1600="","",IF(AND(D1600="Formalização",E1600="Concluído"),IF(COUNTIFS($B$2:$B$5001,B1600,$E$2:$E$5001,"Em ajustes",$N$2:$N$5001,"&lt;"&amp;I1600)&gt;0,1,0),0))</f>
        <v/>
      </c>
      <c r="L1600" s="16" t="str">
        <f aca="false">IF(B1600="","",IF(N1600=_xlfn.MAXIFS($N$2:$N$5001,$B$2:$B$5001,B1600,$I$2:$I$5001,I1600),1,0))</f>
        <v/>
      </c>
      <c r="M1600" s="16" t="str">
        <f aca="false">IF(B1600="","",IF(E1600="Em ajustes",IF(N1600=_xlfn.MINIFS($N$2:$N$5001,$B$2:$B$5001,B1600,$E$2:$E$5001,"Em ajustes"),1,0),0))</f>
        <v/>
      </c>
      <c r="N1600" s="17" t="str">
        <f aca="false">IF(A1600="","",IF(ISNUMBER(A1600),A1600,IFERROR(DATE(VALUE(MID(A1600,7,4)),VALUE(MID(A1600,4,2)),VALUE(MID(A1600,1,2)))+TIME(VALUE(MID(A1600,12,2)),VALUE(MID(A1600,15,2)),VALUE(MID(A1600,18,2))),"")))</f>
        <v/>
      </c>
    </row>
    <row r="1601" customFormat="false" ht="15" hidden="false" customHeight="false" outlineLevel="0" collapsed="false">
      <c r="I1601" s="15" t="str">
        <f aca="false">IF(N1601="","",INT(N1601))</f>
        <v/>
      </c>
      <c r="J1601" s="16" t="str">
        <f aca="false">IF(B1601="","",IF(N1601=_xlfn.MINIFS($N$2:$N$5001,$B$2:$B$5001,B1601),1,0))</f>
        <v/>
      </c>
      <c r="K1601" s="16" t="str">
        <f aca="false">IF(B1601="","",IF(AND(D1601="Formalização",E1601="Concluído"),IF(COUNTIFS($B$2:$B$5001,B1601,$E$2:$E$5001,"Em ajustes",$N$2:$N$5001,"&lt;"&amp;I1601)&gt;0,1,0),0))</f>
        <v/>
      </c>
      <c r="L1601" s="16" t="str">
        <f aca="false">IF(B1601="","",IF(N1601=_xlfn.MAXIFS($N$2:$N$5001,$B$2:$B$5001,B1601,$I$2:$I$5001,I1601),1,0))</f>
        <v/>
      </c>
      <c r="M1601" s="16" t="str">
        <f aca="false">IF(B1601="","",IF(E1601="Em ajustes",IF(N1601=_xlfn.MINIFS($N$2:$N$5001,$B$2:$B$5001,B1601,$E$2:$E$5001,"Em ajustes"),1,0),0))</f>
        <v/>
      </c>
      <c r="N1601" s="17" t="str">
        <f aca="false">IF(A1601="","",IF(ISNUMBER(A1601),A1601,IFERROR(DATE(VALUE(MID(A1601,7,4)),VALUE(MID(A1601,4,2)),VALUE(MID(A1601,1,2)))+TIME(VALUE(MID(A1601,12,2)),VALUE(MID(A1601,15,2)),VALUE(MID(A1601,18,2))),"")))</f>
        <v/>
      </c>
    </row>
    <row r="1602" customFormat="false" ht="15" hidden="false" customHeight="false" outlineLevel="0" collapsed="false">
      <c r="I1602" s="15" t="str">
        <f aca="false">IF(N1602="","",INT(N1602))</f>
        <v/>
      </c>
      <c r="J1602" s="16" t="str">
        <f aca="false">IF(B1602="","",IF(N1602=_xlfn.MINIFS($N$2:$N$5001,$B$2:$B$5001,B1602),1,0))</f>
        <v/>
      </c>
      <c r="K1602" s="16" t="str">
        <f aca="false">IF(B1602="","",IF(AND(D1602="Formalização",E1602="Concluído"),IF(COUNTIFS($B$2:$B$5001,B1602,$E$2:$E$5001,"Em ajustes",$N$2:$N$5001,"&lt;"&amp;I1602)&gt;0,1,0),0))</f>
        <v/>
      </c>
      <c r="L1602" s="16" t="str">
        <f aca="false">IF(B1602="","",IF(N1602=_xlfn.MAXIFS($N$2:$N$5001,$B$2:$B$5001,B1602,$I$2:$I$5001,I1602),1,0))</f>
        <v/>
      </c>
      <c r="M1602" s="16" t="str">
        <f aca="false">IF(B1602="","",IF(E1602="Em ajustes",IF(N1602=_xlfn.MINIFS($N$2:$N$5001,$B$2:$B$5001,B1602,$E$2:$E$5001,"Em ajustes"),1,0),0))</f>
        <v/>
      </c>
      <c r="N1602" s="17" t="str">
        <f aca="false">IF(A1602="","",IF(ISNUMBER(A1602),A1602,IFERROR(DATE(VALUE(MID(A1602,7,4)),VALUE(MID(A1602,4,2)),VALUE(MID(A1602,1,2)))+TIME(VALUE(MID(A1602,12,2)),VALUE(MID(A1602,15,2)),VALUE(MID(A1602,18,2))),"")))</f>
        <v/>
      </c>
    </row>
    <row r="1603" customFormat="false" ht="15" hidden="false" customHeight="false" outlineLevel="0" collapsed="false">
      <c r="I1603" s="15" t="str">
        <f aca="false">IF(N1603="","",INT(N1603))</f>
        <v/>
      </c>
      <c r="J1603" s="16" t="str">
        <f aca="false">IF(B1603="","",IF(N1603=_xlfn.MINIFS($N$2:$N$5001,$B$2:$B$5001,B1603),1,0))</f>
        <v/>
      </c>
      <c r="K1603" s="16" t="str">
        <f aca="false">IF(B1603="","",IF(AND(D1603="Formalização",E1603="Concluído"),IF(COUNTIFS($B$2:$B$5001,B1603,$E$2:$E$5001,"Em ajustes",$N$2:$N$5001,"&lt;"&amp;I1603)&gt;0,1,0),0))</f>
        <v/>
      </c>
      <c r="L1603" s="16" t="str">
        <f aca="false">IF(B1603="","",IF(N1603=_xlfn.MAXIFS($N$2:$N$5001,$B$2:$B$5001,B1603,$I$2:$I$5001,I1603),1,0))</f>
        <v/>
      </c>
      <c r="M1603" s="16" t="str">
        <f aca="false">IF(B1603="","",IF(E1603="Em ajustes",IF(N1603=_xlfn.MINIFS($N$2:$N$5001,$B$2:$B$5001,B1603,$E$2:$E$5001,"Em ajustes"),1,0),0))</f>
        <v/>
      </c>
      <c r="N1603" s="17" t="str">
        <f aca="false">IF(A1603="","",IF(ISNUMBER(A1603),A1603,IFERROR(DATE(VALUE(MID(A1603,7,4)),VALUE(MID(A1603,4,2)),VALUE(MID(A1603,1,2)))+TIME(VALUE(MID(A1603,12,2)),VALUE(MID(A1603,15,2)),VALUE(MID(A1603,18,2))),"")))</f>
        <v/>
      </c>
    </row>
    <row r="1604" customFormat="false" ht="15" hidden="false" customHeight="false" outlineLevel="0" collapsed="false">
      <c r="I1604" s="15" t="str">
        <f aca="false">IF(N1604="","",INT(N1604))</f>
        <v/>
      </c>
      <c r="J1604" s="16" t="str">
        <f aca="false">IF(B1604="","",IF(N1604=_xlfn.MINIFS($N$2:$N$5001,$B$2:$B$5001,B1604),1,0))</f>
        <v/>
      </c>
      <c r="K1604" s="16" t="str">
        <f aca="false">IF(B1604="","",IF(AND(D1604="Formalização",E1604="Concluído"),IF(COUNTIFS($B$2:$B$5001,B1604,$E$2:$E$5001,"Em ajustes",$N$2:$N$5001,"&lt;"&amp;I1604)&gt;0,1,0),0))</f>
        <v/>
      </c>
      <c r="L1604" s="16" t="str">
        <f aca="false">IF(B1604="","",IF(N1604=_xlfn.MAXIFS($N$2:$N$5001,$B$2:$B$5001,B1604,$I$2:$I$5001,I1604),1,0))</f>
        <v/>
      </c>
      <c r="M1604" s="16" t="str">
        <f aca="false">IF(B1604="","",IF(E1604="Em ajustes",IF(N1604=_xlfn.MINIFS($N$2:$N$5001,$B$2:$B$5001,B1604,$E$2:$E$5001,"Em ajustes"),1,0),0))</f>
        <v/>
      </c>
      <c r="N1604" s="17" t="str">
        <f aca="false">IF(A1604="","",IF(ISNUMBER(A1604),A1604,IFERROR(DATE(VALUE(MID(A1604,7,4)),VALUE(MID(A1604,4,2)),VALUE(MID(A1604,1,2)))+TIME(VALUE(MID(A1604,12,2)),VALUE(MID(A1604,15,2)),VALUE(MID(A1604,18,2))),"")))</f>
        <v/>
      </c>
    </row>
    <row r="1605" customFormat="false" ht="15" hidden="false" customHeight="false" outlineLevel="0" collapsed="false">
      <c r="I1605" s="15" t="str">
        <f aca="false">IF(N1605="","",INT(N1605))</f>
        <v/>
      </c>
      <c r="J1605" s="16" t="str">
        <f aca="false">IF(B1605="","",IF(N1605=_xlfn.MINIFS($N$2:$N$5001,$B$2:$B$5001,B1605),1,0))</f>
        <v/>
      </c>
      <c r="K1605" s="16" t="str">
        <f aca="false">IF(B1605="","",IF(AND(D1605="Formalização",E1605="Concluído"),IF(COUNTIFS($B$2:$B$5001,B1605,$E$2:$E$5001,"Em ajustes",$N$2:$N$5001,"&lt;"&amp;I1605)&gt;0,1,0),0))</f>
        <v/>
      </c>
      <c r="L1605" s="16" t="str">
        <f aca="false">IF(B1605="","",IF(N1605=_xlfn.MAXIFS($N$2:$N$5001,$B$2:$B$5001,B1605,$I$2:$I$5001,I1605),1,0))</f>
        <v/>
      </c>
      <c r="M1605" s="16" t="str">
        <f aca="false">IF(B1605="","",IF(E1605="Em ajustes",IF(N1605=_xlfn.MINIFS($N$2:$N$5001,$B$2:$B$5001,B1605,$E$2:$E$5001,"Em ajustes"),1,0),0))</f>
        <v/>
      </c>
      <c r="N1605" s="17" t="str">
        <f aca="false">IF(A1605="","",IF(ISNUMBER(A1605),A1605,IFERROR(DATE(VALUE(MID(A1605,7,4)),VALUE(MID(A1605,4,2)),VALUE(MID(A1605,1,2)))+TIME(VALUE(MID(A1605,12,2)),VALUE(MID(A1605,15,2)),VALUE(MID(A1605,18,2))),"")))</f>
        <v/>
      </c>
    </row>
    <row r="1606" customFormat="false" ht="15" hidden="false" customHeight="false" outlineLevel="0" collapsed="false">
      <c r="I1606" s="15" t="str">
        <f aca="false">IF(N1606="","",INT(N1606))</f>
        <v/>
      </c>
      <c r="J1606" s="16" t="str">
        <f aca="false">IF(B1606="","",IF(N1606=_xlfn.MINIFS($N$2:$N$5001,$B$2:$B$5001,B1606),1,0))</f>
        <v/>
      </c>
      <c r="K1606" s="16" t="str">
        <f aca="false">IF(B1606="","",IF(AND(D1606="Formalização",E1606="Concluído"),IF(COUNTIFS($B$2:$B$5001,B1606,$E$2:$E$5001,"Em ajustes",$N$2:$N$5001,"&lt;"&amp;I1606)&gt;0,1,0),0))</f>
        <v/>
      </c>
      <c r="L1606" s="16" t="str">
        <f aca="false">IF(B1606="","",IF(N1606=_xlfn.MAXIFS($N$2:$N$5001,$B$2:$B$5001,B1606,$I$2:$I$5001,I1606),1,0))</f>
        <v/>
      </c>
      <c r="M1606" s="16" t="str">
        <f aca="false">IF(B1606="","",IF(E1606="Em ajustes",IF(N1606=_xlfn.MINIFS($N$2:$N$5001,$B$2:$B$5001,B1606,$E$2:$E$5001,"Em ajustes"),1,0),0))</f>
        <v/>
      </c>
      <c r="N1606" s="17" t="str">
        <f aca="false">IF(A1606="","",IF(ISNUMBER(A1606),A1606,IFERROR(DATE(VALUE(MID(A1606,7,4)),VALUE(MID(A1606,4,2)),VALUE(MID(A1606,1,2)))+TIME(VALUE(MID(A1606,12,2)),VALUE(MID(A1606,15,2)),VALUE(MID(A1606,18,2))),"")))</f>
        <v/>
      </c>
    </row>
    <row r="1607" customFormat="false" ht="15" hidden="false" customHeight="false" outlineLevel="0" collapsed="false">
      <c r="I1607" s="15" t="str">
        <f aca="false">IF(N1607="","",INT(N1607))</f>
        <v/>
      </c>
      <c r="J1607" s="16" t="str">
        <f aca="false">IF(B1607="","",IF(N1607=_xlfn.MINIFS($N$2:$N$5001,$B$2:$B$5001,B1607),1,0))</f>
        <v/>
      </c>
      <c r="K1607" s="16" t="str">
        <f aca="false">IF(B1607="","",IF(AND(D1607="Formalização",E1607="Concluído"),IF(COUNTIFS($B$2:$B$5001,B1607,$E$2:$E$5001,"Em ajustes",$N$2:$N$5001,"&lt;"&amp;I1607)&gt;0,1,0),0))</f>
        <v/>
      </c>
      <c r="L1607" s="16" t="str">
        <f aca="false">IF(B1607="","",IF(N1607=_xlfn.MAXIFS($N$2:$N$5001,$B$2:$B$5001,B1607,$I$2:$I$5001,I1607),1,0))</f>
        <v/>
      </c>
      <c r="M1607" s="16" t="str">
        <f aca="false">IF(B1607="","",IF(E1607="Em ajustes",IF(N1607=_xlfn.MINIFS($N$2:$N$5001,$B$2:$B$5001,B1607,$E$2:$E$5001,"Em ajustes"),1,0),0))</f>
        <v/>
      </c>
      <c r="N1607" s="17" t="str">
        <f aca="false">IF(A1607="","",IF(ISNUMBER(A1607),A1607,IFERROR(DATE(VALUE(MID(A1607,7,4)),VALUE(MID(A1607,4,2)),VALUE(MID(A1607,1,2)))+TIME(VALUE(MID(A1607,12,2)),VALUE(MID(A1607,15,2)),VALUE(MID(A1607,18,2))),"")))</f>
        <v/>
      </c>
    </row>
    <row r="1608" customFormat="false" ht="15" hidden="false" customHeight="false" outlineLevel="0" collapsed="false">
      <c r="I1608" s="15" t="str">
        <f aca="false">IF(N1608="","",INT(N1608))</f>
        <v/>
      </c>
      <c r="J1608" s="16" t="str">
        <f aca="false">IF(B1608="","",IF(N1608=_xlfn.MINIFS($N$2:$N$5001,$B$2:$B$5001,B1608),1,0))</f>
        <v/>
      </c>
      <c r="K1608" s="16" t="str">
        <f aca="false">IF(B1608="","",IF(AND(D1608="Formalização",E1608="Concluído"),IF(COUNTIFS($B$2:$B$5001,B1608,$E$2:$E$5001,"Em ajustes",$N$2:$N$5001,"&lt;"&amp;I1608)&gt;0,1,0),0))</f>
        <v/>
      </c>
      <c r="L1608" s="16" t="str">
        <f aca="false">IF(B1608="","",IF(N1608=_xlfn.MAXIFS($N$2:$N$5001,$B$2:$B$5001,B1608,$I$2:$I$5001,I1608),1,0))</f>
        <v/>
      </c>
      <c r="M1608" s="16" t="str">
        <f aca="false">IF(B1608="","",IF(E1608="Em ajustes",IF(N1608=_xlfn.MINIFS($N$2:$N$5001,$B$2:$B$5001,B1608,$E$2:$E$5001,"Em ajustes"),1,0),0))</f>
        <v/>
      </c>
      <c r="N1608" s="17" t="str">
        <f aca="false">IF(A1608="","",IF(ISNUMBER(A1608),A1608,IFERROR(DATE(VALUE(MID(A1608,7,4)),VALUE(MID(A1608,4,2)),VALUE(MID(A1608,1,2)))+TIME(VALUE(MID(A1608,12,2)),VALUE(MID(A1608,15,2)),VALUE(MID(A1608,18,2))),"")))</f>
        <v/>
      </c>
    </row>
    <row r="1609" customFormat="false" ht="15" hidden="false" customHeight="false" outlineLevel="0" collapsed="false">
      <c r="I1609" s="15" t="str">
        <f aca="false">IF(N1609="","",INT(N1609))</f>
        <v/>
      </c>
      <c r="J1609" s="16" t="str">
        <f aca="false">IF(B1609="","",IF(N1609=_xlfn.MINIFS($N$2:$N$5001,$B$2:$B$5001,B1609),1,0))</f>
        <v/>
      </c>
      <c r="K1609" s="16" t="str">
        <f aca="false">IF(B1609="","",IF(AND(D1609="Formalização",E1609="Concluído"),IF(COUNTIFS($B$2:$B$5001,B1609,$E$2:$E$5001,"Em ajustes",$N$2:$N$5001,"&lt;"&amp;I1609)&gt;0,1,0),0))</f>
        <v/>
      </c>
      <c r="L1609" s="16" t="str">
        <f aca="false">IF(B1609="","",IF(N1609=_xlfn.MAXIFS($N$2:$N$5001,$B$2:$B$5001,B1609,$I$2:$I$5001,I1609),1,0))</f>
        <v/>
      </c>
      <c r="M1609" s="16" t="str">
        <f aca="false">IF(B1609="","",IF(E1609="Em ajustes",IF(N1609=_xlfn.MINIFS($N$2:$N$5001,$B$2:$B$5001,B1609,$E$2:$E$5001,"Em ajustes"),1,0),0))</f>
        <v/>
      </c>
      <c r="N1609" s="17" t="str">
        <f aca="false">IF(A1609="","",IF(ISNUMBER(A1609),A1609,IFERROR(DATE(VALUE(MID(A1609,7,4)),VALUE(MID(A1609,4,2)),VALUE(MID(A1609,1,2)))+TIME(VALUE(MID(A1609,12,2)),VALUE(MID(A1609,15,2)),VALUE(MID(A1609,18,2))),"")))</f>
        <v/>
      </c>
    </row>
    <row r="1610" customFormat="false" ht="15" hidden="false" customHeight="false" outlineLevel="0" collapsed="false">
      <c r="I1610" s="15" t="str">
        <f aca="false">IF(N1610="","",INT(N1610))</f>
        <v/>
      </c>
      <c r="J1610" s="16" t="str">
        <f aca="false">IF(B1610="","",IF(N1610=_xlfn.MINIFS($N$2:$N$5001,$B$2:$B$5001,B1610),1,0))</f>
        <v/>
      </c>
      <c r="K1610" s="16" t="str">
        <f aca="false">IF(B1610="","",IF(AND(D1610="Formalização",E1610="Concluído"),IF(COUNTIFS($B$2:$B$5001,B1610,$E$2:$E$5001,"Em ajustes",$N$2:$N$5001,"&lt;"&amp;I1610)&gt;0,1,0),0))</f>
        <v/>
      </c>
      <c r="L1610" s="16" t="str">
        <f aca="false">IF(B1610="","",IF(N1610=_xlfn.MAXIFS($N$2:$N$5001,$B$2:$B$5001,B1610,$I$2:$I$5001,I1610),1,0))</f>
        <v/>
      </c>
      <c r="M1610" s="16" t="str">
        <f aca="false">IF(B1610="","",IF(E1610="Em ajustes",IF(N1610=_xlfn.MINIFS($N$2:$N$5001,$B$2:$B$5001,B1610,$E$2:$E$5001,"Em ajustes"),1,0),0))</f>
        <v/>
      </c>
      <c r="N1610" s="17" t="str">
        <f aca="false">IF(A1610="","",IF(ISNUMBER(A1610),A1610,IFERROR(DATE(VALUE(MID(A1610,7,4)),VALUE(MID(A1610,4,2)),VALUE(MID(A1610,1,2)))+TIME(VALUE(MID(A1610,12,2)),VALUE(MID(A1610,15,2)),VALUE(MID(A1610,18,2))),"")))</f>
        <v/>
      </c>
    </row>
    <row r="1611" customFormat="false" ht="15" hidden="false" customHeight="false" outlineLevel="0" collapsed="false">
      <c r="I1611" s="15" t="str">
        <f aca="false">IF(N1611="","",INT(N1611))</f>
        <v/>
      </c>
      <c r="J1611" s="16" t="str">
        <f aca="false">IF(B1611="","",IF(N1611=_xlfn.MINIFS($N$2:$N$5001,$B$2:$B$5001,B1611),1,0))</f>
        <v/>
      </c>
      <c r="K1611" s="16" t="str">
        <f aca="false">IF(B1611="","",IF(AND(D1611="Formalização",E1611="Concluído"),IF(COUNTIFS($B$2:$B$5001,B1611,$E$2:$E$5001,"Em ajustes",$N$2:$N$5001,"&lt;"&amp;I1611)&gt;0,1,0),0))</f>
        <v/>
      </c>
      <c r="L1611" s="16" t="str">
        <f aca="false">IF(B1611="","",IF(N1611=_xlfn.MAXIFS($N$2:$N$5001,$B$2:$B$5001,B1611,$I$2:$I$5001,I1611),1,0))</f>
        <v/>
      </c>
      <c r="M1611" s="16" t="str">
        <f aca="false">IF(B1611="","",IF(E1611="Em ajustes",IF(N1611=_xlfn.MINIFS($N$2:$N$5001,$B$2:$B$5001,B1611,$E$2:$E$5001,"Em ajustes"),1,0),0))</f>
        <v/>
      </c>
      <c r="N1611" s="17" t="str">
        <f aca="false">IF(A1611="","",IF(ISNUMBER(A1611),A1611,IFERROR(DATE(VALUE(MID(A1611,7,4)),VALUE(MID(A1611,4,2)),VALUE(MID(A1611,1,2)))+TIME(VALUE(MID(A1611,12,2)),VALUE(MID(A1611,15,2)),VALUE(MID(A1611,18,2))),"")))</f>
        <v/>
      </c>
    </row>
    <row r="1612" customFormat="false" ht="15" hidden="false" customHeight="false" outlineLevel="0" collapsed="false">
      <c r="I1612" s="15" t="str">
        <f aca="false">IF(N1612="","",INT(N1612))</f>
        <v/>
      </c>
      <c r="J1612" s="16" t="str">
        <f aca="false">IF(B1612="","",IF(N1612=_xlfn.MINIFS($N$2:$N$5001,$B$2:$B$5001,B1612),1,0))</f>
        <v/>
      </c>
      <c r="K1612" s="16" t="str">
        <f aca="false">IF(B1612="","",IF(AND(D1612="Formalização",E1612="Concluído"),IF(COUNTIFS($B$2:$B$5001,B1612,$E$2:$E$5001,"Em ajustes",$N$2:$N$5001,"&lt;"&amp;I1612)&gt;0,1,0),0))</f>
        <v/>
      </c>
      <c r="L1612" s="16" t="str">
        <f aca="false">IF(B1612="","",IF(N1612=_xlfn.MAXIFS($N$2:$N$5001,$B$2:$B$5001,B1612,$I$2:$I$5001,I1612),1,0))</f>
        <v/>
      </c>
      <c r="M1612" s="16" t="str">
        <f aca="false">IF(B1612="","",IF(E1612="Em ajustes",IF(N1612=_xlfn.MINIFS($N$2:$N$5001,$B$2:$B$5001,B1612,$E$2:$E$5001,"Em ajustes"),1,0),0))</f>
        <v/>
      </c>
      <c r="N1612" s="17" t="str">
        <f aca="false">IF(A1612="","",IF(ISNUMBER(A1612),A1612,IFERROR(DATE(VALUE(MID(A1612,7,4)),VALUE(MID(A1612,4,2)),VALUE(MID(A1612,1,2)))+TIME(VALUE(MID(A1612,12,2)),VALUE(MID(A1612,15,2)),VALUE(MID(A1612,18,2))),"")))</f>
        <v/>
      </c>
    </row>
    <row r="1613" customFormat="false" ht="15" hidden="false" customHeight="false" outlineLevel="0" collapsed="false">
      <c r="I1613" s="15" t="str">
        <f aca="false">IF(N1613="","",INT(N1613))</f>
        <v/>
      </c>
      <c r="J1613" s="16" t="str">
        <f aca="false">IF(B1613="","",IF(N1613=_xlfn.MINIFS($N$2:$N$5001,$B$2:$B$5001,B1613),1,0))</f>
        <v/>
      </c>
      <c r="K1613" s="16" t="str">
        <f aca="false">IF(B1613="","",IF(AND(D1613="Formalização",E1613="Concluído"),IF(COUNTIFS($B$2:$B$5001,B1613,$E$2:$E$5001,"Em ajustes",$N$2:$N$5001,"&lt;"&amp;I1613)&gt;0,1,0),0))</f>
        <v/>
      </c>
      <c r="L1613" s="16" t="str">
        <f aca="false">IF(B1613="","",IF(N1613=_xlfn.MAXIFS($N$2:$N$5001,$B$2:$B$5001,B1613,$I$2:$I$5001,I1613),1,0))</f>
        <v/>
      </c>
      <c r="M1613" s="16" t="str">
        <f aca="false">IF(B1613="","",IF(E1613="Em ajustes",IF(N1613=_xlfn.MINIFS($N$2:$N$5001,$B$2:$B$5001,B1613,$E$2:$E$5001,"Em ajustes"),1,0),0))</f>
        <v/>
      </c>
      <c r="N1613" s="17" t="str">
        <f aca="false">IF(A1613="","",IF(ISNUMBER(A1613),A1613,IFERROR(DATE(VALUE(MID(A1613,7,4)),VALUE(MID(A1613,4,2)),VALUE(MID(A1613,1,2)))+TIME(VALUE(MID(A1613,12,2)),VALUE(MID(A1613,15,2)),VALUE(MID(A1613,18,2))),"")))</f>
        <v/>
      </c>
    </row>
    <row r="1614" customFormat="false" ht="15" hidden="false" customHeight="false" outlineLevel="0" collapsed="false">
      <c r="I1614" s="15" t="str">
        <f aca="false">IF(N1614="","",INT(N1614))</f>
        <v/>
      </c>
      <c r="J1614" s="16" t="str">
        <f aca="false">IF(B1614="","",IF(N1614=_xlfn.MINIFS($N$2:$N$5001,$B$2:$B$5001,B1614),1,0))</f>
        <v/>
      </c>
      <c r="K1614" s="16" t="str">
        <f aca="false">IF(B1614="","",IF(AND(D1614="Formalização",E1614="Concluído"),IF(COUNTIFS($B$2:$B$5001,B1614,$E$2:$E$5001,"Em ajustes",$N$2:$N$5001,"&lt;"&amp;I1614)&gt;0,1,0),0))</f>
        <v/>
      </c>
      <c r="L1614" s="16" t="str">
        <f aca="false">IF(B1614="","",IF(N1614=_xlfn.MAXIFS($N$2:$N$5001,$B$2:$B$5001,B1614,$I$2:$I$5001,I1614),1,0))</f>
        <v/>
      </c>
      <c r="M1614" s="16" t="str">
        <f aca="false">IF(B1614="","",IF(E1614="Em ajustes",IF(N1614=_xlfn.MINIFS($N$2:$N$5001,$B$2:$B$5001,B1614,$E$2:$E$5001,"Em ajustes"),1,0),0))</f>
        <v/>
      </c>
      <c r="N1614" s="17" t="str">
        <f aca="false">IF(A1614="","",IF(ISNUMBER(A1614),A1614,IFERROR(DATE(VALUE(MID(A1614,7,4)),VALUE(MID(A1614,4,2)),VALUE(MID(A1614,1,2)))+TIME(VALUE(MID(A1614,12,2)),VALUE(MID(A1614,15,2)),VALUE(MID(A1614,18,2))),"")))</f>
        <v/>
      </c>
    </row>
    <row r="1615" customFormat="false" ht="15" hidden="false" customHeight="false" outlineLevel="0" collapsed="false">
      <c r="I1615" s="15" t="str">
        <f aca="false">IF(N1615="","",INT(N1615))</f>
        <v/>
      </c>
      <c r="J1615" s="16" t="str">
        <f aca="false">IF(B1615="","",IF(N1615=_xlfn.MINIFS($N$2:$N$5001,$B$2:$B$5001,B1615),1,0))</f>
        <v/>
      </c>
      <c r="K1615" s="16" t="str">
        <f aca="false">IF(B1615="","",IF(AND(D1615="Formalização",E1615="Concluído"),IF(COUNTIFS($B$2:$B$5001,B1615,$E$2:$E$5001,"Em ajustes",$N$2:$N$5001,"&lt;"&amp;I1615)&gt;0,1,0),0))</f>
        <v/>
      </c>
      <c r="L1615" s="16" t="str">
        <f aca="false">IF(B1615="","",IF(N1615=_xlfn.MAXIFS($N$2:$N$5001,$B$2:$B$5001,B1615,$I$2:$I$5001,I1615),1,0))</f>
        <v/>
      </c>
      <c r="M1615" s="16" t="str">
        <f aca="false">IF(B1615="","",IF(E1615="Em ajustes",IF(N1615=_xlfn.MINIFS($N$2:$N$5001,$B$2:$B$5001,B1615,$E$2:$E$5001,"Em ajustes"),1,0),0))</f>
        <v/>
      </c>
      <c r="N1615" s="17" t="str">
        <f aca="false">IF(A1615="","",IF(ISNUMBER(A1615),A1615,IFERROR(DATE(VALUE(MID(A1615,7,4)),VALUE(MID(A1615,4,2)),VALUE(MID(A1615,1,2)))+TIME(VALUE(MID(A1615,12,2)),VALUE(MID(A1615,15,2)),VALUE(MID(A1615,18,2))),"")))</f>
        <v/>
      </c>
    </row>
    <row r="1616" customFormat="false" ht="15" hidden="false" customHeight="false" outlineLevel="0" collapsed="false">
      <c r="I1616" s="15" t="str">
        <f aca="false">IF(N1616="","",INT(N1616))</f>
        <v/>
      </c>
      <c r="J1616" s="16" t="str">
        <f aca="false">IF(B1616="","",IF(N1616=_xlfn.MINIFS($N$2:$N$5001,$B$2:$B$5001,B1616),1,0))</f>
        <v/>
      </c>
      <c r="K1616" s="16" t="str">
        <f aca="false">IF(B1616="","",IF(AND(D1616="Formalização",E1616="Concluído"),IF(COUNTIFS($B$2:$B$5001,B1616,$E$2:$E$5001,"Em ajustes",$N$2:$N$5001,"&lt;"&amp;I1616)&gt;0,1,0),0))</f>
        <v/>
      </c>
      <c r="L1616" s="16" t="str">
        <f aca="false">IF(B1616="","",IF(N1616=_xlfn.MAXIFS($N$2:$N$5001,$B$2:$B$5001,B1616,$I$2:$I$5001,I1616),1,0))</f>
        <v/>
      </c>
      <c r="M1616" s="16" t="str">
        <f aca="false">IF(B1616="","",IF(E1616="Em ajustes",IF(N1616=_xlfn.MINIFS($N$2:$N$5001,$B$2:$B$5001,B1616,$E$2:$E$5001,"Em ajustes"),1,0),0))</f>
        <v/>
      </c>
      <c r="N1616" s="17" t="str">
        <f aca="false">IF(A1616="","",IF(ISNUMBER(A1616),A1616,IFERROR(DATE(VALUE(MID(A1616,7,4)),VALUE(MID(A1616,4,2)),VALUE(MID(A1616,1,2)))+TIME(VALUE(MID(A1616,12,2)),VALUE(MID(A1616,15,2)),VALUE(MID(A1616,18,2))),"")))</f>
        <v/>
      </c>
    </row>
    <row r="1617" customFormat="false" ht="15" hidden="false" customHeight="false" outlineLevel="0" collapsed="false">
      <c r="I1617" s="15" t="str">
        <f aca="false">IF(N1617="","",INT(N1617))</f>
        <v/>
      </c>
      <c r="J1617" s="16" t="str">
        <f aca="false">IF(B1617="","",IF(N1617=_xlfn.MINIFS($N$2:$N$5001,$B$2:$B$5001,B1617),1,0))</f>
        <v/>
      </c>
      <c r="K1617" s="16" t="str">
        <f aca="false">IF(B1617="","",IF(AND(D1617="Formalização",E1617="Concluído"),IF(COUNTIFS($B$2:$B$5001,B1617,$E$2:$E$5001,"Em ajustes",$N$2:$N$5001,"&lt;"&amp;I1617)&gt;0,1,0),0))</f>
        <v/>
      </c>
      <c r="L1617" s="16" t="str">
        <f aca="false">IF(B1617="","",IF(N1617=_xlfn.MAXIFS($N$2:$N$5001,$B$2:$B$5001,B1617,$I$2:$I$5001,I1617),1,0))</f>
        <v/>
      </c>
      <c r="M1617" s="16" t="str">
        <f aca="false">IF(B1617="","",IF(E1617="Em ajustes",IF(N1617=_xlfn.MINIFS($N$2:$N$5001,$B$2:$B$5001,B1617,$E$2:$E$5001,"Em ajustes"),1,0),0))</f>
        <v/>
      </c>
      <c r="N1617" s="17" t="str">
        <f aca="false">IF(A1617="","",IF(ISNUMBER(A1617),A1617,IFERROR(DATE(VALUE(MID(A1617,7,4)),VALUE(MID(A1617,4,2)),VALUE(MID(A1617,1,2)))+TIME(VALUE(MID(A1617,12,2)),VALUE(MID(A1617,15,2)),VALUE(MID(A1617,18,2))),"")))</f>
        <v/>
      </c>
    </row>
    <row r="1618" customFormat="false" ht="15" hidden="false" customHeight="false" outlineLevel="0" collapsed="false">
      <c r="I1618" s="15" t="str">
        <f aca="false">IF(N1618="","",INT(N1618))</f>
        <v/>
      </c>
      <c r="J1618" s="16" t="str">
        <f aca="false">IF(B1618="","",IF(N1618=_xlfn.MINIFS($N$2:$N$5001,$B$2:$B$5001,B1618),1,0))</f>
        <v/>
      </c>
      <c r="K1618" s="16" t="str">
        <f aca="false">IF(B1618="","",IF(AND(D1618="Formalização",E1618="Concluído"),IF(COUNTIFS($B$2:$B$5001,B1618,$E$2:$E$5001,"Em ajustes",$N$2:$N$5001,"&lt;"&amp;I1618)&gt;0,1,0),0))</f>
        <v/>
      </c>
      <c r="L1618" s="16" t="str">
        <f aca="false">IF(B1618="","",IF(N1618=_xlfn.MAXIFS($N$2:$N$5001,$B$2:$B$5001,B1618,$I$2:$I$5001,I1618),1,0))</f>
        <v/>
      </c>
      <c r="M1618" s="16" t="str">
        <f aca="false">IF(B1618="","",IF(E1618="Em ajustes",IF(N1618=_xlfn.MINIFS($N$2:$N$5001,$B$2:$B$5001,B1618,$E$2:$E$5001,"Em ajustes"),1,0),0))</f>
        <v/>
      </c>
      <c r="N1618" s="17" t="str">
        <f aca="false">IF(A1618="","",IF(ISNUMBER(A1618),A1618,IFERROR(DATE(VALUE(MID(A1618,7,4)),VALUE(MID(A1618,4,2)),VALUE(MID(A1618,1,2)))+TIME(VALUE(MID(A1618,12,2)),VALUE(MID(A1618,15,2)),VALUE(MID(A1618,18,2))),"")))</f>
        <v/>
      </c>
    </row>
    <row r="1619" customFormat="false" ht="15" hidden="false" customHeight="false" outlineLevel="0" collapsed="false">
      <c r="I1619" s="15" t="str">
        <f aca="false">IF(N1619="","",INT(N1619))</f>
        <v/>
      </c>
      <c r="J1619" s="16" t="str">
        <f aca="false">IF(B1619="","",IF(N1619=_xlfn.MINIFS($N$2:$N$5001,$B$2:$B$5001,B1619),1,0))</f>
        <v/>
      </c>
      <c r="K1619" s="16" t="str">
        <f aca="false">IF(B1619="","",IF(AND(D1619="Formalização",E1619="Concluído"),IF(COUNTIFS($B$2:$B$5001,B1619,$E$2:$E$5001,"Em ajustes",$N$2:$N$5001,"&lt;"&amp;I1619)&gt;0,1,0),0))</f>
        <v/>
      </c>
      <c r="L1619" s="16" t="str">
        <f aca="false">IF(B1619="","",IF(N1619=_xlfn.MAXIFS($N$2:$N$5001,$B$2:$B$5001,B1619,$I$2:$I$5001,I1619),1,0))</f>
        <v/>
      </c>
      <c r="M1619" s="16" t="str">
        <f aca="false">IF(B1619="","",IF(E1619="Em ajustes",IF(N1619=_xlfn.MINIFS($N$2:$N$5001,$B$2:$B$5001,B1619,$E$2:$E$5001,"Em ajustes"),1,0),0))</f>
        <v/>
      </c>
      <c r="N1619" s="17" t="str">
        <f aca="false">IF(A1619="","",IF(ISNUMBER(A1619),A1619,IFERROR(DATE(VALUE(MID(A1619,7,4)),VALUE(MID(A1619,4,2)),VALUE(MID(A1619,1,2)))+TIME(VALUE(MID(A1619,12,2)),VALUE(MID(A1619,15,2)),VALUE(MID(A1619,18,2))),"")))</f>
        <v/>
      </c>
    </row>
    <row r="1620" customFormat="false" ht="15" hidden="false" customHeight="false" outlineLevel="0" collapsed="false">
      <c r="I1620" s="15" t="str">
        <f aca="false">IF(N1620="","",INT(N1620))</f>
        <v/>
      </c>
      <c r="J1620" s="16" t="str">
        <f aca="false">IF(B1620="","",IF(N1620=_xlfn.MINIFS($N$2:$N$5001,$B$2:$B$5001,B1620),1,0))</f>
        <v/>
      </c>
      <c r="K1620" s="16" t="str">
        <f aca="false">IF(B1620="","",IF(AND(D1620="Formalização",E1620="Concluído"),IF(COUNTIFS($B$2:$B$5001,B1620,$E$2:$E$5001,"Em ajustes",$N$2:$N$5001,"&lt;"&amp;I1620)&gt;0,1,0),0))</f>
        <v/>
      </c>
      <c r="L1620" s="16" t="str">
        <f aca="false">IF(B1620="","",IF(N1620=_xlfn.MAXIFS($N$2:$N$5001,$B$2:$B$5001,B1620,$I$2:$I$5001,I1620),1,0))</f>
        <v/>
      </c>
      <c r="M1620" s="16" t="str">
        <f aca="false">IF(B1620="","",IF(E1620="Em ajustes",IF(N1620=_xlfn.MINIFS($N$2:$N$5001,$B$2:$B$5001,B1620,$E$2:$E$5001,"Em ajustes"),1,0),0))</f>
        <v/>
      </c>
      <c r="N1620" s="17" t="str">
        <f aca="false">IF(A1620="","",IF(ISNUMBER(A1620),A1620,IFERROR(DATE(VALUE(MID(A1620,7,4)),VALUE(MID(A1620,4,2)),VALUE(MID(A1620,1,2)))+TIME(VALUE(MID(A1620,12,2)),VALUE(MID(A1620,15,2)),VALUE(MID(A1620,18,2))),"")))</f>
        <v/>
      </c>
    </row>
    <row r="1621" customFormat="false" ht="15" hidden="false" customHeight="false" outlineLevel="0" collapsed="false">
      <c r="I1621" s="15" t="str">
        <f aca="false">IF(N1621="","",INT(N1621))</f>
        <v/>
      </c>
      <c r="J1621" s="16" t="str">
        <f aca="false">IF(B1621="","",IF(N1621=_xlfn.MINIFS($N$2:$N$5001,$B$2:$B$5001,B1621),1,0))</f>
        <v/>
      </c>
      <c r="K1621" s="16" t="str">
        <f aca="false">IF(B1621="","",IF(AND(D1621="Formalização",E1621="Concluído"),IF(COUNTIFS($B$2:$B$5001,B1621,$E$2:$E$5001,"Em ajustes",$N$2:$N$5001,"&lt;"&amp;I1621)&gt;0,1,0),0))</f>
        <v/>
      </c>
      <c r="L1621" s="16" t="str">
        <f aca="false">IF(B1621="","",IF(N1621=_xlfn.MAXIFS($N$2:$N$5001,$B$2:$B$5001,B1621,$I$2:$I$5001,I1621),1,0))</f>
        <v/>
      </c>
      <c r="M1621" s="16" t="str">
        <f aca="false">IF(B1621="","",IF(E1621="Em ajustes",IF(N1621=_xlfn.MINIFS($N$2:$N$5001,$B$2:$B$5001,B1621,$E$2:$E$5001,"Em ajustes"),1,0),0))</f>
        <v/>
      </c>
      <c r="N1621" s="17" t="str">
        <f aca="false">IF(A1621="","",IF(ISNUMBER(A1621),A1621,IFERROR(DATE(VALUE(MID(A1621,7,4)),VALUE(MID(A1621,4,2)),VALUE(MID(A1621,1,2)))+TIME(VALUE(MID(A1621,12,2)),VALUE(MID(A1621,15,2)),VALUE(MID(A1621,18,2))),"")))</f>
        <v/>
      </c>
    </row>
    <row r="1622" customFormat="false" ht="15" hidden="false" customHeight="false" outlineLevel="0" collapsed="false">
      <c r="I1622" s="15" t="str">
        <f aca="false">IF(N1622="","",INT(N1622))</f>
        <v/>
      </c>
      <c r="J1622" s="16" t="str">
        <f aca="false">IF(B1622="","",IF(N1622=_xlfn.MINIFS($N$2:$N$5001,$B$2:$B$5001,B1622),1,0))</f>
        <v/>
      </c>
      <c r="K1622" s="16" t="str">
        <f aca="false">IF(B1622="","",IF(AND(D1622="Formalização",E1622="Concluído"),IF(COUNTIFS($B$2:$B$5001,B1622,$E$2:$E$5001,"Em ajustes",$N$2:$N$5001,"&lt;"&amp;I1622)&gt;0,1,0),0))</f>
        <v/>
      </c>
      <c r="L1622" s="16" t="str">
        <f aca="false">IF(B1622="","",IF(N1622=_xlfn.MAXIFS($N$2:$N$5001,$B$2:$B$5001,B1622,$I$2:$I$5001,I1622),1,0))</f>
        <v/>
      </c>
      <c r="M1622" s="16" t="str">
        <f aca="false">IF(B1622="","",IF(E1622="Em ajustes",IF(N1622=_xlfn.MINIFS($N$2:$N$5001,$B$2:$B$5001,B1622,$E$2:$E$5001,"Em ajustes"),1,0),0))</f>
        <v/>
      </c>
      <c r="N1622" s="17" t="str">
        <f aca="false">IF(A1622="","",IF(ISNUMBER(A1622),A1622,IFERROR(DATE(VALUE(MID(A1622,7,4)),VALUE(MID(A1622,4,2)),VALUE(MID(A1622,1,2)))+TIME(VALUE(MID(A1622,12,2)),VALUE(MID(A1622,15,2)),VALUE(MID(A1622,18,2))),"")))</f>
        <v/>
      </c>
    </row>
    <row r="1623" customFormat="false" ht="15" hidden="false" customHeight="false" outlineLevel="0" collapsed="false">
      <c r="I1623" s="15" t="str">
        <f aca="false">IF(N1623="","",INT(N1623))</f>
        <v/>
      </c>
      <c r="J1623" s="16" t="str">
        <f aca="false">IF(B1623="","",IF(N1623=_xlfn.MINIFS($N$2:$N$5001,$B$2:$B$5001,B1623),1,0))</f>
        <v/>
      </c>
      <c r="K1623" s="16" t="str">
        <f aca="false">IF(B1623="","",IF(AND(D1623="Formalização",E1623="Concluído"),IF(COUNTIFS($B$2:$B$5001,B1623,$E$2:$E$5001,"Em ajustes",$N$2:$N$5001,"&lt;"&amp;I1623)&gt;0,1,0),0))</f>
        <v/>
      </c>
      <c r="L1623" s="16" t="str">
        <f aca="false">IF(B1623="","",IF(N1623=_xlfn.MAXIFS($N$2:$N$5001,$B$2:$B$5001,B1623,$I$2:$I$5001,I1623),1,0))</f>
        <v/>
      </c>
      <c r="M1623" s="16" t="str">
        <f aca="false">IF(B1623="","",IF(E1623="Em ajustes",IF(N1623=_xlfn.MINIFS($N$2:$N$5001,$B$2:$B$5001,B1623,$E$2:$E$5001,"Em ajustes"),1,0),0))</f>
        <v/>
      </c>
      <c r="N1623" s="17" t="str">
        <f aca="false">IF(A1623="","",IF(ISNUMBER(A1623),A1623,IFERROR(DATE(VALUE(MID(A1623,7,4)),VALUE(MID(A1623,4,2)),VALUE(MID(A1623,1,2)))+TIME(VALUE(MID(A1623,12,2)),VALUE(MID(A1623,15,2)),VALUE(MID(A1623,18,2))),"")))</f>
        <v/>
      </c>
    </row>
    <row r="1624" customFormat="false" ht="15" hidden="false" customHeight="false" outlineLevel="0" collapsed="false">
      <c r="I1624" s="15" t="str">
        <f aca="false">IF(N1624="","",INT(N1624))</f>
        <v/>
      </c>
      <c r="J1624" s="16" t="str">
        <f aca="false">IF(B1624="","",IF(N1624=_xlfn.MINIFS($N$2:$N$5001,$B$2:$B$5001,B1624),1,0))</f>
        <v/>
      </c>
      <c r="K1624" s="16" t="str">
        <f aca="false">IF(B1624="","",IF(AND(D1624="Formalização",E1624="Concluído"),IF(COUNTIFS($B$2:$B$5001,B1624,$E$2:$E$5001,"Em ajustes",$N$2:$N$5001,"&lt;"&amp;I1624)&gt;0,1,0),0))</f>
        <v/>
      </c>
      <c r="L1624" s="16" t="str">
        <f aca="false">IF(B1624="","",IF(N1624=_xlfn.MAXIFS($N$2:$N$5001,$B$2:$B$5001,B1624,$I$2:$I$5001,I1624),1,0))</f>
        <v/>
      </c>
      <c r="M1624" s="16" t="str">
        <f aca="false">IF(B1624="","",IF(E1624="Em ajustes",IF(N1624=_xlfn.MINIFS($N$2:$N$5001,$B$2:$B$5001,B1624,$E$2:$E$5001,"Em ajustes"),1,0),0))</f>
        <v/>
      </c>
      <c r="N1624" s="17" t="str">
        <f aca="false">IF(A1624="","",IF(ISNUMBER(A1624),A1624,IFERROR(DATE(VALUE(MID(A1624,7,4)),VALUE(MID(A1624,4,2)),VALUE(MID(A1624,1,2)))+TIME(VALUE(MID(A1624,12,2)),VALUE(MID(A1624,15,2)),VALUE(MID(A1624,18,2))),"")))</f>
        <v/>
      </c>
    </row>
    <row r="1625" customFormat="false" ht="15" hidden="false" customHeight="false" outlineLevel="0" collapsed="false">
      <c r="I1625" s="15" t="str">
        <f aca="false">IF(N1625="","",INT(N1625))</f>
        <v/>
      </c>
      <c r="J1625" s="16" t="str">
        <f aca="false">IF(B1625="","",IF(N1625=_xlfn.MINIFS($N$2:$N$5001,$B$2:$B$5001,B1625),1,0))</f>
        <v/>
      </c>
      <c r="K1625" s="16" t="str">
        <f aca="false">IF(B1625="","",IF(AND(D1625="Formalização",E1625="Concluído"),IF(COUNTIFS($B$2:$B$5001,B1625,$E$2:$E$5001,"Em ajustes",$N$2:$N$5001,"&lt;"&amp;I1625)&gt;0,1,0),0))</f>
        <v/>
      </c>
      <c r="L1625" s="16" t="str">
        <f aca="false">IF(B1625="","",IF(N1625=_xlfn.MAXIFS($N$2:$N$5001,$B$2:$B$5001,B1625,$I$2:$I$5001,I1625),1,0))</f>
        <v/>
      </c>
      <c r="M1625" s="16" t="str">
        <f aca="false">IF(B1625="","",IF(E1625="Em ajustes",IF(N1625=_xlfn.MINIFS($N$2:$N$5001,$B$2:$B$5001,B1625,$E$2:$E$5001,"Em ajustes"),1,0),0))</f>
        <v/>
      </c>
      <c r="N1625" s="17" t="str">
        <f aca="false">IF(A1625="","",IF(ISNUMBER(A1625),A1625,IFERROR(DATE(VALUE(MID(A1625,7,4)),VALUE(MID(A1625,4,2)),VALUE(MID(A1625,1,2)))+TIME(VALUE(MID(A1625,12,2)),VALUE(MID(A1625,15,2)),VALUE(MID(A1625,18,2))),"")))</f>
        <v/>
      </c>
    </row>
    <row r="1626" customFormat="false" ht="15" hidden="false" customHeight="false" outlineLevel="0" collapsed="false">
      <c r="I1626" s="15" t="str">
        <f aca="false">IF(N1626="","",INT(N1626))</f>
        <v/>
      </c>
      <c r="J1626" s="16" t="str">
        <f aca="false">IF(B1626="","",IF(N1626=_xlfn.MINIFS($N$2:$N$5001,$B$2:$B$5001,B1626),1,0))</f>
        <v/>
      </c>
      <c r="K1626" s="16" t="str">
        <f aca="false">IF(B1626="","",IF(AND(D1626="Formalização",E1626="Concluído"),IF(COUNTIFS($B$2:$B$5001,B1626,$E$2:$E$5001,"Em ajustes",$N$2:$N$5001,"&lt;"&amp;I1626)&gt;0,1,0),0))</f>
        <v/>
      </c>
      <c r="L1626" s="16" t="str">
        <f aca="false">IF(B1626="","",IF(N1626=_xlfn.MAXIFS($N$2:$N$5001,$B$2:$B$5001,B1626,$I$2:$I$5001,I1626),1,0))</f>
        <v/>
      </c>
      <c r="M1626" s="16" t="str">
        <f aca="false">IF(B1626="","",IF(E1626="Em ajustes",IF(N1626=_xlfn.MINIFS($N$2:$N$5001,$B$2:$B$5001,B1626,$E$2:$E$5001,"Em ajustes"),1,0),0))</f>
        <v/>
      </c>
      <c r="N1626" s="17" t="str">
        <f aca="false">IF(A1626="","",IF(ISNUMBER(A1626),A1626,IFERROR(DATE(VALUE(MID(A1626,7,4)),VALUE(MID(A1626,4,2)),VALUE(MID(A1626,1,2)))+TIME(VALUE(MID(A1626,12,2)),VALUE(MID(A1626,15,2)),VALUE(MID(A1626,18,2))),"")))</f>
        <v/>
      </c>
    </row>
    <row r="1627" customFormat="false" ht="15" hidden="false" customHeight="false" outlineLevel="0" collapsed="false">
      <c r="I1627" s="15" t="str">
        <f aca="false">IF(N1627="","",INT(N1627))</f>
        <v/>
      </c>
      <c r="J1627" s="16" t="str">
        <f aca="false">IF(B1627="","",IF(N1627=_xlfn.MINIFS($N$2:$N$5001,$B$2:$B$5001,B1627),1,0))</f>
        <v/>
      </c>
      <c r="K1627" s="16" t="str">
        <f aca="false">IF(B1627="","",IF(AND(D1627="Formalização",E1627="Concluído"),IF(COUNTIFS($B$2:$B$5001,B1627,$E$2:$E$5001,"Em ajustes",$N$2:$N$5001,"&lt;"&amp;I1627)&gt;0,1,0),0))</f>
        <v/>
      </c>
      <c r="L1627" s="16" t="str">
        <f aca="false">IF(B1627="","",IF(N1627=_xlfn.MAXIFS($N$2:$N$5001,$B$2:$B$5001,B1627,$I$2:$I$5001,I1627),1,0))</f>
        <v/>
      </c>
      <c r="M1627" s="16" t="str">
        <f aca="false">IF(B1627="","",IF(E1627="Em ajustes",IF(N1627=_xlfn.MINIFS($N$2:$N$5001,$B$2:$B$5001,B1627,$E$2:$E$5001,"Em ajustes"),1,0),0))</f>
        <v/>
      </c>
      <c r="N1627" s="17" t="str">
        <f aca="false">IF(A1627="","",IF(ISNUMBER(A1627),A1627,IFERROR(DATE(VALUE(MID(A1627,7,4)),VALUE(MID(A1627,4,2)),VALUE(MID(A1627,1,2)))+TIME(VALUE(MID(A1627,12,2)),VALUE(MID(A1627,15,2)),VALUE(MID(A1627,18,2))),"")))</f>
        <v/>
      </c>
    </row>
    <row r="1628" customFormat="false" ht="15" hidden="false" customHeight="false" outlineLevel="0" collapsed="false">
      <c r="I1628" s="15" t="str">
        <f aca="false">IF(N1628="","",INT(N1628))</f>
        <v/>
      </c>
      <c r="J1628" s="16" t="str">
        <f aca="false">IF(B1628="","",IF(N1628=_xlfn.MINIFS($N$2:$N$5001,$B$2:$B$5001,B1628),1,0))</f>
        <v/>
      </c>
      <c r="K1628" s="16" t="str">
        <f aca="false">IF(B1628="","",IF(AND(D1628="Formalização",E1628="Concluído"),IF(COUNTIFS($B$2:$B$5001,B1628,$E$2:$E$5001,"Em ajustes",$N$2:$N$5001,"&lt;"&amp;I1628)&gt;0,1,0),0))</f>
        <v/>
      </c>
      <c r="L1628" s="16" t="str">
        <f aca="false">IF(B1628="","",IF(N1628=_xlfn.MAXIFS($N$2:$N$5001,$B$2:$B$5001,B1628,$I$2:$I$5001,I1628),1,0))</f>
        <v/>
      </c>
      <c r="M1628" s="16" t="str">
        <f aca="false">IF(B1628="","",IF(E1628="Em ajustes",IF(N1628=_xlfn.MINIFS($N$2:$N$5001,$B$2:$B$5001,B1628,$E$2:$E$5001,"Em ajustes"),1,0),0))</f>
        <v/>
      </c>
      <c r="N1628" s="17" t="str">
        <f aca="false">IF(A1628="","",IF(ISNUMBER(A1628),A1628,IFERROR(DATE(VALUE(MID(A1628,7,4)),VALUE(MID(A1628,4,2)),VALUE(MID(A1628,1,2)))+TIME(VALUE(MID(A1628,12,2)),VALUE(MID(A1628,15,2)),VALUE(MID(A1628,18,2))),"")))</f>
        <v/>
      </c>
    </row>
    <row r="1629" customFormat="false" ht="15" hidden="false" customHeight="false" outlineLevel="0" collapsed="false">
      <c r="I1629" s="15" t="str">
        <f aca="false">IF(N1629="","",INT(N1629))</f>
        <v/>
      </c>
      <c r="J1629" s="16" t="str">
        <f aca="false">IF(B1629="","",IF(N1629=_xlfn.MINIFS($N$2:$N$5001,$B$2:$B$5001,B1629),1,0))</f>
        <v/>
      </c>
      <c r="K1629" s="16" t="str">
        <f aca="false">IF(B1629="","",IF(AND(D1629="Formalização",E1629="Concluído"),IF(COUNTIFS($B$2:$B$5001,B1629,$E$2:$E$5001,"Em ajustes",$N$2:$N$5001,"&lt;"&amp;I1629)&gt;0,1,0),0))</f>
        <v/>
      </c>
      <c r="L1629" s="16" t="str">
        <f aca="false">IF(B1629="","",IF(N1629=_xlfn.MAXIFS($N$2:$N$5001,$B$2:$B$5001,B1629,$I$2:$I$5001,I1629),1,0))</f>
        <v/>
      </c>
      <c r="M1629" s="16" t="str">
        <f aca="false">IF(B1629="","",IF(E1629="Em ajustes",IF(N1629=_xlfn.MINIFS($N$2:$N$5001,$B$2:$B$5001,B1629,$E$2:$E$5001,"Em ajustes"),1,0),0))</f>
        <v/>
      </c>
      <c r="N1629" s="17" t="str">
        <f aca="false">IF(A1629="","",IF(ISNUMBER(A1629),A1629,IFERROR(DATE(VALUE(MID(A1629,7,4)),VALUE(MID(A1629,4,2)),VALUE(MID(A1629,1,2)))+TIME(VALUE(MID(A1629,12,2)),VALUE(MID(A1629,15,2)),VALUE(MID(A1629,18,2))),"")))</f>
        <v/>
      </c>
    </row>
    <row r="1630" customFormat="false" ht="15" hidden="false" customHeight="false" outlineLevel="0" collapsed="false">
      <c r="I1630" s="15" t="str">
        <f aca="false">IF(N1630="","",INT(N1630))</f>
        <v/>
      </c>
      <c r="J1630" s="16" t="str">
        <f aca="false">IF(B1630="","",IF(N1630=_xlfn.MINIFS($N$2:$N$5001,$B$2:$B$5001,B1630),1,0))</f>
        <v/>
      </c>
      <c r="K1630" s="16" t="str">
        <f aca="false">IF(B1630="","",IF(AND(D1630="Formalização",E1630="Concluído"),IF(COUNTIFS($B$2:$B$5001,B1630,$E$2:$E$5001,"Em ajustes",$N$2:$N$5001,"&lt;"&amp;I1630)&gt;0,1,0),0))</f>
        <v/>
      </c>
      <c r="L1630" s="16" t="str">
        <f aca="false">IF(B1630="","",IF(N1630=_xlfn.MAXIFS($N$2:$N$5001,$B$2:$B$5001,B1630,$I$2:$I$5001,I1630),1,0))</f>
        <v/>
      </c>
      <c r="M1630" s="16" t="str">
        <f aca="false">IF(B1630="","",IF(E1630="Em ajustes",IF(N1630=_xlfn.MINIFS($N$2:$N$5001,$B$2:$B$5001,B1630,$E$2:$E$5001,"Em ajustes"),1,0),0))</f>
        <v/>
      </c>
      <c r="N1630" s="17" t="str">
        <f aca="false">IF(A1630="","",IF(ISNUMBER(A1630),A1630,IFERROR(DATE(VALUE(MID(A1630,7,4)),VALUE(MID(A1630,4,2)),VALUE(MID(A1630,1,2)))+TIME(VALUE(MID(A1630,12,2)),VALUE(MID(A1630,15,2)),VALUE(MID(A1630,18,2))),"")))</f>
        <v/>
      </c>
    </row>
    <row r="1631" customFormat="false" ht="15" hidden="false" customHeight="false" outlineLevel="0" collapsed="false">
      <c r="I1631" s="15" t="str">
        <f aca="false">IF(N1631="","",INT(N1631))</f>
        <v/>
      </c>
      <c r="J1631" s="16" t="str">
        <f aca="false">IF(B1631="","",IF(N1631=_xlfn.MINIFS($N$2:$N$5001,$B$2:$B$5001,B1631),1,0))</f>
        <v/>
      </c>
      <c r="K1631" s="16" t="str">
        <f aca="false">IF(B1631="","",IF(AND(D1631="Formalização",E1631="Concluído"),IF(COUNTIFS($B$2:$B$5001,B1631,$E$2:$E$5001,"Em ajustes",$N$2:$N$5001,"&lt;"&amp;I1631)&gt;0,1,0),0))</f>
        <v/>
      </c>
      <c r="L1631" s="16" t="str">
        <f aca="false">IF(B1631="","",IF(N1631=_xlfn.MAXIFS($N$2:$N$5001,$B$2:$B$5001,B1631,$I$2:$I$5001,I1631),1,0))</f>
        <v/>
      </c>
      <c r="M1631" s="16" t="str">
        <f aca="false">IF(B1631="","",IF(E1631="Em ajustes",IF(N1631=_xlfn.MINIFS($N$2:$N$5001,$B$2:$B$5001,B1631,$E$2:$E$5001,"Em ajustes"),1,0),0))</f>
        <v/>
      </c>
      <c r="N1631" s="17" t="str">
        <f aca="false">IF(A1631="","",IF(ISNUMBER(A1631),A1631,IFERROR(DATE(VALUE(MID(A1631,7,4)),VALUE(MID(A1631,4,2)),VALUE(MID(A1631,1,2)))+TIME(VALUE(MID(A1631,12,2)),VALUE(MID(A1631,15,2)),VALUE(MID(A1631,18,2))),"")))</f>
        <v/>
      </c>
    </row>
    <row r="1632" customFormat="false" ht="15" hidden="false" customHeight="false" outlineLevel="0" collapsed="false">
      <c r="I1632" s="15" t="str">
        <f aca="false">IF(N1632="","",INT(N1632))</f>
        <v/>
      </c>
      <c r="J1632" s="16" t="str">
        <f aca="false">IF(B1632="","",IF(N1632=_xlfn.MINIFS($N$2:$N$5001,$B$2:$B$5001,B1632),1,0))</f>
        <v/>
      </c>
      <c r="K1632" s="16" t="str">
        <f aca="false">IF(B1632="","",IF(AND(D1632="Formalização",E1632="Concluído"),IF(COUNTIFS($B$2:$B$5001,B1632,$E$2:$E$5001,"Em ajustes",$N$2:$N$5001,"&lt;"&amp;I1632)&gt;0,1,0),0))</f>
        <v/>
      </c>
      <c r="L1632" s="16" t="str">
        <f aca="false">IF(B1632="","",IF(N1632=_xlfn.MAXIFS($N$2:$N$5001,$B$2:$B$5001,B1632,$I$2:$I$5001,I1632),1,0))</f>
        <v/>
      </c>
      <c r="M1632" s="16" t="str">
        <f aca="false">IF(B1632="","",IF(E1632="Em ajustes",IF(N1632=_xlfn.MINIFS($N$2:$N$5001,$B$2:$B$5001,B1632,$E$2:$E$5001,"Em ajustes"),1,0),0))</f>
        <v/>
      </c>
      <c r="N1632" s="17" t="str">
        <f aca="false">IF(A1632="","",IF(ISNUMBER(A1632),A1632,IFERROR(DATE(VALUE(MID(A1632,7,4)),VALUE(MID(A1632,4,2)),VALUE(MID(A1632,1,2)))+TIME(VALUE(MID(A1632,12,2)),VALUE(MID(A1632,15,2)),VALUE(MID(A1632,18,2))),"")))</f>
        <v/>
      </c>
    </row>
    <row r="1633" customFormat="false" ht="15" hidden="false" customHeight="false" outlineLevel="0" collapsed="false">
      <c r="I1633" s="15" t="str">
        <f aca="false">IF(N1633="","",INT(N1633))</f>
        <v/>
      </c>
      <c r="J1633" s="16" t="str">
        <f aca="false">IF(B1633="","",IF(N1633=_xlfn.MINIFS($N$2:$N$5001,$B$2:$B$5001,B1633),1,0))</f>
        <v/>
      </c>
      <c r="K1633" s="16" t="str">
        <f aca="false">IF(B1633="","",IF(AND(D1633="Formalização",E1633="Concluído"),IF(COUNTIFS($B$2:$B$5001,B1633,$E$2:$E$5001,"Em ajustes",$N$2:$N$5001,"&lt;"&amp;I1633)&gt;0,1,0),0))</f>
        <v/>
      </c>
      <c r="L1633" s="16" t="str">
        <f aca="false">IF(B1633="","",IF(N1633=_xlfn.MAXIFS($N$2:$N$5001,$B$2:$B$5001,B1633,$I$2:$I$5001,I1633),1,0))</f>
        <v/>
      </c>
      <c r="M1633" s="16" t="str">
        <f aca="false">IF(B1633="","",IF(E1633="Em ajustes",IF(N1633=_xlfn.MINIFS($N$2:$N$5001,$B$2:$B$5001,B1633,$E$2:$E$5001,"Em ajustes"),1,0),0))</f>
        <v/>
      </c>
      <c r="N1633" s="17" t="str">
        <f aca="false">IF(A1633="","",IF(ISNUMBER(A1633),A1633,IFERROR(DATE(VALUE(MID(A1633,7,4)),VALUE(MID(A1633,4,2)),VALUE(MID(A1633,1,2)))+TIME(VALUE(MID(A1633,12,2)),VALUE(MID(A1633,15,2)),VALUE(MID(A1633,18,2))),"")))</f>
        <v/>
      </c>
    </row>
    <row r="1634" customFormat="false" ht="15" hidden="false" customHeight="false" outlineLevel="0" collapsed="false">
      <c r="I1634" s="15" t="str">
        <f aca="false">IF(N1634="","",INT(N1634))</f>
        <v/>
      </c>
      <c r="J1634" s="16" t="str">
        <f aca="false">IF(B1634="","",IF(N1634=_xlfn.MINIFS($N$2:$N$5001,$B$2:$B$5001,B1634),1,0))</f>
        <v/>
      </c>
      <c r="K1634" s="16" t="str">
        <f aca="false">IF(B1634="","",IF(AND(D1634="Formalização",E1634="Concluído"),IF(COUNTIFS($B$2:$B$5001,B1634,$E$2:$E$5001,"Em ajustes",$N$2:$N$5001,"&lt;"&amp;I1634)&gt;0,1,0),0))</f>
        <v/>
      </c>
      <c r="L1634" s="16" t="str">
        <f aca="false">IF(B1634="","",IF(N1634=_xlfn.MAXIFS($N$2:$N$5001,$B$2:$B$5001,B1634,$I$2:$I$5001,I1634),1,0))</f>
        <v/>
      </c>
      <c r="M1634" s="16" t="str">
        <f aca="false">IF(B1634="","",IF(E1634="Em ajustes",IF(N1634=_xlfn.MINIFS($N$2:$N$5001,$B$2:$B$5001,B1634,$E$2:$E$5001,"Em ajustes"),1,0),0))</f>
        <v/>
      </c>
      <c r="N1634" s="17" t="str">
        <f aca="false">IF(A1634="","",IF(ISNUMBER(A1634),A1634,IFERROR(DATE(VALUE(MID(A1634,7,4)),VALUE(MID(A1634,4,2)),VALUE(MID(A1634,1,2)))+TIME(VALUE(MID(A1634,12,2)),VALUE(MID(A1634,15,2)),VALUE(MID(A1634,18,2))),"")))</f>
        <v/>
      </c>
    </row>
    <row r="1635" customFormat="false" ht="15" hidden="false" customHeight="false" outlineLevel="0" collapsed="false">
      <c r="I1635" s="15" t="str">
        <f aca="false">IF(N1635="","",INT(N1635))</f>
        <v/>
      </c>
      <c r="J1635" s="16" t="str">
        <f aca="false">IF(B1635="","",IF(N1635=_xlfn.MINIFS($N$2:$N$5001,$B$2:$B$5001,B1635),1,0))</f>
        <v/>
      </c>
      <c r="K1635" s="16" t="str">
        <f aca="false">IF(B1635="","",IF(AND(D1635="Formalização",E1635="Concluído"),IF(COUNTIFS($B$2:$B$5001,B1635,$E$2:$E$5001,"Em ajustes",$N$2:$N$5001,"&lt;"&amp;I1635)&gt;0,1,0),0))</f>
        <v/>
      </c>
      <c r="L1635" s="16" t="str">
        <f aca="false">IF(B1635="","",IF(N1635=_xlfn.MAXIFS($N$2:$N$5001,$B$2:$B$5001,B1635,$I$2:$I$5001,I1635),1,0))</f>
        <v/>
      </c>
      <c r="M1635" s="16" t="str">
        <f aca="false">IF(B1635="","",IF(E1635="Em ajustes",IF(N1635=_xlfn.MINIFS($N$2:$N$5001,$B$2:$B$5001,B1635,$E$2:$E$5001,"Em ajustes"),1,0),0))</f>
        <v/>
      </c>
      <c r="N1635" s="17" t="str">
        <f aca="false">IF(A1635="","",IF(ISNUMBER(A1635),A1635,IFERROR(DATE(VALUE(MID(A1635,7,4)),VALUE(MID(A1635,4,2)),VALUE(MID(A1635,1,2)))+TIME(VALUE(MID(A1635,12,2)),VALUE(MID(A1635,15,2)),VALUE(MID(A1635,18,2))),"")))</f>
        <v/>
      </c>
    </row>
    <row r="1636" customFormat="false" ht="15" hidden="false" customHeight="false" outlineLevel="0" collapsed="false">
      <c r="I1636" s="15" t="str">
        <f aca="false">IF(N1636="","",INT(N1636))</f>
        <v/>
      </c>
      <c r="J1636" s="16" t="str">
        <f aca="false">IF(B1636="","",IF(N1636=_xlfn.MINIFS($N$2:$N$5001,$B$2:$B$5001,B1636),1,0))</f>
        <v/>
      </c>
      <c r="K1636" s="16" t="str">
        <f aca="false">IF(B1636="","",IF(AND(D1636="Formalização",E1636="Concluído"),IF(COUNTIFS($B$2:$B$5001,B1636,$E$2:$E$5001,"Em ajustes",$N$2:$N$5001,"&lt;"&amp;I1636)&gt;0,1,0),0))</f>
        <v/>
      </c>
      <c r="L1636" s="16" t="str">
        <f aca="false">IF(B1636="","",IF(N1636=_xlfn.MAXIFS($N$2:$N$5001,$B$2:$B$5001,B1636,$I$2:$I$5001,I1636),1,0))</f>
        <v/>
      </c>
      <c r="M1636" s="16" t="str">
        <f aca="false">IF(B1636="","",IF(E1636="Em ajustes",IF(N1636=_xlfn.MINIFS($N$2:$N$5001,$B$2:$B$5001,B1636,$E$2:$E$5001,"Em ajustes"),1,0),0))</f>
        <v/>
      </c>
      <c r="N1636" s="17" t="str">
        <f aca="false">IF(A1636="","",IF(ISNUMBER(A1636),A1636,IFERROR(DATE(VALUE(MID(A1636,7,4)),VALUE(MID(A1636,4,2)),VALUE(MID(A1636,1,2)))+TIME(VALUE(MID(A1636,12,2)),VALUE(MID(A1636,15,2)),VALUE(MID(A1636,18,2))),"")))</f>
        <v/>
      </c>
    </row>
    <row r="1637" customFormat="false" ht="15" hidden="false" customHeight="false" outlineLevel="0" collapsed="false">
      <c r="I1637" s="15" t="str">
        <f aca="false">IF(N1637="","",INT(N1637))</f>
        <v/>
      </c>
      <c r="J1637" s="16" t="str">
        <f aca="false">IF(B1637="","",IF(N1637=_xlfn.MINIFS($N$2:$N$5001,$B$2:$B$5001,B1637),1,0))</f>
        <v/>
      </c>
      <c r="K1637" s="16" t="str">
        <f aca="false">IF(B1637="","",IF(AND(D1637="Formalização",E1637="Concluído"),IF(COUNTIFS($B$2:$B$5001,B1637,$E$2:$E$5001,"Em ajustes",$N$2:$N$5001,"&lt;"&amp;I1637)&gt;0,1,0),0))</f>
        <v/>
      </c>
      <c r="L1637" s="16" t="str">
        <f aca="false">IF(B1637="","",IF(N1637=_xlfn.MAXIFS($N$2:$N$5001,$B$2:$B$5001,B1637,$I$2:$I$5001,I1637),1,0))</f>
        <v/>
      </c>
      <c r="M1637" s="16" t="str">
        <f aca="false">IF(B1637="","",IF(E1637="Em ajustes",IF(N1637=_xlfn.MINIFS($N$2:$N$5001,$B$2:$B$5001,B1637,$E$2:$E$5001,"Em ajustes"),1,0),0))</f>
        <v/>
      </c>
      <c r="N1637" s="17" t="str">
        <f aca="false">IF(A1637="","",IF(ISNUMBER(A1637),A1637,IFERROR(DATE(VALUE(MID(A1637,7,4)),VALUE(MID(A1637,4,2)),VALUE(MID(A1637,1,2)))+TIME(VALUE(MID(A1637,12,2)),VALUE(MID(A1637,15,2)),VALUE(MID(A1637,18,2))),"")))</f>
        <v/>
      </c>
    </row>
    <row r="1638" customFormat="false" ht="15" hidden="false" customHeight="false" outlineLevel="0" collapsed="false">
      <c r="I1638" s="15" t="str">
        <f aca="false">IF(N1638="","",INT(N1638))</f>
        <v/>
      </c>
      <c r="J1638" s="16" t="str">
        <f aca="false">IF(B1638="","",IF(N1638=_xlfn.MINIFS($N$2:$N$5001,$B$2:$B$5001,B1638),1,0))</f>
        <v/>
      </c>
      <c r="K1638" s="16" t="str">
        <f aca="false">IF(B1638="","",IF(AND(D1638="Formalização",E1638="Concluído"),IF(COUNTIFS($B$2:$B$5001,B1638,$E$2:$E$5001,"Em ajustes",$N$2:$N$5001,"&lt;"&amp;I1638)&gt;0,1,0),0))</f>
        <v/>
      </c>
      <c r="L1638" s="16" t="str">
        <f aca="false">IF(B1638="","",IF(N1638=_xlfn.MAXIFS($N$2:$N$5001,$B$2:$B$5001,B1638,$I$2:$I$5001,I1638),1,0))</f>
        <v/>
      </c>
      <c r="M1638" s="16" t="str">
        <f aca="false">IF(B1638="","",IF(E1638="Em ajustes",IF(N1638=_xlfn.MINIFS($N$2:$N$5001,$B$2:$B$5001,B1638,$E$2:$E$5001,"Em ajustes"),1,0),0))</f>
        <v/>
      </c>
      <c r="N1638" s="17" t="str">
        <f aca="false">IF(A1638="","",IF(ISNUMBER(A1638),A1638,IFERROR(DATE(VALUE(MID(A1638,7,4)),VALUE(MID(A1638,4,2)),VALUE(MID(A1638,1,2)))+TIME(VALUE(MID(A1638,12,2)),VALUE(MID(A1638,15,2)),VALUE(MID(A1638,18,2))),"")))</f>
        <v/>
      </c>
    </row>
    <row r="1639" customFormat="false" ht="15" hidden="false" customHeight="false" outlineLevel="0" collapsed="false">
      <c r="I1639" s="15" t="str">
        <f aca="false">IF(N1639="","",INT(N1639))</f>
        <v/>
      </c>
      <c r="J1639" s="16" t="str">
        <f aca="false">IF(B1639="","",IF(N1639=_xlfn.MINIFS($N$2:$N$5001,$B$2:$B$5001,B1639),1,0))</f>
        <v/>
      </c>
      <c r="K1639" s="16" t="str">
        <f aca="false">IF(B1639="","",IF(AND(D1639="Formalização",E1639="Concluído"),IF(COUNTIFS($B$2:$B$5001,B1639,$E$2:$E$5001,"Em ajustes",$N$2:$N$5001,"&lt;"&amp;I1639)&gt;0,1,0),0))</f>
        <v/>
      </c>
      <c r="L1639" s="16" t="str">
        <f aca="false">IF(B1639="","",IF(N1639=_xlfn.MAXIFS($N$2:$N$5001,$B$2:$B$5001,B1639,$I$2:$I$5001,I1639),1,0))</f>
        <v/>
      </c>
      <c r="M1639" s="16" t="str">
        <f aca="false">IF(B1639="","",IF(E1639="Em ajustes",IF(N1639=_xlfn.MINIFS($N$2:$N$5001,$B$2:$B$5001,B1639,$E$2:$E$5001,"Em ajustes"),1,0),0))</f>
        <v/>
      </c>
      <c r="N1639" s="17" t="str">
        <f aca="false">IF(A1639="","",IF(ISNUMBER(A1639),A1639,IFERROR(DATE(VALUE(MID(A1639,7,4)),VALUE(MID(A1639,4,2)),VALUE(MID(A1639,1,2)))+TIME(VALUE(MID(A1639,12,2)),VALUE(MID(A1639,15,2)),VALUE(MID(A1639,18,2))),"")))</f>
        <v/>
      </c>
    </row>
    <row r="1640" customFormat="false" ht="15" hidden="false" customHeight="false" outlineLevel="0" collapsed="false">
      <c r="I1640" s="15" t="str">
        <f aca="false">IF(N1640="","",INT(N1640))</f>
        <v/>
      </c>
      <c r="J1640" s="16" t="str">
        <f aca="false">IF(B1640="","",IF(N1640=_xlfn.MINIFS($N$2:$N$5001,$B$2:$B$5001,B1640),1,0))</f>
        <v/>
      </c>
      <c r="K1640" s="16" t="str">
        <f aca="false">IF(B1640="","",IF(AND(D1640="Formalização",E1640="Concluído"),IF(COUNTIFS($B$2:$B$5001,B1640,$E$2:$E$5001,"Em ajustes",$N$2:$N$5001,"&lt;"&amp;I1640)&gt;0,1,0),0))</f>
        <v/>
      </c>
      <c r="L1640" s="16" t="str">
        <f aca="false">IF(B1640="","",IF(N1640=_xlfn.MAXIFS($N$2:$N$5001,$B$2:$B$5001,B1640,$I$2:$I$5001,I1640),1,0))</f>
        <v/>
      </c>
      <c r="M1640" s="16" t="str">
        <f aca="false">IF(B1640="","",IF(E1640="Em ajustes",IF(N1640=_xlfn.MINIFS($N$2:$N$5001,$B$2:$B$5001,B1640,$E$2:$E$5001,"Em ajustes"),1,0),0))</f>
        <v/>
      </c>
      <c r="N1640" s="17" t="str">
        <f aca="false">IF(A1640="","",IF(ISNUMBER(A1640),A1640,IFERROR(DATE(VALUE(MID(A1640,7,4)),VALUE(MID(A1640,4,2)),VALUE(MID(A1640,1,2)))+TIME(VALUE(MID(A1640,12,2)),VALUE(MID(A1640,15,2)),VALUE(MID(A1640,18,2))),"")))</f>
        <v/>
      </c>
    </row>
    <row r="1641" customFormat="false" ht="15" hidden="false" customHeight="false" outlineLevel="0" collapsed="false">
      <c r="I1641" s="15" t="str">
        <f aca="false">IF(N1641="","",INT(N1641))</f>
        <v/>
      </c>
      <c r="J1641" s="16" t="str">
        <f aca="false">IF(B1641="","",IF(N1641=_xlfn.MINIFS($N$2:$N$5001,$B$2:$B$5001,B1641),1,0))</f>
        <v/>
      </c>
      <c r="K1641" s="16" t="str">
        <f aca="false">IF(B1641="","",IF(AND(D1641="Formalização",E1641="Concluído"),IF(COUNTIFS($B$2:$B$5001,B1641,$E$2:$E$5001,"Em ajustes",$N$2:$N$5001,"&lt;"&amp;I1641)&gt;0,1,0),0))</f>
        <v/>
      </c>
      <c r="L1641" s="16" t="str">
        <f aca="false">IF(B1641="","",IF(N1641=_xlfn.MAXIFS($N$2:$N$5001,$B$2:$B$5001,B1641,$I$2:$I$5001,I1641),1,0))</f>
        <v/>
      </c>
      <c r="M1641" s="16" t="str">
        <f aca="false">IF(B1641="","",IF(E1641="Em ajustes",IF(N1641=_xlfn.MINIFS($N$2:$N$5001,$B$2:$B$5001,B1641,$E$2:$E$5001,"Em ajustes"),1,0),0))</f>
        <v/>
      </c>
      <c r="N1641" s="17" t="str">
        <f aca="false">IF(A1641="","",IF(ISNUMBER(A1641),A1641,IFERROR(DATE(VALUE(MID(A1641,7,4)),VALUE(MID(A1641,4,2)),VALUE(MID(A1641,1,2)))+TIME(VALUE(MID(A1641,12,2)),VALUE(MID(A1641,15,2)),VALUE(MID(A1641,18,2))),"")))</f>
        <v/>
      </c>
    </row>
    <row r="1642" customFormat="false" ht="15" hidden="false" customHeight="false" outlineLevel="0" collapsed="false">
      <c r="I1642" s="15" t="str">
        <f aca="false">IF(N1642="","",INT(N1642))</f>
        <v/>
      </c>
      <c r="J1642" s="16" t="str">
        <f aca="false">IF(B1642="","",IF(N1642=_xlfn.MINIFS($N$2:$N$5001,$B$2:$B$5001,B1642),1,0))</f>
        <v/>
      </c>
      <c r="K1642" s="16" t="str">
        <f aca="false">IF(B1642="","",IF(AND(D1642="Formalização",E1642="Concluído"),IF(COUNTIFS($B$2:$B$5001,B1642,$E$2:$E$5001,"Em ajustes",$N$2:$N$5001,"&lt;"&amp;I1642)&gt;0,1,0),0))</f>
        <v/>
      </c>
      <c r="L1642" s="16" t="str">
        <f aca="false">IF(B1642="","",IF(N1642=_xlfn.MAXIFS($N$2:$N$5001,$B$2:$B$5001,B1642,$I$2:$I$5001,I1642),1,0))</f>
        <v/>
      </c>
      <c r="M1642" s="16" t="str">
        <f aca="false">IF(B1642="","",IF(E1642="Em ajustes",IF(N1642=_xlfn.MINIFS($N$2:$N$5001,$B$2:$B$5001,B1642,$E$2:$E$5001,"Em ajustes"),1,0),0))</f>
        <v/>
      </c>
      <c r="N1642" s="17" t="str">
        <f aca="false">IF(A1642="","",IF(ISNUMBER(A1642),A1642,IFERROR(DATE(VALUE(MID(A1642,7,4)),VALUE(MID(A1642,4,2)),VALUE(MID(A1642,1,2)))+TIME(VALUE(MID(A1642,12,2)),VALUE(MID(A1642,15,2)),VALUE(MID(A1642,18,2))),"")))</f>
        <v/>
      </c>
    </row>
    <row r="1643" customFormat="false" ht="15" hidden="false" customHeight="false" outlineLevel="0" collapsed="false">
      <c r="I1643" s="15" t="str">
        <f aca="false">IF(N1643="","",INT(N1643))</f>
        <v/>
      </c>
      <c r="J1643" s="16" t="str">
        <f aca="false">IF(B1643="","",IF(N1643=_xlfn.MINIFS($N$2:$N$5001,$B$2:$B$5001,B1643),1,0))</f>
        <v/>
      </c>
      <c r="K1643" s="16" t="str">
        <f aca="false">IF(B1643="","",IF(AND(D1643="Formalização",E1643="Concluído"),IF(COUNTIFS($B$2:$B$5001,B1643,$E$2:$E$5001,"Em ajustes",$N$2:$N$5001,"&lt;"&amp;I1643)&gt;0,1,0),0))</f>
        <v/>
      </c>
      <c r="L1643" s="16" t="str">
        <f aca="false">IF(B1643="","",IF(N1643=_xlfn.MAXIFS($N$2:$N$5001,$B$2:$B$5001,B1643,$I$2:$I$5001,I1643),1,0))</f>
        <v/>
      </c>
      <c r="M1643" s="16" t="str">
        <f aca="false">IF(B1643="","",IF(E1643="Em ajustes",IF(N1643=_xlfn.MINIFS($N$2:$N$5001,$B$2:$B$5001,B1643,$E$2:$E$5001,"Em ajustes"),1,0),0))</f>
        <v/>
      </c>
      <c r="N1643" s="17" t="str">
        <f aca="false">IF(A1643="","",IF(ISNUMBER(A1643),A1643,IFERROR(DATE(VALUE(MID(A1643,7,4)),VALUE(MID(A1643,4,2)),VALUE(MID(A1643,1,2)))+TIME(VALUE(MID(A1643,12,2)),VALUE(MID(A1643,15,2)),VALUE(MID(A1643,18,2))),"")))</f>
        <v/>
      </c>
    </row>
    <row r="1644" customFormat="false" ht="15" hidden="false" customHeight="false" outlineLevel="0" collapsed="false">
      <c r="I1644" s="15" t="str">
        <f aca="false">IF(N1644="","",INT(N1644))</f>
        <v/>
      </c>
      <c r="J1644" s="16" t="str">
        <f aca="false">IF(B1644="","",IF(N1644=_xlfn.MINIFS($N$2:$N$5001,$B$2:$B$5001,B1644),1,0))</f>
        <v/>
      </c>
      <c r="K1644" s="16" t="str">
        <f aca="false">IF(B1644="","",IF(AND(D1644="Formalização",E1644="Concluído"),IF(COUNTIFS($B$2:$B$5001,B1644,$E$2:$E$5001,"Em ajustes",$N$2:$N$5001,"&lt;"&amp;I1644)&gt;0,1,0),0))</f>
        <v/>
      </c>
      <c r="L1644" s="16" t="str">
        <f aca="false">IF(B1644="","",IF(N1644=_xlfn.MAXIFS($N$2:$N$5001,$B$2:$B$5001,B1644,$I$2:$I$5001,I1644),1,0))</f>
        <v/>
      </c>
      <c r="M1644" s="16" t="str">
        <f aca="false">IF(B1644="","",IF(E1644="Em ajustes",IF(N1644=_xlfn.MINIFS($N$2:$N$5001,$B$2:$B$5001,B1644,$E$2:$E$5001,"Em ajustes"),1,0),0))</f>
        <v/>
      </c>
      <c r="N1644" s="17" t="str">
        <f aca="false">IF(A1644="","",IF(ISNUMBER(A1644),A1644,IFERROR(DATE(VALUE(MID(A1644,7,4)),VALUE(MID(A1644,4,2)),VALUE(MID(A1644,1,2)))+TIME(VALUE(MID(A1644,12,2)),VALUE(MID(A1644,15,2)),VALUE(MID(A1644,18,2))),"")))</f>
        <v/>
      </c>
    </row>
    <row r="1645" customFormat="false" ht="15" hidden="false" customHeight="false" outlineLevel="0" collapsed="false">
      <c r="I1645" s="15" t="str">
        <f aca="false">IF(N1645="","",INT(N1645))</f>
        <v/>
      </c>
      <c r="J1645" s="16" t="str">
        <f aca="false">IF(B1645="","",IF(N1645=_xlfn.MINIFS($N$2:$N$5001,$B$2:$B$5001,B1645),1,0))</f>
        <v/>
      </c>
      <c r="K1645" s="16" t="str">
        <f aca="false">IF(B1645="","",IF(AND(D1645="Formalização",E1645="Concluído"),IF(COUNTIFS($B$2:$B$5001,B1645,$E$2:$E$5001,"Em ajustes",$N$2:$N$5001,"&lt;"&amp;I1645)&gt;0,1,0),0))</f>
        <v/>
      </c>
      <c r="L1645" s="16" t="str">
        <f aca="false">IF(B1645="","",IF(N1645=_xlfn.MAXIFS($N$2:$N$5001,$B$2:$B$5001,B1645,$I$2:$I$5001,I1645),1,0))</f>
        <v/>
      </c>
      <c r="M1645" s="16" t="str">
        <f aca="false">IF(B1645="","",IF(E1645="Em ajustes",IF(N1645=_xlfn.MINIFS($N$2:$N$5001,$B$2:$B$5001,B1645,$E$2:$E$5001,"Em ajustes"),1,0),0))</f>
        <v/>
      </c>
      <c r="N1645" s="17" t="str">
        <f aca="false">IF(A1645="","",IF(ISNUMBER(A1645),A1645,IFERROR(DATE(VALUE(MID(A1645,7,4)),VALUE(MID(A1645,4,2)),VALUE(MID(A1645,1,2)))+TIME(VALUE(MID(A1645,12,2)),VALUE(MID(A1645,15,2)),VALUE(MID(A1645,18,2))),"")))</f>
        <v/>
      </c>
    </row>
    <row r="1646" customFormat="false" ht="15" hidden="false" customHeight="false" outlineLevel="0" collapsed="false">
      <c r="I1646" s="15" t="str">
        <f aca="false">IF(N1646="","",INT(N1646))</f>
        <v/>
      </c>
      <c r="J1646" s="16" t="str">
        <f aca="false">IF(B1646="","",IF(N1646=_xlfn.MINIFS($N$2:$N$5001,$B$2:$B$5001,B1646),1,0))</f>
        <v/>
      </c>
      <c r="K1646" s="16" t="str">
        <f aca="false">IF(B1646="","",IF(AND(D1646="Formalização",E1646="Concluído"),IF(COUNTIFS($B$2:$B$5001,B1646,$E$2:$E$5001,"Em ajustes",$N$2:$N$5001,"&lt;"&amp;I1646)&gt;0,1,0),0))</f>
        <v/>
      </c>
      <c r="L1646" s="16" t="str">
        <f aca="false">IF(B1646="","",IF(N1646=_xlfn.MAXIFS($N$2:$N$5001,$B$2:$B$5001,B1646,$I$2:$I$5001,I1646),1,0))</f>
        <v/>
      </c>
      <c r="M1646" s="16" t="str">
        <f aca="false">IF(B1646="","",IF(E1646="Em ajustes",IF(N1646=_xlfn.MINIFS($N$2:$N$5001,$B$2:$B$5001,B1646,$E$2:$E$5001,"Em ajustes"),1,0),0))</f>
        <v/>
      </c>
      <c r="N1646" s="17" t="str">
        <f aca="false">IF(A1646="","",IF(ISNUMBER(A1646),A1646,IFERROR(DATE(VALUE(MID(A1646,7,4)),VALUE(MID(A1646,4,2)),VALUE(MID(A1646,1,2)))+TIME(VALUE(MID(A1646,12,2)),VALUE(MID(A1646,15,2)),VALUE(MID(A1646,18,2))),"")))</f>
        <v/>
      </c>
    </row>
    <row r="1647" customFormat="false" ht="15" hidden="false" customHeight="false" outlineLevel="0" collapsed="false">
      <c r="I1647" s="15" t="str">
        <f aca="false">IF(N1647="","",INT(N1647))</f>
        <v/>
      </c>
      <c r="J1647" s="16" t="str">
        <f aca="false">IF(B1647="","",IF(N1647=_xlfn.MINIFS($N$2:$N$5001,$B$2:$B$5001,B1647),1,0))</f>
        <v/>
      </c>
      <c r="K1647" s="16" t="str">
        <f aca="false">IF(B1647="","",IF(AND(D1647="Formalização",E1647="Concluído"),IF(COUNTIFS($B$2:$B$5001,B1647,$E$2:$E$5001,"Em ajustes",$N$2:$N$5001,"&lt;"&amp;I1647)&gt;0,1,0),0))</f>
        <v/>
      </c>
      <c r="L1647" s="16" t="str">
        <f aca="false">IF(B1647="","",IF(N1647=_xlfn.MAXIFS($N$2:$N$5001,$B$2:$B$5001,B1647,$I$2:$I$5001,I1647),1,0))</f>
        <v/>
      </c>
      <c r="M1647" s="16" t="str">
        <f aca="false">IF(B1647="","",IF(E1647="Em ajustes",IF(N1647=_xlfn.MINIFS($N$2:$N$5001,$B$2:$B$5001,B1647,$E$2:$E$5001,"Em ajustes"),1,0),0))</f>
        <v/>
      </c>
      <c r="N1647" s="17" t="str">
        <f aca="false">IF(A1647="","",IF(ISNUMBER(A1647),A1647,IFERROR(DATE(VALUE(MID(A1647,7,4)),VALUE(MID(A1647,4,2)),VALUE(MID(A1647,1,2)))+TIME(VALUE(MID(A1647,12,2)),VALUE(MID(A1647,15,2)),VALUE(MID(A1647,18,2))),"")))</f>
        <v/>
      </c>
    </row>
    <row r="1648" customFormat="false" ht="15" hidden="false" customHeight="false" outlineLevel="0" collapsed="false">
      <c r="I1648" s="15" t="str">
        <f aca="false">IF(N1648="","",INT(N1648))</f>
        <v/>
      </c>
      <c r="J1648" s="16" t="str">
        <f aca="false">IF(B1648="","",IF(N1648=_xlfn.MINIFS($N$2:$N$5001,$B$2:$B$5001,B1648),1,0))</f>
        <v/>
      </c>
      <c r="K1648" s="16" t="str">
        <f aca="false">IF(B1648="","",IF(AND(D1648="Formalização",E1648="Concluído"),IF(COUNTIFS($B$2:$B$5001,B1648,$E$2:$E$5001,"Em ajustes",$N$2:$N$5001,"&lt;"&amp;I1648)&gt;0,1,0),0))</f>
        <v/>
      </c>
      <c r="L1648" s="16" t="str">
        <f aca="false">IF(B1648="","",IF(N1648=_xlfn.MAXIFS($N$2:$N$5001,$B$2:$B$5001,B1648,$I$2:$I$5001,I1648),1,0))</f>
        <v/>
      </c>
      <c r="M1648" s="16" t="str">
        <f aca="false">IF(B1648="","",IF(E1648="Em ajustes",IF(N1648=_xlfn.MINIFS($N$2:$N$5001,$B$2:$B$5001,B1648,$E$2:$E$5001,"Em ajustes"),1,0),0))</f>
        <v/>
      </c>
      <c r="N1648" s="17" t="str">
        <f aca="false">IF(A1648="","",IF(ISNUMBER(A1648),A1648,IFERROR(DATE(VALUE(MID(A1648,7,4)),VALUE(MID(A1648,4,2)),VALUE(MID(A1648,1,2)))+TIME(VALUE(MID(A1648,12,2)),VALUE(MID(A1648,15,2)),VALUE(MID(A1648,18,2))),"")))</f>
        <v/>
      </c>
    </row>
    <row r="1649" customFormat="false" ht="15" hidden="false" customHeight="false" outlineLevel="0" collapsed="false">
      <c r="I1649" s="15" t="str">
        <f aca="false">IF(N1649="","",INT(N1649))</f>
        <v/>
      </c>
      <c r="J1649" s="16" t="str">
        <f aca="false">IF(B1649="","",IF(N1649=_xlfn.MINIFS($N$2:$N$5001,$B$2:$B$5001,B1649),1,0))</f>
        <v/>
      </c>
      <c r="K1649" s="16" t="str">
        <f aca="false">IF(B1649="","",IF(AND(D1649="Formalização",E1649="Concluído"),IF(COUNTIFS($B$2:$B$5001,B1649,$E$2:$E$5001,"Em ajustes",$N$2:$N$5001,"&lt;"&amp;I1649)&gt;0,1,0),0))</f>
        <v/>
      </c>
      <c r="L1649" s="16" t="str">
        <f aca="false">IF(B1649="","",IF(N1649=_xlfn.MAXIFS($N$2:$N$5001,$B$2:$B$5001,B1649,$I$2:$I$5001,I1649),1,0))</f>
        <v/>
      </c>
      <c r="M1649" s="16" t="str">
        <f aca="false">IF(B1649="","",IF(E1649="Em ajustes",IF(N1649=_xlfn.MINIFS($N$2:$N$5001,$B$2:$B$5001,B1649,$E$2:$E$5001,"Em ajustes"),1,0),0))</f>
        <v/>
      </c>
      <c r="N1649" s="17" t="str">
        <f aca="false">IF(A1649="","",IF(ISNUMBER(A1649),A1649,IFERROR(DATE(VALUE(MID(A1649,7,4)),VALUE(MID(A1649,4,2)),VALUE(MID(A1649,1,2)))+TIME(VALUE(MID(A1649,12,2)),VALUE(MID(A1649,15,2)),VALUE(MID(A1649,18,2))),"")))</f>
        <v/>
      </c>
    </row>
    <row r="1650" customFormat="false" ht="15" hidden="false" customHeight="false" outlineLevel="0" collapsed="false">
      <c r="I1650" s="15" t="str">
        <f aca="false">IF(N1650="","",INT(N1650))</f>
        <v/>
      </c>
      <c r="J1650" s="16" t="str">
        <f aca="false">IF(B1650="","",IF(N1650=_xlfn.MINIFS($N$2:$N$5001,$B$2:$B$5001,B1650),1,0))</f>
        <v/>
      </c>
      <c r="K1650" s="16" t="str">
        <f aca="false">IF(B1650="","",IF(AND(D1650="Formalização",E1650="Concluído"),IF(COUNTIFS($B$2:$B$5001,B1650,$E$2:$E$5001,"Em ajustes",$N$2:$N$5001,"&lt;"&amp;I1650)&gt;0,1,0),0))</f>
        <v/>
      </c>
      <c r="L1650" s="16" t="str">
        <f aca="false">IF(B1650="","",IF(N1650=_xlfn.MAXIFS($N$2:$N$5001,$B$2:$B$5001,B1650,$I$2:$I$5001,I1650),1,0))</f>
        <v/>
      </c>
      <c r="M1650" s="16" t="str">
        <f aca="false">IF(B1650="","",IF(E1650="Em ajustes",IF(N1650=_xlfn.MINIFS($N$2:$N$5001,$B$2:$B$5001,B1650,$E$2:$E$5001,"Em ajustes"),1,0),0))</f>
        <v/>
      </c>
      <c r="N1650" s="17" t="str">
        <f aca="false">IF(A1650="","",IF(ISNUMBER(A1650),A1650,IFERROR(DATE(VALUE(MID(A1650,7,4)),VALUE(MID(A1650,4,2)),VALUE(MID(A1650,1,2)))+TIME(VALUE(MID(A1650,12,2)),VALUE(MID(A1650,15,2)),VALUE(MID(A1650,18,2))),"")))</f>
        <v/>
      </c>
    </row>
    <row r="1651" customFormat="false" ht="15" hidden="false" customHeight="false" outlineLevel="0" collapsed="false">
      <c r="I1651" s="15" t="str">
        <f aca="false">IF(N1651="","",INT(N1651))</f>
        <v/>
      </c>
      <c r="J1651" s="16" t="str">
        <f aca="false">IF(B1651="","",IF(N1651=_xlfn.MINIFS($N$2:$N$5001,$B$2:$B$5001,B1651),1,0))</f>
        <v/>
      </c>
      <c r="K1651" s="16" t="str">
        <f aca="false">IF(B1651="","",IF(AND(D1651="Formalização",E1651="Concluído"),IF(COUNTIFS($B$2:$B$5001,B1651,$E$2:$E$5001,"Em ajustes",$N$2:$N$5001,"&lt;"&amp;I1651)&gt;0,1,0),0))</f>
        <v/>
      </c>
      <c r="L1651" s="16" t="str">
        <f aca="false">IF(B1651="","",IF(N1651=_xlfn.MAXIFS($N$2:$N$5001,$B$2:$B$5001,B1651,$I$2:$I$5001,I1651),1,0))</f>
        <v/>
      </c>
      <c r="M1651" s="16" t="str">
        <f aca="false">IF(B1651="","",IF(E1651="Em ajustes",IF(N1651=_xlfn.MINIFS($N$2:$N$5001,$B$2:$B$5001,B1651,$E$2:$E$5001,"Em ajustes"),1,0),0))</f>
        <v/>
      </c>
      <c r="N1651" s="17" t="str">
        <f aca="false">IF(A1651="","",IF(ISNUMBER(A1651),A1651,IFERROR(DATE(VALUE(MID(A1651,7,4)),VALUE(MID(A1651,4,2)),VALUE(MID(A1651,1,2)))+TIME(VALUE(MID(A1651,12,2)),VALUE(MID(A1651,15,2)),VALUE(MID(A1651,18,2))),"")))</f>
        <v/>
      </c>
    </row>
    <row r="1652" customFormat="false" ht="15" hidden="false" customHeight="false" outlineLevel="0" collapsed="false">
      <c r="I1652" s="15" t="str">
        <f aca="false">IF(N1652="","",INT(N1652))</f>
        <v/>
      </c>
      <c r="J1652" s="16" t="str">
        <f aca="false">IF(B1652="","",IF(N1652=_xlfn.MINIFS($N$2:$N$5001,$B$2:$B$5001,B1652),1,0))</f>
        <v/>
      </c>
      <c r="K1652" s="16" t="str">
        <f aca="false">IF(B1652="","",IF(AND(D1652="Formalização",E1652="Concluído"),IF(COUNTIFS($B$2:$B$5001,B1652,$E$2:$E$5001,"Em ajustes",$N$2:$N$5001,"&lt;"&amp;I1652)&gt;0,1,0),0))</f>
        <v/>
      </c>
      <c r="L1652" s="16" t="str">
        <f aca="false">IF(B1652="","",IF(N1652=_xlfn.MAXIFS($N$2:$N$5001,$B$2:$B$5001,B1652,$I$2:$I$5001,I1652),1,0))</f>
        <v/>
      </c>
      <c r="M1652" s="16" t="str">
        <f aca="false">IF(B1652="","",IF(E1652="Em ajustes",IF(N1652=_xlfn.MINIFS($N$2:$N$5001,$B$2:$B$5001,B1652,$E$2:$E$5001,"Em ajustes"),1,0),0))</f>
        <v/>
      </c>
      <c r="N1652" s="17" t="str">
        <f aca="false">IF(A1652="","",IF(ISNUMBER(A1652),A1652,IFERROR(DATE(VALUE(MID(A1652,7,4)),VALUE(MID(A1652,4,2)),VALUE(MID(A1652,1,2)))+TIME(VALUE(MID(A1652,12,2)),VALUE(MID(A1652,15,2)),VALUE(MID(A1652,18,2))),"")))</f>
        <v/>
      </c>
    </row>
    <row r="1653" customFormat="false" ht="15" hidden="false" customHeight="false" outlineLevel="0" collapsed="false">
      <c r="I1653" s="15" t="str">
        <f aca="false">IF(N1653="","",INT(N1653))</f>
        <v/>
      </c>
      <c r="J1653" s="16" t="str">
        <f aca="false">IF(B1653="","",IF(N1653=_xlfn.MINIFS($N$2:$N$5001,$B$2:$B$5001,B1653),1,0))</f>
        <v/>
      </c>
      <c r="K1653" s="16" t="str">
        <f aca="false">IF(B1653="","",IF(AND(D1653="Formalização",E1653="Concluído"),IF(COUNTIFS($B$2:$B$5001,B1653,$E$2:$E$5001,"Em ajustes",$N$2:$N$5001,"&lt;"&amp;I1653)&gt;0,1,0),0))</f>
        <v/>
      </c>
      <c r="L1653" s="16" t="str">
        <f aca="false">IF(B1653="","",IF(N1653=_xlfn.MAXIFS($N$2:$N$5001,$B$2:$B$5001,B1653,$I$2:$I$5001,I1653),1,0))</f>
        <v/>
      </c>
      <c r="M1653" s="16" t="str">
        <f aca="false">IF(B1653="","",IF(E1653="Em ajustes",IF(N1653=_xlfn.MINIFS($N$2:$N$5001,$B$2:$B$5001,B1653,$E$2:$E$5001,"Em ajustes"),1,0),0))</f>
        <v/>
      </c>
      <c r="N1653" s="17" t="str">
        <f aca="false">IF(A1653="","",IF(ISNUMBER(A1653),A1653,IFERROR(DATE(VALUE(MID(A1653,7,4)),VALUE(MID(A1653,4,2)),VALUE(MID(A1653,1,2)))+TIME(VALUE(MID(A1653,12,2)),VALUE(MID(A1653,15,2)),VALUE(MID(A1653,18,2))),"")))</f>
        <v/>
      </c>
    </row>
    <row r="1654" customFormat="false" ht="15" hidden="false" customHeight="false" outlineLevel="0" collapsed="false">
      <c r="I1654" s="15" t="str">
        <f aca="false">IF(N1654="","",INT(N1654))</f>
        <v/>
      </c>
      <c r="J1654" s="16" t="str">
        <f aca="false">IF(B1654="","",IF(N1654=_xlfn.MINIFS($N$2:$N$5001,$B$2:$B$5001,B1654),1,0))</f>
        <v/>
      </c>
      <c r="K1654" s="16" t="str">
        <f aca="false">IF(B1654="","",IF(AND(D1654="Formalização",E1654="Concluído"),IF(COUNTIFS($B$2:$B$5001,B1654,$E$2:$E$5001,"Em ajustes",$N$2:$N$5001,"&lt;"&amp;I1654)&gt;0,1,0),0))</f>
        <v/>
      </c>
      <c r="L1654" s="16" t="str">
        <f aca="false">IF(B1654="","",IF(N1654=_xlfn.MAXIFS($N$2:$N$5001,$B$2:$B$5001,B1654,$I$2:$I$5001,I1654),1,0))</f>
        <v/>
      </c>
      <c r="M1654" s="16" t="str">
        <f aca="false">IF(B1654="","",IF(E1654="Em ajustes",IF(N1654=_xlfn.MINIFS($N$2:$N$5001,$B$2:$B$5001,B1654,$E$2:$E$5001,"Em ajustes"),1,0),0))</f>
        <v/>
      </c>
      <c r="N1654" s="17" t="str">
        <f aca="false">IF(A1654="","",IF(ISNUMBER(A1654),A1654,IFERROR(DATE(VALUE(MID(A1654,7,4)),VALUE(MID(A1654,4,2)),VALUE(MID(A1654,1,2)))+TIME(VALUE(MID(A1654,12,2)),VALUE(MID(A1654,15,2)),VALUE(MID(A1654,18,2))),"")))</f>
        <v/>
      </c>
    </row>
    <row r="1655" customFormat="false" ht="15" hidden="false" customHeight="false" outlineLevel="0" collapsed="false">
      <c r="I1655" s="15" t="str">
        <f aca="false">IF(N1655="","",INT(N1655))</f>
        <v/>
      </c>
      <c r="J1655" s="16" t="str">
        <f aca="false">IF(B1655="","",IF(N1655=_xlfn.MINIFS($N$2:$N$5001,$B$2:$B$5001,B1655),1,0))</f>
        <v/>
      </c>
      <c r="K1655" s="16" t="str">
        <f aca="false">IF(B1655="","",IF(AND(D1655="Formalização",E1655="Concluído"),IF(COUNTIFS($B$2:$B$5001,B1655,$E$2:$E$5001,"Em ajustes",$N$2:$N$5001,"&lt;"&amp;I1655)&gt;0,1,0),0))</f>
        <v/>
      </c>
      <c r="L1655" s="16" t="str">
        <f aca="false">IF(B1655="","",IF(N1655=_xlfn.MAXIFS($N$2:$N$5001,$B$2:$B$5001,B1655,$I$2:$I$5001,I1655),1,0))</f>
        <v/>
      </c>
      <c r="M1655" s="16" t="str">
        <f aca="false">IF(B1655="","",IF(E1655="Em ajustes",IF(N1655=_xlfn.MINIFS($N$2:$N$5001,$B$2:$B$5001,B1655,$E$2:$E$5001,"Em ajustes"),1,0),0))</f>
        <v/>
      </c>
      <c r="N1655" s="17" t="str">
        <f aca="false">IF(A1655="","",IF(ISNUMBER(A1655),A1655,IFERROR(DATE(VALUE(MID(A1655,7,4)),VALUE(MID(A1655,4,2)),VALUE(MID(A1655,1,2)))+TIME(VALUE(MID(A1655,12,2)),VALUE(MID(A1655,15,2)),VALUE(MID(A1655,18,2))),"")))</f>
        <v/>
      </c>
    </row>
    <row r="1656" customFormat="false" ht="15" hidden="false" customHeight="false" outlineLevel="0" collapsed="false">
      <c r="I1656" s="15" t="str">
        <f aca="false">IF(N1656="","",INT(N1656))</f>
        <v/>
      </c>
      <c r="J1656" s="16" t="str">
        <f aca="false">IF(B1656="","",IF(N1656=_xlfn.MINIFS($N$2:$N$5001,$B$2:$B$5001,B1656),1,0))</f>
        <v/>
      </c>
      <c r="K1656" s="16" t="str">
        <f aca="false">IF(B1656="","",IF(AND(D1656="Formalização",E1656="Concluído"),IF(COUNTIFS($B$2:$B$5001,B1656,$E$2:$E$5001,"Em ajustes",$N$2:$N$5001,"&lt;"&amp;I1656)&gt;0,1,0),0))</f>
        <v/>
      </c>
      <c r="L1656" s="16" t="str">
        <f aca="false">IF(B1656="","",IF(N1656=_xlfn.MAXIFS($N$2:$N$5001,$B$2:$B$5001,B1656,$I$2:$I$5001,I1656),1,0))</f>
        <v/>
      </c>
      <c r="M1656" s="16" t="str">
        <f aca="false">IF(B1656="","",IF(E1656="Em ajustes",IF(N1656=_xlfn.MINIFS($N$2:$N$5001,$B$2:$B$5001,B1656,$E$2:$E$5001,"Em ajustes"),1,0),0))</f>
        <v/>
      </c>
      <c r="N1656" s="17" t="str">
        <f aca="false">IF(A1656="","",IF(ISNUMBER(A1656),A1656,IFERROR(DATE(VALUE(MID(A1656,7,4)),VALUE(MID(A1656,4,2)),VALUE(MID(A1656,1,2)))+TIME(VALUE(MID(A1656,12,2)),VALUE(MID(A1656,15,2)),VALUE(MID(A1656,18,2))),"")))</f>
        <v/>
      </c>
    </row>
    <row r="1657" customFormat="false" ht="15" hidden="false" customHeight="false" outlineLevel="0" collapsed="false">
      <c r="I1657" s="15" t="str">
        <f aca="false">IF(N1657="","",INT(N1657))</f>
        <v/>
      </c>
      <c r="J1657" s="16" t="str">
        <f aca="false">IF(B1657="","",IF(N1657=_xlfn.MINIFS($N$2:$N$5001,$B$2:$B$5001,B1657),1,0))</f>
        <v/>
      </c>
      <c r="K1657" s="16" t="str">
        <f aca="false">IF(B1657="","",IF(AND(D1657="Formalização",E1657="Concluído"),IF(COUNTIFS($B$2:$B$5001,B1657,$E$2:$E$5001,"Em ajustes",$N$2:$N$5001,"&lt;"&amp;I1657)&gt;0,1,0),0))</f>
        <v/>
      </c>
      <c r="L1657" s="16" t="str">
        <f aca="false">IF(B1657="","",IF(N1657=_xlfn.MAXIFS($N$2:$N$5001,$B$2:$B$5001,B1657,$I$2:$I$5001,I1657),1,0))</f>
        <v/>
      </c>
      <c r="M1657" s="16" t="str">
        <f aca="false">IF(B1657="","",IF(E1657="Em ajustes",IF(N1657=_xlfn.MINIFS($N$2:$N$5001,$B$2:$B$5001,B1657,$E$2:$E$5001,"Em ajustes"),1,0),0))</f>
        <v/>
      </c>
      <c r="N1657" s="17" t="str">
        <f aca="false">IF(A1657="","",IF(ISNUMBER(A1657),A1657,IFERROR(DATE(VALUE(MID(A1657,7,4)),VALUE(MID(A1657,4,2)),VALUE(MID(A1657,1,2)))+TIME(VALUE(MID(A1657,12,2)),VALUE(MID(A1657,15,2)),VALUE(MID(A1657,18,2))),"")))</f>
        <v/>
      </c>
    </row>
    <row r="1658" customFormat="false" ht="15" hidden="false" customHeight="false" outlineLevel="0" collapsed="false">
      <c r="I1658" s="15" t="str">
        <f aca="false">IF(N1658="","",INT(N1658))</f>
        <v/>
      </c>
      <c r="J1658" s="16" t="str">
        <f aca="false">IF(B1658="","",IF(N1658=_xlfn.MINIFS($N$2:$N$5001,$B$2:$B$5001,B1658),1,0))</f>
        <v/>
      </c>
      <c r="K1658" s="16" t="str">
        <f aca="false">IF(B1658="","",IF(AND(D1658="Formalização",E1658="Concluído"),IF(COUNTIFS($B$2:$B$5001,B1658,$E$2:$E$5001,"Em ajustes",$N$2:$N$5001,"&lt;"&amp;I1658)&gt;0,1,0),0))</f>
        <v/>
      </c>
      <c r="L1658" s="16" t="str">
        <f aca="false">IF(B1658="","",IF(N1658=_xlfn.MAXIFS($N$2:$N$5001,$B$2:$B$5001,B1658,$I$2:$I$5001,I1658),1,0))</f>
        <v/>
      </c>
      <c r="M1658" s="16" t="str">
        <f aca="false">IF(B1658="","",IF(E1658="Em ajustes",IF(N1658=_xlfn.MINIFS($N$2:$N$5001,$B$2:$B$5001,B1658,$E$2:$E$5001,"Em ajustes"),1,0),0))</f>
        <v/>
      </c>
      <c r="N1658" s="17" t="str">
        <f aca="false">IF(A1658="","",IF(ISNUMBER(A1658),A1658,IFERROR(DATE(VALUE(MID(A1658,7,4)),VALUE(MID(A1658,4,2)),VALUE(MID(A1658,1,2)))+TIME(VALUE(MID(A1658,12,2)),VALUE(MID(A1658,15,2)),VALUE(MID(A1658,18,2))),"")))</f>
        <v/>
      </c>
    </row>
    <row r="1659" customFormat="false" ht="15" hidden="false" customHeight="false" outlineLevel="0" collapsed="false">
      <c r="I1659" s="15" t="str">
        <f aca="false">IF(N1659="","",INT(N1659))</f>
        <v/>
      </c>
      <c r="J1659" s="16" t="str">
        <f aca="false">IF(B1659="","",IF(N1659=_xlfn.MINIFS($N$2:$N$5001,$B$2:$B$5001,B1659),1,0))</f>
        <v/>
      </c>
      <c r="K1659" s="16" t="str">
        <f aca="false">IF(B1659="","",IF(AND(D1659="Formalização",E1659="Concluído"),IF(COUNTIFS($B$2:$B$5001,B1659,$E$2:$E$5001,"Em ajustes",$N$2:$N$5001,"&lt;"&amp;I1659)&gt;0,1,0),0))</f>
        <v/>
      </c>
      <c r="L1659" s="16" t="str">
        <f aca="false">IF(B1659="","",IF(N1659=_xlfn.MAXIFS($N$2:$N$5001,$B$2:$B$5001,B1659,$I$2:$I$5001,I1659),1,0))</f>
        <v/>
      </c>
      <c r="M1659" s="16" t="str">
        <f aca="false">IF(B1659="","",IF(E1659="Em ajustes",IF(N1659=_xlfn.MINIFS($N$2:$N$5001,$B$2:$B$5001,B1659,$E$2:$E$5001,"Em ajustes"),1,0),0))</f>
        <v/>
      </c>
      <c r="N1659" s="17" t="str">
        <f aca="false">IF(A1659="","",IF(ISNUMBER(A1659),A1659,IFERROR(DATE(VALUE(MID(A1659,7,4)),VALUE(MID(A1659,4,2)),VALUE(MID(A1659,1,2)))+TIME(VALUE(MID(A1659,12,2)),VALUE(MID(A1659,15,2)),VALUE(MID(A1659,18,2))),"")))</f>
        <v/>
      </c>
    </row>
    <row r="1660" customFormat="false" ht="15" hidden="false" customHeight="false" outlineLevel="0" collapsed="false">
      <c r="I1660" s="15" t="str">
        <f aca="false">IF(N1660="","",INT(N1660))</f>
        <v/>
      </c>
      <c r="J1660" s="16" t="str">
        <f aca="false">IF(B1660="","",IF(N1660=_xlfn.MINIFS($N$2:$N$5001,$B$2:$B$5001,B1660),1,0))</f>
        <v/>
      </c>
      <c r="K1660" s="16" t="str">
        <f aca="false">IF(B1660="","",IF(AND(D1660="Formalização",E1660="Concluído"),IF(COUNTIFS($B$2:$B$5001,B1660,$E$2:$E$5001,"Em ajustes",$N$2:$N$5001,"&lt;"&amp;I1660)&gt;0,1,0),0))</f>
        <v/>
      </c>
      <c r="L1660" s="16" t="str">
        <f aca="false">IF(B1660="","",IF(N1660=_xlfn.MAXIFS($N$2:$N$5001,$B$2:$B$5001,B1660,$I$2:$I$5001,I1660),1,0))</f>
        <v/>
      </c>
      <c r="M1660" s="16" t="str">
        <f aca="false">IF(B1660="","",IF(E1660="Em ajustes",IF(N1660=_xlfn.MINIFS($N$2:$N$5001,$B$2:$B$5001,B1660,$E$2:$E$5001,"Em ajustes"),1,0),0))</f>
        <v/>
      </c>
      <c r="N1660" s="17" t="str">
        <f aca="false">IF(A1660="","",IF(ISNUMBER(A1660),A1660,IFERROR(DATE(VALUE(MID(A1660,7,4)),VALUE(MID(A1660,4,2)),VALUE(MID(A1660,1,2)))+TIME(VALUE(MID(A1660,12,2)),VALUE(MID(A1660,15,2)),VALUE(MID(A1660,18,2))),"")))</f>
        <v/>
      </c>
    </row>
    <row r="1661" customFormat="false" ht="15" hidden="false" customHeight="false" outlineLevel="0" collapsed="false">
      <c r="I1661" s="15" t="str">
        <f aca="false">IF(N1661="","",INT(N1661))</f>
        <v/>
      </c>
      <c r="J1661" s="16" t="str">
        <f aca="false">IF(B1661="","",IF(N1661=_xlfn.MINIFS($N$2:$N$5001,$B$2:$B$5001,B1661),1,0))</f>
        <v/>
      </c>
      <c r="K1661" s="16" t="str">
        <f aca="false">IF(B1661="","",IF(AND(D1661="Formalização",E1661="Concluído"),IF(COUNTIFS($B$2:$B$5001,B1661,$E$2:$E$5001,"Em ajustes",$N$2:$N$5001,"&lt;"&amp;I1661)&gt;0,1,0),0))</f>
        <v/>
      </c>
      <c r="L1661" s="16" t="str">
        <f aca="false">IF(B1661="","",IF(N1661=_xlfn.MAXIFS($N$2:$N$5001,$B$2:$B$5001,B1661,$I$2:$I$5001,I1661),1,0))</f>
        <v/>
      </c>
      <c r="M1661" s="16" t="str">
        <f aca="false">IF(B1661="","",IF(E1661="Em ajustes",IF(N1661=_xlfn.MINIFS($N$2:$N$5001,$B$2:$B$5001,B1661,$E$2:$E$5001,"Em ajustes"),1,0),0))</f>
        <v/>
      </c>
      <c r="N1661" s="17" t="str">
        <f aca="false">IF(A1661="","",IF(ISNUMBER(A1661),A1661,IFERROR(DATE(VALUE(MID(A1661,7,4)),VALUE(MID(A1661,4,2)),VALUE(MID(A1661,1,2)))+TIME(VALUE(MID(A1661,12,2)),VALUE(MID(A1661,15,2)),VALUE(MID(A1661,18,2))),"")))</f>
        <v/>
      </c>
    </row>
    <row r="1662" customFormat="false" ht="15" hidden="false" customHeight="false" outlineLevel="0" collapsed="false">
      <c r="I1662" s="15" t="str">
        <f aca="false">IF(N1662="","",INT(N1662))</f>
        <v/>
      </c>
      <c r="J1662" s="16" t="str">
        <f aca="false">IF(B1662="","",IF(N1662=_xlfn.MINIFS($N$2:$N$5001,$B$2:$B$5001,B1662),1,0))</f>
        <v/>
      </c>
      <c r="K1662" s="16" t="str">
        <f aca="false">IF(B1662="","",IF(AND(D1662="Formalização",E1662="Concluído"),IF(COUNTIFS($B$2:$B$5001,B1662,$E$2:$E$5001,"Em ajustes",$N$2:$N$5001,"&lt;"&amp;I1662)&gt;0,1,0),0))</f>
        <v/>
      </c>
      <c r="L1662" s="16" t="str">
        <f aca="false">IF(B1662="","",IF(N1662=_xlfn.MAXIFS($N$2:$N$5001,$B$2:$B$5001,B1662,$I$2:$I$5001,I1662),1,0))</f>
        <v/>
      </c>
      <c r="M1662" s="16" t="str">
        <f aca="false">IF(B1662="","",IF(E1662="Em ajustes",IF(N1662=_xlfn.MINIFS($N$2:$N$5001,$B$2:$B$5001,B1662,$E$2:$E$5001,"Em ajustes"),1,0),0))</f>
        <v/>
      </c>
      <c r="N1662" s="17" t="str">
        <f aca="false">IF(A1662="","",IF(ISNUMBER(A1662),A1662,IFERROR(DATE(VALUE(MID(A1662,7,4)),VALUE(MID(A1662,4,2)),VALUE(MID(A1662,1,2)))+TIME(VALUE(MID(A1662,12,2)),VALUE(MID(A1662,15,2)),VALUE(MID(A1662,18,2))),"")))</f>
        <v/>
      </c>
    </row>
    <row r="1663" customFormat="false" ht="15" hidden="false" customHeight="false" outlineLevel="0" collapsed="false">
      <c r="I1663" s="15" t="str">
        <f aca="false">IF(N1663="","",INT(N1663))</f>
        <v/>
      </c>
      <c r="J1663" s="16" t="str">
        <f aca="false">IF(B1663="","",IF(N1663=_xlfn.MINIFS($N$2:$N$5001,$B$2:$B$5001,B1663),1,0))</f>
        <v/>
      </c>
      <c r="K1663" s="16" t="str">
        <f aca="false">IF(B1663="","",IF(AND(D1663="Formalização",E1663="Concluído"),IF(COUNTIFS($B$2:$B$5001,B1663,$E$2:$E$5001,"Em ajustes",$N$2:$N$5001,"&lt;"&amp;I1663)&gt;0,1,0),0))</f>
        <v/>
      </c>
      <c r="L1663" s="16" t="str">
        <f aca="false">IF(B1663="","",IF(N1663=_xlfn.MAXIFS($N$2:$N$5001,$B$2:$B$5001,B1663,$I$2:$I$5001,I1663),1,0))</f>
        <v/>
      </c>
      <c r="M1663" s="16" t="str">
        <f aca="false">IF(B1663="","",IF(E1663="Em ajustes",IF(N1663=_xlfn.MINIFS($N$2:$N$5001,$B$2:$B$5001,B1663,$E$2:$E$5001,"Em ajustes"),1,0),0))</f>
        <v/>
      </c>
      <c r="N1663" s="17" t="str">
        <f aca="false">IF(A1663="","",IF(ISNUMBER(A1663),A1663,IFERROR(DATE(VALUE(MID(A1663,7,4)),VALUE(MID(A1663,4,2)),VALUE(MID(A1663,1,2)))+TIME(VALUE(MID(A1663,12,2)),VALUE(MID(A1663,15,2)),VALUE(MID(A1663,18,2))),"")))</f>
        <v/>
      </c>
    </row>
    <row r="1664" customFormat="false" ht="15" hidden="false" customHeight="false" outlineLevel="0" collapsed="false">
      <c r="I1664" s="15" t="str">
        <f aca="false">IF(N1664="","",INT(N1664))</f>
        <v/>
      </c>
      <c r="J1664" s="16" t="str">
        <f aca="false">IF(B1664="","",IF(N1664=_xlfn.MINIFS($N$2:$N$5001,$B$2:$B$5001,B1664),1,0))</f>
        <v/>
      </c>
      <c r="K1664" s="16" t="str">
        <f aca="false">IF(B1664="","",IF(AND(D1664="Formalização",E1664="Concluído"),IF(COUNTIFS($B$2:$B$5001,B1664,$E$2:$E$5001,"Em ajustes",$N$2:$N$5001,"&lt;"&amp;I1664)&gt;0,1,0),0))</f>
        <v/>
      </c>
      <c r="L1664" s="16" t="str">
        <f aca="false">IF(B1664="","",IF(N1664=_xlfn.MAXIFS($N$2:$N$5001,$B$2:$B$5001,B1664,$I$2:$I$5001,I1664),1,0))</f>
        <v/>
      </c>
      <c r="M1664" s="16" t="str">
        <f aca="false">IF(B1664="","",IF(E1664="Em ajustes",IF(N1664=_xlfn.MINIFS($N$2:$N$5001,$B$2:$B$5001,B1664,$E$2:$E$5001,"Em ajustes"),1,0),0))</f>
        <v/>
      </c>
      <c r="N1664" s="17" t="str">
        <f aca="false">IF(A1664="","",IF(ISNUMBER(A1664),A1664,IFERROR(DATE(VALUE(MID(A1664,7,4)),VALUE(MID(A1664,4,2)),VALUE(MID(A1664,1,2)))+TIME(VALUE(MID(A1664,12,2)),VALUE(MID(A1664,15,2)),VALUE(MID(A1664,18,2))),"")))</f>
        <v/>
      </c>
    </row>
    <row r="1665" customFormat="false" ht="15" hidden="false" customHeight="false" outlineLevel="0" collapsed="false">
      <c r="I1665" s="15" t="str">
        <f aca="false">IF(N1665="","",INT(N1665))</f>
        <v/>
      </c>
      <c r="J1665" s="16" t="str">
        <f aca="false">IF(B1665="","",IF(N1665=_xlfn.MINIFS($N$2:$N$5001,$B$2:$B$5001,B1665),1,0))</f>
        <v/>
      </c>
      <c r="K1665" s="16" t="str">
        <f aca="false">IF(B1665="","",IF(AND(D1665="Formalização",E1665="Concluído"),IF(COUNTIFS($B$2:$B$5001,B1665,$E$2:$E$5001,"Em ajustes",$N$2:$N$5001,"&lt;"&amp;I1665)&gt;0,1,0),0))</f>
        <v/>
      </c>
      <c r="L1665" s="16" t="str">
        <f aca="false">IF(B1665="","",IF(N1665=_xlfn.MAXIFS($N$2:$N$5001,$B$2:$B$5001,B1665,$I$2:$I$5001,I1665),1,0))</f>
        <v/>
      </c>
      <c r="M1665" s="16" t="str">
        <f aca="false">IF(B1665="","",IF(E1665="Em ajustes",IF(N1665=_xlfn.MINIFS($N$2:$N$5001,$B$2:$B$5001,B1665,$E$2:$E$5001,"Em ajustes"),1,0),0))</f>
        <v/>
      </c>
      <c r="N1665" s="17" t="str">
        <f aca="false">IF(A1665="","",IF(ISNUMBER(A1665),A1665,IFERROR(DATE(VALUE(MID(A1665,7,4)),VALUE(MID(A1665,4,2)),VALUE(MID(A1665,1,2)))+TIME(VALUE(MID(A1665,12,2)),VALUE(MID(A1665,15,2)),VALUE(MID(A1665,18,2))),"")))</f>
        <v/>
      </c>
    </row>
    <row r="1666" customFormat="false" ht="15" hidden="false" customHeight="false" outlineLevel="0" collapsed="false">
      <c r="I1666" s="15" t="str">
        <f aca="false">IF(N1666="","",INT(N1666))</f>
        <v/>
      </c>
      <c r="J1666" s="16" t="str">
        <f aca="false">IF(B1666="","",IF(N1666=_xlfn.MINIFS($N$2:$N$5001,$B$2:$B$5001,B1666),1,0))</f>
        <v/>
      </c>
      <c r="K1666" s="16" t="str">
        <f aca="false">IF(B1666="","",IF(AND(D1666="Formalização",E1666="Concluído"),IF(COUNTIFS($B$2:$B$5001,B1666,$E$2:$E$5001,"Em ajustes",$N$2:$N$5001,"&lt;"&amp;I1666)&gt;0,1,0),0))</f>
        <v/>
      </c>
      <c r="L1666" s="16" t="str">
        <f aca="false">IF(B1666="","",IF(N1666=_xlfn.MAXIFS($N$2:$N$5001,$B$2:$B$5001,B1666,$I$2:$I$5001,I1666),1,0))</f>
        <v/>
      </c>
      <c r="M1666" s="16" t="str">
        <f aca="false">IF(B1666="","",IF(E1666="Em ajustes",IF(N1666=_xlfn.MINIFS($N$2:$N$5001,$B$2:$B$5001,B1666,$E$2:$E$5001,"Em ajustes"),1,0),0))</f>
        <v/>
      </c>
      <c r="N1666" s="17" t="str">
        <f aca="false">IF(A1666="","",IF(ISNUMBER(A1666),A1666,IFERROR(DATE(VALUE(MID(A1666,7,4)),VALUE(MID(A1666,4,2)),VALUE(MID(A1666,1,2)))+TIME(VALUE(MID(A1666,12,2)),VALUE(MID(A1666,15,2)),VALUE(MID(A1666,18,2))),"")))</f>
        <v/>
      </c>
    </row>
    <row r="1667" customFormat="false" ht="15" hidden="false" customHeight="false" outlineLevel="0" collapsed="false">
      <c r="I1667" s="15" t="str">
        <f aca="false">IF(N1667="","",INT(N1667))</f>
        <v/>
      </c>
      <c r="J1667" s="16" t="str">
        <f aca="false">IF(B1667="","",IF(N1667=_xlfn.MINIFS($N$2:$N$5001,$B$2:$B$5001,B1667),1,0))</f>
        <v/>
      </c>
      <c r="K1667" s="16" t="str">
        <f aca="false">IF(B1667="","",IF(AND(D1667="Formalização",E1667="Concluído"),IF(COUNTIFS($B$2:$B$5001,B1667,$E$2:$E$5001,"Em ajustes",$N$2:$N$5001,"&lt;"&amp;I1667)&gt;0,1,0),0))</f>
        <v/>
      </c>
      <c r="L1667" s="16" t="str">
        <f aca="false">IF(B1667="","",IF(N1667=_xlfn.MAXIFS($N$2:$N$5001,$B$2:$B$5001,B1667,$I$2:$I$5001,I1667),1,0))</f>
        <v/>
      </c>
      <c r="M1667" s="16" t="str">
        <f aca="false">IF(B1667="","",IF(E1667="Em ajustes",IF(N1667=_xlfn.MINIFS($N$2:$N$5001,$B$2:$B$5001,B1667,$E$2:$E$5001,"Em ajustes"),1,0),0))</f>
        <v/>
      </c>
      <c r="N1667" s="17" t="str">
        <f aca="false">IF(A1667="","",IF(ISNUMBER(A1667),A1667,IFERROR(DATE(VALUE(MID(A1667,7,4)),VALUE(MID(A1667,4,2)),VALUE(MID(A1667,1,2)))+TIME(VALUE(MID(A1667,12,2)),VALUE(MID(A1667,15,2)),VALUE(MID(A1667,18,2))),"")))</f>
        <v/>
      </c>
    </row>
    <row r="1668" customFormat="false" ht="15" hidden="false" customHeight="false" outlineLevel="0" collapsed="false">
      <c r="I1668" s="15" t="str">
        <f aca="false">IF(N1668="","",INT(N1668))</f>
        <v/>
      </c>
      <c r="J1668" s="16" t="str">
        <f aca="false">IF(B1668="","",IF(N1668=_xlfn.MINIFS($N$2:$N$5001,$B$2:$B$5001,B1668),1,0))</f>
        <v/>
      </c>
      <c r="K1668" s="16" t="str">
        <f aca="false">IF(B1668="","",IF(AND(D1668="Formalização",E1668="Concluído"),IF(COUNTIFS($B$2:$B$5001,B1668,$E$2:$E$5001,"Em ajustes",$N$2:$N$5001,"&lt;"&amp;I1668)&gt;0,1,0),0))</f>
        <v/>
      </c>
      <c r="L1668" s="16" t="str">
        <f aca="false">IF(B1668="","",IF(N1668=_xlfn.MAXIFS($N$2:$N$5001,$B$2:$B$5001,B1668,$I$2:$I$5001,I1668),1,0))</f>
        <v/>
      </c>
      <c r="M1668" s="16" t="str">
        <f aca="false">IF(B1668="","",IF(E1668="Em ajustes",IF(N1668=_xlfn.MINIFS($N$2:$N$5001,$B$2:$B$5001,B1668,$E$2:$E$5001,"Em ajustes"),1,0),0))</f>
        <v/>
      </c>
      <c r="N1668" s="17" t="str">
        <f aca="false">IF(A1668="","",IF(ISNUMBER(A1668),A1668,IFERROR(DATE(VALUE(MID(A1668,7,4)),VALUE(MID(A1668,4,2)),VALUE(MID(A1668,1,2)))+TIME(VALUE(MID(A1668,12,2)),VALUE(MID(A1668,15,2)),VALUE(MID(A1668,18,2))),"")))</f>
        <v/>
      </c>
    </row>
    <row r="1669" customFormat="false" ht="15" hidden="false" customHeight="false" outlineLevel="0" collapsed="false">
      <c r="I1669" s="15" t="str">
        <f aca="false">IF(N1669="","",INT(N1669))</f>
        <v/>
      </c>
      <c r="J1669" s="16" t="str">
        <f aca="false">IF(B1669="","",IF(N1669=_xlfn.MINIFS($N$2:$N$5001,$B$2:$B$5001,B1669),1,0))</f>
        <v/>
      </c>
      <c r="K1669" s="16" t="str">
        <f aca="false">IF(B1669="","",IF(AND(D1669="Formalização",E1669="Concluído"),IF(COUNTIFS($B$2:$B$5001,B1669,$E$2:$E$5001,"Em ajustes",$N$2:$N$5001,"&lt;"&amp;I1669)&gt;0,1,0),0))</f>
        <v/>
      </c>
      <c r="L1669" s="16" t="str">
        <f aca="false">IF(B1669="","",IF(N1669=_xlfn.MAXIFS($N$2:$N$5001,$B$2:$B$5001,B1669,$I$2:$I$5001,I1669),1,0))</f>
        <v/>
      </c>
      <c r="M1669" s="16" t="str">
        <f aca="false">IF(B1669="","",IF(E1669="Em ajustes",IF(N1669=_xlfn.MINIFS($N$2:$N$5001,$B$2:$B$5001,B1669,$E$2:$E$5001,"Em ajustes"),1,0),0))</f>
        <v/>
      </c>
      <c r="N1669" s="17" t="str">
        <f aca="false">IF(A1669="","",IF(ISNUMBER(A1669),A1669,IFERROR(DATE(VALUE(MID(A1669,7,4)),VALUE(MID(A1669,4,2)),VALUE(MID(A1669,1,2)))+TIME(VALUE(MID(A1669,12,2)),VALUE(MID(A1669,15,2)),VALUE(MID(A1669,18,2))),"")))</f>
        <v/>
      </c>
    </row>
    <row r="1670" customFormat="false" ht="15" hidden="false" customHeight="false" outlineLevel="0" collapsed="false">
      <c r="I1670" s="15" t="str">
        <f aca="false">IF(N1670="","",INT(N1670))</f>
        <v/>
      </c>
      <c r="J1670" s="16" t="str">
        <f aca="false">IF(B1670="","",IF(N1670=_xlfn.MINIFS($N$2:$N$5001,$B$2:$B$5001,B1670),1,0))</f>
        <v/>
      </c>
      <c r="K1670" s="16" t="str">
        <f aca="false">IF(B1670="","",IF(AND(D1670="Formalização",E1670="Concluído"),IF(COUNTIFS($B$2:$B$5001,B1670,$E$2:$E$5001,"Em ajustes",$N$2:$N$5001,"&lt;"&amp;I1670)&gt;0,1,0),0))</f>
        <v/>
      </c>
      <c r="L1670" s="16" t="str">
        <f aca="false">IF(B1670="","",IF(N1670=_xlfn.MAXIFS($N$2:$N$5001,$B$2:$B$5001,B1670,$I$2:$I$5001,I1670),1,0))</f>
        <v/>
      </c>
      <c r="M1670" s="16" t="str">
        <f aca="false">IF(B1670="","",IF(E1670="Em ajustes",IF(N1670=_xlfn.MINIFS($N$2:$N$5001,$B$2:$B$5001,B1670,$E$2:$E$5001,"Em ajustes"),1,0),0))</f>
        <v/>
      </c>
      <c r="N1670" s="17" t="str">
        <f aca="false">IF(A1670="","",IF(ISNUMBER(A1670),A1670,IFERROR(DATE(VALUE(MID(A1670,7,4)),VALUE(MID(A1670,4,2)),VALUE(MID(A1670,1,2)))+TIME(VALUE(MID(A1670,12,2)),VALUE(MID(A1670,15,2)),VALUE(MID(A1670,18,2))),"")))</f>
        <v/>
      </c>
    </row>
    <row r="1671" customFormat="false" ht="15" hidden="false" customHeight="false" outlineLevel="0" collapsed="false">
      <c r="I1671" s="15" t="str">
        <f aca="false">IF(N1671="","",INT(N1671))</f>
        <v/>
      </c>
      <c r="J1671" s="16" t="str">
        <f aca="false">IF(B1671="","",IF(N1671=_xlfn.MINIFS($N$2:$N$5001,$B$2:$B$5001,B1671),1,0))</f>
        <v/>
      </c>
      <c r="K1671" s="16" t="str">
        <f aca="false">IF(B1671="","",IF(AND(D1671="Formalização",E1671="Concluído"),IF(COUNTIFS($B$2:$B$5001,B1671,$E$2:$E$5001,"Em ajustes",$N$2:$N$5001,"&lt;"&amp;I1671)&gt;0,1,0),0))</f>
        <v/>
      </c>
      <c r="L1671" s="16" t="str">
        <f aca="false">IF(B1671="","",IF(N1671=_xlfn.MAXIFS($N$2:$N$5001,$B$2:$B$5001,B1671,$I$2:$I$5001,I1671),1,0))</f>
        <v/>
      </c>
      <c r="M1671" s="16" t="str">
        <f aca="false">IF(B1671="","",IF(E1671="Em ajustes",IF(N1671=_xlfn.MINIFS($N$2:$N$5001,$B$2:$B$5001,B1671,$E$2:$E$5001,"Em ajustes"),1,0),0))</f>
        <v/>
      </c>
      <c r="N1671" s="17" t="str">
        <f aca="false">IF(A1671="","",IF(ISNUMBER(A1671),A1671,IFERROR(DATE(VALUE(MID(A1671,7,4)),VALUE(MID(A1671,4,2)),VALUE(MID(A1671,1,2)))+TIME(VALUE(MID(A1671,12,2)),VALUE(MID(A1671,15,2)),VALUE(MID(A1671,18,2))),"")))</f>
        <v/>
      </c>
    </row>
    <row r="1672" customFormat="false" ht="15" hidden="false" customHeight="false" outlineLevel="0" collapsed="false">
      <c r="I1672" s="15" t="str">
        <f aca="false">IF(N1672="","",INT(N1672))</f>
        <v/>
      </c>
      <c r="J1672" s="16" t="str">
        <f aca="false">IF(B1672="","",IF(N1672=_xlfn.MINIFS($N$2:$N$5001,$B$2:$B$5001,B1672),1,0))</f>
        <v/>
      </c>
      <c r="K1672" s="16" t="str">
        <f aca="false">IF(B1672="","",IF(AND(D1672="Formalização",E1672="Concluído"),IF(COUNTIFS($B$2:$B$5001,B1672,$E$2:$E$5001,"Em ajustes",$N$2:$N$5001,"&lt;"&amp;I1672)&gt;0,1,0),0))</f>
        <v/>
      </c>
      <c r="L1672" s="16" t="str">
        <f aca="false">IF(B1672="","",IF(N1672=_xlfn.MAXIFS($N$2:$N$5001,$B$2:$B$5001,B1672,$I$2:$I$5001,I1672),1,0))</f>
        <v/>
      </c>
      <c r="M1672" s="16" t="str">
        <f aca="false">IF(B1672="","",IF(E1672="Em ajustes",IF(N1672=_xlfn.MINIFS($N$2:$N$5001,$B$2:$B$5001,B1672,$E$2:$E$5001,"Em ajustes"),1,0),0))</f>
        <v/>
      </c>
      <c r="N1672" s="17" t="str">
        <f aca="false">IF(A1672="","",IF(ISNUMBER(A1672),A1672,IFERROR(DATE(VALUE(MID(A1672,7,4)),VALUE(MID(A1672,4,2)),VALUE(MID(A1672,1,2)))+TIME(VALUE(MID(A1672,12,2)),VALUE(MID(A1672,15,2)),VALUE(MID(A1672,18,2))),"")))</f>
        <v/>
      </c>
    </row>
    <row r="1673" customFormat="false" ht="15" hidden="false" customHeight="false" outlineLevel="0" collapsed="false">
      <c r="I1673" s="15" t="str">
        <f aca="false">IF(N1673="","",INT(N1673))</f>
        <v/>
      </c>
      <c r="J1673" s="16" t="str">
        <f aca="false">IF(B1673="","",IF(N1673=_xlfn.MINIFS($N$2:$N$5001,$B$2:$B$5001,B1673),1,0))</f>
        <v/>
      </c>
      <c r="K1673" s="16" t="str">
        <f aca="false">IF(B1673="","",IF(AND(D1673="Formalização",E1673="Concluído"),IF(COUNTIFS($B$2:$B$5001,B1673,$E$2:$E$5001,"Em ajustes",$N$2:$N$5001,"&lt;"&amp;I1673)&gt;0,1,0),0))</f>
        <v/>
      </c>
      <c r="L1673" s="16" t="str">
        <f aca="false">IF(B1673="","",IF(N1673=_xlfn.MAXIFS($N$2:$N$5001,$B$2:$B$5001,B1673,$I$2:$I$5001,I1673),1,0))</f>
        <v/>
      </c>
      <c r="M1673" s="16" t="str">
        <f aca="false">IF(B1673="","",IF(E1673="Em ajustes",IF(N1673=_xlfn.MINIFS($N$2:$N$5001,$B$2:$B$5001,B1673,$E$2:$E$5001,"Em ajustes"),1,0),0))</f>
        <v/>
      </c>
      <c r="N1673" s="17" t="str">
        <f aca="false">IF(A1673="","",IF(ISNUMBER(A1673),A1673,IFERROR(DATE(VALUE(MID(A1673,7,4)),VALUE(MID(A1673,4,2)),VALUE(MID(A1673,1,2)))+TIME(VALUE(MID(A1673,12,2)),VALUE(MID(A1673,15,2)),VALUE(MID(A1673,18,2))),"")))</f>
        <v/>
      </c>
    </row>
    <row r="1674" customFormat="false" ht="15" hidden="false" customHeight="false" outlineLevel="0" collapsed="false">
      <c r="I1674" s="15" t="str">
        <f aca="false">IF(N1674="","",INT(N1674))</f>
        <v/>
      </c>
      <c r="J1674" s="16" t="str">
        <f aca="false">IF(B1674="","",IF(N1674=_xlfn.MINIFS($N$2:$N$5001,$B$2:$B$5001,B1674),1,0))</f>
        <v/>
      </c>
      <c r="K1674" s="16" t="str">
        <f aca="false">IF(B1674="","",IF(AND(D1674="Formalização",E1674="Concluído"),IF(COUNTIFS($B$2:$B$5001,B1674,$E$2:$E$5001,"Em ajustes",$N$2:$N$5001,"&lt;"&amp;I1674)&gt;0,1,0),0))</f>
        <v/>
      </c>
      <c r="L1674" s="16" t="str">
        <f aca="false">IF(B1674="","",IF(N1674=_xlfn.MAXIFS($N$2:$N$5001,$B$2:$B$5001,B1674,$I$2:$I$5001,I1674),1,0))</f>
        <v/>
      </c>
      <c r="M1674" s="16" t="str">
        <f aca="false">IF(B1674="","",IF(E1674="Em ajustes",IF(N1674=_xlfn.MINIFS($N$2:$N$5001,$B$2:$B$5001,B1674,$E$2:$E$5001,"Em ajustes"),1,0),0))</f>
        <v/>
      </c>
      <c r="N1674" s="17" t="str">
        <f aca="false">IF(A1674="","",IF(ISNUMBER(A1674),A1674,IFERROR(DATE(VALUE(MID(A1674,7,4)),VALUE(MID(A1674,4,2)),VALUE(MID(A1674,1,2)))+TIME(VALUE(MID(A1674,12,2)),VALUE(MID(A1674,15,2)),VALUE(MID(A1674,18,2))),"")))</f>
        <v/>
      </c>
    </row>
    <row r="1675" customFormat="false" ht="15" hidden="false" customHeight="false" outlineLevel="0" collapsed="false">
      <c r="I1675" s="15" t="str">
        <f aca="false">IF(N1675="","",INT(N1675))</f>
        <v/>
      </c>
      <c r="J1675" s="16" t="str">
        <f aca="false">IF(B1675="","",IF(N1675=_xlfn.MINIFS($N$2:$N$5001,$B$2:$B$5001,B1675),1,0))</f>
        <v/>
      </c>
      <c r="K1675" s="16" t="str">
        <f aca="false">IF(B1675="","",IF(AND(D1675="Formalização",E1675="Concluído"),IF(COUNTIFS($B$2:$B$5001,B1675,$E$2:$E$5001,"Em ajustes",$N$2:$N$5001,"&lt;"&amp;I1675)&gt;0,1,0),0))</f>
        <v/>
      </c>
      <c r="L1675" s="16" t="str">
        <f aca="false">IF(B1675="","",IF(N1675=_xlfn.MAXIFS($N$2:$N$5001,$B$2:$B$5001,B1675,$I$2:$I$5001,I1675),1,0))</f>
        <v/>
      </c>
      <c r="M1675" s="16" t="str">
        <f aca="false">IF(B1675="","",IF(E1675="Em ajustes",IF(N1675=_xlfn.MINIFS($N$2:$N$5001,$B$2:$B$5001,B1675,$E$2:$E$5001,"Em ajustes"),1,0),0))</f>
        <v/>
      </c>
      <c r="N1675" s="17" t="str">
        <f aca="false">IF(A1675="","",IF(ISNUMBER(A1675),A1675,IFERROR(DATE(VALUE(MID(A1675,7,4)),VALUE(MID(A1675,4,2)),VALUE(MID(A1675,1,2)))+TIME(VALUE(MID(A1675,12,2)),VALUE(MID(A1675,15,2)),VALUE(MID(A1675,18,2))),"")))</f>
        <v/>
      </c>
    </row>
    <row r="1676" customFormat="false" ht="15" hidden="false" customHeight="false" outlineLevel="0" collapsed="false">
      <c r="I1676" s="15" t="str">
        <f aca="false">IF(N1676="","",INT(N1676))</f>
        <v/>
      </c>
      <c r="J1676" s="16" t="str">
        <f aca="false">IF(B1676="","",IF(N1676=_xlfn.MINIFS($N$2:$N$5001,$B$2:$B$5001,B1676),1,0))</f>
        <v/>
      </c>
      <c r="K1676" s="16" t="str">
        <f aca="false">IF(B1676="","",IF(AND(D1676="Formalização",E1676="Concluído"),IF(COUNTIFS($B$2:$B$5001,B1676,$E$2:$E$5001,"Em ajustes",$N$2:$N$5001,"&lt;"&amp;I1676)&gt;0,1,0),0))</f>
        <v/>
      </c>
      <c r="L1676" s="16" t="str">
        <f aca="false">IF(B1676="","",IF(N1676=_xlfn.MAXIFS($N$2:$N$5001,$B$2:$B$5001,B1676,$I$2:$I$5001,I1676),1,0))</f>
        <v/>
      </c>
      <c r="M1676" s="16" t="str">
        <f aca="false">IF(B1676="","",IF(E1676="Em ajustes",IF(N1676=_xlfn.MINIFS($N$2:$N$5001,$B$2:$B$5001,B1676,$E$2:$E$5001,"Em ajustes"),1,0),0))</f>
        <v/>
      </c>
      <c r="N1676" s="17" t="str">
        <f aca="false">IF(A1676="","",IF(ISNUMBER(A1676),A1676,IFERROR(DATE(VALUE(MID(A1676,7,4)),VALUE(MID(A1676,4,2)),VALUE(MID(A1676,1,2)))+TIME(VALUE(MID(A1676,12,2)),VALUE(MID(A1676,15,2)),VALUE(MID(A1676,18,2))),"")))</f>
        <v/>
      </c>
    </row>
    <row r="1677" customFormat="false" ht="15" hidden="false" customHeight="false" outlineLevel="0" collapsed="false">
      <c r="I1677" s="15" t="str">
        <f aca="false">IF(N1677="","",INT(N1677))</f>
        <v/>
      </c>
      <c r="J1677" s="16" t="str">
        <f aca="false">IF(B1677="","",IF(N1677=_xlfn.MINIFS($N$2:$N$5001,$B$2:$B$5001,B1677),1,0))</f>
        <v/>
      </c>
      <c r="K1677" s="16" t="str">
        <f aca="false">IF(B1677="","",IF(AND(D1677="Formalização",E1677="Concluído"),IF(COUNTIFS($B$2:$B$5001,B1677,$E$2:$E$5001,"Em ajustes",$N$2:$N$5001,"&lt;"&amp;I1677)&gt;0,1,0),0))</f>
        <v/>
      </c>
      <c r="L1677" s="16" t="str">
        <f aca="false">IF(B1677="","",IF(N1677=_xlfn.MAXIFS($N$2:$N$5001,$B$2:$B$5001,B1677,$I$2:$I$5001,I1677),1,0))</f>
        <v/>
      </c>
      <c r="M1677" s="16" t="str">
        <f aca="false">IF(B1677="","",IF(E1677="Em ajustes",IF(N1677=_xlfn.MINIFS($N$2:$N$5001,$B$2:$B$5001,B1677,$E$2:$E$5001,"Em ajustes"),1,0),0))</f>
        <v/>
      </c>
      <c r="N1677" s="17" t="str">
        <f aca="false">IF(A1677="","",IF(ISNUMBER(A1677),A1677,IFERROR(DATE(VALUE(MID(A1677,7,4)),VALUE(MID(A1677,4,2)),VALUE(MID(A1677,1,2)))+TIME(VALUE(MID(A1677,12,2)),VALUE(MID(A1677,15,2)),VALUE(MID(A1677,18,2))),"")))</f>
        <v/>
      </c>
    </row>
    <row r="1678" customFormat="false" ht="15" hidden="false" customHeight="false" outlineLevel="0" collapsed="false">
      <c r="I1678" s="15" t="str">
        <f aca="false">IF(N1678="","",INT(N1678))</f>
        <v/>
      </c>
      <c r="J1678" s="16" t="str">
        <f aca="false">IF(B1678="","",IF(N1678=_xlfn.MINIFS($N$2:$N$5001,$B$2:$B$5001,B1678),1,0))</f>
        <v/>
      </c>
      <c r="K1678" s="16" t="str">
        <f aca="false">IF(B1678="","",IF(AND(D1678="Formalização",E1678="Concluído"),IF(COUNTIFS($B$2:$B$5001,B1678,$E$2:$E$5001,"Em ajustes",$N$2:$N$5001,"&lt;"&amp;I1678)&gt;0,1,0),0))</f>
        <v/>
      </c>
      <c r="L1678" s="16" t="str">
        <f aca="false">IF(B1678="","",IF(N1678=_xlfn.MAXIFS($N$2:$N$5001,$B$2:$B$5001,B1678,$I$2:$I$5001,I1678),1,0))</f>
        <v/>
      </c>
      <c r="M1678" s="16" t="str">
        <f aca="false">IF(B1678="","",IF(E1678="Em ajustes",IF(N1678=_xlfn.MINIFS($N$2:$N$5001,$B$2:$B$5001,B1678,$E$2:$E$5001,"Em ajustes"),1,0),0))</f>
        <v/>
      </c>
      <c r="N1678" s="17" t="str">
        <f aca="false">IF(A1678="","",IF(ISNUMBER(A1678),A1678,IFERROR(DATE(VALUE(MID(A1678,7,4)),VALUE(MID(A1678,4,2)),VALUE(MID(A1678,1,2)))+TIME(VALUE(MID(A1678,12,2)),VALUE(MID(A1678,15,2)),VALUE(MID(A1678,18,2))),"")))</f>
        <v/>
      </c>
    </row>
    <row r="1679" customFormat="false" ht="15" hidden="false" customHeight="false" outlineLevel="0" collapsed="false">
      <c r="I1679" s="15" t="str">
        <f aca="false">IF(N1679="","",INT(N1679))</f>
        <v/>
      </c>
      <c r="J1679" s="16" t="str">
        <f aca="false">IF(B1679="","",IF(N1679=_xlfn.MINIFS($N$2:$N$5001,$B$2:$B$5001,B1679),1,0))</f>
        <v/>
      </c>
      <c r="K1679" s="16" t="str">
        <f aca="false">IF(B1679="","",IF(AND(D1679="Formalização",E1679="Concluído"),IF(COUNTIFS($B$2:$B$5001,B1679,$E$2:$E$5001,"Em ajustes",$N$2:$N$5001,"&lt;"&amp;I1679)&gt;0,1,0),0))</f>
        <v/>
      </c>
      <c r="L1679" s="16" t="str">
        <f aca="false">IF(B1679="","",IF(N1679=_xlfn.MAXIFS($N$2:$N$5001,$B$2:$B$5001,B1679,$I$2:$I$5001,I1679),1,0))</f>
        <v/>
      </c>
      <c r="M1679" s="16" t="str">
        <f aca="false">IF(B1679="","",IF(E1679="Em ajustes",IF(N1679=_xlfn.MINIFS($N$2:$N$5001,$B$2:$B$5001,B1679,$E$2:$E$5001,"Em ajustes"),1,0),0))</f>
        <v/>
      </c>
      <c r="N1679" s="17" t="str">
        <f aca="false">IF(A1679="","",IF(ISNUMBER(A1679),A1679,IFERROR(DATE(VALUE(MID(A1679,7,4)),VALUE(MID(A1679,4,2)),VALUE(MID(A1679,1,2)))+TIME(VALUE(MID(A1679,12,2)),VALUE(MID(A1679,15,2)),VALUE(MID(A1679,18,2))),"")))</f>
        <v/>
      </c>
    </row>
    <row r="1680" customFormat="false" ht="15" hidden="false" customHeight="false" outlineLevel="0" collapsed="false">
      <c r="I1680" s="15" t="str">
        <f aca="false">IF(N1680="","",INT(N1680))</f>
        <v/>
      </c>
      <c r="J1680" s="16" t="str">
        <f aca="false">IF(B1680="","",IF(N1680=_xlfn.MINIFS($N$2:$N$5001,$B$2:$B$5001,B1680),1,0))</f>
        <v/>
      </c>
      <c r="K1680" s="16" t="str">
        <f aca="false">IF(B1680="","",IF(AND(D1680="Formalização",E1680="Concluído"),IF(COUNTIFS($B$2:$B$5001,B1680,$E$2:$E$5001,"Em ajustes",$N$2:$N$5001,"&lt;"&amp;I1680)&gt;0,1,0),0))</f>
        <v/>
      </c>
      <c r="L1680" s="16" t="str">
        <f aca="false">IF(B1680="","",IF(N1680=_xlfn.MAXIFS($N$2:$N$5001,$B$2:$B$5001,B1680,$I$2:$I$5001,I1680),1,0))</f>
        <v/>
      </c>
      <c r="M1680" s="16" t="str">
        <f aca="false">IF(B1680="","",IF(E1680="Em ajustes",IF(N1680=_xlfn.MINIFS($N$2:$N$5001,$B$2:$B$5001,B1680,$E$2:$E$5001,"Em ajustes"),1,0),0))</f>
        <v/>
      </c>
      <c r="N1680" s="17" t="str">
        <f aca="false">IF(A1680="","",IF(ISNUMBER(A1680),A1680,IFERROR(DATE(VALUE(MID(A1680,7,4)),VALUE(MID(A1680,4,2)),VALUE(MID(A1680,1,2)))+TIME(VALUE(MID(A1680,12,2)),VALUE(MID(A1680,15,2)),VALUE(MID(A1680,18,2))),"")))</f>
        <v/>
      </c>
    </row>
    <row r="1681" customFormat="false" ht="15" hidden="false" customHeight="false" outlineLevel="0" collapsed="false">
      <c r="I1681" s="15" t="str">
        <f aca="false">IF(N1681="","",INT(N1681))</f>
        <v/>
      </c>
      <c r="J1681" s="16" t="str">
        <f aca="false">IF(B1681="","",IF(N1681=_xlfn.MINIFS($N$2:$N$5001,$B$2:$B$5001,B1681),1,0))</f>
        <v/>
      </c>
      <c r="K1681" s="16" t="str">
        <f aca="false">IF(B1681="","",IF(AND(D1681="Formalização",E1681="Concluído"),IF(COUNTIFS($B$2:$B$5001,B1681,$E$2:$E$5001,"Em ajustes",$N$2:$N$5001,"&lt;"&amp;I1681)&gt;0,1,0),0))</f>
        <v/>
      </c>
      <c r="L1681" s="16" t="str">
        <f aca="false">IF(B1681="","",IF(N1681=_xlfn.MAXIFS($N$2:$N$5001,$B$2:$B$5001,B1681,$I$2:$I$5001,I1681),1,0))</f>
        <v/>
      </c>
      <c r="M1681" s="16" t="str">
        <f aca="false">IF(B1681="","",IF(E1681="Em ajustes",IF(N1681=_xlfn.MINIFS($N$2:$N$5001,$B$2:$B$5001,B1681,$E$2:$E$5001,"Em ajustes"),1,0),0))</f>
        <v/>
      </c>
      <c r="N1681" s="17" t="str">
        <f aca="false">IF(A1681="","",IF(ISNUMBER(A1681),A1681,IFERROR(DATE(VALUE(MID(A1681,7,4)),VALUE(MID(A1681,4,2)),VALUE(MID(A1681,1,2)))+TIME(VALUE(MID(A1681,12,2)),VALUE(MID(A1681,15,2)),VALUE(MID(A1681,18,2))),"")))</f>
        <v/>
      </c>
    </row>
    <row r="1682" customFormat="false" ht="15" hidden="false" customHeight="false" outlineLevel="0" collapsed="false">
      <c r="I1682" s="15" t="str">
        <f aca="false">IF(N1682="","",INT(N1682))</f>
        <v/>
      </c>
      <c r="J1682" s="16" t="str">
        <f aca="false">IF(B1682="","",IF(N1682=_xlfn.MINIFS($N$2:$N$5001,$B$2:$B$5001,B1682),1,0))</f>
        <v/>
      </c>
      <c r="K1682" s="16" t="str">
        <f aca="false">IF(B1682="","",IF(AND(D1682="Formalização",E1682="Concluído"),IF(COUNTIFS($B$2:$B$5001,B1682,$E$2:$E$5001,"Em ajustes",$N$2:$N$5001,"&lt;"&amp;I1682)&gt;0,1,0),0))</f>
        <v/>
      </c>
      <c r="L1682" s="16" t="str">
        <f aca="false">IF(B1682="","",IF(N1682=_xlfn.MAXIFS($N$2:$N$5001,$B$2:$B$5001,B1682,$I$2:$I$5001,I1682),1,0))</f>
        <v/>
      </c>
      <c r="M1682" s="16" t="str">
        <f aca="false">IF(B1682="","",IF(E1682="Em ajustes",IF(N1682=_xlfn.MINIFS($N$2:$N$5001,$B$2:$B$5001,B1682,$E$2:$E$5001,"Em ajustes"),1,0),0))</f>
        <v/>
      </c>
      <c r="N1682" s="17" t="str">
        <f aca="false">IF(A1682="","",IF(ISNUMBER(A1682),A1682,IFERROR(DATE(VALUE(MID(A1682,7,4)),VALUE(MID(A1682,4,2)),VALUE(MID(A1682,1,2)))+TIME(VALUE(MID(A1682,12,2)),VALUE(MID(A1682,15,2)),VALUE(MID(A1682,18,2))),"")))</f>
        <v/>
      </c>
    </row>
    <row r="1683" customFormat="false" ht="15" hidden="false" customHeight="false" outlineLevel="0" collapsed="false">
      <c r="I1683" s="15" t="str">
        <f aca="false">IF(N1683="","",INT(N1683))</f>
        <v/>
      </c>
      <c r="J1683" s="16" t="str">
        <f aca="false">IF(B1683="","",IF(N1683=_xlfn.MINIFS($N$2:$N$5001,$B$2:$B$5001,B1683),1,0))</f>
        <v/>
      </c>
      <c r="K1683" s="16" t="str">
        <f aca="false">IF(B1683="","",IF(AND(D1683="Formalização",E1683="Concluído"),IF(COUNTIFS($B$2:$B$5001,B1683,$E$2:$E$5001,"Em ajustes",$N$2:$N$5001,"&lt;"&amp;I1683)&gt;0,1,0),0))</f>
        <v/>
      </c>
      <c r="L1683" s="16" t="str">
        <f aca="false">IF(B1683="","",IF(N1683=_xlfn.MAXIFS($N$2:$N$5001,$B$2:$B$5001,B1683,$I$2:$I$5001,I1683),1,0))</f>
        <v/>
      </c>
      <c r="M1683" s="16" t="str">
        <f aca="false">IF(B1683="","",IF(E1683="Em ajustes",IF(N1683=_xlfn.MINIFS($N$2:$N$5001,$B$2:$B$5001,B1683,$E$2:$E$5001,"Em ajustes"),1,0),0))</f>
        <v/>
      </c>
      <c r="N1683" s="17" t="str">
        <f aca="false">IF(A1683="","",IF(ISNUMBER(A1683),A1683,IFERROR(DATE(VALUE(MID(A1683,7,4)),VALUE(MID(A1683,4,2)),VALUE(MID(A1683,1,2)))+TIME(VALUE(MID(A1683,12,2)),VALUE(MID(A1683,15,2)),VALUE(MID(A1683,18,2))),"")))</f>
        <v/>
      </c>
    </row>
    <row r="1684" customFormat="false" ht="15" hidden="false" customHeight="false" outlineLevel="0" collapsed="false">
      <c r="I1684" s="15" t="str">
        <f aca="false">IF(N1684="","",INT(N1684))</f>
        <v/>
      </c>
      <c r="J1684" s="16" t="str">
        <f aca="false">IF(B1684="","",IF(N1684=_xlfn.MINIFS($N$2:$N$5001,$B$2:$B$5001,B1684),1,0))</f>
        <v/>
      </c>
      <c r="K1684" s="16" t="str">
        <f aca="false">IF(B1684="","",IF(AND(D1684="Formalização",E1684="Concluído"),IF(COUNTIFS($B$2:$B$5001,B1684,$E$2:$E$5001,"Em ajustes",$N$2:$N$5001,"&lt;"&amp;I1684)&gt;0,1,0),0))</f>
        <v/>
      </c>
      <c r="L1684" s="16" t="str">
        <f aca="false">IF(B1684="","",IF(N1684=_xlfn.MAXIFS($N$2:$N$5001,$B$2:$B$5001,B1684,$I$2:$I$5001,I1684),1,0))</f>
        <v/>
      </c>
      <c r="M1684" s="16" t="str">
        <f aca="false">IF(B1684="","",IF(E1684="Em ajustes",IF(N1684=_xlfn.MINIFS($N$2:$N$5001,$B$2:$B$5001,B1684,$E$2:$E$5001,"Em ajustes"),1,0),0))</f>
        <v/>
      </c>
      <c r="N1684" s="17" t="str">
        <f aca="false">IF(A1684="","",IF(ISNUMBER(A1684),A1684,IFERROR(DATE(VALUE(MID(A1684,7,4)),VALUE(MID(A1684,4,2)),VALUE(MID(A1684,1,2)))+TIME(VALUE(MID(A1684,12,2)),VALUE(MID(A1684,15,2)),VALUE(MID(A1684,18,2))),"")))</f>
        <v/>
      </c>
    </row>
    <row r="1685" customFormat="false" ht="15" hidden="false" customHeight="false" outlineLevel="0" collapsed="false">
      <c r="I1685" s="15" t="str">
        <f aca="false">IF(N1685="","",INT(N1685))</f>
        <v/>
      </c>
      <c r="J1685" s="16" t="str">
        <f aca="false">IF(B1685="","",IF(N1685=_xlfn.MINIFS($N$2:$N$5001,$B$2:$B$5001,B1685),1,0))</f>
        <v/>
      </c>
      <c r="K1685" s="16" t="str">
        <f aca="false">IF(B1685="","",IF(AND(D1685="Formalização",E1685="Concluído"),IF(COUNTIFS($B$2:$B$5001,B1685,$E$2:$E$5001,"Em ajustes",$N$2:$N$5001,"&lt;"&amp;I1685)&gt;0,1,0),0))</f>
        <v/>
      </c>
      <c r="L1685" s="16" t="str">
        <f aca="false">IF(B1685="","",IF(N1685=_xlfn.MAXIFS($N$2:$N$5001,$B$2:$B$5001,B1685,$I$2:$I$5001,I1685),1,0))</f>
        <v/>
      </c>
      <c r="M1685" s="16" t="str">
        <f aca="false">IF(B1685="","",IF(E1685="Em ajustes",IF(N1685=_xlfn.MINIFS($N$2:$N$5001,$B$2:$B$5001,B1685,$E$2:$E$5001,"Em ajustes"),1,0),0))</f>
        <v/>
      </c>
      <c r="N1685" s="17" t="str">
        <f aca="false">IF(A1685="","",IF(ISNUMBER(A1685),A1685,IFERROR(DATE(VALUE(MID(A1685,7,4)),VALUE(MID(A1685,4,2)),VALUE(MID(A1685,1,2)))+TIME(VALUE(MID(A1685,12,2)),VALUE(MID(A1685,15,2)),VALUE(MID(A1685,18,2))),"")))</f>
        <v/>
      </c>
    </row>
    <row r="1686" customFormat="false" ht="15" hidden="false" customHeight="false" outlineLevel="0" collapsed="false">
      <c r="I1686" s="15" t="str">
        <f aca="false">IF(N1686="","",INT(N1686))</f>
        <v/>
      </c>
      <c r="J1686" s="16" t="str">
        <f aca="false">IF(B1686="","",IF(N1686=_xlfn.MINIFS($N$2:$N$5001,$B$2:$B$5001,B1686),1,0))</f>
        <v/>
      </c>
      <c r="K1686" s="16" t="str">
        <f aca="false">IF(B1686="","",IF(AND(D1686="Formalização",E1686="Concluído"),IF(COUNTIFS($B$2:$B$5001,B1686,$E$2:$E$5001,"Em ajustes",$N$2:$N$5001,"&lt;"&amp;I1686)&gt;0,1,0),0))</f>
        <v/>
      </c>
      <c r="L1686" s="16" t="str">
        <f aca="false">IF(B1686="","",IF(N1686=_xlfn.MAXIFS($N$2:$N$5001,$B$2:$B$5001,B1686,$I$2:$I$5001,I1686),1,0))</f>
        <v/>
      </c>
      <c r="M1686" s="16" t="str">
        <f aca="false">IF(B1686="","",IF(E1686="Em ajustes",IF(N1686=_xlfn.MINIFS($N$2:$N$5001,$B$2:$B$5001,B1686,$E$2:$E$5001,"Em ajustes"),1,0),0))</f>
        <v/>
      </c>
      <c r="N1686" s="17" t="str">
        <f aca="false">IF(A1686="","",IF(ISNUMBER(A1686),A1686,IFERROR(DATE(VALUE(MID(A1686,7,4)),VALUE(MID(A1686,4,2)),VALUE(MID(A1686,1,2)))+TIME(VALUE(MID(A1686,12,2)),VALUE(MID(A1686,15,2)),VALUE(MID(A1686,18,2))),"")))</f>
        <v/>
      </c>
    </row>
    <row r="1687" customFormat="false" ht="15" hidden="false" customHeight="false" outlineLevel="0" collapsed="false">
      <c r="I1687" s="15" t="str">
        <f aca="false">IF(N1687="","",INT(N1687))</f>
        <v/>
      </c>
      <c r="J1687" s="16" t="str">
        <f aca="false">IF(B1687="","",IF(N1687=_xlfn.MINIFS($N$2:$N$5001,$B$2:$B$5001,B1687),1,0))</f>
        <v/>
      </c>
      <c r="K1687" s="16" t="str">
        <f aca="false">IF(B1687="","",IF(AND(D1687="Formalização",E1687="Concluído"),IF(COUNTIFS($B$2:$B$5001,B1687,$E$2:$E$5001,"Em ajustes",$N$2:$N$5001,"&lt;"&amp;I1687)&gt;0,1,0),0))</f>
        <v/>
      </c>
      <c r="L1687" s="16" t="str">
        <f aca="false">IF(B1687="","",IF(N1687=_xlfn.MAXIFS($N$2:$N$5001,$B$2:$B$5001,B1687,$I$2:$I$5001,I1687),1,0))</f>
        <v/>
      </c>
      <c r="M1687" s="16" t="str">
        <f aca="false">IF(B1687="","",IF(E1687="Em ajustes",IF(N1687=_xlfn.MINIFS($N$2:$N$5001,$B$2:$B$5001,B1687,$E$2:$E$5001,"Em ajustes"),1,0),0))</f>
        <v/>
      </c>
      <c r="N1687" s="17" t="str">
        <f aca="false">IF(A1687="","",IF(ISNUMBER(A1687),A1687,IFERROR(DATE(VALUE(MID(A1687,7,4)),VALUE(MID(A1687,4,2)),VALUE(MID(A1687,1,2)))+TIME(VALUE(MID(A1687,12,2)),VALUE(MID(A1687,15,2)),VALUE(MID(A1687,18,2))),"")))</f>
        <v/>
      </c>
    </row>
    <row r="1688" customFormat="false" ht="15" hidden="false" customHeight="false" outlineLevel="0" collapsed="false">
      <c r="I1688" s="15" t="str">
        <f aca="false">IF(N1688="","",INT(N1688))</f>
        <v/>
      </c>
      <c r="J1688" s="16" t="str">
        <f aca="false">IF(B1688="","",IF(N1688=_xlfn.MINIFS($N$2:$N$5001,$B$2:$B$5001,B1688),1,0))</f>
        <v/>
      </c>
      <c r="K1688" s="16" t="str">
        <f aca="false">IF(B1688="","",IF(AND(D1688="Formalização",E1688="Concluído"),IF(COUNTIFS($B$2:$B$5001,B1688,$E$2:$E$5001,"Em ajustes",$N$2:$N$5001,"&lt;"&amp;I1688)&gt;0,1,0),0))</f>
        <v/>
      </c>
      <c r="L1688" s="16" t="str">
        <f aca="false">IF(B1688="","",IF(N1688=_xlfn.MAXIFS($N$2:$N$5001,$B$2:$B$5001,B1688,$I$2:$I$5001,I1688),1,0))</f>
        <v/>
      </c>
      <c r="M1688" s="16" t="str">
        <f aca="false">IF(B1688="","",IF(E1688="Em ajustes",IF(N1688=_xlfn.MINIFS($N$2:$N$5001,$B$2:$B$5001,B1688,$E$2:$E$5001,"Em ajustes"),1,0),0))</f>
        <v/>
      </c>
      <c r="N1688" s="17" t="str">
        <f aca="false">IF(A1688="","",IF(ISNUMBER(A1688),A1688,IFERROR(DATE(VALUE(MID(A1688,7,4)),VALUE(MID(A1688,4,2)),VALUE(MID(A1688,1,2)))+TIME(VALUE(MID(A1688,12,2)),VALUE(MID(A1688,15,2)),VALUE(MID(A1688,18,2))),"")))</f>
        <v/>
      </c>
    </row>
    <row r="1689" customFormat="false" ht="15" hidden="false" customHeight="false" outlineLevel="0" collapsed="false">
      <c r="I1689" s="15" t="str">
        <f aca="false">IF(N1689="","",INT(N1689))</f>
        <v/>
      </c>
      <c r="J1689" s="16" t="str">
        <f aca="false">IF(B1689="","",IF(N1689=_xlfn.MINIFS($N$2:$N$5001,$B$2:$B$5001,B1689),1,0))</f>
        <v/>
      </c>
      <c r="K1689" s="16" t="str">
        <f aca="false">IF(B1689="","",IF(AND(D1689="Formalização",E1689="Concluído"),IF(COUNTIFS($B$2:$B$5001,B1689,$E$2:$E$5001,"Em ajustes",$N$2:$N$5001,"&lt;"&amp;I1689)&gt;0,1,0),0))</f>
        <v/>
      </c>
      <c r="L1689" s="16" t="str">
        <f aca="false">IF(B1689="","",IF(N1689=_xlfn.MAXIFS($N$2:$N$5001,$B$2:$B$5001,B1689,$I$2:$I$5001,I1689),1,0))</f>
        <v/>
      </c>
      <c r="M1689" s="16" t="str">
        <f aca="false">IF(B1689="","",IF(E1689="Em ajustes",IF(N1689=_xlfn.MINIFS($N$2:$N$5001,$B$2:$B$5001,B1689,$E$2:$E$5001,"Em ajustes"),1,0),0))</f>
        <v/>
      </c>
      <c r="N1689" s="17" t="str">
        <f aca="false">IF(A1689="","",IF(ISNUMBER(A1689),A1689,IFERROR(DATE(VALUE(MID(A1689,7,4)),VALUE(MID(A1689,4,2)),VALUE(MID(A1689,1,2)))+TIME(VALUE(MID(A1689,12,2)),VALUE(MID(A1689,15,2)),VALUE(MID(A1689,18,2))),"")))</f>
        <v/>
      </c>
    </row>
    <row r="1690" customFormat="false" ht="15" hidden="false" customHeight="false" outlineLevel="0" collapsed="false">
      <c r="I1690" s="15" t="str">
        <f aca="false">IF(N1690="","",INT(N1690))</f>
        <v/>
      </c>
      <c r="J1690" s="16" t="str">
        <f aca="false">IF(B1690="","",IF(N1690=_xlfn.MINIFS($N$2:$N$5001,$B$2:$B$5001,B1690),1,0))</f>
        <v/>
      </c>
      <c r="K1690" s="16" t="str">
        <f aca="false">IF(B1690="","",IF(AND(D1690="Formalização",E1690="Concluído"),IF(COUNTIFS($B$2:$B$5001,B1690,$E$2:$E$5001,"Em ajustes",$N$2:$N$5001,"&lt;"&amp;I1690)&gt;0,1,0),0))</f>
        <v/>
      </c>
      <c r="L1690" s="16" t="str">
        <f aca="false">IF(B1690="","",IF(N1690=_xlfn.MAXIFS($N$2:$N$5001,$B$2:$B$5001,B1690,$I$2:$I$5001,I1690),1,0))</f>
        <v/>
      </c>
      <c r="M1690" s="16" t="str">
        <f aca="false">IF(B1690="","",IF(E1690="Em ajustes",IF(N1690=_xlfn.MINIFS($N$2:$N$5001,$B$2:$B$5001,B1690,$E$2:$E$5001,"Em ajustes"),1,0),0))</f>
        <v/>
      </c>
      <c r="N1690" s="17" t="str">
        <f aca="false">IF(A1690="","",IF(ISNUMBER(A1690),A1690,IFERROR(DATE(VALUE(MID(A1690,7,4)),VALUE(MID(A1690,4,2)),VALUE(MID(A1690,1,2)))+TIME(VALUE(MID(A1690,12,2)),VALUE(MID(A1690,15,2)),VALUE(MID(A1690,18,2))),"")))</f>
        <v/>
      </c>
    </row>
    <row r="1691" customFormat="false" ht="15" hidden="false" customHeight="false" outlineLevel="0" collapsed="false">
      <c r="I1691" s="15" t="str">
        <f aca="false">IF(N1691="","",INT(N1691))</f>
        <v/>
      </c>
      <c r="J1691" s="16" t="str">
        <f aca="false">IF(B1691="","",IF(N1691=_xlfn.MINIFS($N$2:$N$5001,$B$2:$B$5001,B1691),1,0))</f>
        <v/>
      </c>
      <c r="K1691" s="16" t="str">
        <f aca="false">IF(B1691="","",IF(AND(D1691="Formalização",E1691="Concluído"),IF(COUNTIFS($B$2:$B$5001,B1691,$E$2:$E$5001,"Em ajustes",$N$2:$N$5001,"&lt;"&amp;I1691)&gt;0,1,0),0))</f>
        <v/>
      </c>
      <c r="L1691" s="16" t="str">
        <f aca="false">IF(B1691="","",IF(N1691=_xlfn.MAXIFS($N$2:$N$5001,$B$2:$B$5001,B1691,$I$2:$I$5001,I1691),1,0))</f>
        <v/>
      </c>
      <c r="M1691" s="16" t="str">
        <f aca="false">IF(B1691="","",IF(E1691="Em ajustes",IF(N1691=_xlfn.MINIFS($N$2:$N$5001,$B$2:$B$5001,B1691,$E$2:$E$5001,"Em ajustes"),1,0),0))</f>
        <v/>
      </c>
      <c r="N1691" s="17" t="str">
        <f aca="false">IF(A1691="","",IF(ISNUMBER(A1691),A1691,IFERROR(DATE(VALUE(MID(A1691,7,4)),VALUE(MID(A1691,4,2)),VALUE(MID(A1691,1,2)))+TIME(VALUE(MID(A1691,12,2)),VALUE(MID(A1691,15,2)),VALUE(MID(A1691,18,2))),"")))</f>
        <v/>
      </c>
    </row>
    <row r="1692" customFormat="false" ht="15" hidden="false" customHeight="false" outlineLevel="0" collapsed="false">
      <c r="I1692" s="15" t="str">
        <f aca="false">IF(N1692="","",INT(N1692))</f>
        <v/>
      </c>
      <c r="J1692" s="16" t="str">
        <f aca="false">IF(B1692="","",IF(N1692=_xlfn.MINIFS($N$2:$N$5001,$B$2:$B$5001,B1692),1,0))</f>
        <v/>
      </c>
      <c r="K1692" s="16" t="str">
        <f aca="false">IF(B1692="","",IF(AND(D1692="Formalização",E1692="Concluído"),IF(COUNTIFS($B$2:$B$5001,B1692,$E$2:$E$5001,"Em ajustes",$N$2:$N$5001,"&lt;"&amp;I1692)&gt;0,1,0),0))</f>
        <v/>
      </c>
      <c r="L1692" s="16" t="str">
        <f aca="false">IF(B1692="","",IF(N1692=_xlfn.MAXIFS($N$2:$N$5001,$B$2:$B$5001,B1692,$I$2:$I$5001,I1692),1,0))</f>
        <v/>
      </c>
      <c r="M1692" s="16" t="str">
        <f aca="false">IF(B1692="","",IF(E1692="Em ajustes",IF(N1692=_xlfn.MINIFS($N$2:$N$5001,$B$2:$B$5001,B1692,$E$2:$E$5001,"Em ajustes"),1,0),0))</f>
        <v/>
      </c>
      <c r="N1692" s="17" t="str">
        <f aca="false">IF(A1692="","",IF(ISNUMBER(A1692),A1692,IFERROR(DATE(VALUE(MID(A1692,7,4)),VALUE(MID(A1692,4,2)),VALUE(MID(A1692,1,2)))+TIME(VALUE(MID(A1692,12,2)),VALUE(MID(A1692,15,2)),VALUE(MID(A1692,18,2))),"")))</f>
        <v/>
      </c>
    </row>
    <row r="1693" customFormat="false" ht="15" hidden="false" customHeight="false" outlineLevel="0" collapsed="false">
      <c r="I1693" s="15" t="str">
        <f aca="false">IF(N1693="","",INT(N1693))</f>
        <v/>
      </c>
      <c r="J1693" s="16" t="str">
        <f aca="false">IF(B1693="","",IF(N1693=_xlfn.MINIFS($N$2:$N$5001,$B$2:$B$5001,B1693),1,0))</f>
        <v/>
      </c>
      <c r="K1693" s="16" t="str">
        <f aca="false">IF(B1693="","",IF(AND(D1693="Formalização",E1693="Concluído"),IF(COUNTIFS($B$2:$B$5001,B1693,$E$2:$E$5001,"Em ajustes",$N$2:$N$5001,"&lt;"&amp;I1693)&gt;0,1,0),0))</f>
        <v/>
      </c>
      <c r="L1693" s="16" t="str">
        <f aca="false">IF(B1693="","",IF(N1693=_xlfn.MAXIFS($N$2:$N$5001,$B$2:$B$5001,B1693,$I$2:$I$5001,I1693),1,0))</f>
        <v/>
      </c>
      <c r="M1693" s="16" t="str">
        <f aca="false">IF(B1693="","",IF(E1693="Em ajustes",IF(N1693=_xlfn.MINIFS($N$2:$N$5001,$B$2:$B$5001,B1693,$E$2:$E$5001,"Em ajustes"),1,0),0))</f>
        <v/>
      </c>
      <c r="N1693" s="17" t="str">
        <f aca="false">IF(A1693="","",IF(ISNUMBER(A1693),A1693,IFERROR(DATE(VALUE(MID(A1693,7,4)),VALUE(MID(A1693,4,2)),VALUE(MID(A1693,1,2)))+TIME(VALUE(MID(A1693,12,2)),VALUE(MID(A1693,15,2)),VALUE(MID(A1693,18,2))),"")))</f>
        <v/>
      </c>
    </row>
    <row r="1694" customFormat="false" ht="15" hidden="false" customHeight="false" outlineLevel="0" collapsed="false">
      <c r="I1694" s="15" t="str">
        <f aca="false">IF(N1694="","",INT(N1694))</f>
        <v/>
      </c>
      <c r="J1694" s="16" t="str">
        <f aca="false">IF(B1694="","",IF(N1694=_xlfn.MINIFS($N$2:$N$5001,$B$2:$B$5001,B1694),1,0))</f>
        <v/>
      </c>
      <c r="K1694" s="16" t="str">
        <f aca="false">IF(B1694="","",IF(AND(D1694="Formalização",E1694="Concluído"),IF(COUNTIFS($B$2:$B$5001,B1694,$E$2:$E$5001,"Em ajustes",$N$2:$N$5001,"&lt;"&amp;I1694)&gt;0,1,0),0))</f>
        <v/>
      </c>
      <c r="L1694" s="16" t="str">
        <f aca="false">IF(B1694="","",IF(N1694=_xlfn.MAXIFS($N$2:$N$5001,$B$2:$B$5001,B1694,$I$2:$I$5001,I1694),1,0))</f>
        <v/>
      </c>
      <c r="M1694" s="16" t="str">
        <f aca="false">IF(B1694="","",IF(E1694="Em ajustes",IF(N1694=_xlfn.MINIFS($N$2:$N$5001,$B$2:$B$5001,B1694,$E$2:$E$5001,"Em ajustes"),1,0),0))</f>
        <v/>
      </c>
      <c r="N1694" s="17" t="str">
        <f aca="false">IF(A1694="","",IF(ISNUMBER(A1694),A1694,IFERROR(DATE(VALUE(MID(A1694,7,4)),VALUE(MID(A1694,4,2)),VALUE(MID(A1694,1,2)))+TIME(VALUE(MID(A1694,12,2)),VALUE(MID(A1694,15,2)),VALUE(MID(A1694,18,2))),"")))</f>
        <v/>
      </c>
    </row>
    <row r="1695" customFormat="false" ht="15" hidden="false" customHeight="false" outlineLevel="0" collapsed="false">
      <c r="I1695" s="15" t="str">
        <f aca="false">IF(N1695="","",INT(N1695))</f>
        <v/>
      </c>
      <c r="J1695" s="16" t="str">
        <f aca="false">IF(B1695="","",IF(N1695=_xlfn.MINIFS($N$2:$N$5001,$B$2:$B$5001,B1695),1,0))</f>
        <v/>
      </c>
      <c r="K1695" s="16" t="str">
        <f aca="false">IF(B1695="","",IF(AND(D1695="Formalização",E1695="Concluído"),IF(COUNTIFS($B$2:$B$5001,B1695,$E$2:$E$5001,"Em ajustes",$N$2:$N$5001,"&lt;"&amp;I1695)&gt;0,1,0),0))</f>
        <v/>
      </c>
      <c r="L1695" s="16" t="str">
        <f aca="false">IF(B1695="","",IF(N1695=_xlfn.MAXIFS($N$2:$N$5001,$B$2:$B$5001,B1695,$I$2:$I$5001,I1695),1,0))</f>
        <v/>
      </c>
      <c r="M1695" s="16" t="str">
        <f aca="false">IF(B1695="","",IF(E1695="Em ajustes",IF(N1695=_xlfn.MINIFS($N$2:$N$5001,$B$2:$B$5001,B1695,$E$2:$E$5001,"Em ajustes"),1,0),0))</f>
        <v/>
      </c>
      <c r="N1695" s="17" t="str">
        <f aca="false">IF(A1695="","",IF(ISNUMBER(A1695),A1695,IFERROR(DATE(VALUE(MID(A1695,7,4)),VALUE(MID(A1695,4,2)),VALUE(MID(A1695,1,2)))+TIME(VALUE(MID(A1695,12,2)),VALUE(MID(A1695,15,2)),VALUE(MID(A1695,18,2))),"")))</f>
        <v/>
      </c>
    </row>
    <row r="1696" customFormat="false" ht="15" hidden="false" customHeight="false" outlineLevel="0" collapsed="false">
      <c r="I1696" s="15" t="str">
        <f aca="false">IF(N1696="","",INT(N1696))</f>
        <v/>
      </c>
      <c r="J1696" s="16" t="str">
        <f aca="false">IF(B1696="","",IF(N1696=_xlfn.MINIFS($N$2:$N$5001,$B$2:$B$5001,B1696),1,0))</f>
        <v/>
      </c>
      <c r="K1696" s="16" t="str">
        <f aca="false">IF(B1696="","",IF(AND(D1696="Formalização",E1696="Concluído"),IF(COUNTIFS($B$2:$B$5001,B1696,$E$2:$E$5001,"Em ajustes",$N$2:$N$5001,"&lt;"&amp;I1696)&gt;0,1,0),0))</f>
        <v/>
      </c>
      <c r="L1696" s="16" t="str">
        <f aca="false">IF(B1696="","",IF(N1696=_xlfn.MAXIFS($N$2:$N$5001,$B$2:$B$5001,B1696,$I$2:$I$5001,I1696),1,0))</f>
        <v/>
      </c>
      <c r="M1696" s="16" t="str">
        <f aca="false">IF(B1696="","",IF(E1696="Em ajustes",IF(N1696=_xlfn.MINIFS($N$2:$N$5001,$B$2:$B$5001,B1696,$E$2:$E$5001,"Em ajustes"),1,0),0))</f>
        <v/>
      </c>
      <c r="N1696" s="17" t="str">
        <f aca="false">IF(A1696="","",IF(ISNUMBER(A1696),A1696,IFERROR(DATE(VALUE(MID(A1696,7,4)),VALUE(MID(A1696,4,2)),VALUE(MID(A1696,1,2)))+TIME(VALUE(MID(A1696,12,2)),VALUE(MID(A1696,15,2)),VALUE(MID(A1696,18,2))),"")))</f>
        <v/>
      </c>
    </row>
    <row r="1697" customFormat="false" ht="15" hidden="false" customHeight="false" outlineLevel="0" collapsed="false">
      <c r="I1697" s="15" t="str">
        <f aca="false">IF(N1697="","",INT(N1697))</f>
        <v/>
      </c>
      <c r="J1697" s="16" t="str">
        <f aca="false">IF(B1697="","",IF(N1697=_xlfn.MINIFS($N$2:$N$5001,$B$2:$B$5001,B1697),1,0))</f>
        <v/>
      </c>
      <c r="K1697" s="16" t="str">
        <f aca="false">IF(B1697="","",IF(AND(D1697="Formalização",E1697="Concluído"),IF(COUNTIFS($B$2:$B$5001,B1697,$E$2:$E$5001,"Em ajustes",$N$2:$N$5001,"&lt;"&amp;I1697)&gt;0,1,0),0))</f>
        <v/>
      </c>
      <c r="L1697" s="16" t="str">
        <f aca="false">IF(B1697="","",IF(N1697=_xlfn.MAXIFS($N$2:$N$5001,$B$2:$B$5001,B1697,$I$2:$I$5001,I1697),1,0))</f>
        <v/>
      </c>
      <c r="M1697" s="16" t="str">
        <f aca="false">IF(B1697="","",IF(E1697="Em ajustes",IF(N1697=_xlfn.MINIFS($N$2:$N$5001,$B$2:$B$5001,B1697,$E$2:$E$5001,"Em ajustes"),1,0),0))</f>
        <v/>
      </c>
      <c r="N1697" s="17" t="str">
        <f aca="false">IF(A1697="","",IF(ISNUMBER(A1697),A1697,IFERROR(DATE(VALUE(MID(A1697,7,4)),VALUE(MID(A1697,4,2)),VALUE(MID(A1697,1,2)))+TIME(VALUE(MID(A1697,12,2)),VALUE(MID(A1697,15,2)),VALUE(MID(A1697,18,2))),"")))</f>
        <v/>
      </c>
    </row>
    <row r="1698" customFormat="false" ht="15" hidden="false" customHeight="false" outlineLevel="0" collapsed="false">
      <c r="I1698" s="15" t="str">
        <f aca="false">IF(N1698="","",INT(N1698))</f>
        <v/>
      </c>
      <c r="J1698" s="16" t="str">
        <f aca="false">IF(B1698="","",IF(N1698=_xlfn.MINIFS($N$2:$N$5001,$B$2:$B$5001,B1698),1,0))</f>
        <v/>
      </c>
      <c r="K1698" s="16" t="str">
        <f aca="false">IF(B1698="","",IF(AND(D1698="Formalização",E1698="Concluído"),IF(COUNTIFS($B$2:$B$5001,B1698,$E$2:$E$5001,"Em ajustes",$N$2:$N$5001,"&lt;"&amp;I1698)&gt;0,1,0),0))</f>
        <v/>
      </c>
      <c r="L1698" s="16" t="str">
        <f aca="false">IF(B1698="","",IF(N1698=_xlfn.MAXIFS($N$2:$N$5001,$B$2:$B$5001,B1698,$I$2:$I$5001,I1698),1,0))</f>
        <v/>
      </c>
      <c r="M1698" s="16" t="str">
        <f aca="false">IF(B1698="","",IF(E1698="Em ajustes",IF(N1698=_xlfn.MINIFS($N$2:$N$5001,$B$2:$B$5001,B1698,$E$2:$E$5001,"Em ajustes"),1,0),0))</f>
        <v/>
      </c>
      <c r="N1698" s="17" t="str">
        <f aca="false">IF(A1698="","",IF(ISNUMBER(A1698),A1698,IFERROR(DATE(VALUE(MID(A1698,7,4)),VALUE(MID(A1698,4,2)),VALUE(MID(A1698,1,2)))+TIME(VALUE(MID(A1698,12,2)),VALUE(MID(A1698,15,2)),VALUE(MID(A1698,18,2))),"")))</f>
        <v/>
      </c>
    </row>
    <row r="1699" customFormat="false" ht="15" hidden="false" customHeight="false" outlineLevel="0" collapsed="false">
      <c r="I1699" s="15" t="str">
        <f aca="false">IF(N1699="","",INT(N1699))</f>
        <v/>
      </c>
      <c r="J1699" s="16" t="str">
        <f aca="false">IF(B1699="","",IF(N1699=_xlfn.MINIFS($N$2:$N$5001,$B$2:$B$5001,B1699),1,0))</f>
        <v/>
      </c>
      <c r="K1699" s="16" t="str">
        <f aca="false">IF(B1699="","",IF(AND(D1699="Formalização",E1699="Concluído"),IF(COUNTIFS($B$2:$B$5001,B1699,$E$2:$E$5001,"Em ajustes",$N$2:$N$5001,"&lt;"&amp;I1699)&gt;0,1,0),0))</f>
        <v/>
      </c>
      <c r="L1699" s="16" t="str">
        <f aca="false">IF(B1699="","",IF(N1699=_xlfn.MAXIFS($N$2:$N$5001,$B$2:$B$5001,B1699,$I$2:$I$5001,I1699),1,0))</f>
        <v/>
      </c>
      <c r="M1699" s="16" t="str">
        <f aca="false">IF(B1699="","",IF(E1699="Em ajustes",IF(N1699=_xlfn.MINIFS($N$2:$N$5001,$B$2:$B$5001,B1699,$E$2:$E$5001,"Em ajustes"),1,0),0))</f>
        <v/>
      </c>
      <c r="N1699" s="17" t="str">
        <f aca="false">IF(A1699="","",IF(ISNUMBER(A1699),A1699,IFERROR(DATE(VALUE(MID(A1699,7,4)),VALUE(MID(A1699,4,2)),VALUE(MID(A1699,1,2)))+TIME(VALUE(MID(A1699,12,2)),VALUE(MID(A1699,15,2)),VALUE(MID(A1699,18,2))),"")))</f>
        <v/>
      </c>
    </row>
    <row r="1700" customFormat="false" ht="15" hidden="false" customHeight="false" outlineLevel="0" collapsed="false">
      <c r="I1700" s="15" t="str">
        <f aca="false">IF(N1700="","",INT(N1700))</f>
        <v/>
      </c>
      <c r="J1700" s="16" t="str">
        <f aca="false">IF(B1700="","",IF(N1700=_xlfn.MINIFS($N$2:$N$5001,$B$2:$B$5001,B1700),1,0))</f>
        <v/>
      </c>
      <c r="K1700" s="16" t="str">
        <f aca="false">IF(B1700="","",IF(AND(D1700="Formalização",E1700="Concluído"),IF(COUNTIFS($B$2:$B$5001,B1700,$E$2:$E$5001,"Em ajustes",$N$2:$N$5001,"&lt;"&amp;I1700)&gt;0,1,0),0))</f>
        <v/>
      </c>
      <c r="L1700" s="16" t="str">
        <f aca="false">IF(B1700="","",IF(N1700=_xlfn.MAXIFS($N$2:$N$5001,$B$2:$B$5001,B1700,$I$2:$I$5001,I1700),1,0))</f>
        <v/>
      </c>
      <c r="M1700" s="16" t="str">
        <f aca="false">IF(B1700="","",IF(E1700="Em ajustes",IF(N1700=_xlfn.MINIFS($N$2:$N$5001,$B$2:$B$5001,B1700,$E$2:$E$5001,"Em ajustes"),1,0),0))</f>
        <v/>
      </c>
      <c r="N1700" s="17" t="str">
        <f aca="false">IF(A1700="","",IF(ISNUMBER(A1700),A1700,IFERROR(DATE(VALUE(MID(A1700,7,4)),VALUE(MID(A1700,4,2)),VALUE(MID(A1700,1,2)))+TIME(VALUE(MID(A1700,12,2)),VALUE(MID(A1700,15,2)),VALUE(MID(A1700,18,2))),"")))</f>
        <v/>
      </c>
    </row>
    <row r="1701" customFormat="false" ht="15" hidden="false" customHeight="false" outlineLevel="0" collapsed="false">
      <c r="I1701" s="15" t="str">
        <f aca="false">IF(N1701="","",INT(N1701))</f>
        <v/>
      </c>
      <c r="J1701" s="16" t="str">
        <f aca="false">IF(B1701="","",IF(N1701=_xlfn.MINIFS($N$2:$N$5001,$B$2:$B$5001,B1701),1,0))</f>
        <v/>
      </c>
      <c r="K1701" s="16" t="str">
        <f aca="false">IF(B1701="","",IF(AND(D1701="Formalização",E1701="Concluído"),IF(COUNTIFS($B$2:$B$5001,B1701,$E$2:$E$5001,"Em ajustes",$N$2:$N$5001,"&lt;"&amp;I1701)&gt;0,1,0),0))</f>
        <v/>
      </c>
      <c r="L1701" s="16" t="str">
        <f aca="false">IF(B1701="","",IF(N1701=_xlfn.MAXIFS($N$2:$N$5001,$B$2:$B$5001,B1701,$I$2:$I$5001,I1701),1,0))</f>
        <v/>
      </c>
      <c r="M1701" s="16" t="str">
        <f aca="false">IF(B1701="","",IF(E1701="Em ajustes",IF(N1701=_xlfn.MINIFS($N$2:$N$5001,$B$2:$B$5001,B1701,$E$2:$E$5001,"Em ajustes"),1,0),0))</f>
        <v/>
      </c>
      <c r="N1701" s="17" t="str">
        <f aca="false">IF(A1701="","",IF(ISNUMBER(A1701),A1701,IFERROR(DATE(VALUE(MID(A1701,7,4)),VALUE(MID(A1701,4,2)),VALUE(MID(A1701,1,2)))+TIME(VALUE(MID(A1701,12,2)),VALUE(MID(A1701,15,2)),VALUE(MID(A1701,18,2))),"")))</f>
        <v/>
      </c>
    </row>
    <row r="1702" customFormat="false" ht="15" hidden="false" customHeight="false" outlineLevel="0" collapsed="false">
      <c r="I1702" s="15" t="str">
        <f aca="false">IF(N1702="","",INT(N1702))</f>
        <v/>
      </c>
      <c r="J1702" s="16" t="str">
        <f aca="false">IF(B1702="","",IF(N1702=_xlfn.MINIFS($N$2:$N$5001,$B$2:$B$5001,B1702),1,0))</f>
        <v/>
      </c>
      <c r="K1702" s="16" t="str">
        <f aca="false">IF(B1702="","",IF(AND(D1702="Formalização",E1702="Concluído"),IF(COUNTIFS($B$2:$B$5001,B1702,$E$2:$E$5001,"Em ajustes",$N$2:$N$5001,"&lt;"&amp;I1702)&gt;0,1,0),0))</f>
        <v/>
      </c>
      <c r="L1702" s="16" t="str">
        <f aca="false">IF(B1702="","",IF(N1702=_xlfn.MAXIFS($N$2:$N$5001,$B$2:$B$5001,B1702,$I$2:$I$5001,I1702),1,0))</f>
        <v/>
      </c>
      <c r="M1702" s="16" t="str">
        <f aca="false">IF(B1702="","",IF(E1702="Em ajustes",IF(N1702=_xlfn.MINIFS($N$2:$N$5001,$B$2:$B$5001,B1702,$E$2:$E$5001,"Em ajustes"),1,0),0))</f>
        <v/>
      </c>
      <c r="N1702" s="17" t="str">
        <f aca="false">IF(A1702="","",IF(ISNUMBER(A1702),A1702,IFERROR(DATE(VALUE(MID(A1702,7,4)),VALUE(MID(A1702,4,2)),VALUE(MID(A1702,1,2)))+TIME(VALUE(MID(A1702,12,2)),VALUE(MID(A1702,15,2)),VALUE(MID(A1702,18,2))),"")))</f>
        <v/>
      </c>
    </row>
    <row r="1703" customFormat="false" ht="15" hidden="false" customHeight="false" outlineLevel="0" collapsed="false">
      <c r="I1703" s="15" t="str">
        <f aca="false">IF(N1703="","",INT(N1703))</f>
        <v/>
      </c>
      <c r="J1703" s="16" t="str">
        <f aca="false">IF(B1703="","",IF(N1703=_xlfn.MINIFS($N$2:$N$5001,$B$2:$B$5001,B1703),1,0))</f>
        <v/>
      </c>
      <c r="K1703" s="16" t="str">
        <f aca="false">IF(B1703="","",IF(AND(D1703="Formalização",E1703="Concluído"),IF(COUNTIFS($B$2:$B$5001,B1703,$E$2:$E$5001,"Em ajustes",$N$2:$N$5001,"&lt;"&amp;I1703)&gt;0,1,0),0))</f>
        <v/>
      </c>
      <c r="L1703" s="16" t="str">
        <f aca="false">IF(B1703="","",IF(N1703=_xlfn.MAXIFS($N$2:$N$5001,$B$2:$B$5001,B1703,$I$2:$I$5001,I1703),1,0))</f>
        <v/>
      </c>
      <c r="M1703" s="16" t="str">
        <f aca="false">IF(B1703="","",IF(E1703="Em ajustes",IF(N1703=_xlfn.MINIFS($N$2:$N$5001,$B$2:$B$5001,B1703,$E$2:$E$5001,"Em ajustes"),1,0),0))</f>
        <v/>
      </c>
      <c r="N1703" s="17" t="str">
        <f aca="false">IF(A1703="","",IF(ISNUMBER(A1703),A1703,IFERROR(DATE(VALUE(MID(A1703,7,4)),VALUE(MID(A1703,4,2)),VALUE(MID(A1703,1,2)))+TIME(VALUE(MID(A1703,12,2)),VALUE(MID(A1703,15,2)),VALUE(MID(A1703,18,2))),"")))</f>
        <v/>
      </c>
    </row>
    <row r="1704" customFormat="false" ht="15" hidden="false" customHeight="false" outlineLevel="0" collapsed="false">
      <c r="I1704" s="15" t="str">
        <f aca="false">IF(N1704="","",INT(N1704))</f>
        <v/>
      </c>
      <c r="J1704" s="16" t="str">
        <f aca="false">IF(B1704="","",IF(N1704=_xlfn.MINIFS($N$2:$N$5001,$B$2:$B$5001,B1704),1,0))</f>
        <v/>
      </c>
      <c r="K1704" s="16" t="str">
        <f aca="false">IF(B1704="","",IF(AND(D1704="Formalização",E1704="Concluído"),IF(COUNTIFS($B$2:$B$5001,B1704,$E$2:$E$5001,"Em ajustes",$N$2:$N$5001,"&lt;"&amp;I1704)&gt;0,1,0),0))</f>
        <v/>
      </c>
      <c r="L1704" s="16" t="str">
        <f aca="false">IF(B1704="","",IF(N1704=_xlfn.MAXIFS($N$2:$N$5001,$B$2:$B$5001,B1704,$I$2:$I$5001,I1704),1,0))</f>
        <v/>
      </c>
      <c r="M1704" s="16" t="str">
        <f aca="false">IF(B1704="","",IF(E1704="Em ajustes",IF(N1704=_xlfn.MINIFS($N$2:$N$5001,$B$2:$B$5001,B1704,$E$2:$E$5001,"Em ajustes"),1,0),0))</f>
        <v/>
      </c>
      <c r="N1704" s="17" t="str">
        <f aca="false">IF(A1704="","",IF(ISNUMBER(A1704),A1704,IFERROR(DATE(VALUE(MID(A1704,7,4)),VALUE(MID(A1704,4,2)),VALUE(MID(A1704,1,2)))+TIME(VALUE(MID(A1704,12,2)),VALUE(MID(A1704,15,2)),VALUE(MID(A1704,18,2))),"")))</f>
        <v/>
      </c>
    </row>
    <row r="1705" customFormat="false" ht="15" hidden="false" customHeight="false" outlineLevel="0" collapsed="false">
      <c r="I1705" s="15" t="str">
        <f aca="false">IF(N1705="","",INT(N1705))</f>
        <v/>
      </c>
      <c r="J1705" s="16" t="str">
        <f aca="false">IF(B1705="","",IF(N1705=_xlfn.MINIFS($N$2:$N$5001,$B$2:$B$5001,B1705),1,0))</f>
        <v/>
      </c>
      <c r="K1705" s="16" t="str">
        <f aca="false">IF(B1705="","",IF(AND(D1705="Formalização",E1705="Concluído"),IF(COUNTIFS($B$2:$B$5001,B1705,$E$2:$E$5001,"Em ajustes",$N$2:$N$5001,"&lt;"&amp;I1705)&gt;0,1,0),0))</f>
        <v/>
      </c>
      <c r="L1705" s="16" t="str">
        <f aca="false">IF(B1705="","",IF(N1705=_xlfn.MAXIFS($N$2:$N$5001,$B$2:$B$5001,B1705,$I$2:$I$5001,I1705),1,0))</f>
        <v/>
      </c>
      <c r="M1705" s="16" t="str">
        <f aca="false">IF(B1705="","",IF(E1705="Em ajustes",IF(N1705=_xlfn.MINIFS($N$2:$N$5001,$B$2:$B$5001,B1705,$E$2:$E$5001,"Em ajustes"),1,0),0))</f>
        <v/>
      </c>
      <c r="N1705" s="17" t="str">
        <f aca="false">IF(A1705="","",IF(ISNUMBER(A1705),A1705,IFERROR(DATE(VALUE(MID(A1705,7,4)),VALUE(MID(A1705,4,2)),VALUE(MID(A1705,1,2)))+TIME(VALUE(MID(A1705,12,2)),VALUE(MID(A1705,15,2)),VALUE(MID(A1705,18,2))),"")))</f>
        <v/>
      </c>
    </row>
    <row r="1706" customFormat="false" ht="15" hidden="false" customHeight="false" outlineLevel="0" collapsed="false">
      <c r="I1706" s="15" t="str">
        <f aca="false">IF(N1706="","",INT(N1706))</f>
        <v/>
      </c>
      <c r="J1706" s="16" t="str">
        <f aca="false">IF(B1706="","",IF(N1706=_xlfn.MINIFS($N$2:$N$5001,$B$2:$B$5001,B1706),1,0))</f>
        <v/>
      </c>
      <c r="K1706" s="16" t="str">
        <f aca="false">IF(B1706="","",IF(AND(D1706="Formalização",E1706="Concluído"),IF(COUNTIFS($B$2:$B$5001,B1706,$E$2:$E$5001,"Em ajustes",$N$2:$N$5001,"&lt;"&amp;I1706)&gt;0,1,0),0))</f>
        <v/>
      </c>
      <c r="L1706" s="16" t="str">
        <f aca="false">IF(B1706="","",IF(N1706=_xlfn.MAXIFS($N$2:$N$5001,$B$2:$B$5001,B1706,$I$2:$I$5001,I1706),1,0))</f>
        <v/>
      </c>
      <c r="M1706" s="16" t="str">
        <f aca="false">IF(B1706="","",IF(E1706="Em ajustes",IF(N1706=_xlfn.MINIFS($N$2:$N$5001,$B$2:$B$5001,B1706,$E$2:$E$5001,"Em ajustes"),1,0),0))</f>
        <v/>
      </c>
      <c r="N1706" s="17" t="str">
        <f aca="false">IF(A1706="","",IF(ISNUMBER(A1706),A1706,IFERROR(DATE(VALUE(MID(A1706,7,4)),VALUE(MID(A1706,4,2)),VALUE(MID(A1706,1,2)))+TIME(VALUE(MID(A1706,12,2)),VALUE(MID(A1706,15,2)),VALUE(MID(A1706,18,2))),"")))</f>
        <v/>
      </c>
    </row>
    <row r="1707" customFormat="false" ht="15" hidden="false" customHeight="false" outlineLevel="0" collapsed="false">
      <c r="I1707" s="15" t="str">
        <f aca="false">IF(N1707="","",INT(N1707))</f>
        <v/>
      </c>
      <c r="J1707" s="16" t="str">
        <f aca="false">IF(B1707="","",IF(N1707=_xlfn.MINIFS($N$2:$N$5001,$B$2:$B$5001,B1707),1,0))</f>
        <v/>
      </c>
      <c r="K1707" s="16" t="str">
        <f aca="false">IF(B1707="","",IF(AND(D1707="Formalização",E1707="Concluído"),IF(COUNTIFS($B$2:$B$5001,B1707,$E$2:$E$5001,"Em ajustes",$N$2:$N$5001,"&lt;"&amp;I1707)&gt;0,1,0),0))</f>
        <v/>
      </c>
      <c r="L1707" s="16" t="str">
        <f aca="false">IF(B1707="","",IF(N1707=_xlfn.MAXIFS($N$2:$N$5001,$B$2:$B$5001,B1707,$I$2:$I$5001,I1707),1,0))</f>
        <v/>
      </c>
      <c r="M1707" s="16" t="str">
        <f aca="false">IF(B1707="","",IF(E1707="Em ajustes",IF(N1707=_xlfn.MINIFS($N$2:$N$5001,$B$2:$B$5001,B1707,$E$2:$E$5001,"Em ajustes"),1,0),0))</f>
        <v/>
      </c>
      <c r="N1707" s="17" t="str">
        <f aca="false">IF(A1707="","",IF(ISNUMBER(A1707),A1707,IFERROR(DATE(VALUE(MID(A1707,7,4)),VALUE(MID(A1707,4,2)),VALUE(MID(A1707,1,2)))+TIME(VALUE(MID(A1707,12,2)),VALUE(MID(A1707,15,2)),VALUE(MID(A1707,18,2))),"")))</f>
        <v/>
      </c>
    </row>
    <row r="1708" customFormat="false" ht="15" hidden="false" customHeight="false" outlineLevel="0" collapsed="false">
      <c r="I1708" s="15" t="str">
        <f aca="false">IF(N1708="","",INT(N1708))</f>
        <v/>
      </c>
      <c r="J1708" s="16" t="str">
        <f aca="false">IF(B1708="","",IF(N1708=_xlfn.MINIFS($N$2:$N$5001,$B$2:$B$5001,B1708),1,0))</f>
        <v/>
      </c>
      <c r="K1708" s="16" t="str">
        <f aca="false">IF(B1708="","",IF(AND(D1708="Formalização",E1708="Concluído"),IF(COUNTIFS($B$2:$B$5001,B1708,$E$2:$E$5001,"Em ajustes",$N$2:$N$5001,"&lt;"&amp;I1708)&gt;0,1,0),0))</f>
        <v/>
      </c>
      <c r="L1708" s="16" t="str">
        <f aca="false">IF(B1708="","",IF(N1708=_xlfn.MAXIFS($N$2:$N$5001,$B$2:$B$5001,B1708,$I$2:$I$5001,I1708),1,0))</f>
        <v/>
      </c>
      <c r="M1708" s="16" t="str">
        <f aca="false">IF(B1708="","",IF(E1708="Em ajustes",IF(N1708=_xlfn.MINIFS($N$2:$N$5001,$B$2:$B$5001,B1708,$E$2:$E$5001,"Em ajustes"),1,0),0))</f>
        <v/>
      </c>
      <c r="N1708" s="17" t="str">
        <f aca="false">IF(A1708="","",IF(ISNUMBER(A1708),A1708,IFERROR(DATE(VALUE(MID(A1708,7,4)),VALUE(MID(A1708,4,2)),VALUE(MID(A1708,1,2)))+TIME(VALUE(MID(A1708,12,2)),VALUE(MID(A1708,15,2)),VALUE(MID(A1708,18,2))),"")))</f>
        <v/>
      </c>
    </row>
    <row r="1709" customFormat="false" ht="15" hidden="false" customHeight="false" outlineLevel="0" collapsed="false">
      <c r="I1709" s="15" t="str">
        <f aca="false">IF(N1709="","",INT(N1709))</f>
        <v/>
      </c>
      <c r="J1709" s="16" t="str">
        <f aca="false">IF(B1709="","",IF(N1709=_xlfn.MINIFS($N$2:$N$5001,$B$2:$B$5001,B1709),1,0))</f>
        <v/>
      </c>
      <c r="K1709" s="16" t="str">
        <f aca="false">IF(B1709="","",IF(AND(D1709="Formalização",E1709="Concluído"),IF(COUNTIFS($B$2:$B$5001,B1709,$E$2:$E$5001,"Em ajustes",$N$2:$N$5001,"&lt;"&amp;I1709)&gt;0,1,0),0))</f>
        <v/>
      </c>
      <c r="L1709" s="16" t="str">
        <f aca="false">IF(B1709="","",IF(N1709=_xlfn.MAXIFS($N$2:$N$5001,$B$2:$B$5001,B1709,$I$2:$I$5001,I1709),1,0))</f>
        <v/>
      </c>
      <c r="M1709" s="16" t="str">
        <f aca="false">IF(B1709="","",IF(E1709="Em ajustes",IF(N1709=_xlfn.MINIFS($N$2:$N$5001,$B$2:$B$5001,B1709,$E$2:$E$5001,"Em ajustes"),1,0),0))</f>
        <v/>
      </c>
      <c r="N1709" s="17" t="str">
        <f aca="false">IF(A1709="","",IF(ISNUMBER(A1709),A1709,IFERROR(DATE(VALUE(MID(A1709,7,4)),VALUE(MID(A1709,4,2)),VALUE(MID(A1709,1,2)))+TIME(VALUE(MID(A1709,12,2)),VALUE(MID(A1709,15,2)),VALUE(MID(A1709,18,2))),"")))</f>
        <v/>
      </c>
    </row>
    <row r="1710" customFormat="false" ht="15" hidden="false" customHeight="false" outlineLevel="0" collapsed="false">
      <c r="I1710" s="15" t="str">
        <f aca="false">IF(N1710="","",INT(N1710))</f>
        <v/>
      </c>
      <c r="J1710" s="16" t="str">
        <f aca="false">IF(B1710="","",IF(N1710=_xlfn.MINIFS($N$2:$N$5001,$B$2:$B$5001,B1710),1,0))</f>
        <v/>
      </c>
      <c r="K1710" s="16" t="str">
        <f aca="false">IF(B1710="","",IF(AND(D1710="Formalização",E1710="Concluído"),IF(COUNTIFS($B$2:$B$5001,B1710,$E$2:$E$5001,"Em ajustes",$N$2:$N$5001,"&lt;"&amp;I1710)&gt;0,1,0),0))</f>
        <v/>
      </c>
      <c r="L1710" s="16" t="str">
        <f aca="false">IF(B1710="","",IF(N1710=_xlfn.MAXIFS($N$2:$N$5001,$B$2:$B$5001,B1710,$I$2:$I$5001,I1710),1,0))</f>
        <v/>
      </c>
      <c r="M1710" s="16" t="str">
        <f aca="false">IF(B1710="","",IF(E1710="Em ajustes",IF(N1710=_xlfn.MINIFS($N$2:$N$5001,$B$2:$B$5001,B1710,$E$2:$E$5001,"Em ajustes"),1,0),0))</f>
        <v/>
      </c>
      <c r="N1710" s="17" t="str">
        <f aca="false">IF(A1710="","",IF(ISNUMBER(A1710),A1710,IFERROR(DATE(VALUE(MID(A1710,7,4)),VALUE(MID(A1710,4,2)),VALUE(MID(A1710,1,2)))+TIME(VALUE(MID(A1710,12,2)),VALUE(MID(A1710,15,2)),VALUE(MID(A1710,18,2))),"")))</f>
        <v/>
      </c>
    </row>
    <row r="1711" customFormat="false" ht="15" hidden="false" customHeight="false" outlineLevel="0" collapsed="false">
      <c r="I1711" s="15" t="str">
        <f aca="false">IF(N1711="","",INT(N1711))</f>
        <v/>
      </c>
      <c r="J1711" s="16" t="str">
        <f aca="false">IF(B1711="","",IF(N1711=_xlfn.MINIFS($N$2:$N$5001,$B$2:$B$5001,B1711),1,0))</f>
        <v/>
      </c>
      <c r="K1711" s="16" t="str">
        <f aca="false">IF(B1711="","",IF(AND(D1711="Formalização",E1711="Concluído"),IF(COUNTIFS($B$2:$B$5001,B1711,$E$2:$E$5001,"Em ajustes",$N$2:$N$5001,"&lt;"&amp;I1711)&gt;0,1,0),0))</f>
        <v/>
      </c>
      <c r="L1711" s="16" t="str">
        <f aca="false">IF(B1711="","",IF(N1711=_xlfn.MAXIFS($N$2:$N$5001,$B$2:$B$5001,B1711,$I$2:$I$5001,I1711),1,0))</f>
        <v/>
      </c>
      <c r="M1711" s="16" t="str">
        <f aca="false">IF(B1711="","",IF(E1711="Em ajustes",IF(N1711=_xlfn.MINIFS($N$2:$N$5001,$B$2:$B$5001,B1711,$E$2:$E$5001,"Em ajustes"),1,0),0))</f>
        <v/>
      </c>
      <c r="N1711" s="17" t="str">
        <f aca="false">IF(A1711="","",IF(ISNUMBER(A1711),A1711,IFERROR(DATE(VALUE(MID(A1711,7,4)),VALUE(MID(A1711,4,2)),VALUE(MID(A1711,1,2)))+TIME(VALUE(MID(A1711,12,2)),VALUE(MID(A1711,15,2)),VALUE(MID(A1711,18,2))),"")))</f>
        <v/>
      </c>
    </row>
    <row r="1712" customFormat="false" ht="15" hidden="false" customHeight="false" outlineLevel="0" collapsed="false">
      <c r="I1712" s="15" t="str">
        <f aca="false">IF(N1712="","",INT(N1712))</f>
        <v/>
      </c>
      <c r="J1712" s="16" t="str">
        <f aca="false">IF(B1712="","",IF(N1712=_xlfn.MINIFS($N$2:$N$5001,$B$2:$B$5001,B1712),1,0))</f>
        <v/>
      </c>
      <c r="K1712" s="16" t="str">
        <f aca="false">IF(B1712="","",IF(AND(D1712="Formalização",E1712="Concluído"),IF(COUNTIFS($B$2:$B$5001,B1712,$E$2:$E$5001,"Em ajustes",$N$2:$N$5001,"&lt;"&amp;I1712)&gt;0,1,0),0))</f>
        <v/>
      </c>
      <c r="L1712" s="16" t="str">
        <f aca="false">IF(B1712="","",IF(N1712=_xlfn.MAXIFS($N$2:$N$5001,$B$2:$B$5001,B1712,$I$2:$I$5001,I1712),1,0))</f>
        <v/>
      </c>
      <c r="M1712" s="16" t="str">
        <f aca="false">IF(B1712="","",IF(E1712="Em ajustes",IF(N1712=_xlfn.MINIFS($N$2:$N$5001,$B$2:$B$5001,B1712,$E$2:$E$5001,"Em ajustes"),1,0),0))</f>
        <v/>
      </c>
      <c r="N1712" s="17" t="str">
        <f aca="false">IF(A1712="","",IF(ISNUMBER(A1712),A1712,IFERROR(DATE(VALUE(MID(A1712,7,4)),VALUE(MID(A1712,4,2)),VALUE(MID(A1712,1,2)))+TIME(VALUE(MID(A1712,12,2)),VALUE(MID(A1712,15,2)),VALUE(MID(A1712,18,2))),"")))</f>
        <v/>
      </c>
    </row>
    <row r="1713" customFormat="false" ht="15" hidden="false" customHeight="false" outlineLevel="0" collapsed="false">
      <c r="I1713" s="15" t="str">
        <f aca="false">IF(N1713="","",INT(N1713))</f>
        <v/>
      </c>
      <c r="J1713" s="16" t="str">
        <f aca="false">IF(B1713="","",IF(N1713=_xlfn.MINIFS($N$2:$N$5001,$B$2:$B$5001,B1713),1,0))</f>
        <v/>
      </c>
      <c r="K1713" s="16" t="str">
        <f aca="false">IF(B1713="","",IF(AND(D1713="Formalização",E1713="Concluído"),IF(COUNTIFS($B$2:$B$5001,B1713,$E$2:$E$5001,"Em ajustes",$N$2:$N$5001,"&lt;"&amp;I1713)&gt;0,1,0),0))</f>
        <v/>
      </c>
      <c r="L1713" s="16" t="str">
        <f aca="false">IF(B1713="","",IF(N1713=_xlfn.MAXIFS($N$2:$N$5001,$B$2:$B$5001,B1713,$I$2:$I$5001,I1713),1,0))</f>
        <v/>
      </c>
      <c r="M1713" s="16" t="str">
        <f aca="false">IF(B1713="","",IF(E1713="Em ajustes",IF(N1713=_xlfn.MINIFS($N$2:$N$5001,$B$2:$B$5001,B1713,$E$2:$E$5001,"Em ajustes"),1,0),0))</f>
        <v/>
      </c>
      <c r="N1713" s="17" t="str">
        <f aca="false">IF(A1713="","",IF(ISNUMBER(A1713),A1713,IFERROR(DATE(VALUE(MID(A1713,7,4)),VALUE(MID(A1713,4,2)),VALUE(MID(A1713,1,2)))+TIME(VALUE(MID(A1713,12,2)),VALUE(MID(A1713,15,2)),VALUE(MID(A1713,18,2))),"")))</f>
        <v/>
      </c>
    </row>
    <row r="1714" customFormat="false" ht="15" hidden="false" customHeight="false" outlineLevel="0" collapsed="false">
      <c r="I1714" s="15" t="str">
        <f aca="false">IF(N1714="","",INT(N1714))</f>
        <v/>
      </c>
      <c r="J1714" s="16" t="str">
        <f aca="false">IF(B1714="","",IF(N1714=_xlfn.MINIFS($N$2:$N$5001,$B$2:$B$5001,B1714),1,0))</f>
        <v/>
      </c>
      <c r="K1714" s="16" t="str">
        <f aca="false">IF(B1714="","",IF(AND(D1714="Formalização",E1714="Concluído"),IF(COUNTIFS($B$2:$B$5001,B1714,$E$2:$E$5001,"Em ajustes",$N$2:$N$5001,"&lt;"&amp;I1714)&gt;0,1,0),0))</f>
        <v/>
      </c>
      <c r="L1714" s="16" t="str">
        <f aca="false">IF(B1714="","",IF(N1714=_xlfn.MAXIFS($N$2:$N$5001,$B$2:$B$5001,B1714,$I$2:$I$5001,I1714),1,0))</f>
        <v/>
      </c>
      <c r="M1714" s="16" t="str">
        <f aca="false">IF(B1714="","",IF(E1714="Em ajustes",IF(N1714=_xlfn.MINIFS($N$2:$N$5001,$B$2:$B$5001,B1714,$E$2:$E$5001,"Em ajustes"),1,0),0))</f>
        <v/>
      </c>
      <c r="N1714" s="17" t="str">
        <f aca="false">IF(A1714="","",IF(ISNUMBER(A1714),A1714,IFERROR(DATE(VALUE(MID(A1714,7,4)),VALUE(MID(A1714,4,2)),VALUE(MID(A1714,1,2)))+TIME(VALUE(MID(A1714,12,2)),VALUE(MID(A1714,15,2)),VALUE(MID(A1714,18,2))),"")))</f>
        <v/>
      </c>
    </row>
    <row r="1715" customFormat="false" ht="15" hidden="false" customHeight="false" outlineLevel="0" collapsed="false">
      <c r="I1715" s="15" t="str">
        <f aca="false">IF(N1715="","",INT(N1715))</f>
        <v/>
      </c>
      <c r="J1715" s="16" t="str">
        <f aca="false">IF(B1715="","",IF(N1715=_xlfn.MINIFS($N$2:$N$5001,$B$2:$B$5001,B1715),1,0))</f>
        <v/>
      </c>
      <c r="K1715" s="16" t="str">
        <f aca="false">IF(B1715="","",IF(AND(D1715="Formalização",E1715="Concluído"),IF(COUNTIFS($B$2:$B$5001,B1715,$E$2:$E$5001,"Em ajustes",$N$2:$N$5001,"&lt;"&amp;I1715)&gt;0,1,0),0))</f>
        <v/>
      </c>
      <c r="L1715" s="16" t="str">
        <f aca="false">IF(B1715="","",IF(N1715=_xlfn.MAXIFS($N$2:$N$5001,$B$2:$B$5001,B1715,$I$2:$I$5001,I1715),1,0))</f>
        <v/>
      </c>
      <c r="M1715" s="16" t="str">
        <f aca="false">IF(B1715="","",IF(E1715="Em ajustes",IF(N1715=_xlfn.MINIFS($N$2:$N$5001,$B$2:$B$5001,B1715,$E$2:$E$5001,"Em ajustes"),1,0),0))</f>
        <v/>
      </c>
      <c r="N1715" s="17" t="str">
        <f aca="false">IF(A1715="","",IF(ISNUMBER(A1715),A1715,IFERROR(DATE(VALUE(MID(A1715,7,4)),VALUE(MID(A1715,4,2)),VALUE(MID(A1715,1,2)))+TIME(VALUE(MID(A1715,12,2)),VALUE(MID(A1715,15,2)),VALUE(MID(A1715,18,2))),"")))</f>
        <v/>
      </c>
    </row>
    <row r="1716" customFormat="false" ht="15" hidden="false" customHeight="false" outlineLevel="0" collapsed="false">
      <c r="I1716" s="15" t="str">
        <f aca="false">IF(N1716="","",INT(N1716))</f>
        <v/>
      </c>
      <c r="J1716" s="16" t="str">
        <f aca="false">IF(B1716="","",IF(N1716=_xlfn.MINIFS($N$2:$N$5001,$B$2:$B$5001,B1716),1,0))</f>
        <v/>
      </c>
      <c r="K1716" s="16" t="str">
        <f aca="false">IF(B1716="","",IF(AND(D1716="Formalização",E1716="Concluído"),IF(COUNTIFS($B$2:$B$5001,B1716,$E$2:$E$5001,"Em ajustes",$N$2:$N$5001,"&lt;"&amp;I1716)&gt;0,1,0),0))</f>
        <v/>
      </c>
      <c r="L1716" s="16" t="str">
        <f aca="false">IF(B1716="","",IF(N1716=_xlfn.MAXIFS($N$2:$N$5001,$B$2:$B$5001,B1716,$I$2:$I$5001,I1716),1,0))</f>
        <v/>
      </c>
      <c r="M1716" s="16" t="str">
        <f aca="false">IF(B1716="","",IF(E1716="Em ajustes",IF(N1716=_xlfn.MINIFS($N$2:$N$5001,$B$2:$B$5001,B1716,$E$2:$E$5001,"Em ajustes"),1,0),0))</f>
        <v/>
      </c>
      <c r="N1716" s="17" t="str">
        <f aca="false">IF(A1716="","",IF(ISNUMBER(A1716),A1716,IFERROR(DATE(VALUE(MID(A1716,7,4)),VALUE(MID(A1716,4,2)),VALUE(MID(A1716,1,2)))+TIME(VALUE(MID(A1716,12,2)),VALUE(MID(A1716,15,2)),VALUE(MID(A1716,18,2))),"")))</f>
        <v/>
      </c>
    </row>
    <row r="1717" customFormat="false" ht="15" hidden="false" customHeight="false" outlineLevel="0" collapsed="false">
      <c r="I1717" s="15" t="str">
        <f aca="false">IF(N1717="","",INT(N1717))</f>
        <v/>
      </c>
      <c r="J1717" s="16" t="str">
        <f aca="false">IF(B1717="","",IF(N1717=_xlfn.MINIFS($N$2:$N$5001,$B$2:$B$5001,B1717),1,0))</f>
        <v/>
      </c>
      <c r="K1717" s="16" t="str">
        <f aca="false">IF(B1717="","",IF(AND(D1717="Formalização",E1717="Concluído"),IF(COUNTIFS($B$2:$B$5001,B1717,$E$2:$E$5001,"Em ajustes",$N$2:$N$5001,"&lt;"&amp;I1717)&gt;0,1,0),0))</f>
        <v/>
      </c>
      <c r="L1717" s="16" t="str">
        <f aca="false">IF(B1717="","",IF(N1717=_xlfn.MAXIFS($N$2:$N$5001,$B$2:$B$5001,B1717,$I$2:$I$5001,I1717),1,0))</f>
        <v/>
      </c>
      <c r="M1717" s="16" t="str">
        <f aca="false">IF(B1717="","",IF(E1717="Em ajustes",IF(N1717=_xlfn.MINIFS($N$2:$N$5001,$B$2:$B$5001,B1717,$E$2:$E$5001,"Em ajustes"),1,0),0))</f>
        <v/>
      </c>
      <c r="N1717" s="17" t="str">
        <f aca="false">IF(A1717="","",IF(ISNUMBER(A1717),A1717,IFERROR(DATE(VALUE(MID(A1717,7,4)),VALUE(MID(A1717,4,2)),VALUE(MID(A1717,1,2)))+TIME(VALUE(MID(A1717,12,2)),VALUE(MID(A1717,15,2)),VALUE(MID(A1717,18,2))),"")))</f>
        <v/>
      </c>
    </row>
    <row r="1718" customFormat="false" ht="15" hidden="false" customHeight="false" outlineLevel="0" collapsed="false">
      <c r="I1718" s="15" t="str">
        <f aca="false">IF(N1718="","",INT(N1718))</f>
        <v/>
      </c>
      <c r="J1718" s="16" t="str">
        <f aca="false">IF(B1718="","",IF(N1718=_xlfn.MINIFS($N$2:$N$5001,$B$2:$B$5001,B1718),1,0))</f>
        <v/>
      </c>
      <c r="K1718" s="16" t="str">
        <f aca="false">IF(B1718="","",IF(AND(D1718="Formalização",E1718="Concluído"),IF(COUNTIFS($B$2:$B$5001,B1718,$E$2:$E$5001,"Em ajustes",$N$2:$N$5001,"&lt;"&amp;I1718)&gt;0,1,0),0))</f>
        <v/>
      </c>
      <c r="L1718" s="16" t="str">
        <f aca="false">IF(B1718="","",IF(N1718=_xlfn.MAXIFS($N$2:$N$5001,$B$2:$B$5001,B1718,$I$2:$I$5001,I1718),1,0))</f>
        <v/>
      </c>
      <c r="M1718" s="16" t="str">
        <f aca="false">IF(B1718="","",IF(E1718="Em ajustes",IF(N1718=_xlfn.MINIFS($N$2:$N$5001,$B$2:$B$5001,B1718,$E$2:$E$5001,"Em ajustes"),1,0),0))</f>
        <v/>
      </c>
      <c r="N1718" s="17" t="str">
        <f aca="false">IF(A1718="","",IF(ISNUMBER(A1718),A1718,IFERROR(DATE(VALUE(MID(A1718,7,4)),VALUE(MID(A1718,4,2)),VALUE(MID(A1718,1,2)))+TIME(VALUE(MID(A1718,12,2)),VALUE(MID(A1718,15,2)),VALUE(MID(A1718,18,2))),"")))</f>
        <v/>
      </c>
    </row>
    <row r="1719" customFormat="false" ht="15" hidden="false" customHeight="false" outlineLevel="0" collapsed="false">
      <c r="I1719" s="15" t="str">
        <f aca="false">IF(N1719="","",INT(N1719))</f>
        <v/>
      </c>
      <c r="J1719" s="16" t="str">
        <f aca="false">IF(B1719="","",IF(N1719=_xlfn.MINIFS($N$2:$N$5001,$B$2:$B$5001,B1719),1,0))</f>
        <v/>
      </c>
      <c r="K1719" s="16" t="str">
        <f aca="false">IF(B1719="","",IF(AND(D1719="Formalização",E1719="Concluído"),IF(COUNTIFS($B$2:$B$5001,B1719,$E$2:$E$5001,"Em ajustes",$N$2:$N$5001,"&lt;"&amp;I1719)&gt;0,1,0),0))</f>
        <v/>
      </c>
      <c r="L1719" s="16" t="str">
        <f aca="false">IF(B1719="","",IF(N1719=_xlfn.MAXIFS($N$2:$N$5001,$B$2:$B$5001,B1719,$I$2:$I$5001,I1719),1,0))</f>
        <v/>
      </c>
      <c r="M1719" s="16" t="str">
        <f aca="false">IF(B1719="","",IF(E1719="Em ajustes",IF(N1719=_xlfn.MINIFS($N$2:$N$5001,$B$2:$B$5001,B1719,$E$2:$E$5001,"Em ajustes"),1,0),0))</f>
        <v/>
      </c>
      <c r="N1719" s="17" t="str">
        <f aca="false">IF(A1719="","",IF(ISNUMBER(A1719),A1719,IFERROR(DATE(VALUE(MID(A1719,7,4)),VALUE(MID(A1719,4,2)),VALUE(MID(A1719,1,2)))+TIME(VALUE(MID(A1719,12,2)),VALUE(MID(A1719,15,2)),VALUE(MID(A1719,18,2))),"")))</f>
        <v/>
      </c>
    </row>
    <row r="1720" customFormat="false" ht="15" hidden="false" customHeight="false" outlineLevel="0" collapsed="false">
      <c r="I1720" s="15" t="str">
        <f aca="false">IF(N1720="","",INT(N1720))</f>
        <v/>
      </c>
      <c r="J1720" s="16" t="str">
        <f aca="false">IF(B1720="","",IF(N1720=_xlfn.MINIFS($N$2:$N$5001,$B$2:$B$5001,B1720),1,0))</f>
        <v/>
      </c>
      <c r="K1720" s="16" t="str">
        <f aca="false">IF(B1720="","",IF(AND(D1720="Formalização",E1720="Concluído"),IF(COUNTIFS($B$2:$B$5001,B1720,$E$2:$E$5001,"Em ajustes",$N$2:$N$5001,"&lt;"&amp;I1720)&gt;0,1,0),0))</f>
        <v/>
      </c>
      <c r="L1720" s="16" t="str">
        <f aca="false">IF(B1720="","",IF(N1720=_xlfn.MAXIFS($N$2:$N$5001,$B$2:$B$5001,B1720,$I$2:$I$5001,I1720),1,0))</f>
        <v/>
      </c>
      <c r="M1720" s="16" t="str">
        <f aca="false">IF(B1720="","",IF(E1720="Em ajustes",IF(N1720=_xlfn.MINIFS($N$2:$N$5001,$B$2:$B$5001,B1720,$E$2:$E$5001,"Em ajustes"),1,0),0))</f>
        <v/>
      </c>
      <c r="N1720" s="17" t="str">
        <f aca="false">IF(A1720="","",IF(ISNUMBER(A1720),A1720,IFERROR(DATE(VALUE(MID(A1720,7,4)),VALUE(MID(A1720,4,2)),VALUE(MID(A1720,1,2)))+TIME(VALUE(MID(A1720,12,2)),VALUE(MID(A1720,15,2)),VALUE(MID(A1720,18,2))),"")))</f>
        <v/>
      </c>
    </row>
    <row r="1721" customFormat="false" ht="15" hidden="false" customHeight="false" outlineLevel="0" collapsed="false">
      <c r="I1721" s="15" t="str">
        <f aca="false">IF(N1721="","",INT(N1721))</f>
        <v/>
      </c>
      <c r="J1721" s="16" t="str">
        <f aca="false">IF(B1721="","",IF(N1721=_xlfn.MINIFS($N$2:$N$5001,$B$2:$B$5001,B1721),1,0))</f>
        <v/>
      </c>
      <c r="K1721" s="16" t="str">
        <f aca="false">IF(B1721="","",IF(AND(D1721="Formalização",E1721="Concluído"),IF(COUNTIFS($B$2:$B$5001,B1721,$E$2:$E$5001,"Em ajustes",$N$2:$N$5001,"&lt;"&amp;I1721)&gt;0,1,0),0))</f>
        <v/>
      </c>
      <c r="L1721" s="16" t="str">
        <f aca="false">IF(B1721="","",IF(N1721=_xlfn.MAXIFS($N$2:$N$5001,$B$2:$B$5001,B1721,$I$2:$I$5001,I1721),1,0))</f>
        <v/>
      </c>
      <c r="M1721" s="16" t="str">
        <f aca="false">IF(B1721="","",IF(E1721="Em ajustes",IF(N1721=_xlfn.MINIFS($N$2:$N$5001,$B$2:$B$5001,B1721,$E$2:$E$5001,"Em ajustes"),1,0),0))</f>
        <v/>
      </c>
      <c r="N1721" s="17" t="str">
        <f aca="false">IF(A1721="","",IF(ISNUMBER(A1721),A1721,IFERROR(DATE(VALUE(MID(A1721,7,4)),VALUE(MID(A1721,4,2)),VALUE(MID(A1721,1,2)))+TIME(VALUE(MID(A1721,12,2)),VALUE(MID(A1721,15,2)),VALUE(MID(A1721,18,2))),"")))</f>
        <v/>
      </c>
    </row>
    <row r="1722" customFormat="false" ht="15" hidden="false" customHeight="false" outlineLevel="0" collapsed="false">
      <c r="I1722" s="15" t="str">
        <f aca="false">IF(N1722="","",INT(N1722))</f>
        <v/>
      </c>
      <c r="J1722" s="16" t="str">
        <f aca="false">IF(B1722="","",IF(N1722=_xlfn.MINIFS($N$2:$N$5001,$B$2:$B$5001,B1722),1,0))</f>
        <v/>
      </c>
      <c r="K1722" s="16" t="str">
        <f aca="false">IF(B1722="","",IF(AND(D1722="Formalização",E1722="Concluído"),IF(COUNTIFS($B$2:$B$5001,B1722,$E$2:$E$5001,"Em ajustes",$N$2:$N$5001,"&lt;"&amp;I1722)&gt;0,1,0),0))</f>
        <v/>
      </c>
      <c r="L1722" s="16" t="str">
        <f aca="false">IF(B1722="","",IF(N1722=_xlfn.MAXIFS($N$2:$N$5001,$B$2:$B$5001,B1722,$I$2:$I$5001,I1722),1,0))</f>
        <v/>
      </c>
      <c r="M1722" s="16" t="str">
        <f aca="false">IF(B1722="","",IF(E1722="Em ajustes",IF(N1722=_xlfn.MINIFS($N$2:$N$5001,$B$2:$B$5001,B1722,$E$2:$E$5001,"Em ajustes"),1,0),0))</f>
        <v/>
      </c>
      <c r="N1722" s="17" t="str">
        <f aca="false">IF(A1722="","",IF(ISNUMBER(A1722),A1722,IFERROR(DATE(VALUE(MID(A1722,7,4)),VALUE(MID(A1722,4,2)),VALUE(MID(A1722,1,2)))+TIME(VALUE(MID(A1722,12,2)),VALUE(MID(A1722,15,2)),VALUE(MID(A1722,18,2))),"")))</f>
        <v/>
      </c>
    </row>
    <row r="1723" customFormat="false" ht="15" hidden="false" customHeight="false" outlineLevel="0" collapsed="false">
      <c r="I1723" s="15" t="str">
        <f aca="false">IF(N1723="","",INT(N1723))</f>
        <v/>
      </c>
      <c r="J1723" s="16" t="str">
        <f aca="false">IF(B1723="","",IF(N1723=_xlfn.MINIFS($N$2:$N$5001,$B$2:$B$5001,B1723),1,0))</f>
        <v/>
      </c>
      <c r="K1723" s="16" t="str">
        <f aca="false">IF(B1723="","",IF(AND(D1723="Formalização",E1723="Concluído"),IF(COUNTIFS($B$2:$B$5001,B1723,$E$2:$E$5001,"Em ajustes",$N$2:$N$5001,"&lt;"&amp;I1723)&gt;0,1,0),0))</f>
        <v/>
      </c>
      <c r="L1723" s="16" t="str">
        <f aca="false">IF(B1723="","",IF(N1723=_xlfn.MAXIFS($N$2:$N$5001,$B$2:$B$5001,B1723,$I$2:$I$5001,I1723),1,0))</f>
        <v/>
      </c>
      <c r="M1723" s="16" t="str">
        <f aca="false">IF(B1723="","",IF(E1723="Em ajustes",IF(N1723=_xlfn.MINIFS($N$2:$N$5001,$B$2:$B$5001,B1723,$E$2:$E$5001,"Em ajustes"),1,0),0))</f>
        <v/>
      </c>
      <c r="N1723" s="17" t="str">
        <f aca="false">IF(A1723="","",IF(ISNUMBER(A1723),A1723,IFERROR(DATE(VALUE(MID(A1723,7,4)),VALUE(MID(A1723,4,2)),VALUE(MID(A1723,1,2)))+TIME(VALUE(MID(A1723,12,2)),VALUE(MID(A1723,15,2)),VALUE(MID(A1723,18,2))),"")))</f>
        <v/>
      </c>
    </row>
    <row r="1724" customFormat="false" ht="15" hidden="false" customHeight="false" outlineLevel="0" collapsed="false">
      <c r="I1724" s="15" t="str">
        <f aca="false">IF(N1724="","",INT(N1724))</f>
        <v/>
      </c>
      <c r="J1724" s="16" t="str">
        <f aca="false">IF(B1724="","",IF(N1724=_xlfn.MINIFS($N$2:$N$5001,$B$2:$B$5001,B1724),1,0))</f>
        <v/>
      </c>
      <c r="K1724" s="16" t="str">
        <f aca="false">IF(B1724="","",IF(AND(D1724="Formalização",E1724="Concluído"),IF(COUNTIFS($B$2:$B$5001,B1724,$E$2:$E$5001,"Em ajustes",$N$2:$N$5001,"&lt;"&amp;I1724)&gt;0,1,0),0))</f>
        <v/>
      </c>
      <c r="L1724" s="16" t="str">
        <f aca="false">IF(B1724="","",IF(N1724=_xlfn.MAXIFS($N$2:$N$5001,$B$2:$B$5001,B1724,$I$2:$I$5001,I1724),1,0))</f>
        <v/>
      </c>
      <c r="M1724" s="16" t="str">
        <f aca="false">IF(B1724="","",IF(E1724="Em ajustes",IF(N1724=_xlfn.MINIFS($N$2:$N$5001,$B$2:$B$5001,B1724,$E$2:$E$5001,"Em ajustes"),1,0),0))</f>
        <v/>
      </c>
      <c r="N1724" s="17" t="str">
        <f aca="false">IF(A1724="","",IF(ISNUMBER(A1724),A1724,IFERROR(DATE(VALUE(MID(A1724,7,4)),VALUE(MID(A1724,4,2)),VALUE(MID(A1724,1,2)))+TIME(VALUE(MID(A1724,12,2)),VALUE(MID(A1724,15,2)),VALUE(MID(A1724,18,2))),"")))</f>
        <v/>
      </c>
    </row>
    <row r="1725" customFormat="false" ht="15" hidden="false" customHeight="false" outlineLevel="0" collapsed="false">
      <c r="I1725" s="15" t="str">
        <f aca="false">IF(N1725="","",INT(N1725))</f>
        <v/>
      </c>
      <c r="J1725" s="16" t="str">
        <f aca="false">IF(B1725="","",IF(N1725=_xlfn.MINIFS($N$2:$N$5001,$B$2:$B$5001,B1725),1,0))</f>
        <v/>
      </c>
      <c r="K1725" s="16" t="str">
        <f aca="false">IF(B1725="","",IF(AND(D1725="Formalização",E1725="Concluído"),IF(COUNTIFS($B$2:$B$5001,B1725,$E$2:$E$5001,"Em ajustes",$N$2:$N$5001,"&lt;"&amp;I1725)&gt;0,1,0),0))</f>
        <v/>
      </c>
      <c r="L1725" s="16" t="str">
        <f aca="false">IF(B1725="","",IF(N1725=_xlfn.MAXIFS($N$2:$N$5001,$B$2:$B$5001,B1725,$I$2:$I$5001,I1725),1,0))</f>
        <v/>
      </c>
      <c r="M1725" s="16" t="str">
        <f aca="false">IF(B1725="","",IF(E1725="Em ajustes",IF(N1725=_xlfn.MINIFS($N$2:$N$5001,$B$2:$B$5001,B1725,$E$2:$E$5001,"Em ajustes"),1,0),0))</f>
        <v/>
      </c>
      <c r="N1725" s="17" t="str">
        <f aca="false">IF(A1725="","",IF(ISNUMBER(A1725),A1725,IFERROR(DATE(VALUE(MID(A1725,7,4)),VALUE(MID(A1725,4,2)),VALUE(MID(A1725,1,2)))+TIME(VALUE(MID(A1725,12,2)),VALUE(MID(A1725,15,2)),VALUE(MID(A1725,18,2))),"")))</f>
        <v/>
      </c>
    </row>
    <row r="1726" customFormat="false" ht="15" hidden="false" customHeight="false" outlineLevel="0" collapsed="false">
      <c r="I1726" s="15" t="str">
        <f aca="false">IF(N1726="","",INT(N1726))</f>
        <v/>
      </c>
      <c r="J1726" s="16" t="str">
        <f aca="false">IF(B1726="","",IF(N1726=_xlfn.MINIFS($N$2:$N$5001,$B$2:$B$5001,B1726),1,0))</f>
        <v/>
      </c>
      <c r="K1726" s="16" t="str">
        <f aca="false">IF(B1726="","",IF(AND(D1726="Formalização",E1726="Concluído"),IF(COUNTIFS($B$2:$B$5001,B1726,$E$2:$E$5001,"Em ajustes",$N$2:$N$5001,"&lt;"&amp;I1726)&gt;0,1,0),0))</f>
        <v/>
      </c>
      <c r="L1726" s="16" t="str">
        <f aca="false">IF(B1726="","",IF(N1726=_xlfn.MAXIFS($N$2:$N$5001,$B$2:$B$5001,B1726,$I$2:$I$5001,I1726),1,0))</f>
        <v/>
      </c>
      <c r="M1726" s="16" t="str">
        <f aca="false">IF(B1726="","",IF(E1726="Em ajustes",IF(N1726=_xlfn.MINIFS($N$2:$N$5001,$B$2:$B$5001,B1726,$E$2:$E$5001,"Em ajustes"),1,0),0))</f>
        <v/>
      </c>
      <c r="N1726" s="17" t="str">
        <f aca="false">IF(A1726="","",IF(ISNUMBER(A1726),A1726,IFERROR(DATE(VALUE(MID(A1726,7,4)),VALUE(MID(A1726,4,2)),VALUE(MID(A1726,1,2)))+TIME(VALUE(MID(A1726,12,2)),VALUE(MID(A1726,15,2)),VALUE(MID(A1726,18,2))),"")))</f>
        <v/>
      </c>
    </row>
    <row r="1727" customFormat="false" ht="15" hidden="false" customHeight="false" outlineLevel="0" collapsed="false">
      <c r="I1727" s="15" t="str">
        <f aca="false">IF(N1727="","",INT(N1727))</f>
        <v/>
      </c>
      <c r="J1727" s="16" t="str">
        <f aca="false">IF(B1727="","",IF(N1727=_xlfn.MINIFS($N$2:$N$5001,$B$2:$B$5001,B1727),1,0))</f>
        <v/>
      </c>
      <c r="K1727" s="16" t="str">
        <f aca="false">IF(B1727="","",IF(AND(D1727="Formalização",E1727="Concluído"),IF(COUNTIFS($B$2:$B$5001,B1727,$E$2:$E$5001,"Em ajustes",$N$2:$N$5001,"&lt;"&amp;I1727)&gt;0,1,0),0))</f>
        <v/>
      </c>
      <c r="L1727" s="16" t="str">
        <f aca="false">IF(B1727="","",IF(N1727=_xlfn.MAXIFS($N$2:$N$5001,$B$2:$B$5001,B1727,$I$2:$I$5001,I1727),1,0))</f>
        <v/>
      </c>
      <c r="M1727" s="16" t="str">
        <f aca="false">IF(B1727="","",IF(E1727="Em ajustes",IF(N1727=_xlfn.MINIFS($N$2:$N$5001,$B$2:$B$5001,B1727,$E$2:$E$5001,"Em ajustes"),1,0),0))</f>
        <v/>
      </c>
      <c r="N1727" s="17" t="str">
        <f aca="false">IF(A1727="","",IF(ISNUMBER(A1727),A1727,IFERROR(DATE(VALUE(MID(A1727,7,4)),VALUE(MID(A1727,4,2)),VALUE(MID(A1727,1,2)))+TIME(VALUE(MID(A1727,12,2)),VALUE(MID(A1727,15,2)),VALUE(MID(A1727,18,2))),"")))</f>
        <v/>
      </c>
    </row>
    <row r="1728" customFormat="false" ht="15" hidden="false" customHeight="false" outlineLevel="0" collapsed="false">
      <c r="I1728" s="15" t="str">
        <f aca="false">IF(N1728="","",INT(N1728))</f>
        <v/>
      </c>
      <c r="J1728" s="16" t="str">
        <f aca="false">IF(B1728="","",IF(N1728=_xlfn.MINIFS($N$2:$N$5001,$B$2:$B$5001,B1728),1,0))</f>
        <v/>
      </c>
      <c r="K1728" s="16" t="str">
        <f aca="false">IF(B1728="","",IF(AND(D1728="Formalização",E1728="Concluído"),IF(COUNTIFS($B$2:$B$5001,B1728,$E$2:$E$5001,"Em ajustes",$N$2:$N$5001,"&lt;"&amp;I1728)&gt;0,1,0),0))</f>
        <v/>
      </c>
      <c r="L1728" s="16" t="str">
        <f aca="false">IF(B1728="","",IF(N1728=_xlfn.MAXIFS($N$2:$N$5001,$B$2:$B$5001,B1728,$I$2:$I$5001,I1728),1,0))</f>
        <v/>
      </c>
      <c r="M1728" s="16" t="str">
        <f aca="false">IF(B1728="","",IF(E1728="Em ajustes",IF(N1728=_xlfn.MINIFS($N$2:$N$5001,$B$2:$B$5001,B1728,$E$2:$E$5001,"Em ajustes"),1,0),0))</f>
        <v/>
      </c>
      <c r="N1728" s="17" t="str">
        <f aca="false">IF(A1728="","",IF(ISNUMBER(A1728),A1728,IFERROR(DATE(VALUE(MID(A1728,7,4)),VALUE(MID(A1728,4,2)),VALUE(MID(A1728,1,2)))+TIME(VALUE(MID(A1728,12,2)),VALUE(MID(A1728,15,2)),VALUE(MID(A1728,18,2))),"")))</f>
        <v/>
      </c>
    </row>
    <row r="1729" customFormat="false" ht="15" hidden="false" customHeight="false" outlineLevel="0" collapsed="false">
      <c r="I1729" s="15" t="str">
        <f aca="false">IF(N1729="","",INT(N1729))</f>
        <v/>
      </c>
      <c r="J1729" s="16" t="str">
        <f aca="false">IF(B1729="","",IF(N1729=_xlfn.MINIFS($N$2:$N$5001,$B$2:$B$5001,B1729),1,0))</f>
        <v/>
      </c>
      <c r="K1729" s="16" t="str">
        <f aca="false">IF(B1729="","",IF(AND(D1729="Formalização",E1729="Concluído"),IF(COUNTIFS($B$2:$B$5001,B1729,$E$2:$E$5001,"Em ajustes",$N$2:$N$5001,"&lt;"&amp;I1729)&gt;0,1,0),0))</f>
        <v/>
      </c>
      <c r="L1729" s="16" t="str">
        <f aca="false">IF(B1729="","",IF(N1729=_xlfn.MAXIFS($N$2:$N$5001,$B$2:$B$5001,B1729,$I$2:$I$5001,I1729),1,0))</f>
        <v/>
      </c>
      <c r="M1729" s="16" t="str">
        <f aca="false">IF(B1729="","",IF(E1729="Em ajustes",IF(N1729=_xlfn.MINIFS($N$2:$N$5001,$B$2:$B$5001,B1729,$E$2:$E$5001,"Em ajustes"),1,0),0))</f>
        <v/>
      </c>
      <c r="N1729" s="17" t="str">
        <f aca="false">IF(A1729="","",IF(ISNUMBER(A1729),A1729,IFERROR(DATE(VALUE(MID(A1729,7,4)),VALUE(MID(A1729,4,2)),VALUE(MID(A1729,1,2)))+TIME(VALUE(MID(A1729,12,2)),VALUE(MID(A1729,15,2)),VALUE(MID(A1729,18,2))),"")))</f>
        <v/>
      </c>
    </row>
    <row r="1730" customFormat="false" ht="15" hidden="false" customHeight="false" outlineLevel="0" collapsed="false">
      <c r="I1730" s="15" t="str">
        <f aca="false">IF(N1730="","",INT(N1730))</f>
        <v/>
      </c>
      <c r="J1730" s="16" t="str">
        <f aca="false">IF(B1730="","",IF(N1730=_xlfn.MINIFS($N$2:$N$5001,$B$2:$B$5001,B1730),1,0))</f>
        <v/>
      </c>
      <c r="K1730" s="16" t="str">
        <f aca="false">IF(B1730="","",IF(AND(D1730="Formalização",E1730="Concluído"),IF(COUNTIFS($B$2:$B$5001,B1730,$E$2:$E$5001,"Em ajustes",$N$2:$N$5001,"&lt;"&amp;I1730)&gt;0,1,0),0))</f>
        <v/>
      </c>
      <c r="L1730" s="16" t="str">
        <f aca="false">IF(B1730="","",IF(N1730=_xlfn.MAXIFS($N$2:$N$5001,$B$2:$B$5001,B1730,$I$2:$I$5001,I1730),1,0))</f>
        <v/>
      </c>
      <c r="M1730" s="16" t="str">
        <f aca="false">IF(B1730="","",IF(E1730="Em ajustes",IF(N1730=_xlfn.MINIFS($N$2:$N$5001,$B$2:$B$5001,B1730,$E$2:$E$5001,"Em ajustes"),1,0),0))</f>
        <v/>
      </c>
      <c r="N1730" s="17" t="str">
        <f aca="false">IF(A1730="","",IF(ISNUMBER(A1730),A1730,IFERROR(DATE(VALUE(MID(A1730,7,4)),VALUE(MID(A1730,4,2)),VALUE(MID(A1730,1,2)))+TIME(VALUE(MID(A1730,12,2)),VALUE(MID(A1730,15,2)),VALUE(MID(A1730,18,2))),"")))</f>
        <v/>
      </c>
    </row>
    <row r="1731" customFormat="false" ht="15" hidden="false" customHeight="false" outlineLevel="0" collapsed="false">
      <c r="I1731" s="15" t="str">
        <f aca="false">IF(N1731="","",INT(N1731))</f>
        <v/>
      </c>
      <c r="J1731" s="16" t="str">
        <f aca="false">IF(B1731="","",IF(N1731=_xlfn.MINIFS($N$2:$N$5001,$B$2:$B$5001,B1731),1,0))</f>
        <v/>
      </c>
      <c r="K1731" s="16" t="str">
        <f aca="false">IF(B1731="","",IF(AND(D1731="Formalização",E1731="Concluído"),IF(COUNTIFS($B$2:$B$5001,B1731,$E$2:$E$5001,"Em ajustes",$N$2:$N$5001,"&lt;"&amp;I1731)&gt;0,1,0),0))</f>
        <v/>
      </c>
      <c r="L1731" s="16" t="str">
        <f aca="false">IF(B1731="","",IF(N1731=_xlfn.MAXIFS($N$2:$N$5001,$B$2:$B$5001,B1731,$I$2:$I$5001,I1731),1,0))</f>
        <v/>
      </c>
      <c r="M1731" s="16" t="str">
        <f aca="false">IF(B1731="","",IF(E1731="Em ajustes",IF(N1731=_xlfn.MINIFS($N$2:$N$5001,$B$2:$B$5001,B1731,$E$2:$E$5001,"Em ajustes"),1,0),0))</f>
        <v/>
      </c>
      <c r="N1731" s="17" t="str">
        <f aca="false">IF(A1731="","",IF(ISNUMBER(A1731),A1731,IFERROR(DATE(VALUE(MID(A1731,7,4)),VALUE(MID(A1731,4,2)),VALUE(MID(A1731,1,2)))+TIME(VALUE(MID(A1731,12,2)),VALUE(MID(A1731,15,2)),VALUE(MID(A1731,18,2))),"")))</f>
        <v/>
      </c>
    </row>
    <row r="1732" customFormat="false" ht="15" hidden="false" customHeight="false" outlineLevel="0" collapsed="false">
      <c r="I1732" s="15" t="str">
        <f aca="false">IF(N1732="","",INT(N1732))</f>
        <v/>
      </c>
      <c r="J1732" s="16" t="str">
        <f aca="false">IF(B1732="","",IF(N1732=_xlfn.MINIFS($N$2:$N$5001,$B$2:$B$5001,B1732),1,0))</f>
        <v/>
      </c>
      <c r="K1732" s="16" t="str">
        <f aca="false">IF(B1732="","",IF(AND(D1732="Formalização",E1732="Concluído"),IF(COUNTIFS($B$2:$B$5001,B1732,$E$2:$E$5001,"Em ajustes",$N$2:$N$5001,"&lt;"&amp;I1732)&gt;0,1,0),0))</f>
        <v/>
      </c>
      <c r="L1732" s="16" t="str">
        <f aca="false">IF(B1732="","",IF(N1732=_xlfn.MAXIFS($N$2:$N$5001,$B$2:$B$5001,B1732,$I$2:$I$5001,I1732),1,0))</f>
        <v/>
      </c>
      <c r="M1732" s="16" t="str">
        <f aca="false">IF(B1732="","",IF(E1732="Em ajustes",IF(N1732=_xlfn.MINIFS($N$2:$N$5001,$B$2:$B$5001,B1732,$E$2:$E$5001,"Em ajustes"),1,0),0))</f>
        <v/>
      </c>
      <c r="N1732" s="17" t="str">
        <f aca="false">IF(A1732="","",IF(ISNUMBER(A1732),A1732,IFERROR(DATE(VALUE(MID(A1732,7,4)),VALUE(MID(A1732,4,2)),VALUE(MID(A1732,1,2)))+TIME(VALUE(MID(A1732,12,2)),VALUE(MID(A1732,15,2)),VALUE(MID(A1732,18,2))),"")))</f>
        <v/>
      </c>
    </row>
    <row r="1733" customFormat="false" ht="15" hidden="false" customHeight="false" outlineLevel="0" collapsed="false">
      <c r="I1733" s="15" t="str">
        <f aca="false">IF(N1733="","",INT(N1733))</f>
        <v/>
      </c>
      <c r="J1733" s="16" t="str">
        <f aca="false">IF(B1733="","",IF(N1733=_xlfn.MINIFS($N$2:$N$5001,$B$2:$B$5001,B1733),1,0))</f>
        <v/>
      </c>
      <c r="K1733" s="16" t="str">
        <f aca="false">IF(B1733="","",IF(AND(D1733="Formalização",E1733="Concluído"),IF(COUNTIFS($B$2:$B$5001,B1733,$E$2:$E$5001,"Em ajustes",$N$2:$N$5001,"&lt;"&amp;I1733)&gt;0,1,0),0))</f>
        <v/>
      </c>
      <c r="L1733" s="16" t="str">
        <f aca="false">IF(B1733="","",IF(N1733=_xlfn.MAXIFS($N$2:$N$5001,$B$2:$B$5001,B1733,$I$2:$I$5001,I1733),1,0))</f>
        <v/>
      </c>
      <c r="M1733" s="16" t="str">
        <f aca="false">IF(B1733="","",IF(E1733="Em ajustes",IF(N1733=_xlfn.MINIFS($N$2:$N$5001,$B$2:$B$5001,B1733,$E$2:$E$5001,"Em ajustes"),1,0),0))</f>
        <v/>
      </c>
      <c r="N1733" s="17" t="str">
        <f aca="false">IF(A1733="","",IF(ISNUMBER(A1733),A1733,IFERROR(DATE(VALUE(MID(A1733,7,4)),VALUE(MID(A1733,4,2)),VALUE(MID(A1733,1,2)))+TIME(VALUE(MID(A1733,12,2)),VALUE(MID(A1733,15,2)),VALUE(MID(A1733,18,2))),"")))</f>
        <v/>
      </c>
    </row>
    <row r="1734" customFormat="false" ht="15" hidden="false" customHeight="false" outlineLevel="0" collapsed="false">
      <c r="I1734" s="15" t="str">
        <f aca="false">IF(N1734="","",INT(N1734))</f>
        <v/>
      </c>
      <c r="J1734" s="16" t="str">
        <f aca="false">IF(B1734="","",IF(N1734=_xlfn.MINIFS($N$2:$N$5001,$B$2:$B$5001,B1734),1,0))</f>
        <v/>
      </c>
      <c r="K1734" s="16" t="str">
        <f aca="false">IF(B1734="","",IF(AND(D1734="Formalização",E1734="Concluído"),IF(COUNTIFS($B$2:$B$5001,B1734,$E$2:$E$5001,"Em ajustes",$N$2:$N$5001,"&lt;"&amp;I1734)&gt;0,1,0),0))</f>
        <v/>
      </c>
      <c r="L1734" s="16" t="str">
        <f aca="false">IF(B1734="","",IF(N1734=_xlfn.MAXIFS($N$2:$N$5001,$B$2:$B$5001,B1734,$I$2:$I$5001,I1734),1,0))</f>
        <v/>
      </c>
      <c r="M1734" s="16" t="str">
        <f aca="false">IF(B1734="","",IF(E1734="Em ajustes",IF(N1734=_xlfn.MINIFS($N$2:$N$5001,$B$2:$B$5001,B1734,$E$2:$E$5001,"Em ajustes"),1,0),0))</f>
        <v/>
      </c>
      <c r="N1734" s="17" t="str">
        <f aca="false">IF(A1734="","",IF(ISNUMBER(A1734),A1734,IFERROR(DATE(VALUE(MID(A1734,7,4)),VALUE(MID(A1734,4,2)),VALUE(MID(A1734,1,2)))+TIME(VALUE(MID(A1734,12,2)),VALUE(MID(A1734,15,2)),VALUE(MID(A1734,18,2))),"")))</f>
        <v/>
      </c>
    </row>
    <row r="1735" customFormat="false" ht="15" hidden="false" customHeight="false" outlineLevel="0" collapsed="false">
      <c r="I1735" s="15" t="str">
        <f aca="false">IF(N1735="","",INT(N1735))</f>
        <v/>
      </c>
      <c r="J1735" s="16" t="str">
        <f aca="false">IF(B1735="","",IF(N1735=_xlfn.MINIFS($N$2:$N$5001,$B$2:$B$5001,B1735),1,0))</f>
        <v/>
      </c>
      <c r="K1735" s="16" t="str">
        <f aca="false">IF(B1735="","",IF(AND(D1735="Formalização",E1735="Concluído"),IF(COUNTIFS($B$2:$B$5001,B1735,$E$2:$E$5001,"Em ajustes",$N$2:$N$5001,"&lt;"&amp;I1735)&gt;0,1,0),0))</f>
        <v/>
      </c>
      <c r="L1735" s="16" t="str">
        <f aca="false">IF(B1735="","",IF(N1735=_xlfn.MAXIFS($N$2:$N$5001,$B$2:$B$5001,B1735,$I$2:$I$5001,I1735),1,0))</f>
        <v/>
      </c>
      <c r="M1735" s="16" t="str">
        <f aca="false">IF(B1735="","",IF(E1735="Em ajustes",IF(N1735=_xlfn.MINIFS($N$2:$N$5001,$B$2:$B$5001,B1735,$E$2:$E$5001,"Em ajustes"),1,0),0))</f>
        <v/>
      </c>
      <c r="N1735" s="17" t="str">
        <f aca="false">IF(A1735="","",IF(ISNUMBER(A1735),A1735,IFERROR(DATE(VALUE(MID(A1735,7,4)),VALUE(MID(A1735,4,2)),VALUE(MID(A1735,1,2)))+TIME(VALUE(MID(A1735,12,2)),VALUE(MID(A1735,15,2)),VALUE(MID(A1735,18,2))),"")))</f>
        <v/>
      </c>
    </row>
    <row r="1736" customFormat="false" ht="15" hidden="false" customHeight="false" outlineLevel="0" collapsed="false">
      <c r="I1736" s="15" t="str">
        <f aca="false">IF(N1736="","",INT(N1736))</f>
        <v/>
      </c>
      <c r="J1736" s="16" t="str">
        <f aca="false">IF(B1736="","",IF(N1736=_xlfn.MINIFS($N$2:$N$5001,$B$2:$B$5001,B1736),1,0))</f>
        <v/>
      </c>
      <c r="K1736" s="16" t="str">
        <f aca="false">IF(B1736="","",IF(AND(D1736="Formalização",E1736="Concluído"),IF(COUNTIFS($B$2:$B$5001,B1736,$E$2:$E$5001,"Em ajustes",$N$2:$N$5001,"&lt;"&amp;I1736)&gt;0,1,0),0))</f>
        <v/>
      </c>
      <c r="L1736" s="16" t="str">
        <f aca="false">IF(B1736="","",IF(N1736=_xlfn.MAXIFS($N$2:$N$5001,$B$2:$B$5001,B1736,$I$2:$I$5001,I1736),1,0))</f>
        <v/>
      </c>
      <c r="M1736" s="16" t="str">
        <f aca="false">IF(B1736="","",IF(E1736="Em ajustes",IF(N1736=_xlfn.MINIFS($N$2:$N$5001,$B$2:$B$5001,B1736,$E$2:$E$5001,"Em ajustes"),1,0),0))</f>
        <v/>
      </c>
      <c r="N1736" s="17" t="str">
        <f aca="false">IF(A1736="","",IF(ISNUMBER(A1736),A1736,IFERROR(DATE(VALUE(MID(A1736,7,4)),VALUE(MID(A1736,4,2)),VALUE(MID(A1736,1,2)))+TIME(VALUE(MID(A1736,12,2)),VALUE(MID(A1736,15,2)),VALUE(MID(A1736,18,2))),"")))</f>
        <v/>
      </c>
    </row>
    <row r="1737" customFormat="false" ht="15" hidden="false" customHeight="false" outlineLevel="0" collapsed="false">
      <c r="I1737" s="15" t="str">
        <f aca="false">IF(N1737="","",INT(N1737))</f>
        <v/>
      </c>
      <c r="J1737" s="16" t="str">
        <f aca="false">IF(B1737="","",IF(N1737=_xlfn.MINIFS($N$2:$N$5001,$B$2:$B$5001,B1737),1,0))</f>
        <v/>
      </c>
      <c r="K1737" s="16" t="str">
        <f aca="false">IF(B1737="","",IF(AND(D1737="Formalização",E1737="Concluído"),IF(COUNTIFS($B$2:$B$5001,B1737,$E$2:$E$5001,"Em ajustes",$N$2:$N$5001,"&lt;"&amp;I1737)&gt;0,1,0),0))</f>
        <v/>
      </c>
      <c r="L1737" s="16" t="str">
        <f aca="false">IF(B1737="","",IF(N1737=_xlfn.MAXIFS($N$2:$N$5001,$B$2:$B$5001,B1737,$I$2:$I$5001,I1737),1,0))</f>
        <v/>
      </c>
      <c r="M1737" s="16" t="str">
        <f aca="false">IF(B1737="","",IF(E1737="Em ajustes",IF(N1737=_xlfn.MINIFS($N$2:$N$5001,$B$2:$B$5001,B1737,$E$2:$E$5001,"Em ajustes"),1,0),0))</f>
        <v/>
      </c>
      <c r="N1737" s="17" t="str">
        <f aca="false">IF(A1737="","",IF(ISNUMBER(A1737),A1737,IFERROR(DATE(VALUE(MID(A1737,7,4)),VALUE(MID(A1737,4,2)),VALUE(MID(A1737,1,2)))+TIME(VALUE(MID(A1737,12,2)),VALUE(MID(A1737,15,2)),VALUE(MID(A1737,18,2))),"")))</f>
        <v/>
      </c>
    </row>
    <row r="1738" customFormat="false" ht="15" hidden="false" customHeight="false" outlineLevel="0" collapsed="false">
      <c r="I1738" s="15" t="str">
        <f aca="false">IF(N1738="","",INT(N1738))</f>
        <v/>
      </c>
      <c r="J1738" s="16" t="str">
        <f aca="false">IF(B1738="","",IF(N1738=_xlfn.MINIFS($N$2:$N$5001,$B$2:$B$5001,B1738),1,0))</f>
        <v/>
      </c>
      <c r="K1738" s="16" t="str">
        <f aca="false">IF(B1738="","",IF(AND(D1738="Formalização",E1738="Concluído"),IF(COUNTIFS($B$2:$B$5001,B1738,$E$2:$E$5001,"Em ajustes",$N$2:$N$5001,"&lt;"&amp;I1738)&gt;0,1,0),0))</f>
        <v/>
      </c>
      <c r="L1738" s="16" t="str">
        <f aca="false">IF(B1738="","",IF(N1738=_xlfn.MAXIFS($N$2:$N$5001,$B$2:$B$5001,B1738,$I$2:$I$5001,I1738),1,0))</f>
        <v/>
      </c>
      <c r="M1738" s="16" t="str">
        <f aca="false">IF(B1738="","",IF(E1738="Em ajustes",IF(N1738=_xlfn.MINIFS($N$2:$N$5001,$B$2:$B$5001,B1738,$E$2:$E$5001,"Em ajustes"),1,0),0))</f>
        <v/>
      </c>
      <c r="N1738" s="17" t="str">
        <f aca="false">IF(A1738="","",IF(ISNUMBER(A1738),A1738,IFERROR(DATE(VALUE(MID(A1738,7,4)),VALUE(MID(A1738,4,2)),VALUE(MID(A1738,1,2)))+TIME(VALUE(MID(A1738,12,2)),VALUE(MID(A1738,15,2)),VALUE(MID(A1738,18,2))),"")))</f>
        <v/>
      </c>
    </row>
    <row r="1739" customFormat="false" ht="15" hidden="false" customHeight="false" outlineLevel="0" collapsed="false">
      <c r="I1739" s="15" t="str">
        <f aca="false">IF(N1739="","",INT(N1739))</f>
        <v/>
      </c>
      <c r="J1739" s="16" t="str">
        <f aca="false">IF(B1739="","",IF(N1739=_xlfn.MINIFS($N$2:$N$5001,$B$2:$B$5001,B1739),1,0))</f>
        <v/>
      </c>
      <c r="K1739" s="16" t="str">
        <f aca="false">IF(B1739="","",IF(AND(D1739="Formalização",E1739="Concluído"),IF(COUNTIFS($B$2:$B$5001,B1739,$E$2:$E$5001,"Em ajustes",$N$2:$N$5001,"&lt;"&amp;I1739)&gt;0,1,0),0))</f>
        <v/>
      </c>
      <c r="L1739" s="16" t="str">
        <f aca="false">IF(B1739="","",IF(N1739=_xlfn.MAXIFS($N$2:$N$5001,$B$2:$B$5001,B1739,$I$2:$I$5001,I1739),1,0))</f>
        <v/>
      </c>
      <c r="M1739" s="16" t="str">
        <f aca="false">IF(B1739="","",IF(E1739="Em ajustes",IF(N1739=_xlfn.MINIFS($N$2:$N$5001,$B$2:$B$5001,B1739,$E$2:$E$5001,"Em ajustes"),1,0),0))</f>
        <v/>
      </c>
      <c r="N1739" s="17" t="str">
        <f aca="false">IF(A1739="","",IF(ISNUMBER(A1739),A1739,IFERROR(DATE(VALUE(MID(A1739,7,4)),VALUE(MID(A1739,4,2)),VALUE(MID(A1739,1,2)))+TIME(VALUE(MID(A1739,12,2)),VALUE(MID(A1739,15,2)),VALUE(MID(A1739,18,2))),"")))</f>
        <v/>
      </c>
    </row>
    <row r="1740" customFormat="false" ht="15" hidden="false" customHeight="false" outlineLevel="0" collapsed="false">
      <c r="I1740" s="15" t="str">
        <f aca="false">IF(N1740="","",INT(N1740))</f>
        <v/>
      </c>
      <c r="J1740" s="16" t="str">
        <f aca="false">IF(B1740="","",IF(N1740=_xlfn.MINIFS($N$2:$N$5001,$B$2:$B$5001,B1740),1,0))</f>
        <v/>
      </c>
      <c r="K1740" s="16" t="str">
        <f aca="false">IF(B1740="","",IF(AND(D1740="Formalização",E1740="Concluído"),IF(COUNTIFS($B$2:$B$5001,B1740,$E$2:$E$5001,"Em ajustes",$N$2:$N$5001,"&lt;"&amp;I1740)&gt;0,1,0),0))</f>
        <v/>
      </c>
      <c r="L1740" s="16" t="str">
        <f aca="false">IF(B1740="","",IF(N1740=_xlfn.MAXIFS($N$2:$N$5001,$B$2:$B$5001,B1740,$I$2:$I$5001,I1740),1,0))</f>
        <v/>
      </c>
      <c r="M1740" s="16" t="str">
        <f aca="false">IF(B1740="","",IF(E1740="Em ajustes",IF(N1740=_xlfn.MINIFS($N$2:$N$5001,$B$2:$B$5001,B1740,$E$2:$E$5001,"Em ajustes"),1,0),0))</f>
        <v/>
      </c>
      <c r="N1740" s="17" t="str">
        <f aca="false">IF(A1740="","",IF(ISNUMBER(A1740),A1740,IFERROR(DATE(VALUE(MID(A1740,7,4)),VALUE(MID(A1740,4,2)),VALUE(MID(A1740,1,2)))+TIME(VALUE(MID(A1740,12,2)),VALUE(MID(A1740,15,2)),VALUE(MID(A1740,18,2))),"")))</f>
        <v/>
      </c>
    </row>
    <row r="1741" customFormat="false" ht="15" hidden="false" customHeight="false" outlineLevel="0" collapsed="false">
      <c r="I1741" s="15" t="str">
        <f aca="false">IF(N1741="","",INT(N1741))</f>
        <v/>
      </c>
      <c r="J1741" s="16" t="str">
        <f aca="false">IF(B1741="","",IF(N1741=_xlfn.MINIFS($N$2:$N$5001,$B$2:$B$5001,B1741),1,0))</f>
        <v/>
      </c>
      <c r="K1741" s="16" t="str">
        <f aca="false">IF(B1741="","",IF(AND(D1741="Formalização",E1741="Concluído"),IF(COUNTIFS($B$2:$B$5001,B1741,$E$2:$E$5001,"Em ajustes",$N$2:$N$5001,"&lt;"&amp;I1741)&gt;0,1,0),0))</f>
        <v/>
      </c>
      <c r="L1741" s="16" t="str">
        <f aca="false">IF(B1741="","",IF(N1741=_xlfn.MAXIFS($N$2:$N$5001,$B$2:$B$5001,B1741,$I$2:$I$5001,I1741),1,0))</f>
        <v/>
      </c>
      <c r="M1741" s="16" t="str">
        <f aca="false">IF(B1741="","",IF(E1741="Em ajustes",IF(N1741=_xlfn.MINIFS($N$2:$N$5001,$B$2:$B$5001,B1741,$E$2:$E$5001,"Em ajustes"),1,0),0))</f>
        <v/>
      </c>
      <c r="N1741" s="17" t="str">
        <f aca="false">IF(A1741="","",IF(ISNUMBER(A1741),A1741,IFERROR(DATE(VALUE(MID(A1741,7,4)),VALUE(MID(A1741,4,2)),VALUE(MID(A1741,1,2)))+TIME(VALUE(MID(A1741,12,2)),VALUE(MID(A1741,15,2)),VALUE(MID(A1741,18,2))),"")))</f>
        <v/>
      </c>
    </row>
    <row r="1742" customFormat="false" ht="15" hidden="false" customHeight="false" outlineLevel="0" collapsed="false">
      <c r="I1742" s="15" t="str">
        <f aca="false">IF(N1742="","",INT(N1742))</f>
        <v/>
      </c>
      <c r="J1742" s="16" t="str">
        <f aca="false">IF(B1742="","",IF(N1742=_xlfn.MINIFS($N$2:$N$5001,$B$2:$B$5001,B1742),1,0))</f>
        <v/>
      </c>
      <c r="K1742" s="16" t="str">
        <f aca="false">IF(B1742="","",IF(AND(D1742="Formalização",E1742="Concluído"),IF(COUNTIFS($B$2:$B$5001,B1742,$E$2:$E$5001,"Em ajustes",$N$2:$N$5001,"&lt;"&amp;I1742)&gt;0,1,0),0))</f>
        <v/>
      </c>
      <c r="L1742" s="16" t="str">
        <f aca="false">IF(B1742="","",IF(N1742=_xlfn.MAXIFS($N$2:$N$5001,$B$2:$B$5001,B1742,$I$2:$I$5001,I1742),1,0))</f>
        <v/>
      </c>
      <c r="M1742" s="16" t="str">
        <f aca="false">IF(B1742="","",IF(E1742="Em ajustes",IF(N1742=_xlfn.MINIFS($N$2:$N$5001,$B$2:$B$5001,B1742,$E$2:$E$5001,"Em ajustes"),1,0),0))</f>
        <v/>
      </c>
      <c r="N1742" s="17" t="str">
        <f aca="false">IF(A1742="","",IF(ISNUMBER(A1742),A1742,IFERROR(DATE(VALUE(MID(A1742,7,4)),VALUE(MID(A1742,4,2)),VALUE(MID(A1742,1,2)))+TIME(VALUE(MID(A1742,12,2)),VALUE(MID(A1742,15,2)),VALUE(MID(A1742,18,2))),"")))</f>
        <v/>
      </c>
    </row>
    <row r="1743" customFormat="false" ht="15" hidden="false" customHeight="false" outlineLevel="0" collapsed="false">
      <c r="I1743" s="15" t="str">
        <f aca="false">IF(N1743="","",INT(N1743))</f>
        <v/>
      </c>
      <c r="J1743" s="16" t="str">
        <f aca="false">IF(B1743="","",IF(N1743=_xlfn.MINIFS($N$2:$N$5001,$B$2:$B$5001,B1743),1,0))</f>
        <v/>
      </c>
      <c r="K1743" s="16" t="str">
        <f aca="false">IF(B1743="","",IF(AND(D1743="Formalização",E1743="Concluído"),IF(COUNTIFS($B$2:$B$5001,B1743,$E$2:$E$5001,"Em ajustes",$N$2:$N$5001,"&lt;"&amp;I1743)&gt;0,1,0),0))</f>
        <v/>
      </c>
      <c r="L1743" s="16" t="str">
        <f aca="false">IF(B1743="","",IF(N1743=_xlfn.MAXIFS($N$2:$N$5001,$B$2:$B$5001,B1743,$I$2:$I$5001,I1743),1,0))</f>
        <v/>
      </c>
      <c r="M1743" s="16" t="str">
        <f aca="false">IF(B1743="","",IF(E1743="Em ajustes",IF(N1743=_xlfn.MINIFS($N$2:$N$5001,$B$2:$B$5001,B1743,$E$2:$E$5001,"Em ajustes"),1,0),0))</f>
        <v/>
      </c>
      <c r="N1743" s="17" t="str">
        <f aca="false">IF(A1743="","",IF(ISNUMBER(A1743),A1743,IFERROR(DATE(VALUE(MID(A1743,7,4)),VALUE(MID(A1743,4,2)),VALUE(MID(A1743,1,2)))+TIME(VALUE(MID(A1743,12,2)),VALUE(MID(A1743,15,2)),VALUE(MID(A1743,18,2))),"")))</f>
        <v/>
      </c>
    </row>
    <row r="1744" customFormat="false" ht="15" hidden="false" customHeight="false" outlineLevel="0" collapsed="false">
      <c r="I1744" s="15" t="str">
        <f aca="false">IF(N1744="","",INT(N1744))</f>
        <v/>
      </c>
      <c r="J1744" s="16" t="str">
        <f aca="false">IF(B1744="","",IF(N1744=_xlfn.MINIFS($N$2:$N$5001,$B$2:$B$5001,B1744),1,0))</f>
        <v/>
      </c>
      <c r="K1744" s="16" t="str">
        <f aca="false">IF(B1744="","",IF(AND(D1744="Formalização",E1744="Concluído"),IF(COUNTIFS($B$2:$B$5001,B1744,$E$2:$E$5001,"Em ajustes",$N$2:$N$5001,"&lt;"&amp;I1744)&gt;0,1,0),0))</f>
        <v/>
      </c>
      <c r="L1744" s="16" t="str">
        <f aca="false">IF(B1744="","",IF(N1744=_xlfn.MAXIFS($N$2:$N$5001,$B$2:$B$5001,B1744,$I$2:$I$5001,I1744),1,0))</f>
        <v/>
      </c>
      <c r="M1744" s="16" t="str">
        <f aca="false">IF(B1744="","",IF(E1744="Em ajustes",IF(N1744=_xlfn.MINIFS($N$2:$N$5001,$B$2:$B$5001,B1744,$E$2:$E$5001,"Em ajustes"),1,0),0))</f>
        <v/>
      </c>
      <c r="N1744" s="17" t="str">
        <f aca="false">IF(A1744="","",IF(ISNUMBER(A1744),A1744,IFERROR(DATE(VALUE(MID(A1744,7,4)),VALUE(MID(A1744,4,2)),VALUE(MID(A1744,1,2)))+TIME(VALUE(MID(A1744,12,2)),VALUE(MID(A1744,15,2)),VALUE(MID(A1744,18,2))),"")))</f>
        <v/>
      </c>
    </row>
    <row r="1745" customFormat="false" ht="15" hidden="false" customHeight="false" outlineLevel="0" collapsed="false">
      <c r="I1745" s="15" t="str">
        <f aca="false">IF(N1745="","",INT(N1745))</f>
        <v/>
      </c>
      <c r="J1745" s="16" t="str">
        <f aca="false">IF(B1745="","",IF(N1745=_xlfn.MINIFS($N$2:$N$5001,$B$2:$B$5001,B1745),1,0))</f>
        <v/>
      </c>
      <c r="K1745" s="16" t="str">
        <f aca="false">IF(B1745="","",IF(AND(D1745="Formalização",E1745="Concluído"),IF(COUNTIFS($B$2:$B$5001,B1745,$E$2:$E$5001,"Em ajustes",$N$2:$N$5001,"&lt;"&amp;I1745)&gt;0,1,0),0))</f>
        <v/>
      </c>
      <c r="L1745" s="16" t="str">
        <f aca="false">IF(B1745="","",IF(N1745=_xlfn.MAXIFS($N$2:$N$5001,$B$2:$B$5001,B1745,$I$2:$I$5001,I1745),1,0))</f>
        <v/>
      </c>
      <c r="M1745" s="16" t="str">
        <f aca="false">IF(B1745="","",IF(E1745="Em ajustes",IF(N1745=_xlfn.MINIFS($N$2:$N$5001,$B$2:$B$5001,B1745,$E$2:$E$5001,"Em ajustes"),1,0),0))</f>
        <v/>
      </c>
      <c r="N1745" s="17" t="str">
        <f aca="false">IF(A1745="","",IF(ISNUMBER(A1745),A1745,IFERROR(DATE(VALUE(MID(A1745,7,4)),VALUE(MID(A1745,4,2)),VALUE(MID(A1745,1,2)))+TIME(VALUE(MID(A1745,12,2)),VALUE(MID(A1745,15,2)),VALUE(MID(A1745,18,2))),"")))</f>
        <v/>
      </c>
    </row>
    <row r="1746" customFormat="false" ht="15" hidden="false" customHeight="false" outlineLevel="0" collapsed="false">
      <c r="I1746" s="15" t="str">
        <f aca="false">IF(N1746="","",INT(N1746))</f>
        <v/>
      </c>
      <c r="J1746" s="16" t="str">
        <f aca="false">IF(B1746="","",IF(N1746=_xlfn.MINIFS($N$2:$N$5001,$B$2:$B$5001,B1746),1,0))</f>
        <v/>
      </c>
      <c r="K1746" s="16" t="str">
        <f aca="false">IF(B1746="","",IF(AND(D1746="Formalização",E1746="Concluído"),IF(COUNTIFS($B$2:$B$5001,B1746,$E$2:$E$5001,"Em ajustes",$N$2:$N$5001,"&lt;"&amp;I1746)&gt;0,1,0),0))</f>
        <v/>
      </c>
      <c r="L1746" s="16" t="str">
        <f aca="false">IF(B1746="","",IF(N1746=_xlfn.MAXIFS($N$2:$N$5001,$B$2:$B$5001,B1746,$I$2:$I$5001,I1746),1,0))</f>
        <v/>
      </c>
      <c r="M1746" s="16" t="str">
        <f aca="false">IF(B1746="","",IF(E1746="Em ajustes",IF(N1746=_xlfn.MINIFS($N$2:$N$5001,$B$2:$B$5001,B1746,$E$2:$E$5001,"Em ajustes"),1,0),0))</f>
        <v/>
      </c>
      <c r="N1746" s="17" t="str">
        <f aca="false">IF(A1746="","",IF(ISNUMBER(A1746),A1746,IFERROR(DATE(VALUE(MID(A1746,7,4)),VALUE(MID(A1746,4,2)),VALUE(MID(A1746,1,2)))+TIME(VALUE(MID(A1746,12,2)),VALUE(MID(A1746,15,2)),VALUE(MID(A1746,18,2))),"")))</f>
        <v/>
      </c>
    </row>
    <row r="1747" customFormat="false" ht="15" hidden="false" customHeight="false" outlineLevel="0" collapsed="false">
      <c r="I1747" s="15" t="str">
        <f aca="false">IF(N1747="","",INT(N1747))</f>
        <v/>
      </c>
      <c r="J1747" s="16" t="str">
        <f aca="false">IF(B1747="","",IF(N1747=_xlfn.MINIFS($N$2:$N$5001,$B$2:$B$5001,B1747),1,0))</f>
        <v/>
      </c>
      <c r="K1747" s="16" t="str">
        <f aca="false">IF(B1747="","",IF(AND(D1747="Formalização",E1747="Concluído"),IF(COUNTIFS($B$2:$B$5001,B1747,$E$2:$E$5001,"Em ajustes",$N$2:$N$5001,"&lt;"&amp;I1747)&gt;0,1,0),0))</f>
        <v/>
      </c>
      <c r="L1747" s="16" t="str">
        <f aca="false">IF(B1747="","",IF(N1747=_xlfn.MAXIFS($N$2:$N$5001,$B$2:$B$5001,B1747,$I$2:$I$5001,I1747),1,0))</f>
        <v/>
      </c>
      <c r="M1747" s="16" t="str">
        <f aca="false">IF(B1747="","",IF(E1747="Em ajustes",IF(N1747=_xlfn.MINIFS($N$2:$N$5001,$B$2:$B$5001,B1747,$E$2:$E$5001,"Em ajustes"),1,0),0))</f>
        <v/>
      </c>
      <c r="N1747" s="17" t="str">
        <f aca="false">IF(A1747="","",IF(ISNUMBER(A1747),A1747,IFERROR(DATE(VALUE(MID(A1747,7,4)),VALUE(MID(A1747,4,2)),VALUE(MID(A1747,1,2)))+TIME(VALUE(MID(A1747,12,2)),VALUE(MID(A1747,15,2)),VALUE(MID(A1747,18,2))),"")))</f>
        <v/>
      </c>
    </row>
    <row r="1748" customFormat="false" ht="15" hidden="false" customHeight="false" outlineLevel="0" collapsed="false">
      <c r="I1748" s="15" t="str">
        <f aca="false">IF(N1748="","",INT(N1748))</f>
        <v/>
      </c>
      <c r="J1748" s="16" t="str">
        <f aca="false">IF(B1748="","",IF(N1748=_xlfn.MINIFS($N$2:$N$5001,$B$2:$B$5001,B1748),1,0))</f>
        <v/>
      </c>
      <c r="K1748" s="16" t="str">
        <f aca="false">IF(B1748="","",IF(AND(D1748="Formalização",E1748="Concluído"),IF(COUNTIFS($B$2:$B$5001,B1748,$E$2:$E$5001,"Em ajustes",$N$2:$N$5001,"&lt;"&amp;I1748)&gt;0,1,0),0))</f>
        <v/>
      </c>
      <c r="L1748" s="16" t="str">
        <f aca="false">IF(B1748="","",IF(N1748=_xlfn.MAXIFS($N$2:$N$5001,$B$2:$B$5001,B1748,$I$2:$I$5001,I1748),1,0))</f>
        <v/>
      </c>
      <c r="M1748" s="16" t="str">
        <f aca="false">IF(B1748="","",IF(E1748="Em ajustes",IF(N1748=_xlfn.MINIFS($N$2:$N$5001,$B$2:$B$5001,B1748,$E$2:$E$5001,"Em ajustes"),1,0),0))</f>
        <v/>
      </c>
      <c r="N1748" s="17" t="str">
        <f aca="false">IF(A1748="","",IF(ISNUMBER(A1748),A1748,IFERROR(DATE(VALUE(MID(A1748,7,4)),VALUE(MID(A1748,4,2)),VALUE(MID(A1748,1,2)))+TIME(VALUE(MID(A1748,12,2)),VALUE(MID(A1748,15,2)),VALUE(MID(A1748,18,2))),"")))</f>
        <v/>
      </c>
    </row>
    <row r="1749" customFormat="false" ht="15" hidden="false" customHeight="false" outlineLevel="0" collapsed="false">
      <c r="I1749" s="15" t="str">
        <f aca="false">IF(N1749="","",INT(N1749))</f>
        <v/>
      </c>
      <c r="J1749" s="16" t="str">
        <f aca="false">IF(B1749="","",IF(N1749=_xlfn.MINIFS($N$2:$N$5001,$B$2:$B$5001,B1749),1,0))</f>
        <v/>
      </c>
      <c r="K1749" s="16" t="str">
        <f aca="false">IF(B1749="","",IF(AND(D1749="Formalização",E1749="Concluído"),IF(COUNTIFS($B$2:$B$5001,B1749,$E$2:$E$5001,"Em ajustes",$N$2:$N$5001,"&lt;"&amp;I1749)&gt;0,1,0),0))</f>
        <v/>
      </c>
      <c r="L1749" s="16" t="str">
        <f aca="false">IF(B1749="","",IF(N1749=_xlfn.MAXIFS($N$2:$N$5001,$B$2:$B$5001,B1749,$I$2:$I$5001,I1749),1,0))</f>
        <v/>
      </c>
      <c r="M1749" s="16" t="str">
        <f aca="false">IF(B1749="","",IF(E1749="Em ajustes",IF(N1749=_xlfn.MINIFS($N$2:$N$5001,$B$2:$B$5001,B1749,$E$2:$E$5001,"Em ajustes"),1,0),0))</f>
        <v/>
      </c>
      <c r="N1749" s="17" t="str">
        <f aca="false">IF(A1749="","",IF(ISNUMBER(A1749),A1749,IFERROR(DATE(VALUE(MID(A1749,7,4)),VALUE(MID(A1749,4,2)),VALUE(MID(A1749,1,2)))+TIME(VALUE(MID(A1749,12,2)),VALUE(MID(A1749,15,2)),VALUE(MID(A1749,18,2))),"")))</f>
        <v/>
      </c>
    </row>
    <row r="1750" customFormat="false" ht="15" hidden="false" customHeight="false" outlineLevel="0" collapsed="false">
      <c r="I1750" s="15" t="str">
        <f aca="false">IF(N1750="","",INT(N1750))</f>
        <v/>
      </c>
      <c r="J1750" s="16" t="str">
        <f aca="false">IF(B1750="","",IF(N1750=_xlfn.MINIFS($N$2:$N$5001,$B$2:$B$5001,B1750),1,0))</f>
        <v/>
      </c>
      <c r="K1750" s="16" t="str">
        <f aca="false">IF(B1750="","",IF(AND(D1750="Formalização",E1750="Concluído"),IF(COUNTIFS($B$2:$B$5001,B1750,$E$2:$E$5001,"Em ajustes",$N$2:$N$5001,"&lt;"&amp;I1750)&gt;0,1,0),0))</f>
        <v/>
      </c>
      <c r="L1750" s="16" t="str">
        <f aca="false">IF(B1750="","",IF(N1750=_xlfn.MAXIFS($N$2:$N$5001,$B$2:$B$5001,B1750,$I$2:$I$5001,I1750),1,0))</f>
        <v/>
      </c>
      <c r="M1750" s="16" t="str">
        <f aca="false">IF(B1750="","",IF(E1750="Em ajustes",IF(N1750=_xlfn.MINIFS($N$2:$N$5001,$B$2:$B$5001,B1750,$E$2:$E$5001,"Em ajustes"),1,0),0))</f>
        <v/>
      </c>
      <c r="N1750" s="17" t="str">
        <f aca="false">IF(A1750="","",IF(ISNUMBER(A1750),A1750,IFERROR(DATE(VALUE(MID(A1750,7,4)),VALUE(MID(A1750,4,2)),VALUE(MID(A1750,1,2)))+TIME(VALUE(MID(A1750,12,2)),VALUE(MID(A1750,15,2)),VALUE(MID(A1750,18,2))),"")))</f>
        <v/>
      </c>
    </row>
    <row r="1751" customFormat="false" ht="15" hidden="false" customHeight="false" outlineLevel="0" collapsed="false">
      <c r="I1751" s="15" t="str">
        <f aca="false">IF(N1751="","",INT(N1751))</f>
        <v/>
      </c>
      <c r="J1751" s="16" t="str">
        <f aca="false">IF(B1751="","",IF(N1751=_xlfn.MINIFS($N$2:$N$5001,$B$2:$B$5001,B1751),1,0))</f>
        <v/>
      </c>
      <c r="K1751" s="16" t="str">
        <f aca="false">IF(B1751="","",IF(AND(D1751="Formalização",E1751="Concluído"),IF(COUNTIFS($B$2:$B$5001,B1751,$E$2:$E$5001,"Em ajustes",$N$2:$N$5001,"&lt;"&amp;I1751)&gt;0,1,0),0))</f>
        <v/>
      </c>
      <c r="L1751" s="16" t="str">
        <f aca="false">IF(B1751="","",IF(N1751=_xlfn.MAXIFS($N$2:$N$5001,$B$2:$B$5001,B1751,$I$2:$I$5001,I1751),1,0))</f>
        <v/>
      </c>
      <c r="M1751" s="16" t="str">
        <f aca="false">IF(B1751="","",IF(E1751="Em ajustes",IF(N1751=_xlfn.MINIFS($N$2:$N$5001,$B$2:$B$5001,B1751,$E$2:$E$5001,"Em ajustes"),1,0),0))</f>
        <v/>
      </c>
      <c r="N1751" s="17" t="str">
        <f aca="false">IF(A1751="","",IF(ISNUMBER(A1751),A1751,IFERROR(DATE(VALUE(MID(A1751,7,4)),VALUE(MID(A1751,4,2)),VALUE(MID(A1751,1,2)))+TIME(VALUE(MID(A1751,12,2)),VALUE(MID(A1751,15,2)),VALUE(MID(A1751,18,2))),"")))</f>
        <v/>
      </c>
    </row>
    <row r="1752" customFormat="false" ht="15" hidden="false" customHeight="false" outlineLevel="0" collapsed="false">
      <c r="I1752" s="15" t="str">
        <f aca="false">IF(N1752="","",INT(N1752))</f>
        <v/>
      </c>
      <c r="J1752" s="16" t="str">
        <f aca="false">IF(B1752="","",IF(N1752=_xlfn.MINIFS($N$2:$N$5001,$B$2:$B$5001,B1752),1,0))</f>
        <v/>
      </c>
      <c r="K1752" s="16" t="str">
        <f aca="false">IF(B1752="","",IF(AND(D1752="Formalização",E1752="Concluído"),IF(COUNTIFS($B$2:$B$5001,B1752,$E$2:$E$5001,"Em ajustes",$N$2:$N$5001,"&lt;"&amp;I1752)&gt;0,1,0),0))</f>
        <v/>
      </c>
      <c r="L1752" s="16" t="str">
        <f aca="false">IF(B1752="","",IF(N1752=_xlfn.MAXIFS($N$2:$N$5001,$B$2:$B$5001,B1752,$I$2:$I$5001,I1752),1,0))</f>
        <v/>
      </c>
      <c r="M1752" s="16" t="str">
        <f aca="false">IF(B1752="","",IF(E1752="Em ajustes",IF(N1752=_xlfn.MINIFS($N$2:$N$5001,$B$2:$B$5001,B1752,$E$2:$E$5001,"Em ajustes"),1,0),0))</f>
        <v/>
      </c>
      <c r="N1752" s="17" t="str">
        <f aca="false">IF(A1752="","",IF(ISNUMBER(A1752),A1752,IFERROR(DATE(VALUE(MID(A1752,7,4)),VALUE(MID(A1752,4,2)),VALUE(MID(A1752,1,2)))+TIME(VALUE(MID(A1752,12,2)),VALUE(MID(A1752,15,2)),VALUE(MID(A1752,18,2))),"")))</f>
        <v/>
      </c>
    </row>
    <row r="1753" customFormat="false" ht="15" hidden="false" customHeight="false" outlineLevel="0" collapsed="false">
      <c r="I1753" s="15" t="str">
        <f aca="false">IF(N1753="","",INT(N1753))</f>
        <v/>
      </c>
      <c r="J1753" s="16" t="str">
        <f aca="false">IF(B1753="","",IF(N1753=_xlfn.MINIFS($N$2:$N$5001,$B$2:$B$5001,B1753),1,0))</f>
        <v/>
      </c>
      <c r="K1753" s="16" t="str">
        <f aca="false">IF(B1753="","",IF(AND(D1753="Formalização",E1753="Concluído"),IF(COUNTIFS($B$2:$B$5001,B1753,$E$2:$E$5001,"Em ajustes",$N$2:$N$5001,"&lt;"&amp;I1753)&gt;0,1,0),0))</f>
        <v/>
      </c>
      <c r="L1753" s="16" t="str">
        <f aca="false">IF(B1753="","",IF(N1753=_xlfn.MAXIFS($N$2:$N$5001,$B$2:$B$5001,B1753,$I$2:$I$5001,I1753),1,0))</f>
        <v/>
      </c>
      <c r="M1753" s="16" t="str">
        <f aca="false">IF(B1753="","",IF(E1753="Em ajustes",IF(N1753=_xlfn.MINIFS($N$2:$N$5001,$B$2:$B$5001,B1753,$E$2:$E$5001,"Em ajustes"),1,0),0))</f>
        <v/>
      </c>
      <c r="N1753" s="17" t="str">
        <f aca="false">IF(A1753="","",IF(ISNUMBER(A1753),A1753,IFERROR(DATE(VALUE(MID(A1753,7,4)),VALUE(MID(A1753,4,2)),VALUE(MID(A1753,1,2)))+TIME(VALUE(MID(A1753,12,2)),VALUE(MID(A1753,15,2)),VALUE(MID(A1753,18,2))),"")))</f>
        <v/>
      </c>
    </row>
    <row r="1754" customFormat="false" ht="15" hidden="false" customHeight="false" outlineLevel="0" collapsed="false">
      <c r="I1754" s="15" t="str">
        <f aca="false">IF(N1754="","",INT(N1754))</f>
        <v/>
      </c>
      <c r="J1754" s="16" t="str">
        <f aca="false">IF(B1754="","",IF(N1754=_xlfn.MINIFS($N$2:$N$5001,$B$2:$B$5001,B1754),1,0))</f>
        <v/>
      </c>
      <c r="K1754" s="16" t="str">
        <f aca="false">IF(B1754="","",IF(AND(D1754="Formalização",E1754="Concluído"),IF(COUNTIFS($B$2:$B$5001,B1754,$E$2:$E$5001,"Em ajustes",$N$2:$N$5001,"&lt;"&amp;I1754)&gt;0,1,0),0))</f>
        <v/>
      </c>
      <c r="L1754" s="16" t="str">
        <f aca="false">IF(B1754="","",IF(N1754=_xlfn.MAXIFS($N$2:$N$5001,$B$2:$B$5001,B1754,$I$2:$I$5001,I1754),1,0))</f>
        <v/>
      </c>
      <c r="M1754" s="16" t="str">
        <f aca="false">IF(B1754="","",IF(E1754="Em ajustes",IF(N1754=_xlfn.MINIFS($N$2:$N$5001,$B$2:$B$5001,B1754,$E$2:$E$5001,"Em ajustes"),1,0),0))</f>
        <v/>
      </c>
      <c r="N1754" s="17" t="str">
        <f aca="false">IF(A1754="","",IF(ISNUMBER(A1754),A1754,IFERROR(DATE(VALUE(MID(A1754,7,4)),VALUE(MID(A1754,4,2)),VALUE(MID(A1754,1,2)))+TIME(VALUE(MID(A1754,12,2)),VALUE(MID(A1754,15,2)),VALUE(MID(A1754,18,2))),"")))</f>
        <v/>
      </c>
    </row>
    <row r="1755" customFormat="false" ht="15" hidden="false" customHeight="false" outlineLevel="0" collapsed="false">
      <c r="I1755" s="15" t="str">
        <f aca="false">IF(N1755="","",INT(N1755))</f>
        <v/>
      </c>
      <c r="J1755" s="16" t="str">
        <f aca="false">IF(B1755="","",IF(N1755=_xlfn.MINIFS($N$2:$N$5001,$B$2:$B$5001,B1755),1,0))</f>
        <v/>
      </c>
      <c r="K1755" s="16" t="str">
        <f aca="false">IF(B1755="","",IF(AND(D1755="Formalização",E1755="Concluído"),IF(COUNTIFS($B$2:$B$5001,B1755,$E$2:$E$5001,"Em ajustes",$N$2:$N$5001,"&lt;"&amp;I1755)&gt;0,1,0),0))</f>
        <v/>
      </c>
      <c r="L1755" s="16" t="str">
        <f aca="false">IF(B1755="","",IF(N1755=_xlfn.MAXIFS($N$2:$N$5001,$B$2:$B$5001,B1755,$I$2:$I$5001,I1755),1,0))</f>
        <v/>
      </c>
      <c r="M1755" s="16" t="str">
        <f aca="false">IF(B1755="","",IF(E1755="Em ajustes",IF(N1755=_xlfn.MINIFS($N$2:$N$5001,$B$2:$B$5001,B1755,$E$2:$E$5001,"Em ajustes"),1,0),0))</f>
        <v/>
      </c>
      <c r="N1755" s="17" t="str">
        <f aca="false">IF(A1755="","",IF(ISNUMBER(A1755),A1755,IFERROR(DATE(VALUE(MID(A1755,7,4)),VALUE(MID(A1755,4,2)),VALUE(MID(A1755,1,2)))+TIME(VALUE(MID(A1755,12,2)),VALUE(MID(A1755,15,2)),VALUE(MID(A1755,18,2))),"")))</f>
        <v/>
      </c>
    </row>
    <row r="1756" customFormat="false" ht="15" hidden="false" customHeight="false" outlineLevel="0" collapsed="false">
      <c r="I1756" s="15" t="str">
        <f aca="false">IF(N1756="","",INT(N1756))</f>
        <v/>
      </c>
      <c r="J1756" s="16" t="str">
        <f aca="false">IF(B1756="","",IF(N1756=_xlfn.MINIFS($N$2:$N$5001,$B$2:$B$5001,B1756),1,0))</f>
        <v/>
      </c>
      <c r="K1756" s="16" t="str">
        <f aca="false">IF(B1756="","",IF(AND(D1756="Formalização",E1756="Concluído"),IF(COUNTIFS($B$2:$B$5001,B1756,$E$2:$E$5001,"Em ajustes",$N$2:$N$5001,"&lt;"&amp;I1756)&gt;0,1,0),0))</f>
        <v/>
      </c>
      <c r="L1756" s="16" t="str">
        <f aca="false">IF(B1756="","",IF(N1756=_xlfn.MAXIFS($N$2:$N$5001,$B$2:$B$5001,B1756,$I$2:$I$5001,I1756),1,0))</f>
        <v/>
      </c>
      <c r="M1756" s="16" t="str">
        <f aca="false">IF(B1756="","",IF(E1756="Em ajustes",IF(N1756=_xlfn.MINIFS($N$2:$N$5001,$B$2:$B$5001,B1756,$E$2:$E$5001,"Em ajustes"),1,0),0))</f>
        <v/>
      </c>
      <c r="N1756" s="17" t="str">
        <f aca="false">IF(A1756="","",IF(ISNUMBER(A1756),A1756,IFERROR(DATE(VALUE(MID(A1756,7,4)),VALUE(MID(A1756,4,2)),VALUE(MID(A1756,1,2)))+TIME(VALUE(MID(A1756,12,2)),VALUE(MID(A1756,15,2)),VALUE(MID(A1756,18,2))),"")))</f>
        <v/>
      </c>
    </row>
    <row r="1757" customFormat="false" ht="15" hidden="false" customHeight="false" outlineLevel="0" collapsed="false">
      <c r="I1757" s="15" t="str">
        <f aca="false">IF(N1757="","",INT(N1757))</f>
        <v/>
      </c>
      <c r="J1757" s="16" t="str">
        <f aca="false">IF(B1757="","",IF(N1757=_xlfn.MINIFS($N$2:$N$5001,$B$2:$B$5001,B1757),1,0))</f>
        <v/>
      </c>
      <c r="K1757" s="16" t="str">
        <f aca="false">IF(B1757="","",IF(AND(D1757="Formalização",E1757="Concluído"),IF(COUNTIFS($B$2:$B$5001,B1757,$E$2:$E$5001,"Em ajustes",$N$2:$N$5001,"&lt;"&amp;I1757)&gt;0,1,0),0))</f>
        <v/>
      </c>
      <c r="L1757" s="16" t="str">
        <f aca="false">IF(B1757="","",IF(N1757=_xlfn.MAXIFS($N$2:$N$5001,$B$2:$B$5001,B1757,$I$2:$I$5001,I1757),1,0))</f>
        <v/>
      </c>
      <c r="M1757" s="16" t="str">
        <f aca="false">IF(B1757="","",IF(E1757="Em ajustes",IF(N1757=_xlfn.MINIFS($N$2:$N$5001,$B$2:$B$5001,B1757,$E$2:$E$5001,"Em ajustes"),1,0),0))</f>
        <v/>
      </c>
      <c r="N1757" s="17" t="str">
        <f aca="false">IF(A1757="","",IF(ISNUMBER(A1757),A1757,IFERROR(DATE(VALUE(MID(A1757,7,4)),VALUE(MID(A1757,4,2)),VALUE(MID(A1757,1,2)))+TIME(VALUE(MID(A1757,12,2)),VALUE(MID(A1757,15,2)),VALUE(MID(A1757,18,2))),"")))</f>
        <v/>
      </c>
    </row>
    <row r="1758" customFormat="false" ht="15" hidden="false" customHeight="false" outlineLevel="0" collapsed="false">
      <c r="I1758" s="15" t="str">
        <f aca="false">IF(N1758="","",INT(N1758))</f>
        <v/>
      </c>
      <c r="J1758" s="16" t="str">
        <f aca="false">IF(B1758="","",IF(N1758=_xlfn.MINIFS($N$2:$N$5001,$B$2:$B$5001,B1758),1,0))</f>
        <v/>
      </c>
      <c r="K1758" s="16" t="str">
        <f aca="false">IF(B1758="","",IF(AND(D1758="Formalização",E1758="Concluído"),IF(COUNTIFS($B$2:$B$5001,B1758,$E$2:$E$5001,"Em ajustes",$N$2:$N$5001,"&lt;"&amp;I1758)&gt;0,1,0),0))</f>
        <v/>
      </c>
      <c r="L1758" s="16" t="str">
        <f aca="false">IF(B1758="","",IF(N1758=_xlfn.MAXIFS($N$2:$N$5001,$B$2:$B$5001,B1758,$I$2:$I$5001,I1758),1,0))</f>
        <v/>
      </c>
      <c r="M1758" s="16" t="str">
        <f aca="false">IF(B1758="","",IF(E1758="Em ajustes",IF(N1758=_xlfn.MINIFS($N$2:$N$5001,$B$2:$B$5001,B1758,$E$2:$E$5001,"Em ajustes"),1,0),0))</f>
        <v/>
      </c>
      <c r="N1758" s="17" t="str">
        <f aca="false">IF(A1758="","",IF(ISNUMBER(A1758),A1758,IFERROR(DATE(VALUE(MID(A1758,7,4)),VALUE(MID(A1758,4,2)),VALUE(MID(A1758,1,2)))+TIME(VALUE(MID(A1758,12,2)),VALUE(MID(A1758,15,2)),VALUE(MID(A1758,18,2))),"")))</f>
        <v/>
      </c>
    </row>
    <row r="1759" customFormat="false" ht="15" hidden="false" customHeight="false" outlineLevel="0" collapsed="false">
      <c r="I1759" s="15" t="str">
        <f aca="false">IF(N1759="","",INT(N1759))</f>
        <v/>
      </c>
      <c r="J1759" s="16" t="str">
        <f aca="false">IF(B1759="","",IF(N1759=_xlfn.MINIFS($N$2:$N$5001,$B$2:$B$5001,B1759),1,0))</f>
        <v/>
      </c>
      <c r="K1759" s="16" t="str">
        <f aca="false">IF(B1759="","",IF(AND(D1759="Formalização",E1759="Concluído"),IF(COUNTIFS($B$2:$B$5001,B1759,$E$2:$E$5001,"Em ajustes",$N$2:$N$5001,"&lt;"&amp;I1759)&gt;0,1,0),0))</f>
        <v/>
      </c>
      <c r="L1759" s="16" t="str">
        <f aca="false">IF(B1759="","",IF(N1759=_xlfn.MAXIFS($N$2:$N$5001,$B$2:$B$5001,B1759,$I$2:$I$5001,I1759),1,0))</f>
        <v/>
      </c>
      <c r="M1759" s="16" t="str">
        <f aca="false">IF(B1759="","",IF(E1759="Em ajustes",IF(N1759=_xlfn.MINIFS($N$2:$N$5001,$B$2:$B$5001,B1759,$E$2:$E$5001,"Em ajustes"),1,0),0))</f>
        <v/>
      </c>
      <c r="N1759" s="17" t="str">
        <f aca="false">IF(A1759="","",IF(ISNUMBER(A1759),A1759,IFERROR(DATE(VALUE(MID(A1759,7,4)),VALUE(MID(A1759,4,2)),VALUE(MID(A1759,1,2)))+TIME(VALUE(MID(A1759,12,2)),VALUE(MID(A1759,15,2)),VALUE(MID(A1759,18,2))),"")))</f>
        <v/>
      </c>
    </row>
    <row r="1760" customFormat="false" ht="15" hidden="false" customHeight="false" outlineLevel="0" collapsed="false">
      <c r="I1760" s="15" t="str">
        <f aca="false">IF(N1760="","",INT(N1760))</f>
        <v/>
      </c>
      <c r="J1760" s="16" t="str">
        <f aca="false">IF(B1760="","",IF(N1760=_xlfn.MINIFS($N$2:$N$5001,$B$2:$B$5001,B1760),1,0))</f>
        <v/>
      </c>
      <c r="K1760" s="16" t="str">
        <f aca="false">IF(B1760="","",IF(AND(D1760="Formalização",E1760="Concluído"),IF(COUNTIFS($B$2:$B$5001,B1760,$E$2:$E$5001,"Em ajustes",$N$2:$N$5001,"&lt;"&amp;I1760)&gt;0,1,0),0))</f>
        <v/>
      </c>
      <c r="L1760" s="16" t="str">
        <f aca="false">IF(B1760="","",IF(N1760=_xlfn.MAXIFS($N$2:$N$5001,$B$2:$B$5001,B1760,$I$2:$I$5001,I1760),1,0))</f>
        <v/>
      </c>
      <c r="M1760" s="16" t="str">
        <f aca="false">IF(B1760="","",IF(E1760="Em ajustes",IF(N1760=_xlfn.MINIFS($N$2:$N$5001,$B$2:$B$5001,B1760,$E$2:$E$5001,"Em ajustes"),1,0),0))</f>
        <v/>
      </c>
      <c r="N1760" s="17" t="str">
        <f aca="false">IF(A1760="","",IF(ISNUMBER(A1760),A1760,IFERROR(DATE(VALUE(MID(A1760,7,4)),VALUE(MID(A1760,4,2)),VALUE(MID(A1760,1,2)))+TIME(VALUE(MID(A1760,12,2)),VALUE(MID(A1760,15,2)),VALUE(MID(A1760,18,2))),"")))</f>
        <v/>
      </c>
    </row>
    <row r="1761" customFormat="false" ht="15" hidden="false" customHeight="false" outlineLevel="0" collapsed="false">
      <c r="I1761" s="15" t="str">
        <f aca="false">IF(N1761="","",INT(N1761))</f>
        <v/>
      </c>
      <c r="J1761" s="16" t="str">
        <f aca="false">IF(B1761="","",IF(N1761=_xlfn.MINIFS($N$2:$N$5001,$B$2:$B$5001,B1761),1,0))</f>
        <v/>
      </c>
      <c r="K1761" s="16" t="str">
        <f aca="false">IF(B1761="","",IF(AND(D1761="Formalização",E1761="Concluído"),IF(COUNTIFS($B$2:$B$5001,B1761,$E$2:$E$5001,"Em ajustes",$N$2:$N$5001,"&lt;"&amp;I1761)&gt;0,1,0),0))</f>
        <v/>
      </c>
      <c r="L1761" s="16" t="str">
        <f aca="false">IF(B1761="","",IF(N1761=_xlfn.MAXIFS($N$2:$N$5001,$B$2:$B$5001,B1761,$I$2:$I$5001,I1761),1,0))</f>
        <v/>
      </c>
      <c r="M1761" s="16" t="str">
        <f aca="false">IF(B1761="","",IF(E1761="Em ajustes",IF(N1761=_xlfn.MINIFS($N$2:$N$5001,$B$2:$B$5001,B1761,$E$2:$E$5001,"Em ajustes"),1,0),0))</f>
        <v/>
      </c>
      <c r="N1761" s="17" t="str">
        <f aca="false">IF(A1761="","",IF(ISNUMBER(A1761),A1761,IFERROR(DATE(VALUE(MID(A1761,7,4)),VALUE(MID(A1761,4,2)),VALUE(MID(A1761,1,2)))+TIME(VALUE(MID(A1761,12,2)),VALUE(MID(A1761,15,2)),VALUE(MID(A1761,18,2))),"")))</f>
        <v/>
      </c>
    </row>
    <row r="1762" customFormat="false" ht="15" hidden="false" customHeight="false" outlineLevel="0" collapsed="false">
      <c r="I1762" s="15" t="str">
        <f aca="false">IF(N1762="","",INT(N1762))</f>
        <v/>
      </c>
      <c r="J1762" s="16" t="str">
        <f aca="false">IF(B1762="","",IF(N1762=_xlfn.MINIFS($N$2:$N$5001,$B$2:$B$5001,B1762),1,0))</f>
        <v/>
      </c>
      <c r="K1762" s="16" t="str">
        <f aca="false">IF(B1762="","",IF(AND(D1762="Formalização",E1762="Concluído"),IF(COUNTIFS($B$2:$B$5001,B1762,$E$2:$E$5001,"Em ajustes",$N$2:$N$5001,"&lt;"&amp;I1762)&gt;0,1,0),0))</f>
        <v/>
      </c>
      <c r="L1762" s="16" t="str">
        <f aca="false">IF(B1762="","",IF(N1762=_xlfn.MAXIFS($N$2:$N$5001,$B$2:$B$5001,B1762,$I$2:$I$5001,I1762),1,0))</f>
        <v/>
      </c>
      <c r="M1762" s="16" t="str">
        <f aca="false">IF(B1762="","",IF(E1762="Em ajustes",IF(N1762=_xlfn.MINIFS($N$2:$N$5001,$B$2:$B$5001,B1762,$E$2:$E$5001,"Em ajustes"),1,0),0))</f>
        <v/>
      </c>
      <c r="N1762" s="17" t="str">
        <f aca="false">IF(A1762="","",IF(ISNUMBER(A1762),A1762,IFERROR(DATE(VALUE(MID(A1762,7,4)),VALUE(MID(A1762,4,2)),VALUE(MID(A1762,1,2)))+TIME(VALUE(MID(A1762,12,2)),VALUE(MID(A1762,15,2)),VALUE(MID(A1762,18,2))),"")))</f>
        <v/>
      </c>
    </row>
    <row r="1763" customFormat="false" ht="15" hidden="false" customHeight="false" outlineLevel="0" collapsed="false">
      <c r="I1763" s="15" t="str">
        <f aca="false">IF(N1763="","",INT(N1763))</f>
        <v/>
      </c>
      <c r="J1763" s="16" t="str">
        <f aca="false">IF(B1763="","",IF(N1763=_xlfn.MINIFS($N$2:$N$5001,$B$2:$B$5001,B1763),1,0))</f>
        <v/>
      </c>
      <c r="K1763" s="16" t="str">
        <f aca="false">IF(B1763="","",IF(AND(D1763="Formalização",E1763="Concluído"),IF(COUNTIFS($B$2:$B$5001,B1763,$E$2:$E$5001,"Em ajustes",$N$2:$N$5001,"&lt;"&amp;I1763)&gt;0,1,0),0))</f>
        <v/>
      </c>
      <c r="L1763" s="16" t="str">
        <f aca="false">IF(B1763="","",IF(N1763=_xlfn.MAXIFS($N$2:$N$5001,$B$2:$B$5001,B1763,$I$2:$I$5001,I1763),1,0))</f>
        <v/>
      </c>
      <c r="M1763" s="16" t="str">
        <f aca="false">IF(B1763="","",IF(E1763="Em ajustes",IF(N1763=_xlfn.MINIFS($N$2:$N$5001,$B$2:$B$5001,B1763,$E$2:$E$5001,"Em ajustes"),1,0),0))</f>
        <v/>
      </c>
      <c r="N1763" s="17" t="str">
        <f aca="false">IF(A1763="","",IF(ISNUMBER(A1763),A1763,IFERROR(DATE(VALUE(MID(A1763,7,4)),VALUE(MID(A1763,4,2)),VALUE(MID(A1763,1,2)))+TIME(VALUE(MID(A1763,12,2)),VALUE(MID(A1763,15,2)),VALUE(MID(A1763,18,2))),"")))</f>
        <v/>
      </c>
    </row>
    <row r="1764" customFormat="false" ht="15" hidden="false" customHeight="false" outlineLevel="0" collapsed="false">
      <c r="I1764" s="15" t="str">
        <f aca="false">IF(N1764="","",INT(N1764))</f>
        <v/>
      </c>
      <c r="J1764" s="16" t="str">
        <f aca="false">IF(B1764="","",IF(N1764=_xlfn.MINIFS($N$2:$N$5001,$B$2:$B$5001,B1764),1,0))</f>
        <v/>
      </c>
      <c r="K1764" s="16" t="str">
        <f aca="false">IF(B1764="","",IF(AND(D1764="Formalização",E1764="Concluído"),IF(COUNTIFS($B$2:$B$5001,B1764,$E$2:$E$5001,"Em ajustes",$N$2:$N$5001,"&lt;"&amp;I1764)&gt;0,1,0),0))</f>
        <v/>
      </c>
      <c r="L1764" s="16" t="str">
        <f aca="false">IF(B1764="","",IF(N1764=_xlfn.MAXIFS($N$2:$N$5001,$B$2:$B$5001,B1764,$I$2:$I$5001,I1764),1,0))</f>
        <v/>
      </c>
      <c r="M1764" s="16" t="str">
        <f aca="false">IF(B1764="","",IF(E1764="Em ajustes",IF(N1764=_xlfn.MINIFS($N$2:$N$5001,$B$2:$B$5001,B1764,$E$2:$E$5001,"Em ajustes"),1,0),0))</f>
        <v/>
      </c>
      <c r="N1764" s="17" t="str">
        <f aca="false">IF(A1764="","",IF(ISNUMBER(A1764),A1764,IFERROR(DATE(VALUE(MID(A1764,7,4)),VALUE(MID(A1764,4,2)),VALUE(MID(A1764,1,2)))+TIME(VALUE(MID(A1764,12,2)),VALUE(MID(A1764,15,2)),VALUE(MID(A1764,18,2))),"")))</f>
        <v/>
      </c>
    </row>
    <row r="1765" customFormat="false" ht="15" hidden="false" customHeight="false" outlineLevel="0" collapsed="false">
      <c r="I1765" s="15" t="str">
        <f aca="false">IF(N1765="","",INT(N1765))</f>
        <v/>
      </c>
      <c r="J1765" s="16" t="str">
        <f aca="false">IF(B1765="","",IF(N1765=_xlfn.MINIFS($N$2:$N$5001,$B$2:$B$5001,B1765),1,0))</f>
        <v/>
      </c>
      <c r="K1765" s="16" t="str">
        <f aca="false">IF(B1765="","",IF(AND(D1765="Formalização",E1765="Concluído"),IF(COUNTIFS($B$2:$B$5001,B1765,$E$2:$E$5001,"Em ajustes",$N$2:$N$5001,"&lt;"&amp;I1765)&gt;0,1,0),0))</f>
        <v/>
      </c>
      <c r="L1765" s="16" t="str">
        <f aca="false">IF(B1765="","",IF(N1765=_xlfn.MAXIFS($N$2:$N$5001,$B$2:$B$5001,B1765,$I$2:$I$5001,I1765),1,0))</f>
        <v/>
      </c>
      <c r="M1765" s="16" t="str">
        <f aca="false">IF(B1765="","",IF(E1765="Em ajustes",IF(N1765=_xlfn.MINIFS($N$2:$N$5001,$B$2:$B$5001,B1765,$E$2:$E$5001,"Em ajustes"),1,0),0))</f>
        <v/>
      </c>
      <c r="N1765" s="17" t="str">
        <f aca="false">IF(A1765="","",IF(ISNUMBER(A1765),A1765,IFERROR(DATE(VALUE(MID(A1765,7,4)),VALUE(MID(A1765,4,2)),VALUE(MID(A1765,1,2)))+TIME(VALUE(MID(A1765,12,2)),VALUE(MID(A1765,15,2)),VALUE(MID(A1765,18,2))),"")))</f>
        <v/>
      </c>
    </row>
    <row r="1766" customFormat="false" ht="15" hidden="false" customHeight="false" outlineLevel="0" collapsed="false">
      <c r="I1766" s="15" t="str">
        <f aca="false">IF(N1766="","",INT(N1766))</f>
        <v/>
      </c>
      <c r="J1766" s="16" t="str">
        <f aca="false">IF(B1766="","",IF(N1766=_xlfn.MINIFS($N$2:$N$5001,$B$2:$B$5001,B1766),1,0))</f>
        <v/>
      </c>
      <c r="K1766" s="16" t="str">
        <f aca="false">IF(B1766="","",IF(AND(D1766="Formalização",E1766="Concluído"),IF(COUNTIFS($B$2:$B$5001,B1766,$E$2:$E$5001,"Em ajustes",$N$2:$N$5001,"&lt;"&amp;I1766)&gt;0,1,0),0))</f>
        <v/>
      </c>
      <c r="L1766" s="16" t="str">
        <f aca="false">IF(B1766="","",IF(N1766=_xlfn.MAXIFS($N$2:$N$5001,$B$2:$B$5001,B1766,$I$2:$I$5001,I1766),1,0))</f>
        <v/>
      </c>
      <c r="M1766" s="16" t="str">
        <f aca="false">IF(B1766="","",IF(E1766="Em ajustes",IF(N1766=_xlfn.MINIFS($N$2:$N$5001,$B$2:$B$5001,B1766,$E$2:$E$5001,"Em ajustes"),1,0),0))</f>
        <v/>
      </c>
      <c r="N1766" s="17" t="str">
        <f aca="false">IF(A1766="","",IF(ISNUMBER(A1766),A1766,IFERROR(DATE(VALUE(MID(A1766,7,4)),VALUE(MID(A1766,4,2)),VALUE(MID(A1766,1,2)))+TIME(VALUE(MID(A1766,12,2)),VALUE(MID(A1766,15,2)),VALUE(MID(A1766,18,2))),"")))</f>
        <v/>
      </c>
    </row>
    <row r="1767" customFormat="false" ht="15" hidden="false" customHeight="false" outlineLevel="0" collapsed="false">
      <c r="I1767" s="15" t="str">
        <f aca="false">IF(N1767="","",INT(N1767))</f>
        <v/>
      </c>
      <c r="J1767" s="16" t="str">
        <f aca="false">IF(B1767="","",IF(N1767=_xlfn.MINIFS($N$2:$N$5001,$B$2:$B$5001,B1767),1,0))</f>
        <v/>
      </c>
      <c r="K1767" s="16" t="str">
        <f aca="false">IF(B1767="","",IF(AND(D1767="Formalização",E1767="Concluído"),IF(COUNTIFS($B$2:$B$5001,B1767,$E$2:$E$5001,"Em ajustes",$N$2:$N$5001,"&lt;"&amp;I1767)&gt;0,1,0),0))</f>
        <v/>
      </c>
      <c r="L1767" s="16" t="str">
        <f aca="false">IF(B1767="","",IF(N1767=_xlfn.MAXIFS($N$2:$N$5001,$B$2:$B$5001,B1767,$I$2:$I$5001,I1767),1,0))</f>
        <v/>
      </c>
      <c r="M1767" s="16" t="str">
        <f aca="false">IF(B1767="","",IF(E1767="Em ajustes",IF(N1767=_xlfn.MINIFS($N$2:$N$5001,$B$2:$B$5001,B1767,$E$2:$E$5001,"Em ajustes"),1,0),0))</f>
        <v/>
      </c>
      <c r="N1767" s="17" t="str">
        <f aca="false">IF(A1767="","",IF(ISNUMBER(A1767),A1767,IFERROR(DATE(VALUE(MID(A1767,7,4)),VALUE(MID(A1767,4,2)),VALUE(MID(A1767,1,2)))+TIME(VALUE(MID(A1767,12,2)),VALUE(MID(A1767,15,2)),VALUE(MID(A1767,18,2))),"")))</f>
        <v/>
      </c>
    </row>
    <row r="1768" customFormat="false" ht="15" hidden="false" customHeight="false" outlineLevel="0" collapsed="false">
      <c r="I1768" s="15" t="str">
        <f aca="false">IF(N1768="","",INT(N1768))</f>
        <v/>
      </c>
      <c r="J1768" s="16" t="str">
        <f aca="false">IF(B1768="","",IF(N1768=_xlfn.MINIFS($N$2:$N$5001,$B$2:$B$5001,B1768),1,0))</f>
        <v/>
      </c>
      <c r="K1768" s="16" t="str">
        <f aca="false">IF(B1768="","",IF(AND(D1768="Formalização",E1768="Concluído"),IF(COUNTIFS($B$2:$B$5001,B1768,$E$2:$E$5001,"Em ajustes",$N$2:$N$5001,"&lt;"&amp;I1768)&gt;0,1,0),0))</f>
        <v/>
      </c>
      <c r="L1768" s="16" t="str">
        <f aca="false">IF(B1768="","",IF(N1768=_xlfn.MAXIFS($N$2:$N$5001,$B$2:$B$5001,B1768,$I$2:$I$5001,I1768),1,0))</f>
        <v/>
      </c>
      <c r="M1768" s="16" t="str">
        <f aca="false">IF(B1768="","",IF(E1768="Em ajustes",IF(N1768=_xlfn.MINIFS($N$2:$N$5001,$B$2:$B$5001,B1768,$E$2:$E$5001,"Em ajustes"),1,0),0))</f>
        <v/>
      </c>
      <c r="N1768" s="17" t="str">
        <f aca="false">IF(A1768="","",IF(ISNUMBER(A1768),A1768,IFERROR(DATE(VALUE(MID(A1768,7,4)),VALUE(MID(A1768,4,2)),VALUE(MID(A1768,1,2)))+TIME(VALUE(MID(A1768,12,2)),VALUE(MID(A1768,15,2)),VALUE(MID(A1768,18,2))),"")))</f>
        <v/>
      </c>
    </row>
    <row r="1769" customFormat="false" ht="15" hidden="false" customHeight="false" outlineLevel="0" collapsed="false">
      <c r="I1769" s="15" t="str">
        <f aca="false">IF(N1769="","",INT(N1769))</f>
        <v/>
      </c>
      <c r="J1769" s="16" t="str">
        <f aca="false">IF(B1769="","",IF(N1769=_xlfn.MINIFS($N$2:$N$5001,$B$2:$B$5001,B1769),1,0))</f>
        <v/>
      </c>
      <c r="K1769" s="16" t="str">
        <f aca="false">IF(B1769="","",IF(AND(D1769="Formalização",E1769="Concluído"),IF(COUNTIFS($B$2:$B$5001,B1769,$E$2:$E$5001,"Em ajustes",$N$2:$N$5001,"&lt;"&amp;I1769)&gt;0,1,0),0))</f>
        <v/>
      </c>
      <c r="L1769" s="16" t="str">
        <f aca="false">IF(B1769="","",IF(N1769=_xlfn.MAXIFS($N$2:$N$5001,$B$2:$B$5001,B1769,$I$2:$I$5001,I1769),1,0))</f>
        <v/>
      </c>
      <c r="M1769" s="16" t="str">
        <f aca="false">IF(B1769="","",IF(E1769="Em ajustes",IF(N1769=_xlfn.MINIFS($N$2:$N$5001,$B$2:$B$5001,B1769,$E$2:$E$5001,"Em ajustes"),1,0),0))</f>
        <v/>
      </c>
      <c r="N1769" s="17" t="str">
        <f aca="false">IF(A1769="","",IF(ISNUMBER(A1769),A1769,IFERROR(DATE(VALUE(MID(A1769,7,4)),VALUE(MID(A1769,4,2)),VALUE(MID(A1769,1,2)))+TIME(VALUE(MID(A1769,12,2)),VALUE(MID(A1769,15,2)),VALUE(MID(A1769,18,2))),"")))</f>
        <v/>
      </c>
    </row>
    <row r="1770" customFormat="false" ht="15" hidden="false" customHeight="false" outlineLevel="0" collapsed="false">
      <c r="I1770" s="15" t="str">
        <f aca="false">IF(N1770="","",INT(N1770))</f>
        <v/>
      </c>
      <c r="J1770" s="16" t="str">
        <f aca="false">IF(B1770="","",IF(N1770=_xlfn.MINIFS($N$2:$N$5001,$B$2:$B$5001,B1770),1,0))</f>
        <v/>
      </c>
      <c r="K1770" s="16" t="str">
        <f aca="false">IF(B1770="","",IF(AND(D1770="Formalização",E1770="Concluído"),IF(COUNTIFS($B$2:$B$5001,B1770,$E$2:$E$5001,"Em ajustes",$N$2:$N$5001,"&lt;"&amp;I1770)&gt;0,1,0),0))</f>
        <v/>
      </c>
      <c r="L1770" s="16" t="str">
        <f aca="false">IF(B1770="","",IF(N1770=_xlfn.MAXIFS($N$2:$N$5001,$B$2:$B$5001,B1770,$I$2:$I$5001,I1770),1,0))</f>
        <v/>
      </c>
      <c r="M1770" s="16" t="str">
        <f aca="false">IF(B1770="","",IF(E1770="Em ajustes",IF(N1770=_xlfn.MINIFS($N$2:$N$5001,$B$2:$B$5001,B1770,$E$2:$E$5001,"Em ajustes"),1,0),0))</f>
        <v/>
      </c>
      <c r="N1770" s="17" t="str">
        <f aca="false">IF(A1770="","",IF(ISNUMBER(A1770),A1770,IFERROR(DATE(VALUE(MID(A1770,7,4)),VALUE(MID(A1770,4,2)),VALUE(MID(A1770,1,2)))+TIME(VALUE(MID(A1770,12,2)),VALUE(MID(A1770,15,2)),VALUE(MID(A1770,18,2))),"")))</f>
        <v/>
      </c>
    </row>
    <row r="1771" customFormat="false" ht="15" hidden="false" customHeight="false" outlineLevel="0" collapsed="false">
      <c r="I1771" s="15" t="str">
        <f aca="false">IF(N1771="","",INT(N1771))</f>
        <v/>
      </c>
      <c r="J1771" s="16" t="str">
        <f aca="false">IF(B1771="","",IF(N1771=_xlfn.MINIFS($N$2:$N$5001,$B$2:$B$5001,B1771),1,0))</f>
        <v/>
      </c>
      <c r="K1771" s="16" t="str">
        <f aca="false">IF(B1771="","",IF(AND(D1771="Formalização",E1771="Concluído"),IF(COUNTIFS($B$2:$B$5001,B1771,$E$2:$E$5001,"Em ajustes",$N$2:$N$5001,"&lt;"&amp;I1771)&gt;0,1,0),0))</f>
        <v/>
      </c>
      <c r="L1771" s="16" t="str">
        <f aca="false">IF(B1771="","",IF(N1771=_xlfn.MAXIFS($N$2:$N$5001,$B$2:$B$5001,B1771,$I$2:$I$5001,I1771),1,0))</f>
        <v/>
      </c>
      <c r="M1771" s="16" t="str">
        <f aca="false">IF(B1771="","",IF(E1771="Em ajustes",IF(N1771=_xlfn.MINIFS($N$2:$N$5001,$B$2:$B$5001,B1771,$E$2:$E$5001,"Em ajustes"),1,0),0))</f>
        <v/>
      </c>
      <c r="N1771" s="17" t="str">
        <f aca="false">IF(A1771="","",IF(ISNUMBER(A1771),A1771,IFERROR(DATE(VALUE(MID(A1771,7,4)),VALUE(MID(A1771,4,2)),VALUE(MID(A1771,1,2)))+TIME(VALUE(MID(A1771,12,2)),VALUE(MID(A1771,15,2)),VALUE(MID(A1771,18,2))),"")))</f>
        <v/>
      </c>
    </row>
    <row r="1772" customFormat="false" ht="15" hidden="false" customHeight="false" outlineLevel="0" collapsed="false">
      <c r="I1772" s="15" t="str">
        <f aca="false">IF(N1772="","",INT(N1772))</f>
        <v/>
      </c>
      <c r="J1772" s="16" t="str">
        <f aca="false">IF(B1772="","",IF(N1772=_xlfn.MINIFS($N$2:$N$5001,$B$2:$B$5001,B1772),1,0))</f>
        <v/>
      </c>
      <c r="K1772" s="16" t="str">
        <f aca="false">IF(B1772="","",IF(AND(D1772="Formalização",E1772="Concluído"),IF(COUNTIFS($B$2:$B$5001,B1772,$E$2:$E$5001,"Em ajustes",$N$2:$N$5001,"&lt;"&amp;I1772)&gt;0,1,0),0))</f>
        <v/>
      </c>
      <c r="L1772" s="16" t="str">
        <f aca="false">IF(B1772="","",IF(N1772=_xlfn.MAXIFS($N$2:$N$5001,$B$2:$B$5001,B1772,$I$2:$I$5001,I1772),1,0))</f>
        <v/>
      </c>
      <c r="M1772" s="16" t="str">
        <f aca="false">IF(B1772="","",IF(E1772="Em ajustes",IF(N1772=_xlfn.MINIFS($N$2:$N$5001,$B$2:$B$5001,B1772,$E$2:$E$5001,"Em ajustes"),1,0),0))</f>
        <v/>
      </c>
      <c r="N1772" s="17" t="str">
        <f aca="false">IF(A1772="","",IF(ISNUMBER(A1772),A1772,IFERROR(DATE(VALUE(MID(A1772,7,4)),VALUE(MID(A1772,4,2)),VALUE(MID(A1772,1,2)))+TIME(VALUE(MID(A1772,12,2)),VALUE(MID(A1772,15,2)),VALUE(MID(A1772,18,2))),"")))</f>
        <v/>
      </c>
    </row>
    <row r="1773" customFormat="false" ht="15" hidden="false" customHeight="false" outlineLevel="0" collapsed="false">
      <c r="I1773" s="15" t="str">
        <f aca="false">IF(N1773="","",INT(N1773))</f>
        <v/>
      </c>
      <c r="J1773" s="16" t="str">
        <f aca="false">IF(B1773="","",IF(N1773=_xlfn.MINIFS($N$2:$N$5001,$B$2:$B$5001,B1773),1,0))</f>
        <v/>
      </c>
      <c r="K1773" s="16" t="str">
        <f aca="false">IF(B1773="","",IF(AND(D1773="Formalização",E1773="Concluído"),IF(COUNTIFS($B$2:$B$5001,B1773,$E$2:$E$5001,"Em ajustes",$N$2:$N$5001,"&lt;"&amp;I1773)&gt;0,1,0),0))</f>
        <v/>
      </c>
      <c r="L1773" s="16" t="str">
        <f aca="false">IF(B1773="","",IF(N1773=_xlfn.MAXIFS($N$2:$N$5001,$B$2:$B$5001,B1773,$I$2:$I$5001,I1773),1,0))</f>
        <v/>
      </c>
      <c r="M1773" s="16" t="str">
        <f aca="false">IF(B1773="","",IF(E1773="Em ajustes",IF(N1773=_xlfn.MINIFS($N$2:$N$5001,$B$2:$B$5001,B1773,$E$2:$E$5001,"Em ajustes"),1,0),0))</f>
        <v/>
      </c>
      <c r="N1773" s="17" t="str">
        <f aca="false">IF(A1773="","",IF(ISNUMBER(A1773),A1773,IFERROR(DATE(VALUE(MID(A1773,7,4)),VALUE(MID(A1773,4,2)),VALUE(MID(A1773,1,2)))+TIME(VALUE(MID(A1773,12,2)),VALUE(MID(A1773,15,2)),VALUE(MID(A1773,18,2))),"")))</f>
        <v/>
      </c>
    </row>
    <row r="1774" customFormat="false" ht="15" hidden="false" customHeight="false" outlineLevel="0" collapsed="false">
      <c r="I1774" s="15" t="str">
        <f aca="false">IF(N1774="","",INT(N1774))</f>
        <v/>
      </c>
      <c r="J1774" s="16" t="str">
        <f aca="false">IF(B1774="","",IF(N1774=_xlfn.MINIFS($N$2:$N$5001,$B$2:$B$5001,B1774),1,0))</f>
        <v/>
      </c>
      <c r="K1774" s="16" t="str">
        <f aca="false">IF(B1774="","",IF(AND(D1774="Formalização",E1774="Concluído"),IF(COUNTIFS($B$2:$B$5001,B1774,$E$2:$E$5001,"Em ajustes",$N$2:$N$5001,"&lt;"&amp;I1774)&gt;0,1,0),0))</f>
        <v/>
      </c>
      <c r="L1774" s="16" t="str">
        <f aca="false">IF(B1774="","",IF(N1774=_xlfn.MAXIFS($N$2:$N$5001,$B$2:$B$5001,B1774,$I$2:$I$5001,I1774),1,0))</f>
        <v/>
      </c>
      <c r="M1774" s="16" t="str">
        <f aca="false">IF(B1774="","",IF(E1774="Em ajustes",IF(N1774=_xlfn.MINIFS($N$2:$N$5001,$B$2:$B$5001,B1774,$E$2:$E$5001,"Em ajustes"),1,0),0))</f>
        <v/>
      </c>
      <c r="N1774" s="17" t="str">
        <f aca="false">IF(A1774="","",IF(ISNUMBER(A1774),A1774,IFERROR(DATE(VALUE(MID(A1774,7,4)),VALUE(MID(A1774,4,2)),VALUE(MID(A1774,1,2)))+TIME(VALUE(MID(A1774,12,2)),VALUE(MID(A1774,15,2)),VALUE(MID(A1774,18,2))),"")))</f>
        <v/>
      </c>
    </row>
    <row r="1775" customFormat="false" ht="15" hidden="false" customHeight="false" outlineLevel="0" collapsed="false">
      <c r="I1775" s="15" t="str">
        <f aca="false">IF(N1775="","",INT(N1775))</f>
        <v/>
      </c>
      <c r="J1775" s="16" t="str">
        <f aca="false">IF(B1775="","",IF(N1775=_xlfn.MINIFS($N$2:$N$5001,$B$2:$B$5001,B1775),1,0))</f>
        <v/>
      </c>
      <c r="K1775" s="16" t="str">
        <f aca="false">IF(B1775="","",IF(AND(D1775="Formalização",E1775="Concluído"),IF(COUNTIFS($B$2:$B$5001,B1775,$E$2:$E$5001,"Em ajustes",$N$2:$N$5001,"&lt;"&amp;I1775)&gt;0,1,0),0))</f>
        <v/>
      </c>
      <c r="L1775" s="16" t="str">
        <f aca="false">IF(B1775="","",IF(N1775=_xlfn.MAXIFS($N$2:$N$5001,$B$2:$B$5001,B1775,$I$2:$I$5001,I1775),1,0))</f>
        <v/>
      </c>
      <c r="M1775" s="16" t="str">
        <f aca="false">IF(B1775="","",IF(E1775="Em ajustes",IF(N1775=_xlfn.MINIFS($N$2:$N$5001,$B$2:$B$5001,B1775,$E$2:$E$5001,"Em ajustes"),1,0),0))</f>
        <v/>
      </c>
      <c r="N1775" s="17" t="str">
        <f aca="false">IF(A1775="","",IF(ISNUMBER(A1775),A1775,IFERROR(DATE(VALUE(MID(A1775,7,4)),VALUE(MID(A1775,4,2)),VALUE(MID(A1775,1,2)))+TIME(VALUE(MID(A1775,12,2)),VALUE(MID(A1775,15,2)),VALUE(MID(A1775,18,2))),"")))</f>
        <v/>
      </c>
    </row>
    <row r="1776" customFormat="false" ht="15" hidden="false" customHeight="false" outlineLevel="0" collapsed="false">
      <c r="I1776" s="15" t="str">
        <f aca="false">IF(N1776="","",INT(N1776))</f>
        <v/>
      </c>
      <c r="J1776" s="16" t="str">
        <f aca="false">IF(B1776="","",IF(N1776=_xlfn.MINIFS($N$2:$N$5001,$B$2:$B$5001,B1776),1,0))</f>
        <v/>
      </c>
      <c r="K1776" s="16" t="str">
        <f aca="false">IF(B1776="","",IF(AND(D1776="Formalização",E1776="Concluído"),IF(COUNTIFS($B$2:$B$5001,B1776,$E$2:$E$5001,"Em ajustes",$N$2:$N$5001,"&lt;"&amp;I1776)&gt;0,1,0),0))</f>
        <v/>
      </c>
      <c r="L1776" s="16" t="str">
        <f aca="false">IF(B1776="","",IF(N1776=_xlfn.MAXIFS($N$2:$N$5001,$B$2:$B$5001,B1776,$I$2:$I$5001,I1776),1,0))</f>
        <v/>
      </c>
      <c r="M1776" s="16" t="str">
        <f aca="false">IF(B1776="","",IF(E1776="Em ajustes",IF(N1776=_xlfn.MINIFS($N$2:$N$5001,$B$2:$B$5001,B1776,$E$2:$E$5001,"Em ajustes"),1,0),0))</f>
        <v/>
      </c>
      <c r="N1776" s="17" t="str">
        <f aca="false">IF(A1776="","",IF(ISNUMBER(A1776),A1776,IFERROR(DATE(VALUE(MID(A1776,7,4)),VALUE(MID(A1776,4,2)),VALUE(MID(A1776,1,2)))+TIME(VALUE(MID(A1776,12,2)),VALUE(MID(A1776,15,2)),VALUE(MID(A1776,18,2))),"")))</f>
        <v/>
      </c>
    </row>
    <row r="1777" customFormat="false" ht="15" hidden="false" customHeight="false" outlineLevel="0" collapsed="false">
      <c r="I1777" s="15" t="str">
        <f aca="false">IF(N1777="","",INT(N1777))</f>
        <v/>
      </c>
      <c r="J1777" s="16" t="str">
        <f aca="false">IF(B1777="","",IF(N1777=_xlfn.MINIFS($N$2:$N$5001,$B$2:$B$5001,B1777),1,0))</f>
        <v/>
      </c>
      <c r="K1777" s="16" t="str">
        <f aca="false">IF(B1777="","",IF(AND(D1777="Formalização",E1777="Concluído"),IF(COUNTIFS($B$2:$B$5001,B1777,$E$2:$E$5001,"Em ajustes",$N$2:$N$5001,"&lt;"&amp;I1777)&gt;0,1,0),0))</f>
        <v/>
      </c>
      <c r="L1777" s="16" t="str">
        <f aca="false">IF(B1777="","",IF(N1777=_xlfn.MAXIFS($N$2:$N$5001,$B$2:$B$5001,B1777,$I$2:$I$5001,I1777),1,0))</f>
        <v/>
      </c>
      <c r="M1777" s="16" t="str">
        <f aca="false">IF(B1777="","",IF(E1777="Em ajustes",IF(N1777=_xlfn.MINIFS($N$2:$N$5001,$B$2:$B$5001,B1777,$E$2:$E$5001,"Em ajustes"),1,0),0))</f>
        <v/>
      </c>
      <c r="N1777" s="17" t="str">
        <f aca="false">IF(A1777="","",IF(ISNUMBER(A1777),A1777,IFERROR(DATE(VALUE(MID(A1777,7,4)),VALUE(MID(A1777,4,2)),VALUE(MID(A1777,1,2)))+TIME(VALUE(MID(A1777,12,2)),VALUE(MID(A1777,15,2)),VALUE(MID(A1777,18,2))),"")))</f>
        <v/>
      </c>
    </row>
    <row r="1778" customFormat="false" ht="15" hidden="false" customHeight="false" outlineLevel="0" collapsed="false">
      <c r="I1778" s="15" t="str">
        <f aca="false">IF(N1778="","",INT(N1778))</f>
        <v/>
      </c>
      <c r="J1778" s="16" t="str">
        <f aca="false">IF(B1778="","",IF(N1778=_xlfn.MINIFS($N$2:$N$5001,$B$2:$B$5001,B1778),1,0))</f>
        <v/>
      </c>
      <c r="K1778" s="16" t="str">
        <f aca="false">IF(B1778="","",IF(AND(D1778="Formalização",E1778="Concluído"),IF(COUNTIFS($B$2:$B$5001,B1778,$E$2:$E$5001,"Em ajustes",$N$2:$N$5001,"&lt;"&amp;I1778)&gt;0,1,0),0))</f>
        <v/>
      </c>
      <c r="L1778" s="16" t="str">
        <f aca="false">IF(B1778="","",IF(N1778=_xlfn.MAXIFS($N$2:$N$5001,$B$2:$B$5001,B1778,$I$2:$I$5001,I1778),1,0))</f>
        <v/>
      </c>
      <c r="M1778" s="16" t="str">
        <f aca="false">IF(B1778="","",IF(E1778="Em ajustes",IF(N1778=_xlfn.MINIFS($N$2:$N$5001,$B$2:$B$5001,B1778,$E$2:$E$5001,"Em ajustes"),1,0),0))</f>
        <v/>
      </c>
      <c r="N1778" s="17" t="str">
        <f aca="false">IF(A1778="","",IF(ISNUMBER(A1778),A1778,IFERROR(DATE(VALUE(MID(A1778,7,4)),VALUE(MID(A1778,4,2)),VALUE(MID(A1778,1,2)))+TIME(VALUE(MID(A1778,12,2)),VALUE(MID(A1778,15,2)),VALUE(MID(A1778,18,2))),"")))</f>
        <v/>
      </c>
    </row>
    <row r="1779" customFormat="false" ht="15" hidden="false" customHeight="false" outlineLevel="0" collapsed="false">
      <c r="I1779" s="15" t="str">
        <f aca="false">IF(N1779="","",INT(N1779))</f>
        <v/>
      </c>
      <c r="J1779" s="16" t="str">
        <f aca="false">IF(B1779="","",IF(N1779=_xlfn.MINIFS($N$2:$N$5001,$B$2:$B$5001,B1779),1,0))</f>
        <v/>
      </c>
      <c r="K1779" s="16" t="str">
        <f aca="false">IF(B1779="","",IF(AND(D1779="Formalização",E1779="Concluído"),IF(COUNTIFS($B$2:$B$5001,B1779,$E$2:$E$5001,"Em ajustes",$N$2:$N$5001,"&lt;"&amp;I1779)&gt;0,1,0),0))</f>
        <v/>
      </c>
      <c r="L1779" s="16" t="str">
        <f aca="false">IF(B1779="","",IF(N1779=_xlfn.MAXIFS($N$2:$N$5001,$B$2:$B$5001,B1779,$I$2:$I$5001,I1779),1,0))</f>
        <v/>
      </c>
      <c r="M1779" s="16" t="str">
        <f aca="false">IF(B1779="","",IF(E1779="Em ajustes",IF(N1779=_xlfn.MINIFS($N$2:$N$5001,$B$2:$B$5001,B1779,$E$2:$E$5001,"Em ajustes"),1,0),0))</f>
        <v/>
      </c>
      <c r="N1779" s="17" t="str">
        <f aca="false">IF(A1779="","",IF(ISNUMBER(A1779),A1779,IFERROR(DATE(VALUE(MID(A1779,7,4)),VALUE(MID(A1779,4,2)),VALUE(MID(A1779,1,2)))+TIME(VALUE(MID(A1779,12,2)),VALUE(MID(A1779,15,2)),VALUE(MID(A1779,18,2))),"")))</f>
        <v/>
      </c>
    </row>
    <row r="1780" customFormat="false" ht="15" hidden="false" customHeight="false" outlineLevel="0" collapsed="false">
      <c r="I1780" s="15" t="str">
        <f aca="false">IF(N1780="","",INT(N1780))</f>
        <v/>
      </c>
      <c r="J1780" s="16" t="str">
        <f aca="false">IF(B1780="","",IF(N1780=_xlfn.MINIFS($N$2:$N$5001,$B$2:$B$5001,B1780),1,0))</f>
        <v/>
      </c>
      <c r="K1780" s="16" t="str">
        <f aca="false">IF(B1780="","",IF(AND(D1780="Formalização",E1780="Concluído"),IF(COUNTIFS($B$2:$B$5001,B1780,$E$2:$E$5001,"Em ajustes",$N$2:$N$5001,"&lt;"&amp;I1780)&gt;0,1,0),0))</f>
        <v/>
      </c>
      <c r="L1780" s="16" t="str">
        <f aca="false">IF(B1780="","",IF(N1780=_xlfn.MAXIFS($N$2:$N$5001,$B$2:$B$5001,B1780,$I$2:$I$5001,I1780),1,0))</f>
        <v/>
      </c>
      <c r="M1780" s="16" t="str">
        <f aca="false">IF(B1780="","",IF(E1780="Em ajustes",IF(N1780=_xlfn.MINIFS($N$2:$N$5001,$B$2:$B$5001,B1780,$E$2:$E$5001,"Em ajustes"),1,0),0))</f>
        <v/>
      </c>
      <c r="N1780" s="17" t="str">
        <f aca="false">IF(A1780="","",IF(ISNUMBER(A1780),A1780,IFERROR(DATE(VALUE(MID(A1780,7,4)),VALUE(MID(A1780,4,2)),VALUE(MID(A1780,1,2)))+TIME(VALUE(MID(A1780,12,2)),VALUE(MID(A1780,15,2)),VALUE(MID(A1780,18,2))),"")))</f>
        <v/>
      </c>
    </row>
    <row r="1781" customFormat="false" ht="15" hidden="false" customHeight="false" outlineLevel="0" collapsed="false">
      <c r="I1781" s="15" t="str">
        <f aca="false">IF(N1781="","",INT(N1781))</f>
        <v/>
      </c>
      <c r="J1781" s="16" t="str">
        <f aca="false">IF(B1781="","",IF(N1781=_xlfn.MINIFS($N$2:$N$5001,$B$2:$B$5001,B1781),1,0))</f>
        <v/>
      </c>
      <c r="K1781" s="16" t="str">
        <f aca="false">IF(B1781="","",IF(AND(D1781="Formalização",E1781="Concluído"),IF(COUNTIFS($B$2:$B$5001,B1781,$E$2:$E$5001,"Em ajustes",$N$2:$N$5001,"&lt;"&amp;I1781)&gt;0,1,0),0))</f>
        <v/>
      </c>
      <c r="L1781" s="16" t="str">
        <f aca="false">IF(B1781="","",IF(N1781=_xlfn.MAXIFS($N$2:$N$5001,$B$2:$B$5001,B1781,$I$2:$I$5001,I1781),1,0))</f>
        <v/>
      </c>
      <c r="M1781" s="16" t="str">
        <f aca="false">IF(B1781="","",IF(E1781="Em ajustes",IF(N1781=_xlfn.MINIFS($N$2:$N$5001,$B$2:$B$5001,B1781,$E$2:$E$5001,"Em ajustes"),1,0),0))</f>
        <v/>
      </c>
      <c r="N1781" s="17" t="str">
        <f aca="false">IF(A1781="","",IF(ISNUMBER(A1781),A1781,IFERROR(DATE(VALUE(MID(A1781,7,4)),VALUE(MID(A1781,4,2)),VALUE(MID(A1781,1,2)))+TIME(VALUE(MID(A1781,12,2)),VALUE(MID(A1781,15,2)),VALUE(MID(A1781,18,2))),"")))</f>
        <v/>
      </c>
    </row>
    <row r="1782" customFormat="false" ht="15" hidden="false" customHeight="false" outlineLevel="0" collapsed="false">
      <c r="I1782" s="15" t="str">
        <f aca="false">IF(N1782="","",INT(N1782))</f>
        <v/>
      </c>
      <c r="J1782" s="16" t="str">
        <f aca="false">IF(B1782="","",IF(N1782=_xlfn.MINIFS($N$2:$N$5001,$B$2:$B$5001,B1782),1,0))</f>
        <v/>
      </c>
      <c r="K1782" s="16" t="str">
        <f aca="false">IF(B1782="","",IF(AND(D1782="Formalização",E1782="Concluído"),IF(COUNTIFS($B$2:$B$5001,B1782,$E$2:$E$5001,"Em ajustes",$N$2:$N$5001,"&lt;"&amp;I1782)&gt;0,1,0),0))</f>
        <v/>
      </c>
      <c r="L1782" s="16" t="str">
        <f aca="false">IF(B1782="","",IF(N1782=_xlfn.MAXIFS($N$2:$N$5001,$B$2:$B$5001,B1782,$I$2:$I$5001,I1782),1,0))</f>
        <v/>
      </c>
      <c r="M1782" s="16" t="str">
        <f aca="false">IF(B1782="","",IF(E1782="Em ajustes",IF(N1782=_xlfn.MINIFS($N$2:$N$5001,$B$2:$B$5001,B1782,$E$2:$E$5001,"Em ajustes"),1,0),0))</f>
        <v/>
      </c>
      <c r="N1782" s="17" t="str">
        <f aca="false">IF(A1782="","",IF(ISNUMBER(A1782),A1782,IFERROR(DATE(VALUE(MID(A1782,7,4)),VALUE(MID(A1782,4,2)),VALUE(MID(A1782,1,2)))+TIME(VALUE(MID(A1782,12,2)),VALUE(MID(A1782,15,2)),VALUE(MID(A1782,18,2))),"")))</f>
        <v/>
      </c>
    </row>
    <row r="1783" customFormat="false" ht="15" hidden="false" customHeight="false" outlineLevel="0" collapsed="false">
      <c r="I1783" s="15" t="str">
        <f aca="false">IF(N1783="","",INT(N1783))</f>
        <v/>
      </c>
      <c r="J1783" s="16" t="str">
        <f aca="false">IF(B1783="","",IF(N1783=_xlfn.MINIFS($N$2:$N$5001,$B$2:$B$5001,B1783),1,0))</f>
        <v/>
      </c>
      <c r="K1783" s="16" t="str">
        <f aca="false">IF(B1783="","",IF(AND(D1783="Formalização",E1783="Concluído"),IF(COUNTIFS($B$2:$B$5001,B1783,$E$2:$E$5001,"Em ajustes",$N$2:$N$5001,"&lt;"&amp;I1783)&gt;0,1,0),0))</f>
        <v/>
      </c>
      <c r="L1783" s="16" t="str">
        <f aca="false">IF(B1783="","",IF(N1783=_xlfn.MAXIFS($N$2:$N$5001,$B$2:$B$5001,B1783,$I$2:$I$5001,I1783),1,0))</f>
        <v/>
      </c>
      <c r="M1783" s="16" t="str">
        <f aca="false">IF(B1783="","",IF(E1783="Em ajustes",IF(N1783=_xlfn.MINIFS($N$2:$N$5001,$B$2:$B$5001,B1783,$E$2:$E$5001,"Em ajustes"),1,0),0))</f>
        <v/>
      </c>
      <c r="N1783" s="17" t="str">
        <f aca="false">IF(A1783="","",IF(ISNUMBER(A1783),A1783,IFERROR(DATE(VALUE(MID(A1783,7,4)),VALUE(MID(A1783,4,2)),VALUE(MID(A1783,1,2)))+TIME(VALUE(MID(A1783,12,2)),VALUE(MID(A1783,15,2)),VALUE(MID(A1783,18,2))),"")))</f>
        <v/>
      </c>
    </row>
    <row r="1784" customFormat="false" ht="15" hidden="false" customHeight="false" outlineLevel="0" collapsed="false">
      <c r="I1784" s="15" t="str">
        <f aca="false">IF(N1784="","",INT(N1784))</f>
        <v/>
      </c>
      <c r="J1784" s="16" t="str">
        <f aca="false">IF(B1784="","",IF(N1784=_xlfn.MINIFS($N$2:$N$5001,$B$2:$B$5001,B1784),1,0))</f>
        <v/>
      </c>
      <c r="K1784" s="16" t="str">
        <f aca="false">IF(B1784="","",IF(AND(D1784="Formalização",E1784="Concluído"),IF(COUNTIFS($B$2:$B$5001,B1784,$E$2:$E$5001,"Em ajustes",$N$2:$N$5001,"&lt;"&amp;I1784)&gt;0,1,0),0))</f>
        <v/>
      </c>
      <c r="L1784" s="16" t="str">
        <f aca="false">IF(B1784="","",IF(N1784=_xlfn.MAXIFS($N$2:$N$5001,$B$2:$B$5001,B1784,$I$2:$I$5001,I1784),1,0))</f>
        <v/>
      </c>
      <c r="M1784" s="16" t="str">
        <f aca="false">IF(B1784="","",IF(E1784="Em ajustes",IF(N1784=_xlfn.MINIFS($N$2:$N$5001,$B$2:$B$5001,B1784,$E$2:$E$5001,"Em ajustes"),1,0),0))</f>
        <v/>
      </c>
      <c r="N1784" s="17" t="str">
        <f aca="false">IF(A1784="","",IF(ISNUMBER(A1784),A1784,IFERROR(DATE(VALUE(MID(A1784,7,4)),VALUE(MID(A1784,4,2)),VALUE(MID(A1784,1,2)))+TIME(VALUE(MID(A1784,12,2)),VALUE(MID(A1784,15,2)),VALUE(MID(A1784,18,2))),"")))</f>
        <v/>
      </c>
    </row>
    <row r="1785" customFormat="false" ht="15" hidden="false" customHeight="false" outlineLevel="0" collapsed="false">
      <c r="I1785" s="15" t="str">
        <f aca="false">IF(N1785="","",INT(N1785))</f>
        <v/>
      </c>
      <c r="J1785" s="16" t="str">
        <f aca="false">IF(B1785="","",IF(N1785=_xlfn.MINIFS($N$2:$N$5001,$B$2:$B$5001,B1785),1,0))</f>
        <v/>
      </c>
      <c r="K1785" s="16" t="str">
        <f aca="false">IF(B1785="","",IF(AND(D1785="Formalização",E1785="Concluído"),IF(COUNTIFS($B$2:$B$5001,B1785,$E$2:$E$5001,"Em ajustes",$N$2:$N$5001,"&lt;"&amp;I1785)&gt;0,1,0),0))</f>
        <v/>
      </c>
      <c r="L1785" s="16" t="str">
        <f aca="false">IF(B1785="","",IF(N1785=_xlfn.MAXIFS($N$2:$N$5001,$B$2:$B$5001,B1785,$I$2:$I$5001,I1785),1,0))</f>
        <v/>
      </c>
      <c r="M1785" s="16" t="str">
        <f aca="false">IF(B1785="","",IF(E1785="Em ajustes",IF(N1785=_xlfn.MINIFS($N$2:$N$5001,$B$2:$B$5001,B1785,$E$2:$E$5001,"Em ajustes"),1,0),0))</f>
        <v/>
      </c>
      <c r="N1785" s="17" t="str">
        <f aca="false">IF(A1785="","",IF(ISNUMBER(A1785),A1785,IFERROR(DATE(VALUE(MID(A1785,7,4)),VALUE(MID(A1785,4,2)),VALUE(MID(A1785,1,2)))+TIME(VALUE(MID(A1785,12,2)),VALUE(MID(A1785,15,2)),VALUE(MID(A1785,18,2))),"")))</f>
        <v/>
      </c>
    </row>
    <row r="1786" customFormat="false" ht="15" hidden="false" customHeight="false" outlineLevel="0" collapsed="false">
      <c r="I1786" s="15" t="str">
        <f aca="false">IF(N1786="","",INT(N1786))</f>
        <v/>
      </c>
      <c r="J1786" s="16" t="str">
        <f aca="false">IF(B1786="","",IF(N1786=_xlfn.MINIFS($N$2:$N$5001,$B$2:$B$5001,B1786),1,0))</f>
        <v/>
      </c>
      <c r="K1786" s="16" t="str">
        <f aca="false">IF(B1786="","",IF(AND(D1786="Formalização",E1786="Concluído"),IF(COUNTIFS($B$2:$B$5001,B1786,$E$2:$E$5001,"Em ajustes",$N$2:$N$5001,"&lt;"&amp;I1786)&gt;0,1,0),0))</f>
        <v/>
      </c>
      <c r="L1786" s="16" t="str">
        <f aca="false">IF(B1786="","",IF(N1786=_xlfn.MAXIFS($N$2:$N$5001,$B$2:$B$5001,B1786,$I$2:$I$5001,I1786),1,0))</f>
        <v/>
      </c>
      <c r="M1786" s="16" t="str">
        <f aca="false">IF(B1786="","",IF(E1786="Em ajustes",IF(N1786=_xlfn.MINIFS($N$2:$N$5001,$B$2:$B$5001,B1786,$E$2:$E$5001,"Em ajustes"),1,0),0))</f>
        <v/>
      </c>
      <c r="N1786" s="17" t="str">
        <f aca="false">IF(A1786="","",IF(ISNUMBER(A1786),A1786,IFERROR(DATE(VALUE(MID(A1786,7,4)),VALUE(MID(A1786,4,2)),VALUE(MID(A1786,1,2)))+TIME(VALUE(MID(A1786,12,2)),VALUE(MID(A1786,15,2)),VALUE(MID(A1786,18,2))),"")))</f>
        <v/>
      </c>
    </row>
    <row r="1787" customFormat="false" ht="15" hidden="false" customHeight="false" outlineLevel="0" collapsed="false">
      <c r="I1787" s="15" t="str">
        <f aca="false">IF(N1787="","",INT(N1787))</f>
        <v/>
      </c>
      <c r="J1787" s="16" t="str">
        <f aca="false">IF(B1787="","",IF(N1787=_xlfn.MINIFS($N$2:$N$5001,$B$2:$B$5001,B1787),1,0))</f>
        <v/>
      </c>
      <c r="K1787" s="16" t="str">
        <f aca="false">IF(B1787="","",IF(AND(D1787="Formalização",E1787="Concluído"),IF(COUNTIFS($B$2:$B$5001,B1787,$E$2:$E$5001,"Em ajustes",$N$2:$N$5001,"&lt;"&amp;I1787)&gt;0,1,0),0))</f>
        <v/>
      </c>
      <c r="L1787" s="16" t="str">
        <f aca="false">IF(B1787="","",IF(N1787=_xlfn.MAXIFS($N$2:$N$5001,$B$2:$B$5001,B1787,$I$2:$I$5001,I1787),1,0))</f>
        <v/>
      </c>
      <c r="M1787" s="16" t="str">
        <f aca="false">IF(B1787="","",IF(E1787="Em ajustes",IF(N1787=_xlfn.MINIFS($N$2:$N$5001,$B$2:$B$5001,B1787,$E$2:$E$5001,"Em ajustes"),1,0),0))</f>
        <v/>
      </c>
      <c r="N1787" s="17" t="str">
        <f aca="false">IF(A1787="","",IF(ISNUMBER(A1787),A1787,IFERROR(DATE(VALUE(MID(A1787,7,4)),VALUE(MID(A1787,4,2)),VALUE(MID(A1787,1,2)))+TIME(VALUE(MID(A1787,12,2)),VALUE(MID(A1787,15,2)),VALUE(MID(A1787,18,2))),"")))</f>
        <v/>
      </c>
    </row>
    <row r="1788" customFormat="false" ht="15" hidden="false" customHeight="false" outlineLevel="0" collapsed="false">
      <c r="I1788" s="15" t="str">
        <f aca="false">IF(N1788="","",INT(N1788))</f>
        <v/>
      </c>
      <c r="J1788" s="16" t="str">
        <f aca="false">IF(B1788="","",IF(N1788=_xlfn.MINIFS($N$2:$N$5001,$B$2:$B$5001,B1788),1,0))</f>
        <v/>
      </c>
      <c r="K1788" s="16" t="str">
        <f aca="false">IF(B1788="","",IF(AND(D1788="Formalização",E1788="Concluído"),IF(COUNTIFS($B$2:$B$5001,B1788,$E$2:$E$5001,"Em ajustes",$N$2:$N$5001,"&lt;"&amp;I1788)&gt;0,1,0),0))</f>
        <v/>
      </c>
      <c r="L1788" s="16" t="str">
        <f aca="false">IF(B1788="","",IF(N1788=_xlfn.MAXIFS($N$2:$N$5001,$B$2:$B$5001,B1788,$I$2:$I$5001,I1788),1,0))</f>
        <v/>
      </c>
      <c r="M1788" s="16" t="str">
        <f aca="false">IF(B1788="","",IF(E1788="Em ajustes",IF(N1788=_xlfn.MINIFS($N$2:$N$5001,$B$2:$B$5001,B1788,$E$2:$E$5001,"Em ajustes"),1,0),0))</f>
        <v/>
      </c>
      <c r="N1788" s="17" t="str">
        <f aca="false">IF(A1788="","",IF(ISNUMBER(A1788),A1788,IFERROR(DATE(VALUE(MID(A1788,7,4)),VALUE(MID(A1788,4,2)),VALUE(MID(A1788,1,2)))+TIME(VALUE(MID(A1788,12,2)),VALUE(MID(A1788,15,2)),VALUE(MID(A1788,18,2))),"")))</f>
        <v/>
      </c>
    </row>
    <row r="1789" customFormat="false" ht="15" hidden="false" customHeight="false" outlineLevel="0" collapsed="false">
      <c r="I1789" s="15" t="str">
        <f aca="false">IF(N1789="","",INT(N1789))</f>
        <v/>
      </c>
      <c r="J1789" s="16" t="str">
        <f aca="false">IF(B1789="","",IF(N1789=_xlfn.MINIFS($N$2:$N$5001,$B$2:$B$5001,B1789),1,0))</f>
        <v/>
      </c>
      <c r="K1789" s="16" t="str">
        <f aca="false">IF(B1789="","",IF(AND(D1789="Formalização",E1789="Concluído"),IF(COUNTIFS($B$2:$B$5001,B1789,$E$2:$E$5001,"Em ajustes",$N$2:$N$5001,"&lt;"&amp;I1789)&gt;0,1,0),0))</f>
        <v/>
      </c>
      <c r="L1789" s="16" t="str">
        <f aca="false">IF(B1789="","",IF(N1789=_xlfn.MAXIFS($N$2:$N$5001,$B$2:$B$5001,B1789,$I$2:$I$5001,I1789),1,0))</f>
        <v/>
      </c>
      <c r="M1789" s="16" t="str">
        <f aca="false">IF(B1789="","",IF(E1789="Em ajustes",IF(N1789=_xlfn.MINIFS($N$2:$N$5001,$B$2:$B$5001,B1789,$E$2:$E$5001,"Em ajustes"),1,0),0))</f>
        <v/>
      </c>
      <c r="N1789" s="17" t="str">
        <f aca="false">IF(A1789="","",IF(ISNUMBER(A1789),A1789,IFERROR(DATE(VALUE(MID(A1789,7,4)),VALUE(MID(A1789,4,2)),VALUE(MID(A1789,1,2)))+TIME(VALUE(MID(A1789,12,2)),VALUE(MID(A1789,15,2)),VALUE(MID(A1789,18,2))),"")))</f>
        <v/>
      </c>
    </row>
    <row r="1790" customFormat="false" ht="15" hidden="false" customHeight="false" outlineLevel="0" collapsed="false">
      <c r="I1790" s="15" t="str">
        <f aca="false">IF(N1790="","",INT(N1790))</f>
        <v/>
      </c>
      <c r="J1790" s="16" t="str">
        <f aca="false">IF(B1790="","",IF(N1790=_xlfn.MINIFS($N$2:$N$5001,$B$2:$B$5001,B1790),1,0))</f>
        <v/>
      </c>
      <c r="K1790" s="16" t="str">
        <f aca="false">IF(B1790="","",IF(AND(D1790="Formalização",E1790="Concluído"),IF(COUNTIFS($B$2:$B$5001,B1790,$E$2:$E$5001,"Em ajustes",$N$2:$N$5001,"&lt;"&amp;I1790)&gt;0,1,0),0))</f>
        <v/>
      </c>
      <c r="L1790" s="16" t="str">
        <f aca="false">IF(B1790="","",IF(N1790=_xlfn.MAXIFS($N$2:$N$5001,$B$2:$B$5001,B1790,$I$2:$I$5001,I1790),1,0))</f>
        <v/>
      </c>
      <c r="M1790" s="16" t="str">
        <f aca="false">IF(B1790="","",IF(E1790="Em ajustes",IF(N1790=_xlfn.MINIFS($N$2:$N$5001,$B$2:$B$5001,B1790,$E$2:$E$5001,"Em ajustes"),1,0),0))</f>
        <v/>
      </c>
      <c r="N1790" s="17" t="str">
        <f aca="false">IF(A1790="","",IF(ISNUMBER(A1790),A1790,IFERROR(DATE(VALUE(MID(A1790,7,4)),VALUE(MID(A1790,4,2)),VALUE(MID(A1790,1,2)))+TIME(VALUE(MID(A1790,12,2)),VALUE(MID(A1790,15,2)),VALUE(MID(A1790,18,2))),"")))</f>
        <v/>
      </c>
    </row>
    <row r="1791" customFormat="false" ht="15" hidden="false" customHeight="false" outlineLevel="0" collapsed="false">
      <c r="I1791" s="15" t="str">
        <f aca="false">IF(N1791="","",INT(N1791))</f>
        <v/>
      </c>
      <c r="J1791" s="16" t="str">
        <f aca="false">IF(B1791="","",IF(N1791=_xlfn.MINIFS($N$2:$N$5001,$B$2:$B$5001,B1791),1,0))</f>
        <v/>
      </c>
      <c r="K1791" s="16" t="str">
        <f aca="false">IF(B1791="","",IF(AND(D1791="Formalização",E1791="Concluído"),IF(COUNTIFS($B$2:$B$5001,B1791,$E$2:$E$5001,"Em ajustes",$N$2:$N$5001,"&lt;"&amp;I1791)&gt;0,1,0),0))</f>
        <v/>
      </c>
      <c r="L1791" s="16" t="str">
        <f aca="false">IF(B1791="","",IF(N1791=_xlfn.MAXIFS($N$2:$N$5001,$B$2:$B$5001,B1791,$I$2:$I$5001,I1791),1,0))</f>
        <v/>
      </c>
      <c r="M1791" s="16" t="str">
        <f aca="false">IF(B1791="","",IF(E1791="Em ajustes",IF(N1791=_xlfn.MINIFS($N$2:$N$5001,$B$2:$B$5001,B1791,$E$2:$E$5001,"Em ajustes"),1,0),0))</f>
        <v/>
      </c>
      <c r="N1791" s="17" t="str">
        <f aca="false">IF(A1791="","",IF(ISNUMBER(A1791),A1791,IFERROR(DATE(VALUE(MID(A1791,7,4)),VALUE(MID(A1791,4,2)),VALUE(MID(A1791,1,2)))+TIME(VALUE(MID(A1791,12,2)),VALUE(MID(A1791,15,2)),VALUE(MID(A1791,18,2))),"")))</f>
        <v/>
      </c>
    </row>
    <row r="1792" customFormat="false" ht="15" hidden="false" customHeight="false" outlineLevel="0" collapsed="false">
      <c r="I1792" s="15" t="str">
        <f aca="false">IF(N1792="","",INT(N1792))</f>
        <v/>
      </c>
      <c r="J1792" s="16" t="str">
        <f aca="false">IF(B1792="","",IF(N1792=_xlfn.MINIFS($N$2:$N$5001,$B$2:$B$5001,B1792),1,0))</f>
        <v/>
      </c>
      <c r="K1792" s="16" t="str">
        <f aca="false">IF(B1792="","",IF(AND(D1792="Formalização",E1792="Concluído"),IF(COUNTIFS($B$2:$B$5001,B1792,$E$2:$E$5001,"Em ajustes",$N$2:$N$5001,"&lt;"&amp;I1792)&gt;0,1,0),0))</f>
        <v/>
      </c>
      <c r="L1792" s="16" t="str">
        <f aca="false">IF(B1792="","",IF(N1792=_xlfn.MAXIFS($N$2:$N$5001,$B$2:$B$5001,B1792,$I$2:$I$5001,I1792),1,0))</f>
        <v/>
      </c>
      <c r="M1792" s="16" t="str">
        <f aca="false">IF(B1792="","",IF(E1792="Em ajustes",IF(N1792=_xlfn.MINIFS($N$2:$N$5001,$B$2:$B$5001,B1792,$E$2:$E$5001,"Em ajustes"),1,0),0))</f>
        <v/>
      </c>
      <c r="N1792" s="17" t="str">
        <f aca="false">IF(A1792="","",IF(ISNUMBER(A1792),A1792,IFERROR(DATE(VALUE(MID(A1792,7,4)),VALUE(MID(A1792,4,2)),VALUE(MID(A1792,1,2)))+TIME(VALUE(MID(A1792,12,2)),VALUE(MID(A1792,15,2)),VALUE(MID(A1792,18,2))),"")))</f>
        <v/>
      </c>
    </row>
    <row r="1793" customFormat="false" ht="15" hidden="false" customHeight="false" outlineLevel="0" collapsed="false">
      <c r="I1793" s="15" t="str">
        <f aca="false">IF(N1793="","",INT(N1793))</f>
        <v/>
      </c>
      <c r="J1793" s="16" t="str">
        <f aca="false">IF(B1793="","",IF(N1793=_xlfn.MINIFS($N$2:$N$5001,$B$2:$B$5001,B1793),1,0))</f>
        <v/>
      </c>
      <c r="K1793" s="16" t="str">
        <f aca="false">IF(B1793="","",IF(AND(D1793="Formalização",E1793="Concluído"),IF(COUNTIFS($B$2:$B$5001,B1793,$E$2:$E$5001,"Em ajustes",$N$2:$N$5001,"&lt;"&amp;I1793)&gt;0,1,0),0))</f>
        <v/>
      </c>
      <c r="L1793" s="16" t="str">
        <f aca="false">IF(B1793="","",IF(N1793=_xlfn.MAXIFS($N$2:$N$5001,$B$2:$B$5001,B1793,$I$2:$I$5001,I1793),1,0))</f>
        <v/>
      </c>
      <c r="M1793" s="16" t="str">
        <f aca="false">IF(B1793="","",IF(E1793="Em ajustes",IF(N1793=_xlfn.MINIFS($N$2:$N$5001,$B$2:$B$5001,B1793,$E$2:$E$5001,"Em ajustes"),1,0),0))</f>
        <v/>
      </c>
      <c r="N1793" s="17" t="str">
        <f aca="false">IF(A1793="","",IF(ISNUMBER(A1793),A1793,IFERROR(DATE(VALUE(MID(A1793,7,4)),VALUE(MID(A1793,4,2)),VALUE(MID(A1793,1,2)))+TIME(VALUE(MID(A1793,12,2)),VALUE(MID(A1793,15,2)),VALUE(MID(A1793,18,2))),"")))</f>
        <v/>
      </c>
    </row>
    <row r="1794" customFormat="false" ht="15" hidden="false" customHeight="false" outlineLevel="0" collapsed="false">
      <c r="I1794" s="15" t="str">
        <f aca="false">IF(N1794="","",INT(N1794))</f>
        <v/>
      </c>
      <c r="J1794" s="16" t="str">
        <f aca="false">IF(B1794="","",IF(N1794=_xlfn.MINIFS($N$2:$N$5001,$B$2:$B$5001,B1794),1,0))</f>
        <v/>
      </c>
      <c r="K1794" s="16" t="str">
        <f aca="false">IF(B1794="","",IF(AND(D1794="Formalização",E1794="Concluído"),IF(COUNTIFS($B$2:$B$5001,B1794,$E$2:$E$5001,"Em ajustes",$N$2:$N$5001,"&lt;"&amp;I1794)&gt;0,1,0),0))</f>
        <v/>
      </c>
      <c r="L1794" s="16" t="str">
        <f aca="false">IF(B1794="","",IF(N1794=_xlfn.MAXIFS($N$2:$N$5001,$B$2:$B$5001,B1794,$I$2:$I$5001,I1794),1,0))</f>
        <v/>
      </c>
      <c r="M1794" s="16" t="str">
        <f aca="false">IF(B1794="","",IF(E1794="Em ajustes",IF(N1794=_xlfn.MINIFS($N$2:$N$5001,$B$2:$B$5001,B1794,$E$2:$E$5001,"Em ajustes"),1,0),0))</f>
        <v/>
      </c>
      <c r="N1794" s="17" t="str">
        <f aca="false">IF(A1794="","",IF(ISNUMBER(A1794),A1794,IFERROR(DATE(VALUE(MID(A1794,7,4)),VALUE(MID(A1794,4,2)),VALUE(MID(A1794,1,2)))+TIME(VALUE(MID(A1794,12,2)),VALUE(MID(A1794,15,2)),VALUE(MID(A1794,18,2))),"")))</f>
        <v/>
      </c>
    </row>
    <row r="1795" customFormat="false" ht="15" hidden="false" customHeight="false" outlineLevel="0" collapsed="false">
      <c r="I1795" s="15" t="str">
        <f aca="false">IF(N1795="","",INT(N1795))</f>
        <v/>
      </c>
      <c r="J1795" s="16" t="str">
        <f aca="false">IF(B1795="","",IF(N1795=_xlfn.MINIFS($N$2:$N$5001,$B$2:$B$5001,B1795),1,0))</f>
        <v/>
      </c>
      <c r="K1795" s="16" t="str">
        <f aca="false">IF(B1795="","",IF(AND(D1795="Formalização",E1795="Concluído"),IF(COUNTIFS($B$2:$B$5001,B1795,$E$2:$E$5001,"Em ajustes",$N$2:$N$5001,"&lt;"&amp;I1795)&gt;0,1,0),0))</f>
        <v/>
      </c>
      <c r="L1795" s="16" t="str">
        <f aca="false">IF(B1795="","",IF(N1795=_xlfn.MAXIFS($N$2:$N$5001,$B$2:$B$5001,B1795,$I$2:$I$5001,I1795),1,0))</f>
        <v/>
      </c>
      <c r="M1795" s="16" t="str">
        <f aca="false">IF(B1795="","",IF(E1795="Em ajustes",IF(N1795=_xlfn.MINIFS($N$2:$N$5001,$B$2:$B$5001,B1795,$E$2:$E$5001,"Em ajustes"),1,0),0))</f>
        <v/>
      </c>
      <c r="N1795" s="17" t="str">
        <f aca="false">IF(A1795="","",IF(ISNUMBER(A1795),A1795,IFERROR(DATE(VALUE(MID(A1795,7,4)),VALUE(MID(A1795,4,2)),VALUE(MID(A1795,1,2)))+TIME(VALUE(MID(A1795,12,2)),VALUE(MID(A1795,15,2)),VALUE(MID(A1795,18,2))),"")))</f>
        <v/>
      </c>
    </row>
    <row r="1796" customFormat="false" ht="15" hidden="false" customHeight="false" outlineLevel="0" collapsed="false">
      <c r="I1796" s="15" t="str">
        <f aca="false">IF(N1796="","",INT(N1796))</f>
        <v/>
      </c>
      <c r="J1796" s="16" t="str">
        <f aca="false">IF(B1796="","",IF(N1796=_xlfn.MINIFS($N$2:$N$5001,$B$2:$B$5001,B1796),1,0))</f>
        <v/>
      </c>
      <c r="K1796" s="16" t="str">
        <f aca="false">IF(B1796="","",IF(AND(D1796="Formalização",E1796="Concluído"),IF(COUNTIFS($B$2:$B$5001,B1796,$E$2:$E$5001,"Em ajustes",$N$2:$N$5001,"&lt;"&amp;I1796)&gt;0,1,0),0))</f>
        <v/>
      </c>
      <c r="L1796" s="16" t="str">
        <f aca="false">IF(B1796="","",IF(N1796=_xlfn.MAXIFS($N$2:$N$5001,$B$2:$B$5001,B1796,$I$2:$I$5001,I1796),1,0))</f>
        <v/>
      </c>
      <c r="M1796" s="16" t="str">
        <f aca="false">IF(B1796="","",IF(E1796="Em ajustes",IF(N1796=_xlfn.MINIFS($N$2:$N$5001,$B$2:$B$5001,B1796,$E$2:$E$5001,"Em ajustes"),1,0),0))</f>
        <v/>
      </c>
      <c r="N1796" s="17" t="str">
        <f aca="false">IF(A1796="","",IF(ISNUMBER(A1796),A1796,IFERROR(DATE(VALUE(MID(A1796,7,4)),VALUE(MID(A1796,4,2)),VALUE(MID(A1796,1,2)))+TIME(VALUE(MID(A1796,12,2)),VALUE(MID(A1796,15,2)),VALUE(MID(A1796,18,2))),"")))</f>
        <v/>
      </c>
    </row>
    <row r="1797" customFormat="false" ht="15" hidden="false" customHeight="false" outlineLevel="0" collapsed="false">
      <c r="I1797" s="15" t="str">
        <f aca="false">IF(N1797="","",INT(N1797))</f>
        <v/>
      </c>
      <c r="J1797" s="16" t="str">
        <f aca="false">IF(B1797="","",IF(N1797=_xlfn.MINIFS($N$2:$N$5001,$B$2:$B$5001,B1797),1,0))</f>
        <v/>
      </c>
      <c r="K1797" s="16" t="str">
        <f aca="false">IF(B1797="","",IF(AND(D1797="Formalização",E1797="Concluído"),IF(COUNTIFS($B$2:$B$5001,B1797,$E$2:$E$5001,"Em ajustes",$N$2:$N$5001,"&lt;"&amp;I1797)&gt;0,1,0),0))</f>
        <v/>
      </c>
      <c r="L1797" s="16" t="str">
        <f aca="false">IF(B1797="","",IF(N1797=_xlfn.MAXIFS($N$2:$N$5001,$B$2:$B$5001,B1797,$I$2:$I$5001,I1797),1,0))</f>
        <v/>
      </c>
      <c r="M1797" s="16" t="str">
        <f aca="false">IF(B1797="","",IF(E1797="Em ajustes",IF(N1797=_xlfn.MINIFS($N$2:$N$5001,$B$2:$B$5001,B1797,$E$2:$E$5001,"Em ajustes"),1,0),0))</f>
        <v/>
      </c>
      <c r="N1797" s="17" t="str">
        <f aca="false">IF(A1797="","",IF(ISNUMBER(A1797),A1797,IFERROR(DATE(VALUE(MID(A1797,7,4)),VALUE(MID(A1797,4,2)),VALUE(MID(A1797,1,2)))+TIME(VALUE(MID(A1797,12,2)),VALUE(MID(A1797,15,2)),VALUE(MID(A1797,18,2))),"")))</f>
        <v/>
      </c>
    </row>
    <row r="1798" customFormat="false" ht="15" hidden="false" customHeight="false" outlineLevel="0" collapsed="false">
      <c r="I1798" s="15" t="str">
        <f aca="false">IF(N1798="","",INT(N1798))</f>
        <v/>
      </c>
      <c r="J1798" s="16" t="str">
        <f aca="false">IF(B1798="","",IF(N1798=_xlfn.MINIFS($N$2:$N$5001,$B$2:$B$5001,B1798),1,0))</f>
        <v/>
      </c>
      <c r="K1798" s="16" t="str">
        <f aca="false">IF(B1798="","",IF(AND(D1798="Formalização",E1798="Concluído"),IF(COUNTIFS($B$2:$B$5001,B1798,$E$2:$E$5001,"Em ajustes",$N$2:$N$5001,"&lt;"&amp;I1798)&gt;0,1,0),0))</f>
        <v/>
      </c>
      <c r="L1798" s="16" t="str">
        <f aca="false">IF(B1798="","",IF(N1798=_xlfn.MAXIFS($N$2:$N$5001,$B$2:$B$5001,B1798,$I$2:$I$5001,I1798),1,0))</f>
        <v/>
      </c>
      <c r="M1798" s="16" t="str">
        <f aca="false">IF(B1798="","",IF(E1798="Em ajustes",IF(N1798=_xlfn.MINIFS($N$2:$N$5001,$B$2:$B$5001,B1798,$E$2:$E$5001,"Em ajustes"),1,0),0))</f>
        <v/>
      </c>
      <c r="N1798" s="17" t="str">
        <f aca="false">IF(A1798="","",IF(ISNUMBER(A1798),A1798,IFERROR(DATE(VALUE(MID(A1798,7,4)),VALUE(MID(A1798,4,2)),VALUE(MID(A1798,1,2)))+TIME(VALUE(MID(A1798,12,2)),VALUE(MID(A1798,15,2)),VALUE(MID(A1798,18,2))),"")))</f>
        <v/>
      </c>
    </row>
    <row r="1799" customFormat="false" ht="15" hidden="false" customHeight="false" outlineLevel="0" collapsed="false">
      <c r="I1799" s="15" t="str">
        <f aca="false">IF(N1799="","",INT(N1799))</f>
        <v/>
      </c>
      <c r="J1799" s="16" t="str">
        <f aca="false">IF(B1799="","",IF(N1799=_xlfn.MINIFS($N$2:$N$5001,$B$2:$B$5001,B1799),1,0))</f>
        <v/>
      </c>
      <c r="K1799" s="16" t="str">
        <f aca="false">IF(B1799="","",IF(AND(D1799="Formalização",E1799="Concluído"),IF(COUNTIFS($B$2:$B$5001,B1799,$E$2:$E$5001,"Em ajustes",$N$2:$N$5001,"&lt;"&amp;I1799)&gt;0,1,0),0))</f>
        <v/>
      </c>
      <c r="L1799" s="16" t="str">
        <f aca="false">IF(B1799="","",IF(N1799=_xlfn.MAXIFS($N$2:$N$5001,$B$2:$B$5001,B1799,$I$2:$I$5001,I1799),1,0))</f>
        <v/>
      </c>
      <c r="M1799" s="16" t="str">
        <f aca="false">IF(B1799="","",IF(E1799="Em ajustes",IF(N1799=_xlfn.MINIFS($N$2:$N$5001,$B$2:$B$5001,B1799,$E$2:$E$5001,"Em ajustes"),1,0),0))</f>
        <v/>
      </c>
      <c r="N1799" s="17" t="str">
        <f aca="false">IF(A1799="","",IF(ISNUMBER(A1799),A1799,IFERROR(DATE(VALUE(MID(A1799,7,4)),VALUE(MID(A1799,4,2)),VALUE(MID(A1799,1,2)))+TIME(VALUE(MID(A1799,12,2)),VALUE(MID(A1799,15,2)),VALUE(MID(A1799,18,2))),"")))</f>
        <v/>
      </c>
    </row>
    <row r="1800" customFormat="false" ht="15" hidden="false" customHeight="false" outlineLevel="0" collapsed="false">
      <c r="I1800" s="15" t="str">
        <f aca="false">IF(N1800="","",INT(N1800))</f>
        <v/>
      </c>
      <c r="J1800" s="16" t="str">
        <f aca="false">IF(B1800="","",IF(N1800=_xlfn.MINIFS($N$2:$N$5001,$B$2:$B$5001,B1800),1,0))</f>
        <v/>
      </c>
      <c r="K1800" s="16" t="str">
        <f aca="false">IF(B1800="","",IF(AND(D1800="Formalização",E1800="Concluído"),IF(COUNTIFS($B$2:$B$5001,B1800,$E$2:$E$5001,"Em ajustes",$N$2:$N$5001,"&lt;"&amp;I1800)&gt;0,1,0),0))</f>
        <v/>
      </c>
      <c r="L1800" s="16" t="str">
        <f aca="false">IF(B1800="","",IF(N1800=_xlfn.MAXIFS($N$2:$N$5001,$B$2:$B$5001,B1800,$I$2:$I$5001,I1800),1,0))</f>
        <v/>
      </c>
      <c r="M1800" s="16" t="str">
        <f aca="false">IF(B1800="","",IF(E1800="Em ajustes",IF(N1800=_xlfn.MINIFS($N$2:$N$5001,$B$2:$B$5001,B1800,$E$2:$E$5001,"Em ajustes"),1,0),0))</f>
        <v/>
      </c>
      <c r="N1800" s="17" t="str">
        <f aca="false">IF(A1800="","",IF(ISNUMBER(A1800),A1800,IFERROR(DATE(VALUE(MID(A1800,7,4)),VALUE(MID(A1800,4,2)),VALUE(MID(A1800,1,2)))+TIME(VALUE(MID(A1800,12,2)),VALUE(MID(A1800,15,2)),VALUE(MID(A1800,18,2))),"")))</f>
        <v/>
      </c>
    </row>
    <row r="1801" customFormat="false" ht="15" hidden="false" customHeight="false" outlineLevel="0" collapsed="false">
      <c r="I1801" s="15" t="str">
        <f aca="false">IF(N1801="","",INT(N1801))</f>
        <v/>
      </c>
      <c r="J1801" s="16" t="str">
        <f aca="false">IF(B1801="","",IF(N1801=_xlfn.MINIFS($N$2:$N$5001,$B$2:$B$5001,B1801),1,0))</f>
        <v/>
      </c>
      <c r="K1801" s="16" t="str">
        <f aca="false">IF(B1801="","",IF(AND(D1801="Formalização",E1801="Concluído"),IF(COUNTIFS($B$2:$B$5001,B1801,$E$2:$E$5001,"Em ajustes",$N$2:$N$5001,"&lt;"&amp;I1801)&gt;0,1,0),0))</f>
        <v/>
      </c>
      <c r="L1801" s="16" t="str">
        <f aca="false">IF(B1801="","",IF(N1801=_xlfn.MAXIFS($N$2:$N$5001,$B$2:$B$5001,B1801,$I$2:$I$5001,I1801),1,0))</f>
        <v/>
      </c>
      <c r="M1801" s="16" t="str">
        <f aca="false">IF(B1801="","",IF(E1801="Em ajustes",IF(N1801=_xlfn.MINIFS($N$2:$N$5001,$B$2:$B$5001,B1801,$E$2:$E$5001,"Em ajustes"),1,0),0))</f>
        <v/>
      </c>
      <c r="N1801" s="17" t="str">
        <f aca="false">IF(A1801="","",IF(ISNUMBER(A1801),A1801,IFERROR(DATE(VALUE(MID(A1801,7,4)),VALUE(MID(A1801,4,2)),VALUE(MID(A1801,1,2)))+TIME(VALUE(MID(A1801,12,2)),VALUE(MID(A1801,15,2)),VALUE(MID(A1801,18,2))),"")))</f>
        <v/>
      </c>
    </row>
    <row r="1802" customFormat="false" ht="15" hidden="false" customHeight="false" outlineLevel="0" collapsed="false">
      <c r="I1802" s="15" t="str">
        <f aca="false">IF(N1802="","",INT(N1802))</f>
        <v/>
      </c>
      <c r="J1802" s="16" t="str">
        <f aca="false">IF(B1802="","",IF(N1802=_xlfn.MINIFS($N$2:$N$5001,$B$2:$B$5001,B1802),1,0))</f>
        <v/>
      </c>
      <c r="K1802" s="16" t="str">
        <f aca="false">IF(B1802="","",IF(AND(D1802="Formalização",E1802="Concluído"),IF(COUNTIFS($B$2:$B$5001,B1802,$E$2:$E$5001,"Em ajustes",$N$2:$N$5001,"&lt;"&amp;I1802)&gt;0,1,0),0))</f>
        <v/>
      </c>
      <c r="L1802" s="16" t="str">
        <f aca="false">IF(B1802="","",IF(N1802=_xlfn.MAXIFS($N$2:$N$5001,$B$2:$B$5001,B1802,$I$2:$I$5001,I1802),1,0))</f>
        <v/>
      </c>
      <c r="M1802" s="16" t="str">
        <f aca="false">IF(B1802="","",IF(E1802="Em ajustes",IF(N1802=_xlfn.MINIFS($N$2:$N$5001,$B$2:$B$5001,B1802,$E$2:$E$5001,"Em ajustes"),1,0),0))</f>
        <v/>
      </c>
      <c r="N1802" s="17" t="str">
        <f aca="false">IF(A1802="","",IF(ISNUMBER(A1802),A1802,IFERROR(DATE(VALUE(MID(A1802,7,4)),VALUE(MID(A1802,4,2)),VALUE(MID(A1802,1,2)))+TIME(VALUE(MID(A1802,12,2)),VALUE(MID(A1802,15,2)),VALUE(MID(A1802,18,2))),"")))</f>
        <v/>
      </c>
    </row>
    <row r="1803" customFormat="false" ht="15" hidden="false" customHeight="false" outlineLevel="0" collapsed="false">
      <c r="I1803" s="15" t="str">
        <f aca="false">IF(N1803="","",INT(N1803))</f>
        <v/>
      </c>
      <c r="J1803" s="16" t="str">
        <f aca="false">IF(B1803="","",IF(N1803=_xlfn.MINIFS($N$2:$N$5001,$B$2:$B$5001,B1803),1,0))</f>
        <v/>
      </c>
      <c r="K1803" s="16" t="str">
        <f aca="false">IF(B1803="","",IF(AND(D1803="Formalização",E1803="Concluído"),IF(COUNTIFS($B$2:$B$5001,B1803,$E$2:$E$5001,"Em ajustes",$N$2:$N$5001,"&lt;"&amp;I1803)&gt;0,1,0),0))</f>
        <v/>
      </c>
      <c r="L1803" s="16" t="str">
        <f aca="false">IF(B1803="","",IF(N1803=_xlfn.MAXIFS($N$2:$N$5001,$B$2:$B$5001,B1803,$I$2:$I$5001,I1803),1,0))</f>
        <v/>
      </c>
      <c r="M1803" s="16" t="str">
        <f aca="false">IF(B1803="","",IF(E1803="Em ajustes",IF(N1803=_xlfn.MINIFS($N$2:$N$5001,$B$2:$B$5001,B1803,$E$2:$E$5001,"Em ajustes"),1,0),0))</f>
        <v/>
      </c>
      <c r="N1803" s="17" t="str">
        <f aca="false">IF(A1803="","",IF(ISNUMBER(A1803),A1803,IFERROR(DATE(VALUE(MID(A1803,7,4)),VALUE(MID(A1803,4,2)),VALUE(MID(A1803,1,2)))+TIME(VALUE(MID(A1803,12,2)),VALUE(MID(A1803,15,2)),VALUE(MID(A1803,18,2))),"")))</f>
        <v/>
      </c>
    </row>
    <row r="1804" customFormat="false" ht="15" hidden="false" customHeight="false" outlineLevel="0" collapsed="false">
      <c r="I1804" s="15" t="str">
        <f aca="false">IF(N1804="","",INT(N1804))</f>
        <v/>
      </c>
      <c r="J1804" s="16" t="str">
        <f aca="false">IF(B1804="","",IF(N1804=_xlfn.MINIFS($N$2:$N$5001,$B$2:$B$5001,B1804),1,0))</f>
        <v/>
      </c>
      <c r="K1804" s="16" t="str">
        <f aca="false">IF(B1804="","",IF(AND(D1804="Formalização",E1804="Concluído"),IF(COUNTIFS($B$2:$B$5001,B1804,$E$2:$E$5001,"Em ajustes",$N$2:$N$5001,"&lt;"&amp;I1804)&gt;0,1,0),0))</f>
        <v/>
      </c>
      <c r="L1804" s="16" t="str">
        <f aca="false">IF(B1804="","",IF(N1804=_xlfn.MAXIFS($N$2:$N$5001,$B$2:$B$5001,B1804,$I$2:$I$5001,I1804),1,0))</f>
        <v/>
      </c>
      <c r="M1804" s="16" t="str">
        <f aca="false">IF(B1804="","",IF(E1804="Em ajustes",IF(N1804=_xlfn.MINIFS($N$2:$N$5001,$B$2:$B$5001,B1804,$E$2:$E$5001,"Em ajustes"),1,0),0))</f>
        <v/>
      </c>
      <c r="N1804" s="17" t="str">
        <f aca="false">IF(A1804="","",IF(ISNUMBER(A1804),A1804,IFERROR(DATE(VALUE(MID(A1804,7,4)),VALUE(MID(A1804,4,2)),VALUE(MID(A1804,1,2)))+TIME(VALUE(MID(A1804,12,2)),VALUE(MID(A1804,15,2)),VALUE(MID(A1804,18,2))),"")))</f>
        <v/>
      </c>
    </row>
    <row r="1805" customFormat="false" ht="15" hidden="false" customHeight="false" outlineLevel="0" collapsed="false">
      <c r="I1805" s="15" t="str">
        <f aca="false">IF(N1805="","",INT(N1805))</f>
        <v/>
      </c>
      <c r="J1805" s="16" t="str">
        <f aca="false">IF(B1805="","",IF(N1805=_xlfn.MINIFS($N$2:$N$5001,$B$2:$B$5001,B1805),1,0))</f>
        <v/>
      </c>
      <c r="K1805" s="16" t="str">
        <f aca="false">IF(B1805="","",IF(AND(D1805="Formalização",E1805="Concluído"),IF(COUNTIFS($B$2:$B$5001,B1805,$E$2:$E$5001,"Em ajustes",$N$2:$N$5001,"&lt;"&amp;I1805)&gt;0,1,0),0))</f>
        <v/>
      </c>
      <c r="L1805" s="16" t="str">
        <f aca="false">IF(B1805="","",IF(N1805=_xlfn.MAXIFS($N$2:$N$5001,$B$2:$B$5001,B1805,$I$2:$I$5001,I1805),1,0))</f>
        <v/>
      </c>
      <c r="M1805" s="16" t="str">
        <f aca="false">IF(B1805="","",IF(E1805="Em ajustes",IF(N1805=_xlfn.MINIFS($N$2:$N$5001,$B$2:$B$5001,B1805,$E$2:$E$5001,"Em ajustes"),1,0),0))</f>
        <v/>
      </c>
      <c r="N1805" s="17" t="str">
        <f aca="false">IF(A1805="","",IF(ISNUMBER(A1805),A1805,IFERROR(DATE(VALUE(MID(A1805,7,4)),VALUE(MID(A1805,4,2)),VALUE(MID(A1805,1,2)))+TIME(VALUE(MID(A1805,12,2)),VALUE(MID(A1805,15,2)),VALUE(MID(A1805,18,2))),"")))</f>
        <v/>
      </c>
    </row>
    <row r="1806" customFormat="false" ht="15" hidden="false" customHeight="false" outlineLevel="0" collapsed="false">
      <c r="I1806" s="15" t="str">
        <f aca="false">IF(N1806="","",INT(N1806))</f>
        <v/>
      </c>
      <c r="J1806" s="16" t="str">
        <f aca="false">IF(B1806="","",IF(N1806=_xlfn.MINIFS($N$2:$N$5001,$B$2:$B$5001,B1806),1,0))</f>
        <v/>
      </c>
      <c r="K1806" s="16" t="str">
        <f aca="false">IF(B1806="","",IF(AND(D1806="Formalização",E1806="Concluído"),IF(COUNTIFS($B$2:$B$5001,B1806,$E$2:$E$5001,"Em ajustes",$N$2:$N$5001,"&lt;"&amp;I1806)&gt;0,1,0),0))</f>
        <v/>
      </c>
      <c r="L1806" s="16" t="str">
        <f aca="false">IF(B1806="","",IF(N1806=_xlfn.MAXIFS($N$2:$N$5001,$B$2:$B$5001,B1806,$I$2:$I$5001,I1806),1,0))</f>
        <v/>
      </c>
      <c r="M1806" s="16" t="str">
        <f aca="false">IF(B1806="","",IF(E1806="Em ajustes",IF(N1806=_xlfn.MINIFS($N$2:$N$5001,$B$2:$B$5001,B1806,$E$2:$E$5001,"Em ajustes"),1,0),0))</f>
        <v/>
      </c>
      <c r="N1806" s="17" t="str">
        <f aca="false">IF(A1806="","",IF(ISNUMBER(A1806),A1806,IFERROR(DATE(VALUE(MID(A1806,7,4)),VALUE(MID(A1806,4,2)),VALUE(MID(A1806,1,2)))+TIME(VALUE(MID(A1806,12,2)),VALUE(MID(A1806,15,2)),VALUE(MID(A1806,18,2))),"")))</f>
        <v/>
      </c>
    </row>
    <row r="1807" customFormat="false" ht="15" hidden="false" customHeight="false" outlineLevel="0" collapsed="false">
      <c r="I1807" s="15" t="str">
        <f aca="false">IF(N1807="","",INT(N1807))</f>
        <v/>
      </c>
      <c r="J1807" s="16" t="str">
        <f aca="false">IF(B1807="","",IF(N1807=_xlfn.MINIFS($N$2:$N$5001,$B$2:$B$5001,B1807),1,0))</f>
        <v/>
      </c>
      <c r="K1807" s="16" t="str">
        <f aca="false">IF(B1807="","",IF(AND(D1807="Formalização",E1807="Concluído"),IF(COUNTIFS($B$2:$B$5001,B1807,$E$2:$E$5001,"Em ajustes",$N$2:$N$5001,"&lt;"&amp;I1807)&gt;0,1,0),0))</f>
        <v/>
      </c>
      <c r="L1807" s="16" t="str">
        <f aca="false">IF(B1807="","",IF(N1807=_xlfn.MAXIFS($N$2:$N$5001,$B$2:$B$5001,B1807,$I$2:$I$5001,I1807),1,0))</f>
        <v/>
      </c>
      <c r="M1807" s="16" t="str">
        <f aca="false">IF(B1807="","",IF(E1807="Em ajustes",IF(N1807=_xlfn.MINIFS($N$2:$N$5001,$B$2:$B$5001,B1807,$E$2:$E$5001,"Em ajustes"),1,0),0))</f>
        <v/>
      </c>
      <c r="N1807" s="17" t="str">
        <f aca="false">IF(A1807="","",IF(ISNUMBER(A1807),A1807,IFERROR(DATE(VALUE(MID(A1807,7,4)),VALUE(MID(A1807,4,2)),VALUE(MID(A1807,1,2)))+TIME(VALUE(MID(A1807,12,2)),VALUE(MID(A1807,15,2)),VALUE(MID(A1807,18,2))),"")))</f>
        <v/>
      </c>
    </row>
    <row r="1808" customFormat="false" ht="15" hidden="false" customHeight="false" outlineLevel="0" collapsed="false">
      <c r="I1808" s="15" t="str">
        <f aca="false">IF(N1808="","",INT(N1808))</f>
        <v/>
      </c>
      <c r="J1808" s="16" t="str">
        <f aca="false">IF(B1808="","",IF(N1808=_xlfn.MINIFS($N$2:$N$5001,$B$2:$B$5001,B1808),1,0))</f>
        <v/>
      </c>
      <c r="K1808" s="16" t="str">
        <f aca="false">IF(B1808="","",IF(AND(D1808="Formalização",E1808="Concluído"),IF(COUNTIFS($B$2:$B$5001,B1808,$E$2:$E$5001,"Em ajustes",$N$2:$N$5001,"&lt;"&amp;I1808)&gt;0,1,0),0))</f>
        <v/>
      </c>
      <c r="L1808" s="16" t="str">
        <f aca="false">IF(B1808="","",IF(N1808=_xlfn.MAXIFS($N$2:$N$5001,$B$2:$B$5001,B1808,$I$2:$I$5001,I1808),1,0))</f>
        <v/>
      </c>
      <c r="M1808" s="16" t="str">
        <f aca="false">IF(B1808="","",IF(E1808="Em ajustes",IF(N1808=_xlfn.MINIFS($N$2:$N$5001,$B$2:$B$5001,B1808,$E$2:$E$5001,"Em ajustes"),1,0),0))</f>
        <v/>
      </c>
      <c r="N1808" s="17" t="str">
        <f aca="false">IF(A1808="","",IF(ISNUMBER(A1808),A1808,IFERROR(DATE(VALUE(MID(A1808,7,4)),VALUE(MID(A1808,4,2)),VALUE(MID(A1808,1,2)))+TIME(VALUE(MID(A1808,12,2)),VALUE(MID(A1808,15,2)),VALUE(MID(A1808,18,2))),"")))</f>
        <v/>
      </c>
    </row>
    <row r="1809" customFormat="false" ht="15" hidden="false" customHeight="false" outlineLevel="0" collapsed="false">
      <c r="I1809" s="15" t="str">
        <f aca="false">IF(N1809="","",INT(N1809))</f>
        <v/>
      </c>
      <c r="J1809" s="16" t="str">
        <f aca="false">IF(B1809="","",IF(N1809=_xlfn.MINIFS($N$2:$N$5001,$B$2:$B$5001,B1809),1,0))</f>
        <v/>
      </c>
      <c r="K1809" s="16" t="str">
        <f aca="false">IF(B1809="","",IF(AND(D1809="Formalização",E1809="Concluído"),IF(COUNTIFS($B$2:$B$5001,B1809,$E$2:$E$5001,"Em ajustes",$N$2:$N$5001,"&lt;"&amp;I1809)&gt;0,1,0),0))</f>
        <v/>
      </c>
      <c r="L1809" s="16" t="str">
        <f aca="false">IF(B1809="","",IF(N1809=_xlfn.MAXIFS($N$2:$N$5001,$B$2:$B$5001,B1809,$I$2:$I$5001,I1809),1,0))</f>
        <v/>
      </c>
      <c r="M1809" s="16" t="str">
        <f aca="false">IF(B1809="","",IF(E1809="Em ajustes",IF(N1809=_xlfn.MINIFS($N$2:$N$5001,$B$2:$B$5001,B1809,$E$2:$E$5001,"Em ajustes"),1,0),0))</f>
        <v/>
      </c>
      <c r="N1809" s="17" t="str">
        <f aca="false">IF(A1809="","",IF(ISNUMBER(A1809),A1809,IFERROR(DATE(VALUE(MID(A1809,7,4)),VALUE(MID(A1809,4,2)),VALUE(MID(A1809,1,2)))+TIME(VALUE(MID(A1809,12,2)),VALUE(MID(A1809,15,2)),VALUE(MID(A1809,18,2))),"")))</f>
        <v/>
      </c>
    </row>
    <row r="1810" customFormat="false" ht="15" hidden="false" customHeight="false" outlineLevel="0" collapsed="false">
      <c r="I1810" s="15" t="str">
        <f aca="false">IF(N1810="","",INT(N1810))</f>
        <v/>
      </c>
      <c r="J1810" s="16" t="str">
        <f aca="false">IF(B1810="","",IF(N1810=_xlfn.MINIFS($N$2:$N$5001,$B$2:$B$5001,B1810),1,0))</f>
        <v/>
      </c>
      <c r="K1810" s="16" t="str">
        <f aca="false">IF(B1810="","",IF(AND(D1810="Formalização",E1810="Concluído"),IF(COUNTIFS($B$2:$B$5001,B1810,$E$2:$E$5001,"Em ajustes",$N$2:$N$5001,"&lt;"&amp;I1810)&gt;0,1,0),0))</f>
        <v/>
      </c>
      <c r="L1810" s="16" t="str">
        <f aca="false">IF(B1810="","",IF(N1810=_xlfn.MAXIFS($N$2:$N$5001,$B$2:$B$5001,B1810,$I$2:$I$5001,I1810),1,0))</f>
        <v/>
      </c>
      <c r="M1810" s="16" t="str">
        <f aca="false">IF(B1810="","",IF(E1810="Em ajustes",IF(N1810=_xlfn.MINIFS($N$2:$N$5001,$B$2:$B$5001,B1810,$E$2:$E$5001,"Em ajustes"),1,0),0))</f>
        <v/>
      </c>
      <c r="N1810" s="17" t="str">
        <f aca="false">IF(A1810="","",IF(ISNUMBER(A1810),A1810,IFERROR(DATE(VALUE(MID(A1810,7,4)),VALUE(MID(A1810,4,2)),VALUE(MID(A1810,1,2)))+TIME(VALUE(MID(A1810,12,2)),VALUE(MID(A1810,15,2)),VALUE(MID(A1810,18,2))),"")))</f>
        <v/>
      </c>
    </row>
    <row r="1811" customFormat="false" ht="15" hidden="false" customHeight="false" outlineLevel="0" collapsed="false">
      <c r="I1811" s="15" t="str">
        <f aca="false">IF(N1811="","",INT(N1811))</f>
        <v/>
      </c>
      <c r="J1811" s="16" t="str">
        <f aca="false">IF(B1811="","",IF(N1811=_xlfn.MINIFS($N$2:$N$5001,$B$2:$B$5001,B1811),1,0))</f>
        <v/>
      </c>
      <c r="K1811" s="16" t="str">
        <f aca="false">IF(B1811="","",IF(AND(D1811="Formalização",E1811="Concluído"),IF(COUNTIFS($B$2:$B$5001,B1811,$E$2:$E$5001,"Em ajustes",$N$2:$N$5001,"&lt;"&amp;I1811)&gt;0,1,0),0))</f>
        <v/>
      </c>
      <c r="L1811" s="16" t="str">
        <f aca="false">IF(B1811="","",IF(N1811=_xlfn.MAXIFS($N$2:$N$5001,$B$2:$B$5001,B1811,$I$2:$I$5001,I1811),1,0))</f>
        <v/>
      </c>
      <c r="M1811" s="16" t="str">
        <f aca="false">IF(B1811="","",IF(E1811="Em ajustes",IF(N1811=_xlfn.MINIFS($N$2:$N$5001,$B$2:$B$5001,B1811,$E$2:$E$5001,"Em ajustes"),1,0),0))</f>
        <v/>
      </c>
      <c r="N1811" s="17" t="str">
        <f aca="false">IF(A1811="","",IF(ISNUMBER(A1811),A1811,IFERROR(DATE(VALUE(MID(A1811,7,4)),VALUE(MID(A1811,4,2)),VALUE(MID(A1811,1,2)))+TIME(VALUE(MID(A1811,12,2)),VALUE(MID(A1811,15,2)),VALUE(MID(A1811,18,2))),"")))</f>
        <v/>
      </c>
    </row>
    <row r="1812" customFormat="false" ht="15" hidden="false" customHeight="false" outlineLevel="0" collapsed="false">
      <c r="I1812" s="15" t="str">
        <f aca="false">IF(N1812="","",INT(N1812))</f>
        <v/>
      </c>
      <c r="J1812" s="16" t="str">
        <f aca="false">IF(B1812="","",IF(N1812=_xlfn.MINIFS($N$2:$N$5001,$B$2:$B$5001,B1812),1,0))</f>
        <v/>
      </c>
      <c r="K1812" s="16" t="str">
        <f aca="false">IF(B1812="","",IF(AND(D1812="Formalização",E1812="Concluído"),IF(COUNTIFS($B$2:$B$5001,B1812,$E$2:$E$5001,"Em ajustes",$N$2:$N$5001,"&lt;"&amp;I1812)&gt;0,1,0),0))</f>
        <v/>
      </c>
      <c r="L1812" s="16" t="str">
        <f aca="false">IF(B1812="","",IF(N1812=_xlfn.MAXIFS($N$2:$N$5001,$B$2:$B$5001,B1812,$I$2:$I$5001,I1812),1,0))</f>
        <v/>
      </c>
      <c r="M1812" s="16" t="str">
        <f aca="false">IF(B1812="","",IF(E1812="Em ajustes",IF(N1812=_xlfn.MINIFS($N$2:$N$5001,$B$2:$B$5001,B1812,$E$2:$E$5001,"Em ajustes"),1,0),0))</f>
        <v/>
      </c>
      <c r="N1812" s="17" t="str">
        <f aca="false">IF(A1812="","",IF(ISNUMBER(A1812),A1812,IFERROR(DATE(VALUE(MID(A1812,7,4)),VALUE(MID(A1812,4,2)),VALUE(MID(A1812,1,2)))+TIME(VALUE(MID(A1812,12,2)),VALUE(MID(A1812,15,2)),VALUE(MID(A1812,18,2))),"")))</f>
        <v/>
      </c>
    </row>
    <row r="1813" customFormat="false" ht="15" hidden="false" customHeight="false" outlineLevel="0" collapsed="false">
      <c r="I1813" s="15" t="str">
        <f aca="false">IF(N1813="","",INT(N1813))</f>
        <v/>
      </c>
      <c r="J1813" s="16" t="str">
        <f aca="false">IF(B1813="","",IF(N1813=_xlfn.MINIFS($N$2:$N$5001,$B$2:$B$5001,B1813),1,0))</f>
        <v/>
      </c>
      <c r="K1813" s="16" t="str">
        <f aca="false">IF(B1813="","",IF(AND(D1813="Formalização",E1813="Concluído"),IF(COUNTIFS($B$2:$B$5001,B1813,$E$2:$E$5001,"Em ajustes",$N$2:$N$5001,"&lt;"&amp;I1813)&gt;0,1,0),0))</f>
        <v/>
      </c>
      <c r="L1813" s="16" t="str">
        <f aca="false">IF(B1813="","",IF(N1813=_xlfn.MAXIFS($N$2:$N$5001,$B$2:$B$5001,B1813,$I$2:$I$5001,I1813),1,0))</f>
        <v/>
      </c>
      <c r="M1813" s="16" t="str">
        <f aca="false">IF(B1813="","",IF(E1813="Em ajustes",IF(N1813=_xlfn.MINIFS($N$2:$N$5001,$B$2:$B$5001,B1813,$E$2:$E$5001,"Em ajustes"),1,0),0))</f>
        <v/>
      </c>
      <c r="N1813" s="17" t="str">
        <f aca="false">IF(A1813="","",IF(ISNUMBER(A1813),A1813,IFERROR(DATE(VALUE(MID(A1813,7,4)),VALUE(MID(A1813,4,2)),VALUE(MID(A1813,1,2)))+TIME(VALUE(MID(A1813,12,2)),VALUE(MID(A1813,15,2)),VALUE(MID(A1813,18,2))),"")))</f>
        <v/>
      </c>
    </row>
    <row r="1814" customFormat="false" ht="15" hidden="false" customHeight="false" outlineLevel="0" collapsed="false">
      <c r="I1814" s="15" t="str">
        <f aca="false">IF(N1814="","",INT(N1814))</f>
        <v/>
      </c>
      <c r="J1814" s="16" t="str">
        <f aca="false">IF(B1814="","",IF(N1814=_xlfn.MINIFS($N$2:$N$5001,$B$2:$B$5001,B1814),1,0))</f>
        <v/>
      </c>
      <c r="K1814" s="16" t="str">
        <f aca="false">IF(B1814="","",IF(AND(D1814="Formalização",E1814="Concluído"),IF(COUNTIFS($B$2:$B$5001,B1814,$E$2:$E$5001,"Em ajustes",$N$2:$N$5001,"&lt;"&amp;I1814)&gt;0,1,0),0))</f>
        <v/>
      </c>
      <c r="L1814" s="16" t="str">
        <f aca="false">IF(B1814="","",IF(N1814=_xlfn.MAXIFS($N$2:$N$5001,$B$2:$B$5001,B1814,$I$2:$I$5001,I1814),1,0))</f>
        <v/>
      </c>
      <c r="M1814" s="16" t="str">
        <f aca="false">IF(B1814="","",IF(E1814="Em ajustes",IF(N1814=_xlfn.MINIFS($N$2:$N$5001,$B$2:$B$5001,B1814,$E$2:$E$5001,"Em ajustes"),1,0),0))</f>
        <v/>
      </c>
      <c r="N1814" s="17" t="str">
        <f aca="false">IF(A1814="","",IF(ISNUMBER(A1814),A1814,IFERROR(DATE(VALUE(MID(A1814,7,4)),VALUE(MID(A1814,4,2)),VALUE(MID(A1814,1,2)))+TIME(VALUE(MID(A1814,12,2)),VALUE(MID(A1814,15,2)),VALUE(MID(A1814,18,2))),"")))</f>
        <v/>
      </c>
    </row>
    <row r="1815" customFormat="false" ht="15" hidden="false" customHeight="false" outlineLevel="0" collapsed="false">
      <c r="I1815" s="15" t="str">
        <f aca="false">IF(N1815="","",INT(N1815))</f>
        <v/>
      </c>
      <c r="J1815" s="16" t="str">
        <f aca="false">IF(B1815="","",IF(N1815=_xlfn.MINIFS($N$2:$N$5001,$B$2:$B$5001,B1815),1,0))</f>
        <v/>
      </c>
      <c r="K1815" s="16" t="str">
        <f aca="false">IF(B1815="","",IF(AND(D1815="Formalização",E1815="Concluído"),IF(COUNTIFS($B$2:$B$5001,B1815,$E$2:$E$5001,"Em ajustes",$N$2:$N$5001,"&lt;"&amp;I1815)&gt;0,1,0),0))</f>
        <v/>
      </c>
      <c r="L1815" s="16" t="str">
        <f aca="false">IF(B1815="","",IF(N1815=_xlfn.MAXIFS($N$2:$N$5001,$B$2:$B$5001,B1815,$I$2:$I$5001,I1815),1,0))</f>
        <v/>
      </c>
      <c r="M1815" s="16" t="str">
        <f aca="false">IF(B1815="","",IF(E1815="Em ajustes",IF(N1815=_xlfn.MINIFS($N$2:$N$5001,$B$2:$B$5001,B1815,$E$2:$E$5001,"Em ajustes"),1,0),0))</f>
        <v/>
      </c>
      <c r="N1815" s="17" t="str">
        <f aca="false">IF(A1815="","",IF(ISNUMBER(A1815),A1815,IFERROR(DATE(VALUE(MID(A1815,7,4)),VALUE(MID(A1815,4,2)),VALUE(MID(A1815,1,2)))+TIME(VALUE(MID(A1815,12,2)),VALUE(MID(A1815,15,2)),VALUE(MID(A1815,18,2))),"")))</f>
        <v/>
      </c>
    </row>
    <row r="1816" customFormat="false" ht="15" hidden="false" customHeight="false" outlineLevel="0" collapsed="false">
      <c r="I1816" s="15" t="str">
        <f aca="false">IF(N1816="","",INT(N1816))</f>
        <v/>
      </c>
      <c r="J1816" s="16" t="str">
        <f aca="false">IF(B1816="","",IF(N1816=_xlfn.MINIFS($N$2:$N$5001,$B$2:$B$5001,B1816),1,0))</f>
        <v/>
      </c>
      <c r="K1816" s="16" t="str">
        <f aca="false">IF(B1816="","",IF(AND(D1816="Formalização",E1816="Concluído"),IF(COUNTIFS($B$2:$B$5001,B1816,$E$2:$E$5001,"Em ajustes",$N$2:$N$5001,"&lt;"&amp;I1816)&gt;0,1,0),0))</f>
        <v/>
      </c>
      <c r="L1816" s="16" t="str">
        <f aca="false">IF(B1816="","",IF(N1816=_xlfn.MAXIFS($N$2:$N$5001,$B$2:$B$5001,B1816,$I$2:$I$5001,I1816),1,0))</f>
        <v/>
      </c>
      <c r="M1816" s="16" t="str">
        <f aca="false">IF(B1816="","",IF(E1816="Em ajustes",IF(N1816=_xlfn.MINIFS($N$2:$N$5001,$B$2:$B$5001,B1816,$E$2:$E$5001,"Em ajustes"),1,0),0))</f>
        <v/>
      </c>
      <c r="N1816" s="17" t="str">
        <f aca="false">IF(A1816="","",IF(ISNUMBER(A1816),A1816,IFERROR(DATE(VALUE(MID(A1816,7,4)),VALUE(MID(A1816,4,2)),VALUE(MID(A1816,1,2)))+TIME(VALUE(MID(A1816,12,2)),VALUE(MID(A1816,15,2)),VALUE(MID(A1816,18,2))),"")))</f>
        <v/>
      </c>
    </row>
    <row r="1817" customFormat="false" ht="15" hidden="false" customHeight="false" outlineLevel="0" collapsed="false">
      <c r="I1817" s="15" t="str">
        <f aca="false">IF(N1817="","",INT(N1817))</f>
        <v/>
      </c>
      <c r="J1817" s="16" t="str">
        <f aca="false">IF(B1817="","",IF(N1817=_xlfn.MINIFS($N$2:$N$5001,$B$2:$B$5001,B1817),1,0))</f>
        <v/>
      </c>
      <c r="K1817" s="16" t="str">
        <f aca="false">IF(B1817="","",IF(AND(D1817="Formalização",E1817="Concluído"),IF(COUNTIFS($B$2:$B$5001,B1817,$E$2:$E$5001,"Em ajustes",$N$2:$N$5001,"&lt;"&amp;I1817)&gt;0,1,0),0))</f>
        <v/>
      </c>
      <c r="L1817" s="16" t="str">
        <f aca="false">IF(B1817="","",IF(N1817=_xlfn.MAXIFS($N$2:$N$5001,$B$2:$B$5001,B1817,$I$2:$I$5001,I1817),1,0))</f>
        <v/>
      </c>
      <c r="M1817" s="16" t="str">
        <f aca="false">IF(B1817="","",IF(E1817="Em ajustes",IF(N1817=_xlfn.MINIFS($N$2:$N$5001,$B$2:$B$5001,B1817,$E$2:$E$5001,"Em ajustes"),1,0),0))</f>
        <v/>
      </c>
      <c r="N1817" s="17" t="str">
        <f aca="false">IF(A1817="","",IF(ISNUMBER(A1817),A1817,IFERROR(DATE(VALUE(MID(A1817,7,4)),VALUE(MID(A1817,4,2)),VALUE(MID(A1817,1,2)))+TIME(VALUE(MID(A1817,12,2)),VALUE(MID(A1817,15,2)),VALUE(MID(A1817,18,2))),"")))</f>
        <v/>
      </c>
    </row>
    <row r="1818" customFormat="false" ht="15" hidden="false" customHeight="false" outlineLevel="0" collapsed="false">
      <c r="I1818" s="15" t="str">
        <f aca="false">IF(N1818="","",INT(N1818))</f>
        <v/>
      </c>
      <c r="J1818" s="16" t="str">
        <f aca="false">IF(B1818="","",IF(N1818=_xlfn.MINIFS($N$2:$N$5001,$B$2:$B$5001,B1818),1,0))</f>
        <v/>
      </c>
      <c r="K1818" s="16" t="str">
        <f aca="false">IF(B1818="","",IF(AND(D1818="Formalização",E1818="Concluído"),IF(COUNTIFS($B$2:$B$5001,B1818,$E$2:$E$5001,"Em ajustes",$N$2:$N$5001,"&lt;"&amp;I1818)&gt;0,1,0),0))</f>
        <v/>
      </c>
      <c r="L1818" s="16" t="str">
        <f aca="false">IF(B1818="","",IF(N1818=_xlfn.MAXIFS($N$2:$N$5001,$B$2:$B$5001,B1818,$I$2:$I$5001,I1818),1,0))</f>
        <v/>
      </c>
      <c r="M1818" s="16" t="str">
        <f aca="false">IF(B1818="","",IF(E1818="Em ajustes",IF(N1818=_xlfn.MINIFS($N$2:$N$5001,$B$2:$B$5001,B1818,$E$2:$E$5001,"Em ajustes"),1,0),0))</f>
        <v/>
      </c>
      <c r="N1818" s="17" t="str">
        <f aca="false">IF(A1818="","",IF(ISNUMBER(A1818),A1818,IFERROR(DATE(VALUE(MID(A1818,7,4)),VALUE(MID(A1818,4,2)),VALUE(MID(A1818,1,2)))+TIME(VALUE(MID(A1818,12,2)),VALUE(MID(A1818,15,2)),VALUE(MID(A1818,18,2))),"")))</f>
        <v/>
      </c>
    </row>
    <row r="1819" customFormat="false" ht="15" hidden="false" customHeight="false" outlineLevel="0" collapsed="false">
      <c r="I1819" s="15" t="str">
        <f aca="false">IF(N1819="","",INT(N1819))</f>
        <v/>
      </c>
      <c r="J1819" s="16" t="str">
        <f aca="false">IF(B1819="","",IF(N1819=_xlfn.MINIFS($N$2:$N$5001,$B$2:$B$5001,B1819),1,0))</f>
        <v/>
      </c>
      <c r="K1819" s="16" t="str">
        <f aca="false">IF(B1819="","",IF(AND(D1819="Formalização",E1819="Concluído"),IF(COUNTIFS($B$2:$B$5001,B1819,$E$2:$E$5001,"Em ajustes",$N$2:$N$5001,"&lt;"&amp;I1819)&gt;0,1,0),0))</f>
        <v/>
      </c>
      <c r="L1819" s="16" t="str">
        <f aca="false">IF(B1819="","",IF(N1819=_xlfn.MAXIFS($N$2:$N$5001,$B$2:$B$5001,B1819,$I$2:$I$5001,I1819),1,0))</f>
        <v/>
      </c>
      <c r="M1819" s="16" t="str">
        <f aca="false">IF(B1819="","",IF(E1819="Em ajustes",IF(N1819=_xlfn.MINIFS($N$2:$N$5001,$B$2:$B$5001,B1819,$E$2:$E$5001,"Em ajustes"),1,0),0))</f>
        <v/>
      </c>
      <c r="N1819" s="17" t="str">
        <f aca="false">IF(A1819="","",IF(ISNUMBER(A1819),A1819,IFERROR(DATE(VALUE(MID(A1819,7,4)),VALUE(MID(A1819,4,2)),VALUE(MID(A1819,1,2)))+TIME(VALUE(MID(A1819,12,2)),VALUE(MID(A1819,15,2)),VALUE(MID(A1819,18,2))),"")))</f>
        <v/>
      </c>
    </row>
    <row r="1820" customFormat="false" ht="15" hidden="false" customHeight="false" outlineLevel="0" collapsed="false">
      <c r="I1820" s="15" t="str">
        <f aca="false">IF(N1820="","",INT(N1820))</f>
        <v/>
      </c>
      <c r="J1820" s="16" t="str">
        <f aca="false">IF(B1820="","",IF(N1820=_xlfn.MINIFS($N$2:$N$5001,$B$2:$B$5001,B1820),1,0))</f>
        <v/>
      </c>
      <c r="K1820" s="16" t="str">
        <f aca="false">IF(B1820="","",IF(AND(D1820="Formalização",E1820="Concluído"),IF(COUNTIFS($B$2:$B$5001,B1820,$E$2:$E$5001,"Em ajustes",$N$2:$N$5001,"&lt;"&amp;I1820)&gt;0,1,0),0))</f>
        <v/>
      </c>
      <c r="L1820" s="16" t="str">
        <f aca="false">IF(B1820="","",IF(N1820=_xlfn.MAXIFS($N$2:$N$5001,$B$2:$B$5001,B1820,$I$2:$I$5001,I1820),1,0))</f>
        <v/>
      </c>
      <c r="M1820" s="16" t="str">
        <f aca="false">IF(B1820="","",IF(E1820="Em ajustes",IF(N1820=_xlfn.MINIFS($N$2:$N$5001,$B$2:$B$5001,B1820,$E$2:$E$5001,"Em ajustes"),1,0),0))</f>
        <v/>
      </c>
      <c r="N1820" s="17" t="str">
        <f aca="false">IF(A1820="","",IF(ISNUMBER(A1820),A1820,IFERROR(DATE(VALUE(MID(A1820,7,4)),VALUE(MID(A1820,4,2)),VALUE(MID(A1820,1,2)))+TIME(VALUE(MID(A1820,12,2)),VALUE(MID(A1820,15,2)),VALUE(MID(A1820,18,2))),"")))</f>
        <v/>
      </c>
    </row>
    <row r="1821" customFormat="false" ht="15" hidden="false" customHeight="false" outlineLevel="0" collapsed="false">
      <c r="I1821" s="15" t="str">
        <f aca="false">IF(N1821="","",INT(N1821))</f>
        <v/>
      </c>
      <c r="J1821" s="16" t="str">
        <f aca="false">IF(B1821="","",IF(N1821=_xlfn.MINIFS($N$2:$N$5001,$B$2:$B$5001,B1821),1,0))</f>
        <v/>
      </c>
      <c r="K1821" s="16" t="str">
        <f aca="false">IF(B1821="","",IF(AND(D1821="Formalização",E1821="Concluído"),IF(COUNTIFS($B$2:$B$5001,B1821,$E$2:$E$5001,"Em ajustes",$N$2:$N$5001,"&lt;"&amp;I1821)&gt;0,1,0),0))</f>
        <v/>
      </c>
      <c r="L1821" s="16" t="str">
        <f aca="false">IF(B1821="","",IF(N1821=_xlfn.MAXIFS($N$2:$N$5001,$B$2:$B$5001,B1821,$I$2:$I$5001,I1821),1,0))</f>
        <v/>
      </c>
      <c r="M1821" s="16" t="str">
        <f aca="false">IF(B1821="","",IF(E1821="Em ajustes",IF(N1821=_xlfn.MINIFS($N$2:$N$5001,$B$2:$B$5001,B1821,$E$2:$E$5001,"Em ajustes"),1,0),0))</f>
        <v/>
      </c>
      <c r="N1821" s="17" t="str">
        <f aca="false">IF(A1821="","",IF(ISNUMBER(A1821),A1821,IFERROR(DATE(VALUE(MID(A1821,7,4)),VALUE(MID(A1821,4,2)),VALUE(MID(A1821,1,2)))+TIME(VALUE(MID(A1821,12,2)),VALUE(MID(A1821,15,2)),VALUE(MID(A1821,18,2))),"")))</f>
        <v/>
      </c>
    </row>
    <row r="1822" customFormat="false" ht="15" hidden="false" customHeight="false" outlineLevel="0" collapsed="false">
      <c r="I1822" s="15" t="str">
        <f aca="false">IF(N1822="","",INT(N1822))</f>
        <v/>
      </c>
      <c r="J1822" s="16" t="str">
        <f aca="false">IF(B1822="","",IF(N1822=_xlfn.MINIFS($N$2:$N$5001,$B$2:$B$5001,B1822),1,0))</f>
        <v/>
      </c>
      <c r="K1822" s="16" t="str">
        <f aca="false">IF(B1822="","",IF(AND(D1822="Formalização",E1822="Concluído"),IF(COUNTIFS($B$2:$B$5001,B1822,$E$2:$E$5001,"Em ajustes",$N$2:$N$5001,"&lt;"&amp;I1822)&gt;0,1,0),0))</f>
        <v/>
      </c>
      <c r="L1822" s="16" t="str">
        <f aca="false">IF(B1822="","",IF(N1822=_xlfn.MAXIFS($N$2:$N$5001,$B$2:$B$5001,B1822,$I$2:$I$5001,I1822),1,0))</f>
        <v/>
      </c>
      <c r="M1822" s="16" t="str">
        <f aca="false">IF(B1822="","",IF(E1822="Em ajustes",IF(N1822=_xlfn.MINIFS($N$2:$N$5001,$B$2:$B$5001,B1822,$E$2:$E$5001,"Em ajustes"),1,0),0))</f>
        <v/>
      </c>
      <c r="N1822" s="17" t="str">
        <f aca="false">IF(A1822="","",IF(ISNUMBER(A1822),A1822,IFERROR(DATE(VALUE(MID(A1822,7,4)),VALUE(MID(A1822,4,2)),VALUE(MID(A1822,1,2)))+TIME(VALUE(MID(A1822,12,2)),VALUE(MID(A1822,15,2)),VALUE(MID(A1822,18,2))),"")))</f>
        <v/>
      </c>
    </row>
    <row r="1823" customFormat="false" ht="15" hidden="false" customHeight="false" outlineLevel="0" collapsed="false">
      <c r="I1823" s="15" t="str">
        <f aca="false">IF(N1823="","",INT(N1823))</f>
        <v/>
      </c>
      <c r="J1823" s="16" t="str">
        <f aca="false">IF(B1823="","",IF(N1823=_xlfn.MINIFS($N$2:$N$5001,$B$2:$B$5001,B1823),1,0))</f>
        <v/>
      </c>
      <c r="K1823" s="16" t="str">
        <f aca="false">IF(B1823="","",IF(AND(D1823="Formalização",E1823="Concluído"),IF(COUNTIFS($B$2:$B$5001,B1823,$E$2:$E$5001,"Em ajustes",$N$2:$N$5001,"&lt;"&amp;I1823)&gt;0,1,0),0))</f>
        <v/>
      </c>
      <c r="L1823" s="16" t="str">
        <f aca="false">IF(B1823="","",IF(N1823=_xlfn.MAXIFS($N$2:$N$5001,$B$2:$B$5001,B1823,$I$2:$I$5001,I1823),1,0))</f>
        <v/>
      </c>
      <c r="M1823" s="16" t="str">
        <f aca="false">IF(B1823="","",IF(E1823="Em ajustes",IF(N1823=_xlfn.MINIFS($N$2:$N$5001,$B$2:$B$5001,B1823,$E$2:$E$5001,"Em ajustes"),1,0),0))</f>
        <v/>
      </c>
      <c r="N1823" s="17" t="str">
        <f aca="false">IF(A1823="","",IF(ISNUMBER(A1823),A1823,IFERROR(DATE(VALUE(MID(A1823,7,4)),VALUE(MID(A1823,4,2)),VALUE(MID(A1823,1,2)))+TIME(VALUE(MID(A1823,12,2)),VALUE(MID(A1823,15,2)),VALUE(MID(A1823,18,2))),"")))</f>
        <v/>
      </c>
    </row>
    <row r="1824" customFormat="false" ht="15" hidden="false" customHeight="false" outlineLevel="0" collapsed="false">
      <c r="I1824" s="15" t="str">
        <f aca="false">IF(N1824="","",INT(N1824))</f>
        <v/>
      </c>
      <c r="J1824" s="16" t="str">
        <f aca="false">IF(B1824="","",IF(N1824=_xlfn.MINIFS($N$2:$N$5001,$B$2:$B$5001,B1824),1,0))</f>
        <v/>
      </c>
      <c r="K1824" s="16" t="str">
        <f aca="false">IF(B1824="","",IF(AND(D1824="Formalização",E1824="Concluído"),IF(COUNTIFS($B$2:$B$5001,B1824,$E$2:$E$5001,"Em ajustes",$N$2:$N$5001,"&lt;"&amp;I1824)&gt;0,1,0),0))</f>
        <v/>
      </c>
      <c r="L1824" s="16" t="str">
        <f aca="false">IF(B1824="","",IF(N1824=_xlfn.MAXIFS($N$2:$N$5001,$B$2:$B$5001,B1824,$I$2:$I$5001,I1824),1,0))</f>
        <v/>
      </c>
      <c r="M1824" s="16" t="str">
        <f aca="false">IF(B1824="","",IF(E1824="Em ajustes",IF(N1824=_xlfn.MINIFS($N$2:$N$5001,$B$2:$B$5001,B1824,$E$2:$E$5001,"Em ajustes"),1,0),0))</f>
        <v/>
      </c>
      <c r="N1824" s="17" t="str">
        <f aca="false">IF(A1824="","",IF(ISNUMBER(A1824),A1824,IFERROR(DATE(VALUE(MID(A1824,7,4)),VALUE(MID(A1824,4,2)),VALUE(MID(A1824,1,2)))+TIME(VALUE(MID(A1824,12,2)),VALUE(MID(A1824,15,2)),VALUE(MID(A1824,18,2))),"")))</f>
        <v/>
      </c>
    </row>
    <row r="1825" customFormat="false" ht="15" hidden="false" customHeight="false" outlineLevel="0" collapsed="false">
      <c r="I1825" s="15" t="str">
        <f aca="false">IF(N1825="","",INT(N1825))</f>
        <v/>
      </c>
      <c r="J1825" s="16" t="str">
        <f aca="false">IF(B1825="","",IF(N1825=_xlfn.MINIFS($N$2:$N$5001,$B$2:$B$5001,B1825),1,0))</f>
        <v/>
      </c>
      <c r="K1825" s="16" t="str">
        <f aca="false">IF(B1825="","",IF(AND(D1825="Formalização",E1825="Concluído"),IF(COUNTIFS($B$2:$B$5001,B1825,$E$2:$E$5001,"Em ajustes",$N$2:$N$5001,"&lt;"&amp;I1825)&gt;0,1,0),0))</f>
        <v/>
      </c>
      <c r="L1825" s="16" t="str">
        <f aca="false">IF(B1825="","",IF(N1825=_xlfn.MAXIFS($N$2:$N$5001,$B$2:$B$5001,B1825,$I$2:$I$5001,I1825),1,0))</f>
        <v/>
      </c>
      <c r="M1825" s="16" t="str">
        <f aca="false">IF(B1825="","",IF(E1825="Em ajustes",IF(N1825=_xlfn.MINIFS($N$2:$N$5001,$B$2:$B$5001,B1825,$E$2:$E$5001,"Em ajustes"),1,0),0))</f>
        <v/>
      </c>
      <c r="N1825" s="17" t="str">
        <f aca="false">IF(A1825="","",IF(ISNUMBER(A1825),A1825,IFERROR(DATE(VALUE(MID(A1825,7,4)),VALUE(MID(A1825,4,2)),VALUE(MID(A1825,1,2)))+TIME(VALUE(MID(A1825,12,2)),VALUE(MID(A1825,15,2)),VALUE(MID(A1825,18,2))),"")))</f>
        <v/>
      </c>
    </row>
    <row r="1826" customFormat="false" ht="15" hidden="false" customHeight="false" outlineLevel="0" collapsed="false">
      <c r="I1826" s="15" t="str">
        <f aca="false">IF(N1826="","",INT(N1826))</f>
        <v/>
      </c>
      <c r="J1826" s="16" t="str">
        <f aca="false">IF(B1826="","",IF(N1826=_xlfn.MINIFS($N$2:$N$5001,$B$2:$B$5001,B1826),1,0))</f>
        <v/>
      </c>
      <c r="K1826" s="16" t="str">
        <f aca="false">IF(B1826="","",IF(AND(D1826="Formalização",E1826="Concluído"),IF(COUNTIFS($B$2:$B$5001,B1826,$E$2:$E$5001,"Em ajustes",$N$2:$N$5001,"&lt;"&amp;I1826)&gt;0,1,0),0))</f>
        <v/>
      </c>
      <c r="L1826" s="16" t="str">
        <f aca="false">IF(B1826="","",IF(N1826=_xlfn.MAXIFS($N$2:$N$5001,$B$2:$B$5001,B1826,$I$2:$I$5001,I1826),1,0))</f>
        <v/>
      </c>
      <c r="M1826" s="16" t="str">
        <f aca="false">IF(B1826="","",IF(E1826="Em ajustes",IF(N1826=_xlfn.MINIFS($N$2:$N$5001,$B$2:$B$5001,B1826,$E$2:$E$5001,"Em ajustes"),1,0),0))</f>
        <v/>
      </c>
      <c r="N1826" s="17" t="str">
        <f aca="false">IF(A1826="","",IF(ISNUMBER(A1826),A1826,IFERROR(DATE(VALUE(MID(A1826,7,4)),VALUE(MID(A1826,4,2)),VALUE(MID(A1826,1,2)))+TIME(VALUE(MID(A1826,12,2)),VALUE(MID(A1826,15,2)),VALUE(MID(A1826,18,2))),"")))</f>
        <v/>
      </c>
    </row>
    <row r="1827" customFormat="false" ht="15" hidden="false" customHeight="false" outlineLevel="0" collapsed="false">
      <c r="I1827" s="15" t="str">
        <f aca="false">IF(N1827="","",INT(N1827))</f>
        <v/>
      </c>
      <c r="J1827" s="16" t="str">
        <f aca="false">IF(B1827="","",IF(N1827=_xlfn.MINIFS($N$2:$N$5001,$B$2:$B$5001,B1827),1,0))</f>
        <v/>
      </c>
      <c r="K1827" s="16" t="str">
        <f aca="false">IF(B1827="","",IF(AND(D1827="Formalização",E1827="Concluído"),IF(COUNTIFS($B$2:$B$5001,B1827,$E$2:$E$5001,"Em ajustes",$N$2:$N$5001,"&lt;"&amp;I1827)&gt;0,1,0),0))</f>
        <v/>
      </c>
      <c r="L1827" s="16" t="str">
        <f aca="false">IF(B1827="","",IF(N1827=_xlfn.MAXIFS($N$2:$N$5001,$B$2:$B$5001,B1827,$I$2:$I$5001,I1827),1,0))</f>
        <v/>
      </c>
      <c r="M1827" s="16" t="str">
        <f aca="false">IF(B1827="","",IF(E1827="Em ajustes",IF(N1827=_xlfn.MINIFS($N$2:$N$5001,$B$2:$B$5001,B1827,$E$2:$E$5001,"Em ajustes"),1,0),0))</f>
        <v/>
      </c>
      <c r="N1827" s="17" t="str">
        <f aca="false">IF(A1827="","",IF(ISNUMBER(A1827),A1827,IFERROR(DATE(VALUE(MID(A1827,7,4)),VALUE(MID(A1827,4,2)),VALUE(MID(A1827,1,2)))+TIME(VALUE(MID(A1827,12,2)),VALUE(MID(A1827,15,2)),VALUE(MID(A1827,18,2))),"")))</f>
        <v/>
      </c>
    </row>
    <row r="1828" customFormat="false" ht="15" hidden="false" customHeight="false" outlineLevel="0" collapsed="false">
      <c r="I1828" s="15" t="str">
        <f aca="false">IF(N1828="","",INT(N1828))</f>
        <v/>
      </c>
      <c r="J1828" s="16" t="str">
        <f aca="false">IF(B1828="","",IF(N1828=_xlfn.MINIFS($N$2:$N$5001,$B$2:$B$5001,B1828),1,0))</f>
        <v/>
      </c>
      <c r="K1828" s="16" t="str">
        <f aca="false">IF(B1828="","",IF(AND(D1828="Formalização",E1828="Concluído"),IF(COUNTIFS($B$2:$B$5001,B1828,$E$2:$E$5001,"Em ajustes",$N$2:$N$5001,"&lt;"&amp;I1828)&gt;0,1,0),0))</f>
        <v/>
      </c>
      <c r="L1828" s="16" t="str">
        <f aca="false">IF(B1828="","",IF(N1828=_xlfn.MAXIFS($N$2:$N$5001,$B$2:$B$5001,B1828,$I$2:$I$5001,I1828),1,0))</f>
        <v/>
      </c>
      <c r="M1828" s="16" t="str">
        <f aca="false">IF(B1828="","",IF(E1828="Em ajustes",IF(N1828=_xlfn.MINIFS($N$2:$N$5001,$B$2:$B$5001,B1828,$E$2:$E$5001,"Em ajustes"),1,0),0))</f>
        <v/>
      </c>
      <c r="N1828" s="17" t="str">
        <f aca="false">IF(A1828="","",IF(ISNUMBER(A1828),A1828,IFERROR(DATE(VALUE(MID(A1828,7,4)),VALUE(MID(A1828,4,2)),VALUE(MID(A1828,1,2)))+TIME(VALUE(MID(A1828,12,2)),VALUE(MID(A1828,15,2)),VALUE(MID(A1828,18,2))),"")))</f>
        <v/>
      </c>
    </row>
    <row r="1829" customFormat="false" ht="15" hidden="false" customHeight="false" outlineLevel="0" collapsed="false">
      <c r="I1829" s="15" t="str">
        <f aca="false">IF(N1829="","",INT(N1829))</f>
        <v/>
      </c>
      <c r="J1829" s="16" t="str">
        <f aca="false">IF(B1829="","",IF(N1829=_xlfn.MINIFS($N$2:$N$5001,$B$2:$B$5001,B1829),1,0))</f>
        <v/>
      </c>
      <c r="K1829" s="16" t="str">
        <f aca="false">IF(B1829="","",IF(AND(D1829="Formalização",E1829="Concluído"),IF(COUNTIFS($B$2:$B$5001,B1829,$E$2:$E$5001,"Em ajustes",$N$2:$N$5001,"&lt;"&amp;I1829)&gt;0,1,0),0))</f>
        <v/>
      </c>
      <c r="L1829" s="16" t="str">
        <f aca="false">IF(B1829="","",IF(N1829=_xlfn.MAXIFS($N$2:$N$5001,$B$2:$B$5001,B1829,$I$2:$I$5001,I1829),1,0))</f>
        <v/>
      </c>
      <c r="M1829" s="16" t="str">
        <f aca="false">IF(B1829="","",IF(E1829="Em ajustes",IF(N1829=_xlfn.MINIFS($N$2:$N$5001,$B$2:$B$5001,B1829,$E$2:$E$5001,"Em ajustes"),1,0),0))</f>
        <v/>
      </c>
      <c r="N1829" s="17" t="str">
        <f aca="false">IF(A1829="","",IF(ISNUMBER(A1829),A1829,IFERROR(DATE(VALUE(MID(A1829,7,4)),VALUE(MID(A1829,4,2)),VALUE(MID(A1829,1,2)))+TIME(VALUE(MID(A1829,12,2)),VALUE(MID(A1829,15,2)),VALUE(MID(A1829,18,2))),"")))</f>
        <v/>
      </c>
    </row>
    <row r="1830" customFormat="false" ht="15" hidden="false" customHeight="false" outlineLevel="0" collapsed="false">
      <c r="I1830" s="15" t="str">
        <f aca="false">IF(N1830="","",INT(N1830))</f>
        <v/>
      </c>
      <c r="J1830" s="16" t="str">
        <f aca="false">IF(B1830="","",IF(N1830=_xlfn.MINIFS($N$2:$N$5001,$B$2:$B$5001,B1830),1,0))</f>
        <v/>
      </c>
      <c r="K1830" s="16" t="str">
        <f aca="false">IF(B1830="","",IF(AND(D1830="Formalização",E1830="Concluído"),IF(COUNTIFS($B$2:$B$5001,B1830,$E$2:$E$5001,"Em ajustes",$N$2:$N$5001,"&lt;"&amp;I1830)&gt;0,1,0),0))</f>
        <v/>
      </c>
      <c r="L1830" s="16" t="str">
        <f aca="false">IF(B1830="","",IF(N1830=_xlfn.MAXIFS($N$2:$N$5001,$B$2:$B$5001,B1830,$I$2:$I$5001,I1830),1,0))</f>
        <v/>
      </c>
      <c r="M1830" s="16" t="str">
        <f aca="false">IF(B1830="","",IF(E1830="Em ajustes",IF(N1830=_xlfn.MINIFS($N$2:$N$5001,$B$2:$B$5001,B1830,$E$2:$E$5001,"Em ajustes"),1,0),0))</f>
        <v/>
      </c>
      <c r="N1830" s="17" t="str">
        <f aca="false">IF(A1830="","",IF(ISNUMBER(A1830),A1830,IFERROR(DATE(VALUE(MID(A1830,7,4)),VALUE(MID(A1830,4,2)),VALUE(MID(A1830,1,2)))+TIME(VALUE(MID(A1830,12,2)),VALUE(MID(A1830,15,2)),VALUE(MID(A1830,18,2))),"")))</f>
        <v/>
      </c>
    </row>
    <row r="1831" customFormat="false" ht="15" hidden="false" customHeight="false" outlineLevel="0" collapsed="false">
      <c r="I1831" s="15" t="str">
        <f aca="false">IF(N1831="","",INT(N1831))</f>
        <v/>
      </c>
      <c r="J1831" s="16" t="str">
        <f aca="false">IF(B1831="","",IF(N1831=_xlfn.MINIFS($N$2:$N$5001,$B$2:$B$5001,B1831),1,0))</f>
        <v/>
      </c>
      <c r="K1831" s="16" t="str">
        <f aca="false">IF(B1831="","",IF(AND(D1831="Formalização",E1831="Concluído"),IF(COUNTIFS($B$2:$B$5001,B1831,$E$2:$E$5001,"Em ajustes",$N$2:$N$5001,"&lt;"&amp;I1831)&gt;0,1,0),0))</f>
        <v/>
      </c>
      <c r="L1831" s="16" t="str">
        <f aca="false">IF(B1831="","",IF(N1831=_xlfn.MAXIFS($N$2:$N$5001,$B$2:$B$5001,B1831,$I$2:$I$5001,I1831),1,0))</f>
        <v/>
      </c>
      <c r="M1831" s="16" t="str">
        <f aca="false">IF(B1831="","",IF(E1831="Em ajustes",IF(N1831=_xlfn.MINIFS($N$2:$N$5001,$B$2:$B$5001,B1831,$E$2:$E$5001,"Em ajustes"),1,0),0))</f>
        <v/>
      </c>
      <c r="N1831" s="17" t="str">
        <f aca="false">IF(A1831="","",IF(ISNUMBER(A1831),A1831,IFERROR(DATE(VALUE(MID(A1831,7,4)),VALUE(MID(A1831,4,2)),VALUE(MID(A1831,1,2)))+TIME(VALUE(MID(A1831,12,2)),VALUE(MID(A1831,15,2)),VALUE(MID(A1831,18,2))),"")))</f>
        <v/>
      </c>
    </row>
    <row r="1832" customFormat="false" ht="15" hidden="false" customHeight="false" outlineLevel="0" collapsed="false">
      <c r="I1832" s="15" t="str">
        <f aca="false">IF(N1832="","",INT(N1832))</f>
        <v/>
      </c>
      <c r="J1832" s="16" t="str">
        <f aca="false">IF(B1832="","",IF(N1832=_xlfn.MINIFS($N$2:$N$5001,$B$2:$B$5001,B1832),1,0))</f>
        <v/>
      </c>
      <c r="K1832" s="16" t="str">
        <f aca="false">IF(B1832="","",IF(AND(D1832="Formalização",E1832="Concluído"),IF(COUNTIFS($B$2:$B$5001,B1832,$E$2:$E$5001,"Em ajustes",$N$2:$N$5001,"&lt;"&amp;I1832)&gt;0,1,0),0))</f>
        <v/>
      </c>
      <c r="L1832" s="16" t="str">
        <f aca="false">IF(B1832="","",IF(N1832=_xlfn.MAXIFS($N$2:$N$5001,$B$2:$B$5001,B1832,$I$2:$I$5001,I1832),1,0))</f>
        <v/>
      </c>
      <c r="M1832" s="16" t="str">
        <f aca="false">IF(B1832="","",IF(E1832="Em ajustes",IF(N1832=_xlfn.MINIFS($N$2:$N$5001,$B$2:$B$5001,B1832,$E$2:$E$5001,"Em ajustes"),1,0),0))</f>
        <v/>
      </c>
      <c r="N1832" s="17" t="str">
        <f aca="false">IF(A1832="","",IF(ISNUMBER(A1832),A1832,IFERROR(DATE(VALUE(MID(A1832,7,4)),VALUE(MID(A1832,4,2)),VALUE(MID(A1832,1,2)))+TIME(VALUE(MID(A1832,12,2)),VALUE(MID(A1832,15,2)),VALUE(MID(A1832,18,2))),"")))</f>
        <v/>
      </c>
    </row>
    <row r="1833" customFormat="false" ht="15" hidden="false" customHeight="false" outlineLevel="0" collapsed="false">
      <c r="I1833" s="15" t="str">
        <f aca="false">IF(N1833="","",INT(N1833))</f>
        <v/>
      </c>
      <c r="J1833" s="16" t="str">
        <f aca="false">IF(B1833="","",IF(N1833=_xlfn.MINIFS($N$2:$N$5001,$B$2:$B$5001,B1833),1,0))</f>
        <v/>
      </c>
      <c r="K1833" s="16" t="str">
        <f aca="false">IF(B1833="","",IF(AND(D1833="Formalização",E1833="Concluído"),IF(COUNTIFS($B$2:$B$5001,B1833,$E$2:$E$5001,"Em ajustes",$N$2:$N$5001,"&lt;"&amp;I1833)&gt;0,1,0),0))</f>
        <v/>
      </c>
      <c r="L1833" s="16" t="str">
        <f aca="false">IF(B1833="","",IF(N1833=_xlfn.MAXIFS($N$2:$N$5001,$B$2:$B$5001,B1833,$I$2:$I$5001,I1833),1,0))</f>
        <v/>
      </c>
      <c r="M1833" s="16" t="str">
        <f aca="false">IF(B1833="","",IF(E1833="Em ajustes",IF(N1833=_xlfn.MINIFS($N$2:$N$5001,$B$2:$B$5001,B1833,$E$2:$E$5001,"Em ajustes"),1,0),0))</f>
        <v/>
      </c>
      <c r="N1833" s="17" t="str">
        <f aca="false">IF(A1833="","",IF(ISNUMBER(A1833),A1833,IFERROR(DATE(VALUE(MID(A1833,7,4)),VALUE(MID(A1833,4,2)),VALUE(MID(A1833,1,2)))+TIME(VALUE(MID(A1833,12,2)),VALUE(MID(A1833,15,2)),VALUE(MID(A1833,18,2))),"")))</f>
        <v/>
      </c>
    </row>
    <row r="1834" customFormat="false" ht="15" hidden="false" customHeight="false" outlineLevel="0" collapsed="false">
      <c r="I1834" s="15" t="str">
        <f aca="false">IF(N1834="","",INT(N1834))</f>
        <v/>
      </c>
      <c r="J1834" s="16" t="str">
        <f aca="false">IF(B1834="","",IF(N1834=_xlfn.MINIFS($N$2:$N$5001,$B$2:$B$5001,B1834),1,0))</f>
        <v/>
      </c>
      <c r="K1834" s="16" t="str">
        <f aca="false">IF(B1834="","",IF(AND(D1834="Formalização",E1834="Concluído"),IF(COUNTIFS($B$2:$B$5001,B1834,$E$2:$E$5001,"Em ajustes",$N$2:$N$5001,"&lt;"&amp;I1834)&gt;0,1,0),0))</f>
        <v/>
      </c>
      <c r="L1834" s="16" t="str">
        <f aca="false">IF(B1834="","",IF(N1834=_xlfn.MAXIFS($N$2:$N$5001,$B$2:$B$5001,B1834,$I$2:$I$5001,I1834),1,0))</f>
        <v/>
      </c>
      <c r="M1834" s="16" t="str">
        <f aca="false">IF(B1834="","",IF(E1834="Em ajustes",IF(N1834=_xlfn.MINIFS($N$2:$N$5001,$B$2:$B$5001,B1834,$E$2:$E$5001,"Em ajustes"),1,0),0))</f>
        <v/>
      </c>
      <c r="N1834" s="17" t="str">
        <f aca="false">IF(A1834="","",IF(ISNUMBER(A1834),A1834,IFERROR(DATE(VALUE(MID(A1834,7,4)),VALUE(MID(A1834,4,2)),VALUE(MID(A1834,1,2)))+TIME(VALUE(MID(A1834,12,2)),VALUE(MID(A1834,15,2)),VALUE(MID(A1834,18,2))),"")))</f>
        <v/>
      </c>
    </row>
    <row r="1835" customFormat="false" ht="15" hidden="false" customHeight="false" outlineLevel="0" collapsed="false">
      <c r="I1835" s="15" t="str">
        <f aca="false">IF(N1835="","",INT(N1835))</f>
        <v/>
      </c>
      <c r="J1835" s="16" t="str">
        <f aca="false">IF(B1835="","",IF(N1835=_xlfn.MINIFS($N$2:$N$5001,$B$2:$B$5001,B1835),1,0))</f>
        <v/>
      </c>
      <c r="K1835" s="16" t="str">
        <f aca="false">IF(B1835="","",IF(AND(D1835="Formalização",E1835="Concluído"),IF(COUNTIFS($B$2:$B$5001,B1835,$E$2:$E$5001,"Em ajustes",$N$2:$N$5001,"&lt;"&amp;I1835)&gt;0,1,0),0))</f>
        <v/>
      </c>
      <c r="L1835" s="16" t="str">
        <f aca="false">IF(B1835="","",IF(N1835=_xlfn.MAXIFS($N$2:$N$5001,$B$2:$B$5001,B1835,$I$2:$I$5001,I1835),1,0))</f>
        <v/>
      </c>
      <c r="M1835" s="16" t="str">
        <f aca="false">IF(B1835="","",IF(E1835="Em ajustes",IF(N1835=_xlfn.MINIFS($N$2:$N$5001,$B$2:$B$5001,B1835,$E$2:$E$5001,"Em ajustes"),1,0),0))</f>
        <v/>
      </c>
      <c r="N1835" s="17" t="str">
        <f aca="false">IF(A1835="","",IF(ISNUMBER(A1835),A1835,IFERROR(DATE(VALUE(MID(A1835,7,4)),VALUE(MID(A1835,4,2)),VALUE(MID(A1835,1,2)))+TIME(VALUE(MID(A1835,12,2)),VALUE(MID(A1835,15,2)),VALUE(MID(A1835,18,2))),"")))</f>
        <v/>
      </c>
    </row>
    <row r="1836" customFormat="false" ht="15" hidden="false" customHeight="false" outlineLevel="0" collapsed="false">
      <c r="I1836" s="15" t="str">
        <f aca="false">IF(N1836="","",INT(N1836))</f>
        <v/>
      </c>
      <c r="J1836" s="16" t="str">
        <f aca="false">IF(B1836="","",IF(N1836=_xlfn.MINIFS($N$2:$N$5001,$B$2:$B$5001,B1836),1,0))</f>
        <v/>
      </c>
      <c r="K1836" s="16" t="str">
        <f aca="false">IF(B1836="","",IF(AND(D1836="Formalização",E1836="Concluído"),IF(COUNTIFS($B$2:$B$5001,B1836,$E$2:$E$5001,"Em ajustes",$N$2:$N$5001,"&lt;"&amp;I1836)&gt;0,1,0),0))</f>
        <v/>
      </c>
      <c r="L1836" s="16" t="str">
        <f aca="false">IF(B1836="","",IF(N1836=_xlfn.MAXIFS($N$2:$N$5001,$B$2:$B$5001,B1836,$I$2:$I$5001,I1836),1,0))</f>
        <v/>
      </c>
      <c r="M1836" s="16" t="str">
        <f aca="false">IF(B1836="","",IF(E1836="Em ajustes",IF(N1836=_xlfn.MINIFS($N$2:$N$5001,$B$2:$B$5001,B1836,$E$2:$E$5001,"Em ajustes"),1,0),0))</f>
        <v/>
      </c>
      <c r="N1836" s="17" t="str">
        <f aca="false">IF(A1836="","",IF(ISNUMBER(A1836),A1836,IFERROR(DATE(VALUE(MID(A1836,7,4)),VALUE(MID(A1836,4,2)),VALUE(MID(A1836,1,2)))+TIME(VALUE(MID(A1836,12,2)),VALUE(MID(A1836,15,2)),VALUE(MID(A1836,18,2))),"")))</f>
        <v/>
      </c>
    </row>
    <row r="1837" customFormat="false" ht="15" hidden="false" customHeight="false" outlineLevel="0" collapsed="false">
      <c r="I1837" s="15" t="str">
        <f aca="false">IF(N1837="","",INT(N1837))</f>
        <v/>
      </c>
      <c r="J1837" s="16" t="str">
        <f aca="false">IF(B1837="","",IF(N1837=_xlfn.MINIFS($N$2:$N$5001,$B$2:$B$5001,B1837),1,0))</f>
        <v/>
      </c>
      <c r="K1837" s="16" t="str">
        <f aca="false">IF(B1837="","",IF(AND(D1837="Formalização",E1837="Concluído"),IF(COUNTIFS($B$2:$B$5001,B1837,$E$2:$E$5001,"Em ajustes",$N$2:$N$5001,"&lt;"&amp;I1837)&gt;0,1,0),0))</f>
        <v/>
      </c>
      <c r="L1837" s="16" t="str">
        <f aca="false">IF(B1837="","",IF(N1837=_xlfn.MAXIFS($N$2:$N$5001,$B$2:$B$5001,B1837,$I$2:$I$5001,I1837),1,0))</f>
        <v/>
      </c>
      <c r="M1837" s="16" t="str">
        <f aca="false">IF(B1837="","",IF(E1837="Em ajustes",IF(N1837=_xlfn.MINIFS($N$2:$N$5001,$B$2:$B$5001,B1837,$E$2:$E$5001,"Em ajustes"),1,0),0))</f>
        <v/>
      </c>
      <c r="N1837" s="17" t="str">
        <f aca="false">IF(A1837="","",IF(ISNUMBER(A1837),A1837,IFERROR(DATE(VALUE(MID(A1837,7,4)),VALUE(MID(A1837,4,2)),VALUE(MID(A1837,1,2)))+TIME(VALUE(MID(A1837,12,2)),VALUE(MID(A1837,15,2)),VALUE(MID(A1837,18,2))),"")))</f>
        <v/>
      </c>
    </row>
    <row r="1838" customFormat="false" ht="15" hidden="false" customHeight="false" outlineLevel="0" collapsed="false">
      <c r="I1838" s="15" t="str">
        <f aca="false">IF(N1838="","",INT(N1838))</f>
        <v/>
      </c>
      <c r="J1838" s="16" t="str">
        <f aca="false">IF(B1838="","",IF(N1838=_xlfn.MINIFS($N$2:$N$5001,$B$2:$B$5001,B1838),1,0))</f>
        <v/>
      </c>
      <c r="K1838" s="16" t="str">
        <f aca="false">IF(B1838="","",IF(AND(D1838="Formalização",E1838="Concluído"),IF(COUNTIFS($B$2:$B$5001,B1838,$E$2:$E$5001,"Em ajustes",$N$2:$N$5001,"&lt;"&amp;I1838)&gt;0,1,0),0))</f>
        <v/>
      </c>
      <c r="L1838" s="16" t="str">
        <f aca="false">IF(B1838="","",IF(N1838=_xlfn.MAXIFS($N$2:$N$5001,$B$2:$B$5001,B1838,$I$2:$I$5001,I1838),1,0))</f>
        <v/>
      </c>
      <c r="M1838" s="16" t="str">
        <f aca="false">IF(B1838="","",IF(E1838="Em ajustes",IF(N1838=_xlfn.MINIFS($N$2:$N$5001,$B$2:$B$5001,B1838,$E$2:$E$5001,"Em ajustes"),1,0),0))</f>
        <v/>
      </c>
      <c r="N1838" s="17" t="str">
        <f aca="false">IF(A1838="","",IF(ISNUMBER(A1838),A1838,IFERROR(DATE(VALUE(MID(A1838,7,4)),VALUE(MID(A1838,4,2)),VALUE(MID(A1838,1,2)))+TIME(VALUE(MID(A1838,12,2)),VALUE(MID(A1838,15,2)),VALUE(MID(A1838,18,2))),"")))</f>
        <v/>
      </c>
    </row>
    <row r="1839" customFormat="false" ht="15" hidden="false" customHeight="false" outlineLevel="0" collapsed="false">
      <c r="I1839" s="15" t="str">
        <f aca="false">IF(N1839="","",INT(N1839))</f>
        <v/>
      </c>
      <c r="J1839" s="16" t="str">
        <f aca="false">IF(B1839="","",IF(N1839=_xlfn.MINIFS($N$2:$N$5001,$B$2:$B$5001,B1839),1,0))</f>
        <v/>
      </c>
      <c r="K1839" s="16" t="str">
        <f aca="false">IF(B1839="","",IF(AND(D1839="Formalização",E1839="Concluído"),IF(COUNTIFS($B$2:$B$5001,B1839,$E$2:$E$5001,"Em ajustes",$N$2:$N$5001,"&lt;"&amp;I1839)&gt;0,1,0),0))</f>
        <v/>
      </c>
      <c r="L1839" s="16" t="str">
        <f aca="false">IF(B1839="","",IF(N1839=_xlfn.MAXIFS($N$2:$N$5001,$B$2:$B$5001,B1839,$I$2:$I$5001,I1839),1,0))</f>
        <v/>
      </c>
      <c r="M1839" s="16" t="str">
        <f aca="false">IF(B1839="","",IF(E1839="Em ajustes",IF(N1839=_xlfn.MINIFS($N$2:$N$5001,$B$2:$B$5001,B1839,$E$2:$E$5001,"Em ajustes"),1,0),0))</f>
        <v/>
      </c>
      <c r="N1839" s="17" t="str">
        <f aca="false">IF(A1839="","",IF(ISNUMBER(A1839),A1839,IFERROR(DATE(VALUE(MID(A1839,7,4)),VALUE(MID(A1839,4,2)),VALUE(MID(A1839,1,2)))+TIME(VALUE(MID(A1839,12,2)),VALUE(MID(A1839,15,2)),VALUE(MID(A1839,18,2))),"")))</f>
        <v/>
      </c>
    </row>
    <row r="1840" customFormat="false" ht="15" hidden="false" customHeight="false" outlineLevel="0" collapsed="false">
      <c r="I1840" s="15" t="str">
        <f aca="false">IF(N1840="","",INT(N1840))</f>
        <v/>
      </c>
      <c r="J1840" s="16" t="str">
        <f aca="false">IF(B1840="","",IF(N1840=_xlfn.MINIFS($N$2:$N$5001,$B$2:$B$5001,B1840),1,0))</f>
        <v/>
      </c>
      <c r="K1840" s="16" t="str">
        <f aca="false">IF(B1840="","",IF(AND(D1840="Formalização",E1840="Concluído"),IF(COUNTIFS($B$2:$B$5001,B1840,$E$2:$E$5001,"Em ajustes",$N$2:$N$5001,"&lt;"&amp;I1840)&gt;0,1,0),0))</f>
        <v/>
      </c>
      <c r="L1840" s="16" t="str">
        <f aca="false">IF(B1840="","",IF(N1840=_xlfn.MAXIFS($N$2:$N$5001,$B$2:$B$5001,B1840,$I$2:$I$5001,I1840),1,0))</f>
        <v/>
      </c>
      <c r="M1840" s="16" t="str">
        <f aca="false">IF(B1840="","",IF(E1840="Em ajustes",IF(N1840=_xlfn.MINIFS($N$2:$N$5001,$B$2:$B$5001,B1840,$E$2:$E$5001,"Em ajustes"),1,0),0))</f>
        <v/>
      </c>
      <c r="N1840" s="17" t="str">
        <f aca="false">IF(A1840="","",IF(ISNUMBER(A1840),A1840,IFERROR(DATE(VALUE(MID(A1840,7,4)),VALUE(MID(A1840,4,2)),VALUE(MID(A1840,1,2)))+TIME(VALUE(MID(A1840,12,2)),VALUE(MID(A1840,15,2)),VALUE(MID(A1840,18,2))),"")))</f>
        <v/>
      </c>
    </row>
    <row r="1841" customFormat="false" ht="15" hidden="false" customHeight="false" outlineLevel="0" collapsed="false">
      <c r="I1841" s="15" t="str">
        <f aca="false">IF(N1841="","",INT(N1841))</f>
        <v/>
      </c>
      <c r="J1841" s="16" t="str">
        <f aca="false">IF(B1841="","",IF(N1841=_xlfn.MINIFS($N$2:$N$5001,$B$2:$B$5001,B1841),1,0))</f>
        <v/>
      </c>
      <c r="K1841" s="16" t="str">
        <f aca="false">IF(B1841="","",IF(AND(D1841="Formalização",E1841="Concluído"),IF(COUNTIFS($B$2:$B$5001,B1841,$E$2:$E$5001,"Em ajustes",$N$2:$N$5001,"&lt;"&amp;I1841)&gt;0,1,0),0))</f>
        <v/>
      </c>
      <c r="L1841" s="16" t="str">
        <f aca="false">IF(B1841="","",IF(N1841=_xlfn.MAXIFS($N$2:$N$5001,$B$2:$B$5001,B1841,$I$2:$I$5001,I1841),1,0))</f>
        <v/>
      </c>
      <c r="M1841" s="16" t="str">
        <f aca="false">IF(B1841="","",IF(E1841="Em ajustes",IF(N1841=_xlfn.MINIFS($N$2:$N$5001,$B$2:$B$5001,B1841,$E$2:$E$5001,"Em ajustes"),1,0),0))</f>
        <v/>
      </c>
      <c r="N1841" s="17" t="str">
        <f aca="false">IF(A1841="","",IF(ISNUMBER(A1841),A1841,IFERROR(DATE(VALUE(MID(A1841,7,4)),VALUE(MID(A1841,4,2)),VALUE(MID(A1841,1,2)))+TIME(VALUE(MID(A1841,12,2)),VALUE(MID(A1841,15,2)),VALUE(MID(A1841,18,2))),"")))</f>
        <v/>
      </c>
    </row>
    <row r="1842" customFormat="false" ht="15" hidden="false" customHeight="false" outlineLevel="0" collapsed="false">
      <c r="I1842" s="15" t="str">
        <f aca="false">IF(N1842="","",INT(N1842))</f>
        <v/>
      </c>
      <c r="J1842" s="16" t="str">
        <f aca="false">IF(B1842="","",IF(N1842=_xlfn.MINIFS($N$2:$N$5001,$B$2:$B$5001,B1842),1,0))</f>
        <v/>
      </c>
      <c r="K1842" s="16" t="str">
        <f aca="false">IF(B1842="","",IF(AND(D1842="Formalização",E1842="Concluído"),IF(COUNTIFS($B$2:$B$5001,B1842,$E$2:$E$5001,"Em ajustes",$N$2:$N$5001,"&lt;"&amp;I1842)&gt;0,1,0),0))</f>
        <v/>
      </c>
      <c r="L1842" s="16" t="str">
        <f aca="false">IF(B1842="","",IF(N1842=_xlfn.MAXIFS($N$2:$N$5001,$B$2:$B$5001,B1842,$I$2:$I$5001,I1842),1,0))</f>
        <v/>
      </c>
      <c r="M1842" s="16" t="str">
        <f aca="false">IF(B1842="","",IF(E1842="Em ajustes",IF(N1842=_xlfn.MINIFS($N$2:$N$5001,$B$2:$B$5001,B1842,$E$2:$E$5001,"Em ajustes"),1,0),0))</f>
        <v/>
      </c>
      <c r="N1842" s="17" t="str">
        <f aca="false">IF(A1842="","",IF(ISNUMBER(A1842),A1842,IFERROR(DATE(VALUE(MID(A1842,7,4)),VALUE(MID(A1842,4,2)),VALUE(MID(A1842,1,2)))+TIME(VALUE(MID(A1842,12,2)),VALUE(MID(A1842,15,2)),VALUE(MID(A1842,18,2))),"")))</f>
        <v/>
      </c>
    </row>
    <row r="1843" customFormat="false" ht="15" hidden="false" customHeight="false" outlineLevel="0" collapsed="false">
      <c r="I1843" s="15" t="str">
        <f aca="false">IF(N1843="","",INT(N1843))</f>
        <v/>
      </c>
      <c r="J1843" s="16" t="str">
        <f aca="false">IF(B1843="","",IF(N1843=_xlfn.MINIFS($N$2:$N$5001,$B$2:$B$5001,B1843),1,0))</f>
        <v/>
      </c>
      <c r="K1843" s="16" t="str">
        <f aca="false">IF(B1843="","",IF(AND(D1843="Formalização",E1843="Concluído"),IF(COUNTIFS($B$2:$B$5001,B1843,$E$2:$E$5001,"Em ajustes",$N$2:$N$5001,"&lt;"&amp;I1843)&gt;0,1,0),0))</f>
        <v/>
      </c>
      <c r="L1843" s="16" t="str">
        <f aca="false">IF(B1843="","",IF(N1843=_xlfn.MAXIFS($N$2:$N$5001,$B$2:$B$5001,B1843,$I$2:$I$5001,I1843),1,0))</f>
        <v/>
      </c>
      <c r="M1843" s="16" t="str">
        <f aca="false">IF(B1843="","",IF(E1843="Em ajustes",IF(N1843=_xlfn.MINIFS($N$2:$N$5001,$B$2:$B$5001,B1843,$E$2:$E$5001,"Em ajustes"),1,0),0))</f>
        <v/>
      </c>
      <c r="N1843" s="17" t="str">
        <f aca="false">IF(A1843="","",IF(ISNUMBER(A1843),A1843,IFERROR(DATE(VALUE(MID(A1843,7,4)),VALUE(MID(A1843,4,2)),VALUE(MID(A1843,1,2)))+TIME(VALUE(MID(A1843,12,2)),VALUE(MID(A1843,15,2)),VALUE(MID(A1843,18,2))),"")))</f>
        <v/>
      </c>
    </row>
    <row r="1844" customFormat="false" ht="15" hidden="false" customHeight="false" outlineLevel="0" collapsed="false">
      <c r="I1844" s="15" t="str">
        <f aca="false">IF(N1844="","",INT(N1844))</f>
        <v/>
      </c>
      <c r="J1844" s="16" t="str">
        <f aca="false">IF(B1844="","",IF(N1844=_xlfn.MINIFS($N$2:$N$5001,$B$2:$B$5001,B1844),1,0))</f>
        <v/>
      </c>
      <c r="K1844" s="16" t="str">
        <f aca="false">IF(B1844="","",IF(AND(D1844="Formalização",E1844="Concluído"),IF(COUNTIFS($B$2:$B$5001,B1844,$E$2:$E$5001,"Em ajustes",$N$2:$N$5001,"&lt;"&amp;I1844)&gt;0,1,0),0))</f>
        <v/>
      </c>
      <c r="L1844" s="16" t="str">
        <f aca="false">IF(B1844="","",IF(N1844=_xlfn.MAXIFS($N$2:$N$5001,$B$2:$B$5001,B1844,$I$2:$I$5001,I1844),1,0))</f>
        <v/>
      </c>
      <c r="M1844" s="16" t="str">
        <f aca="false">IF(B1844="","",IF(E1844="Em ajustes",IF(N1844=_xlfn.MINIFS($N$2:$N$5001,$B$2:$B$5001,B1844,$E$2:$E$5001,"Em ajustes"),1,0),0))</f>
        <v/>
      </c>
      <c r="N1844" s="17" t="str">
        <f aca="false">IF(A1844="","",IF(ISNUMBER(A1844),A1844,IFERROR(DATE(VALUE(MID(A1844,7,4)),VALUE(MID(A1844,4,2)),VALUE(MID(A1844,1,2)))+TIME(VALUE(MID(A1844,12,2)),VALUE(MID(A1844,15,2)),VALUE(MID(A1844,18,2))),"")))</f>
        <v/>
      </c>
    </row>
    <row r="1845" customFormat="false" ht="15" hidden="false" customHeight="false" outlineLevel="0" collapsed="false">
      <c r="I1845" s="15" t="str">
        <f aca="false">IF(N1845="","",INT(N1845))</f>
        <v/>
      </c>
      <c r="J1845" s="16" t="str">
        <f aca="false">IF(B1845="","",IF(N1845=_xlfn.MINIFS($N$2:$N$5001,$B$2:$B$5001,B1845),1,0))</f>
        <v/>
      </c>
      <c r="K1845" s="16" t="str">
        <f aca="false">IF(B1845="","",IF(AND(D1845="Formalização",E1845="Concluído"),IF(COUNTIFS($B$2:$B$5001,B1845,$E$2:$E$5001,"Em ajustes",$N$2:$N$5001,"&lt;"&amp;I1845)&gt;0,1,0),0))</f>
        <v/>
      </c>
      <c r="L1845" s="16" t="str">
        <f aca="false">IF(B1845="","",IF(N1845=_xlfn.MAXIFS($N$2:$N$5001,$B$2:$B$5001,B1845,$I$2:$I$5001,I1845),1,0))</f>
        <v/>
      </c>
      <c r="M1845" s="16" t="str">
        <f aca="false">IF(B1845="","",IF(E1845="Em ajustes",IF(N1845=_xlfn.MINIFS($N$2:$N$5001,$B$2:$B$5001,B1845,$E$2:$E$5001,"Em ajustes"),1,0),0))</f>
        <v/>
      </c>
      <c r="N1845" s="17" t="str">
        <f aca="false">IF(A1845="","",IF(ISNUMBER(A1845),A1845,IFERROR(DATE(VALUE(MID(A1845,7,4)),VALUE(MID(A1845,4,2)),VALUE(MID(A1845,1,2)))+TIME(VALUE(MID(A1845,12,2)),VALUE(MID(A1845,15,2)),VALUE(MID(A1845,18,2))),"")))</f>
        <v/>
      </c>
    </row>
    <row r="1846" customFormat="false" ht="15" hidden="false" customHeight="false" outlineLevel="0" collapsed="false">
      <c r="I1846" s="15" t="str">
        <f aca="false">IF(N1846="","",INT(N1846))</f>
        <v/>
      </c>
      <c r="J1846" s="16" t="str">
        <f aca="false">IF(B1846="","",IF(N1846=_xlfn.MINIFS($N$2:$N$5001,$B$2:$B$5001,B1846),1,0))</f>
        <v/>
      </c>
      <c r="K1846" s="16" t="str">
        <f aca="false">IF(B1846="","",IF(AND(D1846="Formalização",E1846="Concluído"),IF(COUNTIFS($B$2:$B$5001,B1846,$E$2:$E$5001,"Em ajustes",$N$2:$N$5001,"&lt;"&amp;I1846)&gt;0,1,0),0))</f>
        <v/>
      </c>
      <c r="L1846" s="16" t="str">
        <f aca="false">IF(B1846="","",IF(N1846=_xlfn.MAXIFS($N$2:$N$5001,$B$2:$B$5001,B1846,$I$2:$I$5001,I1846),1,0))</f>
        <v/>
      </c>
      <c r="M1846" s="16" t="str">
        <f aca="false">IF(B1846="","",IF(E1846="Em ajustes",IF(N1846=_xlfn.MINIFS($N$2:$N$5001,$B$2:$B$5001,B1846,$E$2:$E$5001,"Em ajustes"),1,0),0))</f>
        <v/>
      </c>
      <c r="N1846" s="17" t="str">
        <f aca="false">IF(A1846="","",IF(ISNUMBER(A1846),A1846,IFERROR(DATE(VALUE(MID(A1846,7,4)),VALUE(MID(A1846,4,2)),VALUE(MID(A1846,1,2)))+TIME(VALUE(MID(A1846,12,2)),VALUE(MID(A1846,15,2)),VALUE(MID(A1846,18,2))),"")))</f>
        <v/>
      </c>
    </row>
    <row r="1847" customFormat="false" ht="15" hidden="false" customHeight="false" outlineLevel="0" collapsed="false">
      <c r="I1847" s="15" t="str">
        <f aca="false">IF(N1847="","",INT(N1847))</f>
        <v/>
      </c>
      <c r="J1847" s="16" t="str">
        <f aca="false">IF(B1847="","",IF(N1847=_xlfn.MINIFS($N$2:$N$5001,$B$2:$B$5001,B1847),1,0))</f>
        <v/>
      </c>
      <c r="K1847" s="16" t="str">
        <f aca="false">IF(B1847="","",IF(AND(D1847="Formalização",E1847="Concluído"),IF(COUNTIFS($B$2:$B$5001,B1847,$E$2:$E$5001,"Em ajustes",$N$2:$N$5001,"&lt;"&amp;I1847)&gt;0,1,0),0))</f>
        <v/>
      </c>
      <c r="L1847" s="16" t="str">
        <f aca="false">IF(B1847="","",IF(N1847=_xlfn.MAXIFS($N$2:$N$5001,$B$2:$B$5001,B1847,$I$2:$I$5001,I1847),1,0))</f>
        <v/>
      </c>
      <c r="M1847" s="16" t="str">
        <f aca="false">IF(B1847="","",IF(E1847="Em ajustes",IF(N1847=_xlfn.MINIFS($N$2:$N$5001,$B$2:$B$5001,B1847,$E$2:$E$5001,"Em ajustes"),1,0),0))</f>
        <v/>
      </c>
      <c r="N1847" s="17" t="str">
        <f aca="false">IF(A1847="","",IF(ISNUMBER(A1847),A1847,IFERROR(DATE(VALUE(MID(A1847,7,4)),VALUE(MID(A1847,4,2)),VALUE(MID(A1847,1,2)))+TIME(VALUE(MID(A1847,12,2)),VALUE(MID(A1847,15,2)),VALUE(MID(A1847,18,2))),"")))</f>
        <v/>
      </c>
    </row>
    <row r="1848" customFormat="false" ht="15" hidden="false" customHeight="false" outlineLevel="0" collapsed="false">
      <c r="I1848" s="15" t="str">
        <f aca="false">IF(N1848="","",INT(N1848))</f>
        <v/>
      </c>
      <c r="J1848" s="16" t="str">
        <f aca="false">IF(B1848="","",IF(N1848=_xlfn.MINIFS($N$2:$N$5001,$B$2:$B$5001,B1848),1,0))</f>
        <v/>
      </c>
      <c r="K1848" s="16" t="str">
        <f aca="false">IF(B1848="","",IF(AND(D1848="Formalização",E1848="Concluído"),IF(COUNTIFS($B$2:$B$5001,B1848,$E$2:$E$5001,"Em ajustes",$N$2:$N$5001,"&lt;"&amp;I1848)&gt;0,1,0),0))</f>
        <v/>
      </c>
      <c r="L1848" s="16" t="str">
        <f aca="false">IF(B1848="","",IF(N1848=_xlfn.MAXIFS($N$2:$N$5001,$B$2:$B$5001,B1848,$I$2:$I$5001,I1848),1,0))</f>
        <v/>
      </c>
      <c r="M1848" s="16" t="str">
        <f aca="false">IF(B1848="","",IF(E1848="Em ajustes",IF(N1848=_xlfn.MINIFS($N$2:$N$5001,$B$2:$B$5001,B1848,$E$2:$E$5001,"Em ajustes"),1,0),0))</f>
        <v/>
      </c>
      <c r="N1848" s="17" t="str">
        <f aca="false">IF(A1848="","",IF(ISNUMBER(A1848),A1848,IFERROR(DATE(VALUE(MID(A1848,7,4)),VALUE(MID(A1848,4,2)),VALUE(MID(A1848,1,2)))+TIME(VALUE(MID(A1848,12,2)),VALUE(MID(A1848,15,2)),VALUE(MID(A1848,18,2))),"")))</f>
        <v/>
      </c>
    </row>
    <row r="1849" customFormat="false" ht="15" hidden="false" customHeight="false" outlineLevel="0" collapsed="false">
      <c r="I1849" s="15" t="str">
        <f aca="false">IF(N1849="","",INT(N1849))</f>
        <v/>
      </c>
      <c r="J1849" s="16" t="str">
        <f aca="false">IF(B1849="","",IF(N1849=_xlfn.MINIFS($N$2:$N$5001,$B$2:$B$5001,B1849),1,0))</f>
        <v/>
      </c>
      <c r="K1849" s="16" t="str">
        <f aca="false">IF(B1849="","",IF(AND(D1849="Formalização",E1849="Concluído"),IF(COUNTIFS($B$2:$B$5001,B1849,$E$2:$E$5001,"Em ajustes",$N$2:$N$5001,"&lt;"&amp;I1849)&gt;0,1,0),0))</f>
        <v/>
      </c>
      <c r="L1849" s="16" t="str">
        <f aca="false">IF(B1849="","",IF(N1849=_xlfn.MAXIFS($N$2:$N$5001,$B$2:$B$5001,B1849,$I$2:$I$5001,I1849),1,0))</f>
        <v/>
      </c>
      <c r="M1849" s="16" t="str">
        <f aca="false">IF(B1849="","",IF(E1849="Em ajustes",IF(N1849=_xlfn.MINIFS($N$2:$N$5001,$B$2:$B$5001,B1849,$E$2:$E$5001,"Em ajustes"),1,0),0))</f>
        <v/>
      </c>
      <c r="N1849" s="17" t="str">
        <f aca="false">IF(A1849="","",IF(ISNUMBER(A1849),A1849,IFERROR(DATE(VALUE(MID(A1849,7,4)),VALUE(MID(A1849,4,2)),VALUE(MID(A1849,1,2)))+TIME(VALUE(MID(A1849,12,2)),VALUE(MID(A1849,15,2)),VALUE(MID(A1849,18,2))),"")))</f>
        <v/>
      </c>
    </row>
    <row r="1850" customFormat="false" ht="15" hidden="false" customHeight="false" outlineLevel="0" collapsed="false">
      <c r="I1850" s="15" t="str">
        <f aca="false">IF(N1850="","",INT(N1850))</f>
        <v/>
      </c>
      <c r="J1850" s="16" t="str">
        <f aca="false">IF(B1850="","",IF(N1850=_xlfn.MINIFS($N$2:$N$5001,$B$2:$B$5001,B1850),1,0))</f>
        <v/>
      </c>
      <c r="K1850" s="16" t="str">
        <f aca="false">IF(B1850="","",IF(AND(D1850="Formalização",E1850="Concluído"),IF(COUNTIFS($B$2:$B$5001,B1850,$E$2:$E$5001,"Em ajustes",$N$2:$N$5001,"&lt;"&amp;I1850)&gt;0,1,0),0))</f>
        <v/>
      </c>
      <c r="L1850" s="16" t="str">
        <f aca="false">IF(B1850="","",IF(N1850=_xlfn.MAXIFS($N$2:$N$5001,$B$2:$B$5001,B1850,$I$2:$I$5001,I1850),1,0))</f>
        <v/>
      </c>
      <c r="M1850" s="16" t="str">
        <f aca="false">IF(B1850="","",IF(E1850="Em ajustes",IF(N1850=_xlfn.MINIFS($N$2:$N$5001,$B$2:$B$5001,B1850,$E$2:$E$5001,"Em ajustes"),1,0),0))</f>
        <v/>
      </c>
      <c r="N1850" s="17" t="str">
        <f aca="false">IF(A1850="","",IF(ISNUMBER(A1850),A1850,IFERROR(DATE(VALUE(MID(A1850,7,4)),VALUE(MID(A1850,4,2)),VALUE(MID(A1850,1,2)))+TIME(VALUE(MID(A1850,12,2)),VALUE(MID(A1850,15,2)),VALUE(MID(A1850,18,2))),"")))</f>
        <v/>
      </c>
    </row>
    <row r="1851" customFormat="false" ht="15" hidden="false" customHeight="false" outlineLevel="0" collapsed="false">
      <c r="I1851" s="15" t="str">
        <f aca="false">IF(N1851="","",INT(N1851))</f>
        <v/>
      </c>
      <c r="J1851" s="16" t="str">
        <f aca="false">IF(B1851="","",IF(N1851=_xlfn.MINIFS($N$2:$N$5001,$B$2:$B$5001,B1851),1,0))</f>
        <v/>
      </c>
      <c r="K1851" s="16" t="str">
        <f aca="false">IF(B1851="","",IF(AND(D1851="Formalização",E1851="Concluído"),IF(COUNTIFS($B$2:$B$5001,B1851,$E$2:$E$5001,"Em ajustes",$N$2:$N$5001,"&lt;"&amp;I1851)&gt;0,1,0),0))</f>
        <v/>
      </c>
      <c r="L1851" s="16" t="str">
        <f aca="false">IF(B1851="","",IF(N1851=_xlfn.MAXIFS($N$2:$N$5001,$B$2:$B$5001,B1851,$I$2:$I$5001,I1851),1,0))</f>
        <v/>
      </c>
      <c r="M1851" s="16" t="str">
        <f aca="false">IF(B1851="","",IF(E1851="Em ajustes",IF(N1851=_xlfn.MINIFS($N$2:$N$5001,$B$2:$B$5001,B1851,$E$2:$E$5001,"Em ajustes"),1,0),0))</f>
        <v/>
      </c>
      <c r="N1851" s="17" t="str">
        <f aca="false">IF(A1851="","",IF(ISNUMBER(A1851),A1851,IFERROR(DATE(VALUE(MID(A1851,7,4)),VALUE(MID(A1851,4,2)),VALUE(MID(A1851,1,2)))+TIME(VALUE(MID(A1851,12,2)),VALUE(MID(A1851,15,2)),VALUE(MID(A1851,18,2))),"")))</f>
        <v/>
      </c>
    </row>
    <row r="1852" customFormat="false" ht="15" hidden="false" customHeight="false" outlineLevel="0" collapsed="false">
      <c r="I1852" s="15" t="str">
        <f aca="false">IF(N1852="","",INT(N1852))</f>
        <v/>
      </c>
      <c r="J1852" s="16" t="str">
        <f aca="false">IF(B1852="","",IF(N1852=_xlfn.MINIFS($N$2:$N$5001,$B$2:$B$5001,B1852),1,0))</f>
        <v/>
      </c>
      <c r="K1852" s="16" t="str">
        <f aca="false">IF(B1852="","",IF(AND(D1852="Formalização",E1852="Concluído"),IF(COUNTIFS($B$2:$B$5001,B1852,$E$2:$E$5001,"Em ajustes",$N$2:$N$5001,"&lt;"&amp;I1852)&gt;0,1,0),0))</f>
        <v/>
      </c>
      <c r="L1852" s="16" t="str">
        <f aca="false">IF(B1852="","",IF(N1852=_xlfn.MAXIFS($N$2:$N$5001,$B$2:$B$5001,B1852,$I$2:$I$5001,I1852),1,0))</f>
        <v/>
      </c>
      <c r="M1852" s="16" t="str">
        <f aca="false">IF(B1852="","",IF(E1852="Em ajustes",IF(N1852=_xlfn.MINIFS($N$2:$N$5001,$B$2:$B$5001,B1852,$E$2:$E$5001,"Em ajustes"),1,0),0))</f>
        <v/>
      </c>
      <c r="N1852" s="17" t="str">
        <f aca="false">IF(A1852="","",IF(ISNUMBER(A1852),A1852,IFERROR(DATE(VALUE(MID(A1852,7,4)),VALUE(MID(A1852,4,2)),VALUE(MID(A1852,1,2)))+TIME(VALUE(MID(A1852,12,2)),VALUE(MID(A1852,15,2)),VALUE(MID(A1852,18,2))),"")))</f>
        <v/>
      </c>
    </row>
    <row r="1853" customFormat="false" ht="15" hidden="false" customHeight="false" outlineLevel="0" collapsed="false">
      <c r="I1853" s="15" t="str">
        <f aca="false">IF(N1853="","",INT(N1853))</f>
        <v/>
      </c>
      <c r="J1853" s="16" t="str">
        <f aca="false">IF(B1853="","",IF(N1853=_xlfn.MINIFS($N$2:$N$5001,$B$2:$B$5001,B1853),1,0))</f>
        <v/>
      </c>
      <c r="K1853" s="16" t="str">
        <f aca="false">IF(B1853="","",IF(AND(D1853="Formalização",E1853="Concluído"),IF(COUNTIFS($B$2:$B$5001,B1853,$E$2:$E$5001,"Em ajustes",$N$2:$N$5001,"&lt;"&amp;I1853)&gt;0,1,0),0))</f>
        <v/>
      </c>
      <c r="L1853" s="16" t="str">
        <f aca="false">IF(B1853="","",IF(N1853=_xlfn.MAXIFS($N$2:$N$5001,$B$2:$B$5001,B1853,$I$2:$I$5001,I1853),1,0))</f>
        <v/>
      </c>
      <c r="M1853" s="16" t="str">
        <f aca="false">IF(B1853="","",IF(E1853="Em ajustes",IF(N1853=_xlfn.MINIFS($N$2:$N$5001,$B$2:$B$5001,B1853,$E$2:$E$5001,"Em ajustes"),1,0),0))</f>
        <v/>
      </c>
      <c r="N1853" s="17" t="str">
        <f aca="false">IF(A1853="","",IF(ISNUMBER(A1853),A1853,IFERROR(DATE(VALUE(MID(A1853,7,4)),VALUE(MID(A1853,4,2)),VALUE(MID(A1853,1,2)))+TIME(VALUE(MID(A1853,12,2)),VALUE(MID(A1853,15,2)),VALUE(MID(A1853,18,2))),"")))</f>
        <v/>
      </c>
    </row>
    <row r="1854" customFormat="false" ht="15" hidden="false" customHeight="false" outlineLevel="0" collapsed="false">
      <c r="I1854" s="15" t="str">
        <f aca="false">IF(N1854="","",INT(N1854))</f>
        <v/>
      </c>
      <c r="J1854" s="16" t="str">
        <f aca="false">IF(B1854="","",IF(N1854=_xlfn.MINIFS($N$2:$N$5001,$B$2:$B$5001,B1854),1,0))</f>
        <v/>
      </c>
      <c r="K1854" s="16" t="str">
        <f aca="false">IF(B1854="","",IF(AND(D1854="Formalização",E1854="Concluído"),IF(COUNTIFS($B$2:$B$5001,B1854,$E$2:$E$5001,"Em ajustes",$N$2:$N$5001,"&lt;"&amp;I1854)&gt;0,1,0),0))</f>
        <v/>
      </c>
      <c r="L1854" s="16" t="str">
        <f aca="false">IF(B1854="","",IF(N1854=_xlfn.MAXIFS($N$2:$N$5001,$B$2:$B$5001,B1854,$I$2:$I$5001,I1854),1,0))</f>
        <v/>
      </c>
      <c r="M1854" s="16" t="str">
        <f aca="false">IF(B1854="","",IF(E1854="Em ajustes",IF(N1854=_xlfn.MINIFS($N$2:$N$5001,$B$2:$B$5001,B1854,$E$2:$E$5001,"Em ajustes"),1,0),0))</f>
        <v/>
      </c>
      <c r="N1854" s="17" t="str">
        <f aca="false">IF(A1854="","",IF(ISNUMBER(A1854),A1854,IFERROR(DATE(VALUE(MID(A1854,7,4)),VALUE(MID(A1854,4,2)),VALUE(MID(A1854,1,2)))+TIME(VALUE(MID(A1854,12,2)),VALUE(MID(A1854,15,2)),VALUE(MID(A1854,18,2))),"")))</f>
        <v/>
      </c>
    </row>
    <row r="1855" customFormat="false" ht="15" hidden="false" customHeight="false" outlineLevel="0" collapsed="false">
      <c r="I1855" s="15" t="str">
        <f aca="false">IF(N1855="","",INT(N1855))</f>
        <v/>
      </c>
      <c r="J1855" s="16" t="str">
        <f aca="false">IF(B1855="","",IF(N1855=_xlfn.MINIFS($N$2:$N$5001,$B$2:$B$5001,B1855),1,0))</f>
        <v/>
      </c>
      <c r="K1855" s="16" t="str">
        <f aca="false">IF(B1855="","",IF(AND(D1855="Formalização",E1855="Concluído"),IF(COUNTIFS($B$2:$B$5001,B1855,$E$2:$E$5001,"Em ajustes",$N$2:$N$5001,"&lt;"&amp;I1855)&gt;0,1,0),0))</f>
        <v/>
      </c>
      <c r="L1855" s="16" t="str">
        <f aca="false">IF(B1855="","",IF(N1855=_xlfn.MAXIFS($N$2:$N$5001,$B$2:$B$5001,B1855,$I$2:$I$5001,I1855),1,0))</f>
        <v/>
      </c>
      <c r="M1855" s="16" t="str">
        <f aca="false">IF(B1855="","",IF(E1855="Em ajustes",IF(N1855=_xlfn.MINIFS($N$2:$N$5001,$B$2:$B$5001,B1855,$E$2:$E$5001,"Em ajustes"),1,0),0))</f>
        <v/>
      </c>
      <c r="N1855" s="17" t="str">
        <f aca="false">IF(A1855="","",IF(ISNUMBER(A1855),A1855,IFERROR(DATE(VALUE(MID(A1855,7,4)),VALUE(MID(A1855,4,2)),VALUE(MID(A1855,1,2)))+TIME(VALUE(MID(A1855,12,2)),VALUE(MID(A1855,15,2)),VALUE(MID(A1855,18,2))),"")))</f>
        <v/>
      </c>
    </row>
    <row r="1856" customFormat="false" ht="15" hidden="false" customHeight="false" outlineLevel="0" collapsed="false">
      <c r="I1856" s="15" t="str">
        <f aca="false">IF(N1856="","",INT(N1856))</f>
        <v/>
      </c>
      <c r="J1856" s="16" t="str">
        <f aca="false">IF(B1856="","",IF(N1856=_xlfn.MINIFS($N$2:$N$5001,$B$2:$B$5001,B1856),1,0))</f>
        <v/>
      </c>
      <c r="K1856" s="16" t="str">
        <f aca="false">IF(B1856="","",IF(AND(D1856="Formalização",E1856="Concluído"),IF(COUNTIFS($B$2:$B$5001,B1856,$E$2:$E$5001,"Em ajustes",$N$2:$N$5001,"&lt;"&amp;I1856)&gt;0,1,0),0))</f>
        <v/>
      </c>
      <c r="L1856" s="16" t="str">
        <f aca="false">IF(B1856="","",IF(N1856=_xlfn.MAXIFS($N$2:$N$5001,$B$2:$B$5001,B1856,$I$2:$I$5001,I1856),1,0))</f>
        <v/>
      </c>
      <c r="M1856" s="16" t="str">
        <f aca="false">IF(B1856="","",IF(E1856="Em ajustes",IF(N1856=_xlfn.MINIFS($N$2:$N$5001,$B$2:$B$5001,B1856,$E$2:$E$5001,"Em ajustes"),1,0),0))</f>
        <v/>
      </c>
      <c r="N1856" s="17" t="str">
        <f aca="false">IF(A1856="","",IF(ISNUMBER(A1856),A1856,IFERROR(DATE(VALUE(MID(A1856,7,4)),VALUE(MID(A1856,4,2)),VALUE(MID(A1856,1,2)))+TIME(VALUE(MID(A1856,12,2)),VALUE(MID(A1856,15,2)),VALUE(MID(A1856,18,2))),"")))</f>
        <v/>
      </c>
    </row>
    <row r="1857" customFormat="false" ht="15" hidden="false" customHeight="false" outlineLevel="0" collapsed="false">
      <c r="I1857" s="15" t="str">
        <f aca="false">IF(N1857="","",INT(N1857))</f>
        <v/>
      </c>
      <c r="J1857" s="16" t="str">
        <f aca="false">IF(B1857="","",IF(N1857=_xlfn.MINIFS($N$2:$N$5001,$B$2:$B$5001,B1857),1,0))</f>
        <v/>
      </c>
      <c r="K1857" s="16" t="str">
        <f aca="false">IF(B1857="","",IF(AND(D1857="Formalização",E1857="Concluído"),IF(COUNTIFS($B$2:$B$5001,B1857,$E$2:$E$5001,"Em ajustes",$N$2:$N$5001,"&lt;"&amp;I1857)&gt;0,1,0),0))</f>
        <v/>
      </c>
      <c r="L1857" s="16" t="str">
        <f aca="false">IF(B1857="","",IF(N1857=_xlfn.MAXIFS($N$2:$N$5001,$B$2:$B$5001,B1857,$I$2:$I$5001,I1857),1,0))</f>
        <v/>
      </c>
      <c r="M1857" s="16" t="str">
        <f aca="false">IF(B1857="","",IF(E1857="Em ajustes",IF(N1857=_xlfn.MINIFS($N$2:$N$5001,$B$2:$B$5001,B1857,$E$2:$E$5001,"Em ajustes"),1,0),0))</f>
        <v/>
      </c>
      <c r="N1857" s="17" t="str">
        <f aca="false">IF(A1857="","",IF(ISNUMBER(A1857),A1857,IFERROR(DATE(VALUE(MID(A1857,7,4)),VALUE(MID(A1857,4,2)),VALUE(MID(A1857,1,2)))+TIME(VALUE(MID(A1857,12,2)),VALUE(MID(A1857,15,2)),VALUE(MID(A1857,18,2))),"")))</f>
        <v/>
      </c>
    </row>
    <row r="1858" customFormat="false" ht="15" hidden="false" customHeight="false" outlineLevel="0" collapsed="false">
      <c r="I1858" s="15" t="str">
        <f aca="false">IF(N1858="","",INT(N1858))</f>
        <v/>
      </c>
      <c r="J1858" s="16" t="str">
        <f aca="false">IF(B1858="","",IF(N1858=_xlfn.MINIFS($N$2:$N$5001,$B$2:$B$5001,B1858),1,0))</f>
        <v/>
      </c>
      <c r="K1858" s="16" t="str">
        <f aca="false">IF(B1858="","",IF(AND(D1858="Formalização",E1858="Concluído"),IF(COUNTIFS($B$2:$B$5001,B1858,$E$2:$E$5001,"Em ajustes",$N$2:$N$5001,"&lt;"&amp;I1858)&gt;0,1,0),0))</f>
        <v/>
      </c>
      <c r="L1858" s="16" t="str">
        <f aca="false">IF(B1858="","",IF(N1858=_xlfn.MAXIFS($N$2:$N$5001,$B$2:$B$5001,B1858,$I$2:$I$5001,I1858),1,0))</f>
        <v/>
      </c>
      <c r="M1858" s="16" t="str">
        <f aca="false">IF(B1858="","",IF(E1858="Em ajustes",IF(N1858=_xlfn.MINIFS($N$2:$N$5001,$B$2:$B$5001,B1858,$E$2:$E$5001,"Em ajustes"),1,0),0))</f>
        <v/>
      </c>
      <c r="N1858" s="17" t="str">
        <f aca="false">IF(A1858="","",IF(ISNUMBER(A1858),A1858,IFERROR(DATE(VALUE(MID(A1858,7,4)),VALUE(MID(A1858,4,2)),VALUE(MID(A1858,1,2)))+TIME(VALUE(MID(A1858,12,2)),VALUE(MID(A1858,15,2)),VALUE(MID(A1858,18,2))),"")))</f>
        <v/>
      </c>
    </row>
    <row r="1859" customFormat="false" ht="15" hidden="false" customHeight="false" outlineLevel="0" collapsed="false">
      <c r="I1859" s="15" t="str">
        <f aca="false">IF(N1859="","",INT(N1859))</f>
        <v/>
      </c>
      <c r="J1859" s="16" t="str">
        <f aca="false">IF(B1859="","",IF(N1859=_xlfn.MINIFS($N$2:$N$5001,$B$2:$B$5001,B1859),1,0))</f>
        <v/>
      </c>
      <c r="K1859" s="16" t="str">
        <f aca="false">IF(B1859="","",IF(AND(D1859="Formalização",E1859="Concluído"),IF(COUNTIFS($B$2:$B$5001,B1859,$E$2:$E$5001,"Em ajustes",$N$2:$N$5001,"&lt;"&amp;I1859)&gt;0,1,0),0))</f>
        <v/>
      </c>
      <c r="L1859" s="16" t="str">
        <f aca="false">IF(B1859="","",IF(N1859=_xlfn.MAXIFS($N$2:$N$5001,$B$2:$B$5001,B1859,$I$2:$I$5001,I1859),1,0))</f>
        <v/>
      </c>
      <c r="M1859" s="16" t="str">
        <f aca="false">IF(B1859="","",IF(E1859="Em ajustes",IF(N1859=_xlfn.MINIFS($N$2:$N$5001,$B$2:$B$5001,B1859,$E$2:$E$5001,"Em ajustes"),1,0),0))</f>
        <v/>
      </c>
      <c r="N1859" s="17" t="str">
        <f aca="false">IF(A1859="","",IF(ISNUMBER(A1859),A1859,IFERROR(DATE(VALUE(MID(A1859,7,4)),VALUE(MID(A1859,4,2)),VALUE(MID(A1859,1,2)))+TIME(VALUE(MID(A1859,12,2)),VALUE(MID(A1859,15,2)),VALUE(MID(A1859,18,2))),"")))</f>
        <v/>
      </c>
    </row>
    <row r="1860" customFormat="false" ht="15" hidden="false" customHeight="false" outlineLevel="0" collapsed="false">
      <c r="I1860" s="15" t="str">
        <f aca="false">IF(N1860="","",INT(N1860))</f>
        <v/>
      </c>
      <c r="J1860" s="16" t="str">
        <f aca="false">IF(B1860="","",IF(N1860=_xlfn.MINIFS($N$2:$N$5001,$B$2:$B$5001,B1860),1,0))</f>
        <v/>
      </c>
      <c r="K1860" s="16" t="str">
        <f aca="false">IF(B1860="","",IF(AND(D1860="Formalização",E1860="Concluído"),IF(COUNTIFS($B$2:$B$5001,B1860,$E$2:$E$5001,"Em ajustes",$N$2:$N$5001,"&lt;"&amp;I1860)&gt;0,1,0),0))</f>
        <v/>
      </c>
      <c r="L1860" s="16" t="str">
        <f aca="false">IF(B1860="","",IF(N1860=_xlfn.MAXIFS($N$2:$N$5001,$B$2:$B$5001,B1860,$I$2:$I$5001,I1860),1,0))</f>
        <v/>
      </c>
      <c r="M1860" s="16" t="str">
        <f aca="false">IF(B1860="","",IF(E1860="Em ajustes",IF(N1860=_xlfn.MINIFS($N$2:$N$5001,$B$2:$B$5001,B1860,$E$2:$E$5001,"Em ajustes"),1,0),0))</f>
        <v/>
      </c>
      <c r="N1860" s="17" t="str">
        <f aca="false">IF(A1860="","",IF(ISNUMBER(A1860),A1860,IFERROR(DATE(VALUE(MID(A1860,7,4)),VALUE(MID(A1860,4,2)),VALUE(MID(A1860,1,2)))+TIME(VALUE(MID(A1860,12,2)),VALUE(MID(A1860,15,2)),VALUE(MID(A1860,18,2))),"")))</f>
        <v/>
      </c>
    </row>
    <row r="1861" customFormat="false" ht="15" hidden="false" customHeight="false" outlineLevel="0" collapsed="false">
      <c r="I1861" s="15" t="str">
        <f aca="false">IF(N1861="","",INT(N1861))</f>
        <v/>
      </c>
      <c r="J1861" s="16" t="str">
        <f aca="false">IF(B1861="","",IF(N1861=_xlfn.MINIFS($N$2:$N$5001,$B$2:$B$5001,B1861),1,0))</f>
        <v/>
      </c>
      <c r="K1861" s="16" t="str">
        <f aca="false">IF(B1861="","",IF(AND(D1861="Formalização",E1861="Concluído"),IF(COUNTIFS($B$2:$B$5001,B1861,$E$2:$E$5001,"Em ajustes",$N$2:$N$5001,"&lt;"&amp;I1861)&gt;0,1,0),0))</f>
        <v/>
      </c>
      <c r="L1861" s="16" t="str">
        <f aca="false">IF(B1861="","",IF(N1861=_xlfn.MAXIFS($N$2:$N$5001,$B$2:$B$5001,B1861,$I$2:$I$5001,I1861),1,0))</f>
        <v/>
      </c>
      <c r="M1861" s="16" t="str">
        <f aca="false">IF(B1861="","",IF(E1861="Em ajustes",IF(N1861=_xlfn.MINIFS($N$2:$N$5001,$B$2:$B$5001,B1861,$E$2:$E$5001,"Em ajustes"),1,0),0))</f>
        <v/>
      </c>
      <c r="N1861" s="17" t="str">
        <f aca="false">IF(A1861="","",IF(ISNUMBER(A1861),A1861,IFERROR(DATE(VALUE(MID(A1861,7,4)),VALUE(MID(A1861,4,2)),VALUE(MID(A1861,1,2)))+TIME(VALUE(MID(A1861,12,2)),VALUE(MID(A1861,15,2)),VALUE(MID(A1861,18,2))),"")))</f>
        <v/>
      </c>
    </row>
    <row r="1862" customFormat="false" ht="15" hidden="false" customHeight="false" outlineLevel="0" collapsed="false">
      <c r="I1862" s="15" t="str">
        <f aca="false">IF(N1862="","",INT(N1862))</f>
        <v/>
      </c>
      <c r="J1862" s="16" t="str">
        <f aca="false">IF(B1862="","",IF(N1862=_xlfn.MINIFS($N$2:$N$5001,$B$2:$B$5001,B1862),1,0))</f>
        <v/>
      </c>
      <c r="K1862" s="16" t="str">
        <f aca="false">IF(B1862="","",IF(AND(D1862="Formalização",E1862="Concluído"),IF(COUNTIFS($B$2:$B$5001,B1862,$E$2:$E$5001,"Em ajustes",$N$2:$N$5001,"&lt;"&amp;I1862)&gt;0,1,0),0))</f>
        <v/>
      </c>
      <c r="L1862" s="16" t="str">
        <f aca="false">IF(B1862="","",IF(N1862=_xlfn.MAXIFS($N$2:$N$5001,$B$2:$B$5001,B1862,$I$2:$I$5001,I1862),1,0))</f>
        <v/>
      </c>
      <c r="M1862" s="16" t="str">
        <f aca="false">IF(B1862="","",IF(E1862="Em ajustes",IF(N1862=_xlfn.MINIFS($N$2:$N$5001,$B$2:$B$5001,B1862,$E$2:$E$5001,"Em ajustes"),1,0),0))</f>
        <v/>
      </c>
      <c r="N1862" s="17" t="str">
        <f aca="false">IF(A1862="","",IF(ISNUMBER(A1862),A1862,IFERROR(DATE(VALUE(MID(A1862,7,4)),VALUE(MID(A1862,4,2)),VALUE(MID(A1862,1,2)))+TIME(VALUE(MID(A1862,12,2)),VALUE(MID(A1862,15,2)),VALUE(MID(A1862,18,2))),"")))</f>
        <v/>
      </c>
    </row>
    <row r="1863" customFormat="false" ht="15" hidden="false" customHeight="false" outlineLevel="0" collapsed="false">
      <c r="I1863" s="15" t="str">
        <f aca="false">IF(N1863="","",INT(N1863))</f>
        <v/>
      </c>
      <c r="J1863" s="16" t="str">
        <f aca="false">IF(B1863="","",IF(N1863=_xlfn.MINIFS($N$2:$N$5001,$B$2:$B$5001,B1863),1,0))</f>
        <v/>
      </c>
      <c r="K1863" s="16" t="str">
        <f aca="false">IF(B1863="","",IF(AND(D1863="Formalização",E1863="Concluído"),IF(COUNTIFS($B$2:$B$5001,B1863,$E$2:$E$5001,"Em ajustes",$N$2:$N$5001,"&lt;"&amp;I1863)&gt;0,1,0),0))</f>
        <v/>
      </c>
      <c r="L1863" s="16" t="str">
        <f aca="false">IF(B1863="","",IF(N1863=_xlfn.MAXIFS($N$2:$N$5001,$B$2:$B$5001,B1863,$I$2:$I$5001,I1863),1,0))</f>
        <v/>
      </c>
      <c r="M1863" s="16" t="str">
        <f aca="false">IF(B1863="","",IF(E1863="Em ajustes",IF(N1863=_xlfn.MINIFS($N$2:$N$5001,$B$2:$B$5001,B1863,$E$2:$E$5001,"Em ajustes"),1,0),0))</f>
        <v/>
      </c>
      <c r="N1863" s="17" t="str">
        <f aca="false">IF(A1863="","",IF(ISNUMBER(A1863),A1863,IFERROR(DATE(VALUE(MID(A1863,7,4)),VALUE(MID(A1863,4,2)),VALUE(MID(A1863,1,2)))+TIME(VALUE(MID(A1863,12,2)),VALUE(MID(A1863,15,2)),VALUE(MID(A1863,18,2))),"")))</f>
        <v/>
      </c>
    </row>
    <row r="1864" customFormat="false" ht="15" hidden="false" customHeight="false" outlineLevel="0" collapsed="false">
      <c r="I1864" s="15" t="str">
        <f aca="false">IF(N1864="","",INT(N1864))</f>
        <v/>
      </c>
      <c r="J1864" s="16" t="str">
        <f aca="false">IF(B1864="","",IF(N1864=_xlfn.MINIFS($N$2:$N$5001,$B$2:$B$5001,B1864),1,0))</f>
        <v/>
      </c>
      <c r="K1864" s="16" t="str">
        <f aca="false">IF(B1864="","",IF(AND(D1864="Formalização",E1864="Concluído"),IF(COUNTIFS($B$2:$B$5001,B1864,$E$2:$E$5001,"Em ajustes",$N$2:$N$5001,"&lt;"&amp;I1864)&gt;0,1,0),0))</f>
        <v/>
      </c>
      <c r="L1864" s="16" t="str">
        <f aca="false">IF(B1864="","",IF(N1864=_xlfn.MAXIFS($N$2:$N$5001,$B$2:$B$5001,B1864,$I$2:$I$5001,I1864),1,0))</f>
        <v/>
      </c>
      <c r="M1864" s="16" t="str">
        <f aca="false">IF(B1864="","",IF(E1864="Em ajustes",IF(N1864=_xlfn.MINIFS($N$2:$N$5001,$B$2:$B$5001,B1864,$E$2:$E$5001,"Em ajustes"),1,0),0))</f>
        <v/>
      </c>
      <c r="N1864" s="17" t="str">
        <f aca="false">IF(A1864="","",IF(ISNUMBER(A1864),A1864,IFERROR(DATE(VALUE(MID(A1864,7,4)),VALUE(MID(A1864,4,2)),VALUE(MID(A1864,1,2)))+TIME(VALUE(MID(A1864,12,2)),VALUE(MID(A1864,15,2)),VALUE(MID(A1864,18,2))),"")))</f>
        <v/>
      </c>
    </row>
    <row r="1865" customFormat="false" ht="15" hidden="false" customHeight="false" outlineLevel="0" collapsed="false">
      <c r="I1865" s="15" t="str">
        <f aca="false">IF(N1865="","",INT(N1865))</f>
        <v/>
      </c>
      <c r="J1865" s="16" t="str">
        <f aca="false">IF(B1865="","",IF(N1865=_xlfn.MINIFS($N$2:$N$5001,$B$2:$B$5001,B1865),1,0))</f>
        <v/>
      </c>
      <c r="K1865" s="16" t="str">
        <f aca="false">IF(B1865="","",IF(AND(D1865="Formalização",E1865="Concluído"),IF(COUNTIFS($B$2:$B$5001,B1865,$E$2:$E$5001,"Em ajustes",$N$2:$N$5001,"&lt;"&amp;I1865)&gt;0,1,0),0))</f>
        <v/>
      </c>
      <c r="L1865" s="16" t="str">
        <f aca="false">IF(B1865="","",IF(N1865=_xlfn.MAXIFS($N$2:$N$5001,$B$2:$B$5001,B1865,$I$2:$I$5001,I1865),1,0))</f>
        <v/>
      </c>
      <c r="M1865" s="16" t="str">
        <f aca="false">IF(B1865="","",IF(E1865="Em ajustes",IF(N1865=_xlfn.MINIFS($N$2:$N$5001,$B$2:$B$5001,B1865,$E$2:$E$5001,"Em ajustes"),1,0),0))</f>
        <v/>
      </c>
      <c r="N1865" s="17" t="str">
        <f aca="false">IF(A1865="","",IF(ISNUMBER(A1865),A1865,IFERROR(DATE(VALUE(MID(A1865,7,4)),VALUE(MID(A1865,4,2)),VALUE(MID(A1865,1,2)))+TIME(VALUE(MID(A1865,12,2)),VALUE(MID(A1865,15,2)),VALUE(MID(A1865,18,2))),"")))</f>
        <v/>
      </c>
    </row>
    <row r="1866" customFormat="false" ht="15" hidden="false" customHeight="false" outlineLevel="0" collapsed="false">
      <c r="I1866" s="15" t="str">
        <f aca="false">IF(N1866="","",INT(N1866))</f>
        <v/>
      </c>
      <c r="J1866" s="16" t="str">
        <f aca="false">IF(B1866="","",IF(N1866=_xlfn.MINIFS($N$2:$N$5001,$B$2:$B$5001,B1866),1,0))</f>
        <v/>
      </c>
      <c r="K1866" s="16" t="str">
        <f aca="false">IF(B1866="","",IF(AND(D1866="Formalização",E1866="Concluído"),IF(COUNTIFS($B$2:$B$5001,B1866,$E$2:$E$5001,"Em ajustes",$N$2:$N$5001,"&lt;"&amp;I1866)&gt;0,1,0),0))</f>
        <v/>
      </c>
      <c r="L1866" s="16" t="str">
        <f aca="false">IF(B1866="","",IF(N1866=_xlfn.MAXIFS($N$2:$N$5001,$B$2:$B$5001,B1866,$I$2:$I$5001,I1866),1,0))</f>
        <v/>
      </c>
      <c r="M1866" s="16" t="str">
        <f aca="false">IF(B1866="","",IF(E1866="Em ajustes",IF(N1866=_xlfn.MINIFS($N$2:$N$5001,$B$2:$B$5001,B1866,$E$2:$E$5001,"Em ajustes"),1,0),0))</f>
        <v/>
      </c>
      <c r="N1866" s="17" t="str">
        <f aca="false">IF(A1866="","",IF(ISNUMBER(A1866),A1866,IFERROR(DATE(VALUE(MID(A1866,7,4)),VALUE(MID(A1866,4,2)),VALUE(MID(A1866,1,2)))+TIME(VALUE(MID(A1866,12,2)),VALUE(MID(A1866,15,2)),VALUE(MID(A1866,18,2))),"")))</f>
        <v/>
      </c>
    </row>
    <row r="1867" customFormat="false" ht="15" hidden="false" customHeight="false" outlineLevel="0" collapsed="false">
      <c r="I1867" s="15" t="str">
        <f aca="false">IF(N1867="","",INT(N1867))</f>
        <v/>
      </c>
      <c r="J1867" s="16" t="str">
        <f aca="false">IF(B1867="","",IF(N1867=_xlfn.MINIFS($N$2:$N$5001,$B$2:$B$5001,B1867),1,0))</f>
        <v/>
      </c>
      <c r="K1867" s="16" t="str">
        <f aca="false">IF(B1867="","",IF(AND(D1867="Formalização",E1867="Concluído"),IF(COUNTIFS($B$2:$B$5001,B1867,$E$2:$E$5001,"Em ajustes",$N$2:$N$5001,"&lt;"&amp;I1867)&gt;0,1,0),0))</f>
        <v/>
      </c>
      <c r="L1867" s="16" t="str">
        <f aca="false">IF(B1867="","",IF(N1867=_xlfn.MAXIFS($N$2:$N$5001,$B$2:$B$5001,B1867,$I$2:$I$5001,I1867),1,0))</f>
        <v/>
      </c>
      <c r="M1867" s="16" t="str">
        <f aca="false">IF(B1867="","",IF(E1867="Em ajustes",IF(N1867=_xlfn.MINIFS($N$2:$N$5001,$B$2:$B$5001,B1867,$E$2:$E$5001,"Em ajustes"),1,0),0))</f>
        <v/>
      </c>
      <c r="N1867" s="17" t="str">
        <f aca="false">IF(A1867="","",IF(ISNUMBER(A1867),A1867,IFERROR(DATE(VALUE(MID(A1867,7,4)),VALUE(MID(A1867,4,2)),VALUE(MID(A1867,1,2)))+TIME(VALUE(MID(A1867,12,2)),VALUE(MID(A1867,15,2)),VALUE(MID(A1867,18,2))),"")))</f>
        <v/>
      </c>
    </row>
    <row r="1868" customFormat="false" ht="15" hidden="false" customHeight="false" outlineLevel="0" collapsed="false">
      <c r="I1868" s="15" t="str">
        <f aca="false">IF(N1868="","",INT(N1868))</f>
        <v/>
      </c>
      <c r="J1868" s="16" t="str">
        <f aca="false">IF(B1868="","",IF(N1868=_xlfn.MINIFS($N$2:$N$5001,$B$2:$B$5001,B1868),1,0))</f>
        <v/>
      </c>
      <c r="K1868" s="16" t="str">
        <f aca="false">IF(B1868="","",IF(AND(D1868="Formalização",E1868="Concluído"),IF(COUNTIFS($B$2:$B$5001,B1868,$E$2:$E$5001,"Em ajustes",$N$2:$N$5001,"&lt;"&amp;I1868)&gt;0,1,0),0))</f>
        <v/>
      </c>
      <c r="L1868" s="16" t="str">
        <f aca="false">IF(B1868="","",IF(N1868=_xlfn.MAXIFS($N$2:$N$5001,$B$2:$B$5001,B1868,$I$2:$I$5001,I1868),1,0))</f>
        <v/>
      </c>
      <c r="M1868" s="16" t="str">
        <f aca="false">IF(B1868="","",IF(E1868="Em ajustes",IF(N1868=_xlfn.MINIFS($N$2:$N$5001,$B$2:$B$5001,B1868,$E$2:$E$5001,"Em ajustes"),1,0),0))</f>
        <v/>
      </c>
      <c r="N1868" s="17" t="str">
        <f aca="false">IF(A1868="","",IF(ISNUMBER(A1868),A1868,IFERROR(DATE(VALUE(MID(A1868,7,4)),VALUE(MID(A1868,4,2)),VALUE(MID(A1868,1,2)))+TIME(VALUE(MID(A1868,12,2)),VALUE(MID(A1868,15,2)),VALUE(MID(A1868,18,2))),"")))</f>
        <v/>
      </c>
    </row>
    <row r="1869" customFormat="false" ht="15" hidden="false" customHeight="false" outlineLevel="0" collapsed="false">
      <c r="I1869" s="15" t="str">
        <f aca="false">IF(N1869="","",INT(N1869))</f>
        <v/>
      </c>
      <c r="J1869" s="16" t="str">
        <f aca="false">IF(B1869="","",IF(N1869=_xlfn.MINIFS($N$2:$N$5001,$B$2:$B$5001,B1869),1,0))</f>
        <v/>
      </c>
      <c r="K1869" s="16" t="str">
        <f aca="false">IF(B1869="","",IF(AND(D1869="Formalização",E1869="Concluído"),IF(COUNTIFS($B$2:$B$5001,B1869,$E$2:$E$5001,"Em ajustes",$N$2:$N$5001,"&lt;"&amp;I1869)&gt;0,1,0),0))</f>
        <v/>
      </c>
      <c r="L1869" s="16" t="str">
        <f aca="false">IF(B1869="","",IF(N1869=_xlfn.MAXIFS($N$2:$N$5001,$B$2:$B$5001,B1869,$I$2:$I$5001,I1869),1,0))</f>
        <v/>
      </c>
      <c r="M1869" s="16" t="str">
        <f aca="false">IF(B1869="","",IF(E1869="Em ajustes",IF(N1869=_xlfn.MINIFS($N$2:$N$5001,$B$2:$B$5001,B1869,$E$2:$E$5001,"Em ajustes"),1,0),0))</f>
        <v/>
      </c>
      <c r="N1869" s="17" t="str">
        <f aca="false">IF(A1869="","",IF(ISNUMBER(A1869),A1869,IFERROR(DATE(VALUE(MID(A1869,7,4)),VALUE(MID(A1869,4,2)),VALUE(MID(A1869,1,2)))+TIME(VALUE(MID(A1869,12,2)),VALUE(MID(A1869,15,2)),VALUE(MID(A1869,18,2))),"")))</f>
        <v/>
      </c>
    </row>
    <row r="1870" customFormat="false" ht="15" hidden="false" customHeight="false" outlineLevel="0" collapsed="false">
      <c r="I1870" s="15" t="str">
        <f aca="false">IF(N1870="","",INT(N1870))</f>
        <v/>
      </c>
      <c r="J1870" s="16" t="str">
        <f aca="false">IF(B1870="","",IF(N1870=_xlfn.MINIFS($N$2:$N$5001,$B$2:$B$5001,B1870),1,0))</f>
        <v/>
      </c>
      <c r="K1870" s="16" t="str">
        <f aca="false">IF(B1870="","",IF(AND(D1870="Formalização",E1870="Concluído"),IF(COUNTIFS($B$2:$B$5001,B1870,$E$2:$E$5001,"Em ajustes",$N$2:$N$5001,"&lt;"&amp;I1870)&gt;0,1,0),0))</f>
        <v/>
      </c>
      <c r="L1870" s="16" t="str">
        <f aca="false">IF(B1870="","",IF(N1870=_xlfn.MAXIFS($N$2:$N$5001,$B$2:$B$5001,B1870,$I$2:$I$5001,I1870),1,0))</f>
        <v/>
      </c>
      <c r="M1870" s="16" t="str">
        <f aca="false">IF(B1870="","",IF(E1870="Em ajustes",IF(N1870=_xlfn.MINIFS($N$2:$N$5001,$B$2:$B$5001,B1870,$E$2:$E$5001,"Em ajustes"),1,0),0))</f>
        <v/>
      </c>
      <c r="N1870" s="17" t="str">
        <f aca="false">IF(A1870="","",IF(ISNUMBER(A1870),A1870,IFERROR(DATE(VALUE(MID(A1870,7,4)),VALUE(MID(A1870,4,2)),VALUE(MID(A1870,1,2)))+TIME(VALUE(MID(A1870,12,2)),VALUE(MID(A1870,15,2)),VALUE(MID(A1870,18,2))),"")))</f>
        <v/>
      </c>
    </row>
    <row r="1871" customFormat="false" ht="15" hidden="false" customHeight="false" outlineLevel="0" collapsed="false">
      <c r="I1871" s="15" t="str">
        <f aca="false">IF(N1871="","",INT(N1871))</f>
        <v/>
      </c>
      <c r="J1871" s="16" t="str">
        <f aca="false">IF(B1871="","",IF(N1871=_xlfn.MINIFS($N$2:$N$5001,$B$2:$B$5001,B1871),1,0))</f>
        <v/>
      </c>
      <c r="K1871" s="16" t="str">
        <f aca="false">IF(B1871="","",IF(AND(D1871="Formalização",E1871="Concluído"),IF(COUNTIFS($B$2:$B$5001,B1871,$E$2:$E$5001,"Em ajustes",$N$2:$N$5001,"&lt;"&amp;I1871)&gt;0,1,0),0))</f>
        <v/>
      </c>
      <c r="L1871" s="16" t="str">
        <f aca="false">IF(B1871="","",IF(N1871=_xlfn.MAXIFS($N$2:$N$5001,$B$2:$B$5001,B1871,$I$2:$I$5001,I1871),1,0))</f>
        <v/>
      </c>
      <c r="M1871" s="16" t="str">
        <f aca="false">IF(B1871="","",IF(E1871="Em ajustes",IF(N1871=_xlfn.MINIFS($N$2:$N$5001,$B$2:$B$5001,B1871,$E$2:$E$5001,"Em ajustes"),1,0),0))</f>
        <v/>
      </c>
      <c r="N1871" s="17" t="str">
        <f aca="false">IF(A1871="","",IF(ISNUMBER(A1871),A1871,IFERROR(DATE(VALUE(MID(A1871,7,4)),VALUE(MID(A1871,4,2)),VALUE(MID(A1871,1,2)))+TIME(VALUE(MID(A1871,12,2)),VALUE(MID(A1871,15,2)),VALUE(MID(A1871,18,2))),"")))</f>
        <v/>
      </c>
    </row>
    <row r="1872" customFormat="false" ht="15" hidden="false" customHeight="false" outlineLevel="0" collapsed="false">
      <c r="I1872" s="15" t="str">
        <f aca="false">IF(N1872="","",INT(N1872))</f>
        <v/>
      </c>
      <c r="J1872" s="16" t="str">
        <f aca="false">IF(B1872="","",IF(N1872=_xlfn.MINIFS($N$2:$N$5001,$B$2:$B$5001,B1872),1,0))</f>
        <v/>
      </c>
      <c r="K1872" s="16" t="str">
        <f aca="false">IF(B1872="","",IF(AND(D1872="Formalização",E1872="Concluído"),IF(COUNTIFS($B$2:$B$5001,B1872,$E$2:$E$5001,"Em ajustes",$N$2:$N$5001,"&lt;"&amp;I1872)&gt;0,1,0),0))</f>
        <v/>
      </c>
      <c r="L1872" s="16" t="str">
        <f aca="false">IF(B1872="","",IF(N1872=_xlfn.MAXIFS($N$2:$N$5001,$B$2:$B$5001,B1872,$I$2:$I$5001,I1872),1,0))</f>
        <v/>
      </c>
      <c r="M1872" s="16" t="str">
        <f aca="false">IF(B1872="","",IF(E1872="Em ajustes",IF(N1872=_xlfn.MINIFS($N$2:$N$5001,$B$2:$B$5001,B1872,$E$2:$E$5001,"Em ajustes"),1,0),0))</f>
        <v/>
      </c>
      <c r="N1872" s="17" t="str">
        <f aca="false">IF(A1872="","",IF(ISNUMBER(A1872),A1872,IFERROR(DATE(VALUE(MID(A1872,7,4)),VALUE(MID(A1872,4,2)),VALUE(MID(A1872,1,2)))+TIME(VALUE(MID(A1872,12,2)),VALUE(MID(A1872,15,2)),VALUE(MID(A1872,18,2))),"")))</f>
        <v/>
      </c>
    </row>
    <row r="1873" customFormat="false" ht="15" hidden="false" customHeight="false" outlineLevel="0" collapsed="false">
      <c r="I1873" s="15" t="str">
        <f aca="false">IF(N1873="","",INT(N1873))</f>
        <v/>
      </c>
      <c r="J1873" s="16" t="str">
        <f aca="false">IF(B1873="","",IF(N1873=_xlfn.MINIFS($N$2:$N$5001,$B$2:$B$5001,B1873),1,0))</f>
        <v/>
      </c>
      <c r="K1873" s="16" t="str">
        <f aca="false">IF(B1873="","",IF(AND(D1873="Formalização",E1873="Concluído"),IF(COUNTIFS($B$2:$B$5001,B1873,$E$2:$E$5001,"Em ajustes",$N$2:$N$5001,"&lt;"&amp;I1873)&gt;0,1,0),0))</f>
        <v/>
      </c>
      <c r="L1873" s="16" t="str">
        <f aca="false">IF(B1873="","",IF(N1873=_xlfn.MAXIFS($N$2:$N$5001,$B$2:$B$5001,B1873,$I$2:$I$5001,I1873),1,0))</f>
        <v/>
      </c>
      <c r="M1873" s="16" t="str">
        <f aca="false">IF(B1873="","",IF(E1873="Em ajustes",IF(N1873=_xlfn.MINIFS($N$2:$N$5001,$B$2:$B$5001,B1873,$E$2:$E$5001,"Em ajustes"),1,0),0))</f>
        <v/>
      </c>
      <c r="N1873" s="17" t="str">
        <f aca="false">IF(A1873="","",IF(ISNUMBER(A1873),A1873,IFERROR(DATE(VALUE(MID(A1873,7,4)),VALUE(MID(A1873,4,2)),VALUE(MID(A1873,1,2)))+TIME(VALUE(MID(A1873,12,2)),VALUE(MID(A1873,15,2)),VALUE(MID(A1873,18,2))),"")))</f>
        <v/>
      </c>
    </row>
    <row r="1874" customFormat="false" ht="15" hidden="false" customHeight="false" outlineLevel="0" collapsed="false">
      <c r="I1874" s="15" t="str">
        <f aca="false">IF(N1874="","",INT(N1874))</f>
        <v/>
      </c>
      <c r="J1874" s="16" t="str">
        <f aca="false">IF(B1874="","",IF(N1874=_xlfn.MINIFS($N$2:$N$5001,$B$2:$B$5001,B1874),1,0))</f>
        <v/>
      </c>
      <c r="K1874" s="16" t="str">
        <f aca="false">IF(B1874="","",IF(AND(D1874="Formalização",E1874="Concluído"),IF(COUNTIFS($B$2:$B$5001,B1874,$E$2:$E$5001,"Em ajustes",$N$2:$N$5001,"&lt;"&amp;I1874)&gt;0,1,0),0))</f>
        <v/>
      </c>
      <c r="L1874" s="16" t="str">
        <f aca="false">IF(B1874="","",IF(N1874=_xlfn.MAXIFS($N$2:$N$5001,$B$2:$B$5001,B1874,$I$2:$I$5001,I1874),1,0))</f>
        <v/>
      </c>
      <c r="M1874" s="16" t="str">
        <f aca="false">IF(B1874="","",IF(E1874="Em ajustes",IF(N1874=_xlfn.MINIFS($N$2:$N$5001,$B$2:$B$5001,B1874,$E$2:$E$5001,"Em ajustes"),1,0),0))</f>
        <v/>
      </c>
      <c r="N1874" s="17" t="str">
        <f aca="false">IF(A1874="","",IF(ISNUMBER(A1874),A1874,IFERROR(DATE(VALUE(MID(A1874,7,4)),VALUE(MID(A1874,4,2)),VALUE(MID(A1874,1,2)))+TIME(VALUE(MID(A1874,12,2)),VALUE(MID(A1874,15,2)),VALUE(MID(A1874,18,2))),"")))</f>
        <v/>
      </c>
    </row>
    <row r="1875" customFormat="false" ht="15" hidden="false" customHeight="false" outlineLevel="0" collapsed="false">
      <c r="I1875" s="15" t="str">
        <f aca="false">IF(N1875="","",INT(N1875))</f>
        <v/>
      </c>
      <c r="J1875" s="16" t="str">
        <f aca="false">IF(B1875="","",IF(N1875=_xlfn.MINIFS($N$2:$N$5001,$B$2:$B$5001,B1875),1,0))</f>
        <v/>
      </c>
      <c r="K1875" s="16" t="str">
        <f aca="false">IF(B1875="","",IF(AND(D1875="Formalização",E1875="Concluído"),IF(COUNTIFS($B$2:$B$5001,B1875,$E$2:$E$5001,"Em ajustes",$N$2:$N$5001,"&lt;"&amp;I1875)&gt;0,1,0),0))</f>
        <v/>
      </c>
      <c r="L1875" s="16" t="str">
        <f aca="false">IF(B1875="","",IF(N1875=_xlfn.MAXIFS($N$2:$N$5001,$B$2:$B$5001,B1875,$I$2:$I$5001,I1875),1,0))</f>
        <v/>
      </c>
      <c r="M1875" s="16" t="str">
        <f aca="false">IF(B1875="","",IF(E1875="Em ajustes",IF(N1875=_xlfn.MINIFS($N$2:$N$5001,$B$2:$B$5001,B1875,$E$2:$E$5001,"Em ajustes"),1,0),0))</f>
        <v/>
      </c>
      <c r="N1875" s="17" t="str">
        <f aca="false">IF(A1875="","",IF(ISNUMBER(A1875),A1875,IFERROR(DATE(VALUE(MID(A1875,7,4)),VALUE(MID(A1875,4,2)),VALUE(MID(A1875,1,2)))+TIME(VALUE(MID(A1875,12,2)),VALUE(MID(A1875,15,2)),VALUE(MID(A1875,18,2))),"")))</f>
        <v/>
      </c>
    </row>
    <row r="1876" customFormat="false" ht="15" hidden="false" customHeight="false" outlineLevel="0" collapsed="false">
      <c r="I1876" s="15" t="str">
        <f aca="false">IF(N1876="","",INT(N1876))</f>
        <v/>
      </c>
      <c r="J1876" s="16" t="str">
        <f aca="false">IF(B1876="","",IF(N1876=_xlfn.MINIFS($N$2:$N$5001,$B$2:$B$5001,B1876),1,0))</f>
        <v/>
      </c>
      <c r="K1876" s="16" t="str">
        <f aca="false">IF(B1876="","",IF(AND(D1876="Formalização",E1876="Concluído"),IF(COUNTIFS($B$2:$B$5001,B1876,$E$2:$E$5001,"Em ajustes",$N$2:$N$5001,"&lt;"&amp;I1876)&gt;0,1,0),0))</f>
        <v/>
      </c>
      <c r="L1876" s="16" t="str">
        <f aca="false">IF(B1876="","",IF(N1876=_xlfn.MAXIFS($N$2:$N$5001,$B$2:$B$5001,B1876,$I$2:$I$5001,I1876),1,0))</f>
        <v/>
      </c>
      <c r="M1876" s="16" t="str">
        <f aca="false">IF(B1876="","",IF(E1876="Em ajustes",IF(N1876=_xlfn.MINIFS($N$2:$N$5001,$B$2:$B$5001,B1876,$E$2:$E$5001,"Em ajustes"),1,0),0))</f>
        <v/>
      </c>
      <c r="N1876" s="17" t="str">
        <f aca="false">IF(A1876="","",IF(ISNUMBER(A1876),A1876,IFERROR(DATE(VALUE(MID(A1876,7,4)),VALUE(MID(A1876,4,2)),VALUE(MID(A1876,1,2)))+TIME(VALUE(MID(A1876,12,2)),VALUE(MID(A1876,15,2)),VALUE(MID(A1876,18,2))),"")))</f>
        <v/>
      </c>
    </row>
    <row r="1877" customFormat="false" ht="15" hidden="false" customHeight="false" outlineLevel="0" collapsed="false">
      <c r="I1877" s="15" t="str">
        <f aca="false">IF(N1877="","",INT(N1877))</f>
        <v/>
      </c>
      <c r="J1877" s="16" t="str">
        <f aca="false">IF(B1877="","",IF(N1877=_xlfn.MINIFS($N$2:$N$5001,$B$2:$B$5001,B1877),1,0))</f>
        <v/>
      </c>
      <c r="K1877" s="16" t="str">
        <f aca="false">IF(B1877="","",IF(AND(D1877="Formalização",E1877="Concluído"),IF(COUNTIFS($B$2:$B$5001,B1877,$E$2:$E$5001,"Em ajustes",$N$2:$N$5001,"&lt;"&amp;I1877)&gt;0,1,0),0))</f>
        <v/>
      </c>
      <c r="L1877" s="16" t="str">
        <f aca="false">IF(B1877="","",IF(N1877=_xlfn.MAXIFS($N$2:$N$5001,$B$2:$B$5001,B1877,$I$2:$I$5001,I1877),1,0))</f>
        <v/>
      </c>
      <c r="M1877" s="16" t="str">
        <f aca="false">IF(B1877="","",IF(E1877="Em ajustes",IF(N1877=_xlfn.MINIFS($N$2:$N$5001,$B$2:$B$5001,B1877,$E$2:$E$5001,"Em ajustes"),1,0),0))</f>
        <v/>
      </c>
      <c r="N1877" s="17" t="str">
        <f aca="false">IF(A1877="","",IF(ISNUMBER(A1877),A1877,IFERROR(DATE(VALUE(MID(A1877,7,4)),VALUE(MID(A1877,4,2)),VALUE(MID(A1877,1,2)))+TIME(VALUE(MID(A1877,12,2)),VALUE(MID(A1877,15,2)),VALUE(MID(A1877,18,2))),"")))</f>
        <v/>
      </c>
    </row>
    <row r="1878" customFormat="false" ht="15" hidden="false" customHeight="false" outlineLevel="0" collapsed="false">
      <c r="I1878" s="15" t="str">
        <f aca="false">IF(N1878="","",INT(N1878))</f>
        <v/>
      </c>
      <c r="J1878" s="16" t="str">
        <f aca="false">IF(B1878="","",IF(N1878=_xlfn.MINIFS($N$2:$N$5001,$B$2:$B$5001,B1878),1,0))</f>
        <v/>
      </c>
      <c r="K1878" s="16" t="str">
        <f aca="false">IF(B1878="","",IF(AND(D1878="Formalização",E1878="Concluído"),IF(COUNTIFS($B$2:$B$5001,B1878,$E$2:$E$5001,"Em ajustes",$N$2:$N$5001,"&lt;"&amp;I1878)&gt;0,1,0),0))</f>
        <v/>
      </c>
      <c r="L1878" s="16" t="str">
        <f aca="false">IF(B1878="","",IF(N1878=_xlfn.MAXIFS($N$2:$N$5001,$B$2:$B$5001,B1878,$I$2:$I$5001,I1878),1,0))</f>
        <v/>
      </c>
      <c r="M1878" s="16" t="str">
        <f aca="false">IF(B1878="","",IF(E1878="Em ajustes",IF(N1878=_xlfn.MINIFS($N$2:$N$5001,$B$2:$B$5001,B1878,$E$2:$E$5001,"Em ajustes"),1,0),0))</f>
        <v/>
      </c>
      <c r="N1878" s="17" t="str">
        <f aca="false">IF(A1878="","",IF(ISNUMBER(A1878),A1878,IFERROR(DATE(VALUE(MID(A1878,7,4)),VALUE(MID(A1878,4,2)),VALUE(MID(A1878,1,2)))+TIME(VALUE(MID(A1878,12,2)),VALUE(MID(A1878,15,2)),VALUE(MID(A1878,18,2))),"")))</f>
        <v/>
      </c>
    </row>
    <row r="1879" customFormat="false" ht="15" hidden="false" customHeight="false" outlineLevel="0" collapsed="false">
      <c r="I1879" s="15" t="str">
        <f aca="false">IF(N1879="","",INT(N1879))</f>
        <v/>
      </c>
      <c r="J1879" s="16" t="str">
        <f aca="false">IF(B1879="","",IF(N1879=_xlfn.MINIFS($N$2:$N$5001,$B$2:$B$5001,B1879),1,0))</f>
        <v/>
      </c>
      <c r="K1879" s="16" t="str">
        <f aca="false">IF(B1879="","",IF(AND(D1879="Formalização",E1879="Concluído"),IF(COUNTIFS($B$2:$B$5001,B1879,$E$2:$E$5001,"Em ajustes",$N$2:$N$5001,"&lt;"&amp;I1879)&gt;0,1,0),0))</f>
        <v/>
      </c>
      <c r="L1879" s="16" t="str">
        <f aca="false">IF(B1879="","",IF(N1879=_xlfn.MAXIFS($N$2:$N$5001,$B$2:$B$5001,B1879,$I$2:$I$5001,I1879),1,0))</f>
        <v/>
      </c>
      <c r="M1879" s="16" t="str">
        <f aca="false">IF(B1879="","",IF(E1879="Em ajustes",IF(N1879=_xlfn.MINIFS($N$2:$N$5001,$B$2:$B$5001,B1879,$E$2:$E$5001,"Em ajustes"),1,0),0))</f>
        <v/>
      </c>
      <c r="N1879" s="17" t="str">
        <f aca="false">IF(A1879="","",IF(ISNUMBER(A1879),A1879,IFERROR(DATE(VALUE(MID(A1879,7,4)),VALUE(MID(A1879,4,2)),VALUE(MID(A1879,1,2)))+TIME(VALUE(MID(A1879,12,2)),VALUE(MID(A1879,15,2)),VALUE(MID(A1879,18,2))),"")))</f>
        <v/>
      </c>
    </row>
    <row r="1880" customFormat="false" ht="15" hidden="false" customHeight="false" outlineLevel="0" collapsed="false">
      <c r="I1880" s="15" t="str">
        <f aca="false">IF(N1880="","",INT(N1880))</f>
        <v/>
      </c>
      <c r="J1880" s="16" t="str">
        <f aca="false">IF(B1880="","",IF(N1880=_xlfn.MINIFS($N$2:$N$5001,$B$2:$B$5001,B1880),1,0))</f>
        <v/>
      </c>
      <c r="K1880" s="16" t="str">
        <f aca="false">IF(B1880="","",IF(AND(D1880="Formalização",E1880="Concluído"),IF(COUNTIFS($B$2:$B$5001,B1880,$E$2:$E$5001,"Em ajustes",$N$2:$N$5001,"&lt;"&amp;I1880)&gt;0,1,0),0))</f>
        <v/>
      </c>
      <c r="L1880" s="16" t="str">
        <f aca="false">IF(B1880="","",IF(N1880=_xlfn.MAXIFS($N$2:$N$5001,$B$2:$B$5001,B1880,$I$2:$I$5001,I1880),1,0))</f>
        <v/>
      </c>
      <c r="M1880" s="16" t="str">
        <f aca="false">IF(B1880="","",IF(E1880="Em ajustes",IF(N1880=_xlfn.MINIFS($N$2:$N$5001,$B$2:$B$5001,B1880,$E$2:$E$5001,"Em ajustes"),1,0),0))</f>
        <v/>
      </c>
      <c r="N1880" s="17" t="str">
        <f aca="false">IF(A1880="","",IF(ISNUMBER(A1880),A1880,IFERROR(DATE(VALUE(MID(A1880,7,4)),VALUE(MID(A1880,4,2)),VALUE(MID(A1880,1,2)))+TIME(VALUE(MID(A1880,12,2)),VALUE(MID(A1880,15,2)),VALUE(MID(A1880,18,2))),"")))</f>
        <v/>
      </c>
    </row>
    <row r="1881" customFormat="false" ht="15" hidden="false" customHeight="false" outlineLevel="0" collapsed="false">
      <c r="I1881" s="15" t="str">
        <f aca="false">IF(N1881="","",INT(N1881))</f>
        <v/>
      </c>
      <c r="J1881" s="16" t="str">
        <f aca="false">IF(B1881="","",IF(N1881=_xlfn.MINIFS($N$2:$N$5001,$B$2:$B$5001,B1881),1,0))</f>
        <v/>
      </c>
      <c r="K1881" s="16" t="str">
        <f aca="false">IF(B1881="","",IF(AND(D1881="Formalização",E1881="Concluído"),IF(COUNTIFS($B$2:$B$5001,B1881,$E$2:$E$5001,"Em ajustes",$N$2:$N$5001,"&lt;"&amp;I1881)&gt;0,1,0),0))</f>
        <v/>
      </c>
      <c r="L1881" s="16" t="str">
        <f aca="false">IF(B1881="","",IF(N1881=_xlfn.MAXIFS($N$2:$N$5001,$B$2:$B$5001,B1881,$I$2:$I$5001,I1881),1,0))</f>
        <v/>
      </c>
      <c r="M1881" s="16" t="str">
        <f aca="false">IF(B1881="","",IF(E1881="Em ajustes",IF(N1881=_xlfn.MINIFS($N$2:$N$5001,$B$2:$B$5001,B1881,$E$2:$E$5001,"Em ajustes"),1,0),0))</f>
        <v/>
      </c>
      <c r="N1881" s="17" t="str">
        <f aca="false">IF(A1881="","",IF(ISNUMBER(A1881),A1881,IFERROR(DATE(VALUE(MID(A1881,7,4)),VALUE(MID(A1881,4,2)),VALUE(MID(A1881,1,2)))+TIME(VALUE(MID(A1881,12,2)),VALUE(MID(A1881,15,2)),VALUE(MID(A1881,18,2))),"")))</f>
        <v/>
      </c>
    </row>
    <row r="1882" customFormat="false" ht="15" hidden="false" customHeight="false" outlineLevel="0" collapsed="false">
      <c r="I1882" s="15" t="str">
        <f aca="false">IF(N1882="","",INT(N1882))</f>
        <v/>
      </c>
      <c r="J1882" s="16" t="str">
        <f aca="false">IF(B1882="","",IF(N1882=_xlfn.MINIFS($N$2:$N$5001,$B$2:$B$5001,B1882),1,0))</f>
        <v/>
      </c>
      <c r="K1882" s="16" t="str">
        <f aca="false">IF(B1882="","",IF(AND(D1882="Formalização",E1882="Concluído"),IF(COUNTIFS($B$2:$B$5001,B1882,$E$2:$E$5001,"Em ajustes",$N$2:$N$5001,"&lt;"&amp;I1882)&gt;0,1,0),0))</f>
        <v/>
      </c>
      <c r="L1882" s="16" t="str">
        <f aca="false">IF(B1882="","",IF(N1882=_xlfn.MAXIFS($N$2:$N$5001,$B$2:$B$5001,B1882,$I$2:$I$5001,I1882),1,0))</f>
        <v/>
      </c>
      <c r="M1882" s="16" t="str">
        <f aca="false">IF(B1882="","",IF(E1882="Em ajustes",IF(N1882=_xlfn.MINIFS($N$2:$N$5001,$B$2:$B$5001,B1882,$E$2:$E$5001,"Em ajustes"),1,0),0))</f>
        <v/>
      </c>
      <c r="N1882" s="17" t="str">
        <f aca="false">IF(A1882="","",IF(ISNUMBER(A1882),A1882,IFERROR(DATE(VALUE(MID(A1882,7,4)),VALUE(MID(A1882,4,2)),VALUE(MID(A1882,1,2)))+TIME(VALUE(MID(A1882,12,2)),VALUE(MID(A1882,15,2)),VALUE(MID(A1882,18,2))),"")))</f>
        <v/>
      </c>
    </row>
    <row r="1883" customFormat="false" ht="15" hidden="false" customHeight="false" outlineLevel="0" collapsed="false">
      <c r="I1883" s="15" t="str">
        <f aca="false">IF(N1883="","",INT(N1883))</f>
        <v/>
      </c>
      <c r="J1883" s="16" t="str">
        <f aca="false">IF(B1883="","",IF(N1883=_xlfn.MINIFS($N$2:$N$5001,$B$2:$B$5001,B1883),1,0))</f>
        <v/>
      </c>
      <c r="K1883" s="16" t="str">
        <f aca="false">IF(B1883="","",IF(AND(D1883="Formalização",E1883="Concluído"),IF(COUNTIFS($B$2:$B$5001,B1883,$E$2:$E$5001,"Em ajustes",$N$2:$N$5001,"&lt;"&amp;I1883)&gt;0,1,0),0))</f>
        <v/>
      </c>
      <c r="L1883" s="16" t="str">
        <f aca="false">IF(B1883="","",IF(N1883=_xlfn.MAXIFS($N$2:$N$5001,$B$2:$B$5001,B1883,$I$2:$I$5001,I1883),1,0))</f>
        <v/>
      </c>
      <c r="M1883" s="16" t="str">
        <f aca="false">IF(B1883="","",IF(E1883="Em ajustes",IF(N1883=_xlfn.MINIFS($N$2:$N$5001,$B$2:$B$5001,B1883,$E$2:$E$5001,"Em ajustes"),1,0),0))</f>
        <v/>
      </c>
      <c r="N1883" s="17" t="str">
        <f aca="false">IF(A1883="","",IF(ISNUMBER(A1883),A1883,IFERROR(DATE(VALUE(MID(A1883,7,4)),VALUE(MID(A1883,4,2)),VALUE(MID(A1883,1,2)))+TIME(VALUE(MID(A1883,12,2)),VALUE(MID(A1883,15,2)),VALUE(MID(A1883,18,2))),"")))</f>
        <v/>
      </c>
    </row>
    <row r="1884" customFormat="false" ht="15" hidden="false" customHeight="false" outlineLevel="0" collapsed="false">
      <c r="I1884" s="15" t="str">
        <f aca="false">IF(N1884="","",INT(N1884))</f>
        <v/>
      </c>
      <c r="J1884" s="16" t="str">
        <f aca="false">IF(B1884="","",IF(N1884=_xlfn.MINIFS($N$2:$N$5001,$B$2:$B$5001,B1884),1,0))</f>
        <v/>
      </c>
      <c r="K1884" s="16" t="str">
        <f aca="false">IF(B1884="","",IF(AND(D1884="Formalização",E1884="Concluído"),IF(COUNTIFS($B$2:$B$5001,B1884,$E$2:$E$5001,"Em ajustes",$N$2:$N$5001,"&lt;"&amp;I1884)&gt;0,1,0),0))</f>
        <v/>
      </c>
      <c r="L1884" s="16" t="str">
        <f aca="false">IF(B1884="","",IF(N1884=_xlfn.MAXIFS($N$2:$N$5001,$B$2:$B$5001,B1884,$I$2:$I$5001,I1884),1,0))</f>
        <v/>
      </c>
      <c r="M1884" s="16" t="str">
        <f aca="false">IF(B1884="","",IF(E1884="Em ajustes",IF(N1884=_xlfn.MINIFS($N$2:$N$5001,$B$2:$B$5001,B1884,$E$2:$E$5001,"Em ajustes"),1,0),0))</f>
        <v/>
      </c>
      <c r="N1884" s="17" t="str">
        <f aca="false">IF(A1884="","",IF(ISNUMBER(A1884),A1884,IFERROR(DATE(VALUE(MID(A1884,7,4)),VALUE(MID(A1884,4,2)),VALUE(MID(A1884,1,2)))+TIME(VALUE(MID(A1884,12,2)),VALUE(MID(A1884,15,2)),VALUE(MID(A1884,18,2))),"")))</f>
        <v/>
      </c>
    </row>
    <row r="1885" customFormat="false" ht="15" hidden="false" customHeight="false" outlineLevel="0" collapsed="false">
      <c r="I1885" s="15" t="str">
        <f aca="false">IF(N1885="","",INT(N1885))</f>
        <v/>
      </c>
      <c r="J1885" s="16" t="str">
        <f aca="false">IF(B1885="","",IF(N1885=_xlfn.MINIFS($N$2:$N$5001,$B$2:$B$5001,B1885),1,0))</f>
        <v/>
      </c>
      <c r="K1885" s="16" t="str">
        <f aca="false">IF(B1885="","",IF(AND(D1885="Formalização",E1885="Concluído"),IF(COUNTIFS($B$2:$B$5001,B1885,$E$2:$E$5001,"Em ajustes",$N$2:$N$5001,"&lt;"&amp;I1885)&gt;0,1,0),0))</f>
        <v/>
      </c>
      <c r="L1885" s="16" t="str">
        <f aca="false">IF(B1885="","",IF(N1885=_xlfn.MAXIFS($N$2:$N$5001,$B$2:$B$5001,B1885,$I$2:$I$5001,I1885),1,0))</f>
        <v/>
      </c>
      <c r="M1885" s="16" t="str">
        <f aca="false">IF(B1885="","",IF(E1885="Em ajustes",IF(N1885=_xlfn.MINIFS($N$2:$N$5001,$B$2:$B$5001,B1885,$E$2:$E$5001,"Em ajustes"),1,0),0))</f>
        <v/>
      </c>
      <c r="N1885" s="17" t="str">
        <f aca="false">IF(A1885="","",IF(ISNUMBER(A1885),A1885,IFERROR(DATE(VALUE(MID(A1885,7,4)),VALUE(MID(A1885,4,2)),VALUE(MID(A1885,1,2)))+TIME(VALUE(MID(A1885,12,2)),VALUE(MID(A1885,15,2)),VALUE(MID(A1885,18,2))),"")))</f>
        <v/>
      </c>
    </row>
    <row r="1886" customFormat="false" ht="15" hidden="false" customHeight="false" outlineLevel="0" collapsed="false">
      <c r="I1886" s="15" t="str">
        <f aca="false">IF(N1886="","",INT(N1886))</f>
        <v/>
      </c>
      <c r="J1886" s="16" t="str">
        <f aca="false">IF(B1886="","",IF(N1886=_xlfn.MINIFS($N$2:$N$5001,$B$2:$B$5001,B1886),1,0))</f>
        <v/>
      </c>
      <c r="K1886" s="16" t="str">
        <f aca="false">IF(B1886="","",IF(AND(D1886="Formalização",E1886="Concluído"),IF(COUNTIFS($B$2:$B$5001,B1886,$E$2:$E$5001,"Em ajustes",$N$2:$N$5001,"&lt;"&amp;I1886)&gt;0,1,0),0))</f>
        <v/>
      </c>
      <c r="L1886" s="16" t="str">
        <f aca="false">IF(B1886="","",IF(N1886=_xlfn.MAXIFS($N$2:$N$5001,$B$2:$B$5001,B1886,$I$2:$I$5001,I1886),1,0))</f>
        <v/>
      </c>
      <c r="M1886" s="16" t="str">
        <f aca="false">IF(B1886="","",IF(E1886="Em ajustes",IF(N1886=_xlfn.MINIFS($N$2:$N$5001,$B$2:$B$5001,B1886,$E$2:$E$5001,"Em ajustes"),1,0),0))</f>
        <v/>
      </c>
      <c r="N1886" s="17" t="str">
        <f aca="false">IF(A1886="","",IF(ISNUMBER(A1886),A1886,IFERROR(DATE(VALUE(MID(A1886,7,4)),VALUE(MID(A1886,4,2)),VALUE(MID(A1886,1,2)))+TIME(VALUE(MID(A1886,12,2)),VALUE(MID(A1886,15,2)),VALUE(MID(A1886,18,2))),"")))</f>
        <v/>
      </c>
    </row>
    <row r="1887" customFormat="false" ht="15" hidden="false" customHeight="false" outlineLevel="0" collapsed="false">
      <c r="I1887" s="15" t="str">
        <f aca="false">IF(N1887="","",INT(N1887))</f>
        <v/>
      </c>
      <c r="J1887" s="16" t="str">
        <f aca="false">IF(B1887="","",IF(N1887=_xlfn.MINIFS($N$2:$N$5001,$B$2:$B$5001,B1887),1,0))</f>
        <v/>
      </c>
      <c r="K1887" s="16" t="str">
        <f aca="false">IF(B1887="","",IF(AND(D1887="Formalização",E1887="Concluído"),IF(COUNTIFS($B$2:$B$5001,B1887,$E$2:$E$5001,"Em ajustes",$N$2:$N$5001,"&lt;"&amp;I1887)&gt;0,1,0),0))</f>
        <v/>
      </c>
      <c r="L1887" s="16" t="str">
        <f aca="false">IF(B1887="","",IF(N1887=_xlfn.MAXIFS($N$2:$N$5001,$B$2:$B$5001,B1887,$I$2:$I$5001,I1887),1,0))</f>
        <v/>
      </c>
      <c r="M1887" s="16" t="str">
        <f aca="false">IF(B1887="","",IF(E1887="Em ajustes",IF(N1887=_xlfn.MINIFS($N$2:$N$5001,$B$2:$B$5001,B1887,$E$2:$E$5001,"Em ajustes"),1,0),0))</f>
        <v/>
      </c>
      <c r="N1887" s="17" t="str">
        <f aca="false">IF(A1887="","",IF(ISNUMBER(A1887),A1887,IFERROR(DATE(VALUE(MID(A1887,7,4)),VALUE(MID(A1887,4,2)),VALUE(MID(A1887,1,2)))+TIME(VALUE(MID(A1887,12,2)),VALUE(MID(A1887,15,2)),VALUE(MID(A1887,18,2))),"")))</f>
        <v/>
      </c>
    </row>
    <row r="1888" customFormat="false" ht="15" hidden="false" customHeight="false" outlineLevel="0" collapsed="false">
      <c r="I1888" s="15" t="str">
        <f aca="false">IF(N1888="","",INT(N1888))</f>
        <v/>
      </c>
      <c r="J1888" s="16" t="str">
        <f aca="false">IF(B1888="","",IF(N1888=_xlfn.MINIFS($N$2:$N$5001,$B$2:$B$5001,B1888),1,0))</f>
        <v/>
      </c>
      <c r="K1888" s="16" t="str">
        <f aca="false">IF(B1888="","",IF(AND(D1888="Formalização",E1888="Concluído"),IF(COUNTIFS($B$2:$B$5001,B1888,$E$2:$E$5001,"Em ajustes",$N$2:$N$5001,"&lt;"&amp;I1888)&gt;0,1,0),0))</f>
        <v/>
      </c>
      <c r="L1888" s="16" t="str">
        <f aca="false">IF(B1888="","",IF(N1888=_xlfn.MAXIFS($N$2:$N$5001,$B$2:$B$5001,B1888,$I$2:$I$5001,I1888),1,0))</f>
        <v/>
      </c>
      <c r="M1888" s="16" t="str">
        <f aca="false">IF(B1888="","",IF(E1888="Em ajustes",IF(N1888=_xlfn.MINIFS($N$2:$N$5001,$B$2:$B$5001,B1888,$E$2:$E$5001,"Em ajustes"),1,0),0))</f>
        <v/>
      </c>
      <c r="N1888" s="17" t="str">
        <f aca="false">IF(A1888="","",IF(ISNUMBER(A1888),A1888,IFERROR(DATE(VALUE(MID(A1888,7,4)),VALUE(MID(A1888,4,2)),VALUE(MID(A1888,1,2)))+TIME(VALUE(MID(A1888,12,2)),VALUE(MID(A1888,15,2)),VALUE(MID(A1888,18,2))),"")))</f>
        <v/>
      </c>
    </row>
    <row r="1889" customFormat="false" ht="15" hidden="false" customHeight="false" outlineLevel="0" collapsed="false">
      <c r="I1889" s="15" t="str">
        <f aca="false">IF(N1889="","",INT(N1889))</f>
        <v/>
      </c>
      <c r="J1889" s="16" t="str">
        <f aca="false">IF(B1889="","",IF(N1889=_xlfn.MINIFS($N$2:$N$5001,$B$2:$B$5001,B1889),1,0))</f>
        <v/>
      </c>
      <c r="K1889" s="16" t="str">
        <f aca="false">IF(B1889="","",IF(AND(D1889="Formalização",E1889="Concluído"),IF(COUNTIFS($B$2:$B$5001,B1889,$E$2:$E$5001,"Em ajustes",$N$2:$N$5001,"&lt;"&amp;I1889)&gt;0,1,0),0))</f>
        <v/>
      </c>
      <c r="L1889" s="16" t="str">
        <f aca="false">IF(B1889="","",IF(N1889=_xlfn.MAXIFS($N$2:$N$5001,$B$2:$B$5001,B1889,$I$2:$I$5001,I1889),1,0))</f>
        <v/>
      </c>
      <c r="M1889" s="16" t="str">
        <f aca="false">IF(B1889="","",IF(E1889="Em ajustes",IF(N1889=_xlfn.MINIFS($N$2:$N$5001,$B$2:$B$5001,B1889,$E$2:$E$5001,"Em ajustes"),1,0),0))</f>
        <v/>
      </c>
      <c r="N1889" s="17" t="str">
        <f aca="false">IF(A1889="","",IF(ISNUMBER(A1889),A1889,IFERROR(DATE(VALUE(MID(A1889,7,4)),VALUE(MID(A1889,4,2)),VALUE(MID(A1889,1,2)))+TIME(VALUE(MID(A1889,12,2)),VALUE(MID(A1889,15,2)),VALUE(MID(A1889,18,2))),"")))</f>
        <v/>
      </c>
    </row>
    <row r="1890" customFormat="false" ht="15" hidden="false" customHeight="false" outlineLevel="0" collapsed="false">
      <c r="I1890" s="15" t="str">
        <f aca="false">IF(N1890="","",INT(N1890))</f>
        <v/>
      </c>
      <c r="J1890" s="16" t="str">
        <f aca="false">IF(B1890="","",IF(N1890=_xlfn.MINIFS($N$2:$N$5001,$B$2:$B$5001,B1890),1,0))</f>
        <v/>
      </c>
      <c r="K1890" s="16" t="str">
        <f aca="false">IF(B1890="","",IF(AND(D1890="Formalização",E1890="Concluído"),IF(COUNTIFS($B$2:$B$5001,B1890,$E$2:$E$5001,"Em ajustes",$N$2:$N$5001,"&lt;"&amp;I1890)&gt;0,1,0),0))</f>
        <v/>
      </c>
      <c r="L1890" s="16" t="str">
        <f aca="false">IF(B1890="","",IF(N1890=_xlfn.MAXIFS($N$2:$N$5001,$B$2:$B$5001,B1890,$I$2:$I$5001,I1890),1,0))</f>
        <v/>
      </c>
      <c r="M1890" s="16" t="str">
        <f aca="false">IF(B1890="","",IF(E1890="Em ajustes",IF(N1890=_xlfn.MINIFS($N$2:$N$5001,$B$2:$B$5001,B1890,$E$2:$E$5001,"Em ajustes"),1,0),0))</f>
        <v/>
      </c>
      <c r="N1890" s="17" t="str">
        <f aca="false">IF(A1890="","",IF(ISNUMBER(A1890),A1890,IFERROR(DATE(VALUE(MID(A1890,7,4)),VALUE(MID(A1890,4,2)),VALUE(MID(A1890,1,2)))+TIME(VALUE(MID(A1890,12,2)),VALUE(MID(A1890,15,2)),VALUE(MID(A1890,18,2))),"")))</f>
        <v/>
      </c>
    </row>
    <row r="1891" customFormat="false" ht="15" hidden="false" customHeight="false" outlineLevel="0" collapsed="false">
      <c r="I1891" s="15" t="str">
        <f aca="false">IF(N1891="","",INT(N1891))</f>
        <v/>
      </c>
      <c r="J1891" s="16" t="str">
        <f aca="false">IF(B1891="","",IF(N1891=_xlfn.MINIFS($N$2:$N$5001,$B$2:$B$5001,B1891),1,0))</f>
        <v/>
      </c>
      <c r="K1891" s="16" t="str">
        <f aca="false">IF(B1891="","",IF(AND(D1891="Formalização",E1891="Concluído"),IF(COUNTIFS($B$2:$B$5001,B1891,$E$2:$E$5001,"Em ajustes",$N$2:$N$5001,"&lt;"&amp;I1891)&gt;0,1,0),0))</f>
        <v/>
      </c>
      <c r="L1891" s="16" t="str">
        <f aca="false">IF(B1891="","",IF(N1891=_xlfn.MAXIFS($N$2:$N$5001,$B$2:$B$5001,B1891,$I$2:$I$5001,I1891),1,0))</f>
        <v/>
      </c>
      <c r="M1891" s="16" t="str">
        <f aca="false">IF(B1891="","",IF(E1891="Em ajustes",IF(N1891=_xlfn.MINIFS($N$2:$N$5001,$B$2:$B$5001,B1891,$E$2:$E$5001,"Em ajustes"),1,0),0))</f>
        <v/>
      </c>
      <c r="N1891" s="17" t="str">
        <f aca="false">IF(A1891="","",IF(ISNUMBER(A1891),A1891,IFERROR(DATE(VALUE(MID(A1891,7,4)),VALUE(MID(A1891,4,2)),VALUE(MID(A1891,1,2)))+TIME(VALUE(MID(A1891,12,2)),VALUE(MID(A1891,15,2)),VALUE(MID(A1891,18,2))),"")))</f>
        <v/>
      </c>
    </row>
    <row r="1892" customFormat="false" ht="15" hidden="false" customHeight="false" outlineLevel="0" collapsed="false">
      <c r="I1892" s="15" t="str">
        <f aca="false">IF(N1892="","",INT(N1892))</f>
        <v/>
      </c>
      <c r="J1892" s="16" t="str">
        <f aca="false">IF(B1892="","",IF(N1892=_xlfn.MINIFS($N$2:$N$5001,$B$2:$B$5001,B1892),1,0))</f>
        <v/>
      </c>
      <c r="K1892" s="16" t="str">
        <f aca="false">IF(B1892="","",IF(AND(D1892="Formalização",E1892="Concluído"),IF(COUNTIFS($B$2:$B$5001,B1892,$E$2:$E$5001,"Em ajustes",$N$2:$N$5001,"&lt;"&amp;I1892)&gt;0,1,0),0))</f>
        <v/>
      </c>
      <c r="L1892" s="16" t="str">
        <f aca="false">IF(B1892="","",IF(N1892=_xlfn.MAXIFS($N$2:$N$5001,$B$2:$B$5001,B1892,$I$2:$I$5001,I1892),1,0))</f>
        <v/>
      </c>
      <c r="M1892" s="16" t="str">
        <f aca="false">IF(B1892="","",IF(E1892="Em ajustes",IF(N1892=_xlfn.MINIFS($N$2:$N$5001,$B$2:$B$5001,B1892,$E$2:$E$5001,"Em ajustes"),1,0),0))</f>
        <v/>
      </c>
      <c r="N1892" s="17" t="str">
        <f aca="false">IF(A1892="","",IF(ISNUMBER(A1892),A1892,IFERROR(DATE(VALUE(MID(A1892,7,4)),VALUE(MID(A1892,4,2)),VALUE(MID(A1892,1,2)))+TIME(VALUE(MID(A1892,12,2)),VALUE(MID(A1892,15,2)),VALUE(MID(A1892,18,2))),"")))</f>
        <v/>
      </c>
    </row>
    <row r="1893" customFormat="false" ht="15" hidden="false" customHeight="false" outlineLevel="0" collapsed="false">
      <c r="I1893" s="15" t="str">
        <f aca="false">IF(N1893="","",INT(N1893))</f>
        <v/>
      </c>
      <c r="J1893" s="16" t="str">
        <f aca="false">IF(B1893="","",IF(N1893=_xlfn.MINIFS($N$2:$N$5001,$B$2:$B$5001,B1893),1,0))</f>
        <v/>
      </c>
      <c r="K1893" s="16" t="str">
        <f aca="false">IF(B1893="","",IF(AND(D1893="Formalização",E1893="Concluído"),IF(COUNTIFS($B$2:$B$5001,B1893,$E$2:$E$5001,"Em ajustes",$N$2:$N$5001,"&lt;"&amp;I1893)&gt;0,1,0),0))</f>
        <v/>
      </c>
      <c r="L1893" s="16" t="str">
        <f aca="false">IF(B1893="","",IF(N1893=_xlfn.MAXIFS($N$2:$N$5001,$B$2:$B$5001,B1893,$I$2:$I$5001,I1893),1,0))</f>
        <v/>
      </c>
      <c r="M1893" s="16" t="str">
        <f aca="false">IF(B1893="","",IF(E1893="Em ajustes",IF(N1893=_xlfn.MINIFS($N$2:$N$5001,$B$2:$B$5001,B1893,$E$2:$E$5001,"Em ajustes"),1,0),0))</f>
        <v/>
      </c>
      <c r="N1893" s="17" t="str">
        <f aca="false">IF(A1893="","",IF(ISNUMBER(A1893),A1893,IFERROR(DATE(VALUE(MID(A1893,7,4)),VALUE(MID(A1893,4,2)),VALUE(MID(A1893,1,2)))+TIME(VALUE(MID(A1893,12,2)),VALUE(MID(A1893,15,2)),VALUE(MID(A1893,18,2))),"")))</f>
        <v/>
      </c>
    </row>
    <row r="1894" customFormat="false" ht="15" hidden="false" customHeight="false" outlineLevel="0" collapsed="false">
      <c r="I1894" s="15" t="str">
        <f aca="false">IF(N1894="","",INT(N1894))</f>
        <v/>
      </c>
      <c r="J1894" s="16" t="str">
        <f aca="false">IF(B1894="","",IF(N1894=_xlfn.MINIFS($N$2:$N$5001,$B$2:$B$5001,B1894),1,0))</f>
        <v/>
      </c>
      <c r="K1894" s="16" t="str">
        <f aca="false">IF(B1894="","",IF(AND(D1894="Formalização",E1894="Concluído"),IF(COUNTIFS($B$2:$B$5001,B1894,$E$2:$E$5001,"Em ajustes",$N$2:$N$5001,"&lt;"&amp;I1894)&gt;0,1,0),0))</f>
        <v/>
      </c>
      <c r="L1894" s="16" t="str">
        <f aca="false">IF(B1894="","",IF(N1894=_xlfn.MAXIFS($N$2:$N$5001,$B$2:$B$5001,B1894,$I$2:$I$5001,I1894),1,0))</f>
        <v/>
      </c>
      <c r="M1894" s="16" t="str">
        <f aca="false">IF(B1894="","",IF(E1894="Em ajustes",IF(N1894=_xlfn.MINIFS($N$2:$N$5001,$B$2:$B$5001,B1894,$E$2:$E$5001,"Em ajustes"),1,0),0))</f>
        <v/>
      </c>
      <c r="N1894" s="17" t="str">
        <f aca="false">IF(A1894="","",IF(ISNUMBER(A1894),A1894,IFERROR(DATE(VALUE(MID(A1894,7,4)),VALUE(MID(A1894,4,2)),VALUE(MID(A1894,1,2)))+TIME(VALUE(MID(A1894,12,2)),VALUE(MID(A1894,15,2)),VALUE(MID(A1894,18,2))),"")))</f>
        <v/>
      </c>
    </row>
    <row r="1895" customFormat="false" ht="15" hidden="false" customHeight="false" outlineLevel="0" collapsed="false">
      <c r="I1895" s="15" t="str">
        <f aca="false">IF(N1895="","",INT(N1895))</f>
        <v/>
      </c>
      <c r="J1895" s="16" t="str">
        <f aca="false">IF(B1895="","",IF(N1895=_xlfn.MINIFS($N$2:$N$5001,$B$2:$B$5001,B1895),1,0))</f>
        <v/>
      </c>
      <c r="K1895" s="16" t="str">
        <f aca="false">IF(B1895="","",IF(AND(D1895="Formalização",E1895="Concluído"),IF(COUNTIFS($B$2:$B$5001,B1895,$E$2:$E$5001,"Em ajustes",$N$2:$N$5001,"&lt;"&amp;I1895)&gt;0,1,0),0))</f>
        <v/>
      </c>
      <c r="L1895" s="16" t="str">
        <f aca="false">IF(B1895="","",IF(N1895=_xlfn.MAXIFS($N$2:$N$5001,$B$2:$B$5001,B1895,$I$2:$I$5001,I1895),1,0))</f>
        <v/>
      </c>
      <c r="M1895" s="16" t="str">
        <f aca="false">IF(B1895="","",IF(E1895="Em ajustes",IF(N1895=_xlfn.MINIFS($N$2:$N$5001,$B$2:$B$5001,B1895,$E$2:$E$5001,"Em ajustes"),1,0),0))</f>
        <v/>
      </c>
      <c r="N1895" s="17" t="str">
        <f aca="false">IF(A1895="","",IF(ISNUMBER(A1895),A1895,IFERROR(DATE(VALUE(MID(A1895,7,4)),VALUE(MID(A1895,4,2)),VALUE(MID(A1895,1,2)))+TIME(VALUE(MID(A1895,12,2)),VALUE(MID(A1895,15,2)),VALUE(MID(A1895,18,2))),"")))</f>
        <v/>
      </c>
    </row>
    <row r="1896" customFormat="false" ht="15" hidden="false" customHeight="false" outlineLevel="0" collapsed="false">
      <c r="I1896" s="15" t="str">
        <f aca="false">IF(N1896="","",INT(N1896))</f>
        <v/>
      </c>
      <c r="J1896" s="16" t="str">
        <f aca="false">IF(B1896="","",IF(N1896=_xlfn.MINIFS($N$2:$N$5001,$B$2:$B$5001,B1896),1,0))</f>
        <v/>
      </c>
      <c r="K1896" s="16" t="str">
        <f aca="false">IF(B1896="","",IF(AND(D1896="Formalização",E1896="Concluído"),IF(COUNTIFS($B$2:$B$5001,B1896,$E$2:$E$5001,"Em ajustes",$N$2:$N$5001,"&lt;"&amp;I1896)&gt;0,1,0),0))</f>
        <v/>
      </c>
      <c r="L1896" s="16" t="str">
        <f aca="false">IF(B1896="","",IF(N1896=_xlfn.MAXIFS($N$2:$N$5001,$B$2:$B$5001,B1896,$I$2:$I$5001,I1896),1,0))</f>
        <v/>
      </c>
      <c r="M1896" s="16" t="str">
        <f aca="false">IF(B1896="","",IF(E1896="Em ajustes",IF(N1896=_xlfn.MINIFS($N$2:$N$5001,$B$2:$B$5001,B1896,$E$2:$E$5001,"Em ajustes"),1,0),0))</f>
        <v/>
      </c>
      <c r="N1896" s="17" t="str">
        <f aca="false">IF(A1896="","",IF(ISNUMBER(A1896),A1896,IFERROR(DATE(VALUE(MID(A1896,7,4)),VALUE(MID(A1896,4,2)),VALUE(MID(A1896,1,2)))+TIME(VALUE(MID(A1896,12,2)),VALUE(MID(A1896,15,2)),VALUE(MID(A1896,18,2))),"")))</f>
        <v/>
      </c>
    </row>
    <row r="1897" customFormat="false" ht="15" hidden="false" customHeight="false" outlineLevel="0" collapsed="false">
      <c r="I1897" s="15" t="str">
        <f aca="false">IF(N1897="","",INT(N1897))</f>
        <v/>
      </c>
      <c r="J1897" s="16" t="str">
        <f aca="false">IF(B1897="","",IF(N1897=_xlfn.MINIFS($N$2:$N$5001,$B$2:$B$5001,B1897),1,0))</f>
        <v/>
      </c>
      <c r="K1897" s="16" t="str">
        <f aca="false">IF(B1897="","",IF(AND(D1897="Formalização",E1897="Concluído"),IF(COUNTIFS($B$2:$B$5001,B1897,$E$2:$E$5001,"Em ajustes",$N$2:$N$5001,"&lt;"&amp;I1897)&gt;0,1,0),0))</f>
        <v/>
      </c>
      <c r="L1897" s="16" t="str">
        <f aca="false">IF(B1897="","",IF(N1897=_xlfn.MAXIFS($N$2:$N$5001,$B$2:$B$5001,B1897,$I$2:$I$5001,I1897),1,0))</f>
        <v/>
      </c>
      <c r="M1897" s="16" t="str">
        <f aca="false">IF(B1897="","",IF(E1897="Em ajustes",IF(N1897=_xlfn.MINIFS($N$2:$N$5001,$B$2:$B$5001,B1897,$E$2:$E$5001,"Em ajustes"),1,0),0))</f>
        <v/>
      </c>
      <c r="N1897" s="17" t="str">
        <f aca="false">IF(A1897="","",IF(ISNUMBER(A1897),A1897,IFERROR(DATE(VALUE(MID(A1897,7,4)),VALUE(MID(A1897,4,2)),VALUE(MID(A1897,1,2)))+TIME(VALUE(MID(A1897,12,2)),VALUE(MID(A1897,15,2)),VALUE(MID(A1897,18,2))),"")))</f>
        <v/>
      </c>
    </row>
    <row r="1898" customFormat="false" ht="15" hidden="false" customHeight="false" outlineLevel="0" collapsed="false">
      <c r="I1898" s="15" t="str">
        <f aca="false">IF(N1898="","",INT(N1898))</f>
        <v/>
      </c>
      <c r="J1898" s="16" t="str">
        <f aca="false">IF(B1898="","",IF(N1898=_xlfn.MINIFS($N$2:$N$5001,$B$2:$B$5001,B1898),1,0))</f>
        <v/>
      </c>
      <c r="K1898" s="16" t="str">
        <f aca="false">IF(B1898="","",IF(AND(D1898="Formalização",E1898="Concluído"),IF(COUNTIFS($B$2:$B$5001,B1898,$E$2:$E$5001,"Em ajustes",$N$2:$N$5001,"&lt;"&amp;I1898)&gt;0,1,0),0))</f>
        <v/>
      </c>
      <c r="L1898" s="16" t="str">
        <f aca="false">IF(B1898="","",IF(N1898=_xlfn.MAXIFS($N$2:$N$5001,$B$2:$B$5001,B1898,$I$2:$I$5001,I1898),1,0))</f>
        <v/>
      </c>
      <c r="M1898" s="16" t="str">
        <f aca="false">IF(B1898="","",IF(E1898="Em ajustes",IF(N1898=_xlfn.MINIFS($N$2:$N$5001,$B$2:$B$5001,B1898,$E$2:$E$5001,"Em ajustes"),1,0),0))</f>
        <v/>
      </c>
      <c r="N1898" s="17" t="str">
        <f aca="false">IF(A1898="","",IF(ISNUMBER(A1898),A1898,IFERROR(DATE(VALUE(MID(A1898,7,4)),VALUE(MID(A1898,4,2)),VALUE(MID(A1898,1,2)))+TIME(VALUE(MID(A1898,12,2)),VALUE(MID(A1898,15,2)),VALUE(MID(A1898,18,2))),"")))</f>
        <v/>
      </c>
    </row>
    <row r="1899" customFormat="false" ht="15" hidden="false" customHeight="false" outlineLevel="0" collapsed="false">
      <c r="I1899" s="15" t="str">
        <f aca="false">IF(N1899="","",INT(N1899))</f>
        <v/>
      </c>
      <c r="J1899" s="16" t="str">
        <f aca="false">IF(B1899="","",IF(N1899=_xlfn.MINIFS($N$2:$N$5001,$B$2:$B$5001,B1899),1,0))</f>
        <v/>
      </c>
      <c r="K1899" s="16" t="str">
        <f aca="false">IF(B1899="","",IF(AND(D1899="Formalização",E1899="Concluído"),IF(COUNTIFS($B$2:$B$5001,B1899,$E$2:$E$5001,"Em ajustes",$N$2:$N$5001,"&lt;"&amp;I1899)&gt;0,1,0),0))</f>
        <v/>
      </c>
      <c r="L1899" s="16" t="str">
        <f aca="false">IF(B1899="","",IF(N1899=_xlfn.MAXIFS($N$2:$N$5001,$B$2:$B$5001,B1899,$I$2:$I$5001,I1899),1,0))</f>
        <v/>
      </c>
      <c r="M1899" s="16" t="str">
        <f aca="false">IF(B1899="","",IF(E1899="Em ajustes",IF(N1899=_xlfn.MINIFS($N$2:$N$5001,$B$2:$B$5001,B1899,$E$2:$E$5001,"Em ajustes"),1,0),0))</f>
        <v/>
      </c>
      <c r="N1899" s="17" t="str">
        <f aca="false">IF(A1899="","",IF(ISNUMBER(A1899),A1899,IFERROR(DATE(VALUE(MID(A1899,7,4)),VALUE(MID(A1899,4,2)),VALUE(MID(A1899,1,2)))+TIME(VALUE(MID(A1899,12,2)),VALUE(MID(A1899,15,2)),VALUE(MID(A1899,18,2))),"")))</f>
        <v/>
      </c>
    </row>
    <row r="1900" customFormat="false" ht="15" hidden="false" customHeight="false" outlineLevel="0" collapsed="false">
      <c r="I1900" s="15" t="str">
        <f aca="false">IF(N1900="","",INT(N1900))</f>
        <v/>
      </c>
      <c r="J1900" s="16" t="str">
        <f aca="false">IF(B1900="","",IF(N1900=_xlfn.MINIFS($N$2:$N$5001,$B$2:$B$5001,B1900),1,0))</f>
        <v/>
      </c>
      <c r="K1900" s="16" t="str">
        <f aca="false">IF(B1900="","",IF(AND(D1900="Formalização",E1900="Concluído"),IF(COUNTIFS($B$2:$B$5001,B1900,$E$2:$E$5001,"Em ajustes",$N$2:$N$5001,"&lt;"&amp;I1900)&gt;0,1,0),0))</f>
        <v/>
      </c>
      <c r="L1900" s="16" t="str">
        <f aca="false">IF(B1900="","",IF(N1900=_xlfn.MAXIFS($N$2:$N$5001,$B$2:$B$5001,B1900,$I$2:$I$5001,I1900),1,0))</f>
        <v/>
      </c>
      <c r="M1900" s="16" t="str">
        <f aca="false">IF(B1900="","",IF(E1900="Em ajustes",IF(N1900=_xlfn.MINIFS($N$2:$N$5001,$B$2:$B$5001,B1900,$E$2:$E$5001,"Em ajustes"),1,0),0))</f>
        <v/>
      </c>
      <c r="N1900" s="17" t="str">
        <f aca="false">IF(A1900="","",IF(ISNUMBER(A1900),A1900,IFERROR(DATE(VALUE(MID(A1900,7,4)),VALUE(MID(A1900,4,2)),VALUE(MID(A1900,1,2)))+TIME(VALUE(MID(A1900,12,2)),VALUE(MID(A1900,15,2)),VALUE(MID(A1900,18,2))),"")))</f>
        <v/>
      </c>
    </row>
    <row r="1901" customFormat="false" ht="15" hidden="false" customHeight="false" outlineLevel="0" collapsed="false">
      <c r="I1901" s="15" t="str">
        <f aca="false">IF(N1901="","",INT(N1901))</f>
        <v/>
      </c>
      <c r="J1901" s="16" t="str">
        <f aca="false">IF(B1901="","",IF(N1901=_xlfn.MINIFS($N$2:$N$5001,$B$2:$B$5001,B1901),1,0))</f>
        <v/>
      </c>
      <c r="K1901" s="16" t="str">
        <f aca="false">IF(B1901="","",IF(AND(D1901="Formalização",E1901="Concluído"),IF(COUNTIFS($B$2:$B$5001,B1901,$E$2:$E$5001,"Em ajustes",$N$2:$N$5001,"&lt;"&amp;I1901)&gt;0,1,0),0))</f>
        <v/>
      </c>
      <c r="L1901" s="16" t="str">
        <f aca="false">IF(B1901="","",IF(N1901=_xlfn.MAXIFS($N$2:$N$5001,$B$2:$B$5001,B1901,$I$2:$I$5001,I1901),1,0))</f>
        <v/>
      </c>
      <c r="M1901" s="16" t="str">
        <f aca="false">IF(B1901="","",IF(E1901="Em ajustes",IF(N1901=_xlfn.MINIFS($N$2:$N$5001,$B$2:$B$5001,B1901,$E$2:$E$5001,"Em ajustes"),1,0),0))</f>
        <v/>
      </c>
      <c r="N1901" s="17" t="str">
        <f aca="false">IF(A1901="","",IF(ISNUMBER(A1901),A1901,IFERROR(DATE(VALUE(MID(A1901,7,4)),VALUE(MID(A1901,4,2)),VALUE(MID(A1901,1,2)))+TIME(VALUE(MID(A1901,12,2)),VALUE(MID(A1901,15,2)),VALUE(MID(A1901,18,2))),"")))</f>
        <v/>
      </c>
    </row>
    <row r="1902" customFormat="false" ht="15" hidden="false" customHeight="false" outlineLevel="0" collapsed="false">
      <c r="I1902" s="15" t="str">
        <f aca="false">IF(N1902="","",INT(N1902))</f>
        <v/>
      </c>
      <c r="J1902" s="16" t="str">
        <f aca="false">IF(B1902="","",IF(N1902=_xlfn.MINIFS($N$2:$N$5001,$B$2:$B$5001,B1902),1,0))</f>
        <v/>
      </c>
      <c r="K1902" s="16" t="str">
        <f aca="false">IF(B1902="","",IF(AND(D1902="Formalização",E1902="Concluído"),IF(COUNTIFS($B$2:$B$5001,B1902,$E$2:$E$5001,"Em ajustes",$N$2:$N$5001,"&lt;"&amp;I1902)&gt;0,1,0),0))</f>
        <v/>
      </c>
      <c r="L1902" s="16" t="str">
        <f aca="false">IF(B1902="","",IF(N1902=_xlfn.MAXIFS($N$2:$N$5001,$B$2:$B$5001,B1902,$I$2:$I$5001,I1902),1,0))</f>
        <v/>
      </c>
      <c r="M1902" s="16" t="str">
        <f aca="false">IF(B1902="","",IF(E1902="Em ajustes",IF(N1902=_xlfn.MINIFS($N$2:$N$5001,$B$2:$B$5001,B1902,$E$2:$E$5001,"Em ajustes"),1,0),0))</f>
        <v/>
      </c>
      <c r="N1902" s="17" t="str">
        <f aca="false">IF(A1902="","",IF(ISNUMBER(A1902),A1902,IFERROR(DATE(VALUE(MID(A1902,7,4)),VALUE(MID(A1902,4,2)),VALUE(MID(A1902,1,2)))+TIME(VALUE(MID(A1902,12,2)),VALUE(MID(A1902,15,2)),VALUE(MID(A1902,18,2))),"")))</f>
        <v/>
      </c>
    </row>
    <row r="1903" customFormat="false" ht="15" hidden="false" customHeight="false" outlineLevel="0" collapsed="false">
      <c r="I1903" s="15" t="str">
        <f aca="false">IF(N1903="","",INT(N1903))</f>
        <v/>
      </c>
      <c r="J1903" s="16" t="str">
        <f aca="false">IF(B1903="","",IF(N1903=_xlfn.MINIFS($N$2:$N$5001,$B$2:$B$5001,B1903),1,0))</f>
        <v/>
      </c>
      <c r="K1903" s="16" t="str">
        <f aca="false">IF(B1903="","",IF(AND(D1903="Formalização",E1903="Concluído"),IF(COUNTIFS($B$2:$B$5001,B1903,$E$2:$E$5001,"Em ajustes",$N$2:$N$5001,"&lt;"&amp;I1903)&gt;0,1,0),0))</f>
        <v/>
      </c>
      <c r="L1903" s="16" t="str">
        <f aca="false">IF(B1903="","",IF(N1903=_xlfn.MAXIFS($N$2:$N$5001,$B$2:$B$5001,B1903,$I$2:$I$5001,I1903),1,0))</f>
        <v/>
      </c>
      <c r="M1903" s="16" t="str">
        <f aca="false">IF(B1903="","",IF(E1903="Em ajustes",IF(N1903=_xlfn.MINIFS($N$2:$N$5001,$B$2:$B$5001,B1903,$E$2:$E$5001,"Em ajustes"),1,0),0))</f>
        <v/>
      </c>
      <c r="N1903" s="17" t="str">
        <f aca="false">IF(A1903="","",IF(ISNUMBER(A1903),A1903,IFERROR(DATE(VALUE(MID(A1903,7,4)),VALUE(MID(A1903,4,2)),VALUE(MID(A1903,1,2)))+TIME(VALUE(MID(A1903,12,2)),VALUE(MID(A1903,15,2)),VALUE(MID(A1903,18,2))),"")))</f>
        <v/>
      </c>
    </row>
    <row r="1904" customFormat="false" ht="15" hidden="false" customHeight="false" outlineLevel="0" collapsed="false">
      <c r="I1904" s="15" t="str">
        <f aca="false">IF(N1904="","",INT(N1904))</f>
        <v/>
      </c>
      <c r="J1904" s="16" t="str">
        <f aca="false">IF(B1904="","",IF(N1904=_xlfn.MINIFS($N$2:$N$5001,$B$2:$B$5001,B1904),1,0))</f>
        <v/>
      </c>
      <c r="K1904" s="16" t="str">
        <f aca="false">IF(B1904="","",IF(AND(D1904="Formalização",E1904="Concluído"),IF(COUNTIFS($B$2:$B$5001,B1904,$E$2:$E$5001,"Em ajustes",$N$2:$N$5001,"&lt;"&amp;I1904)&gt;0,1,0),0))</f>
        <v/>
      </c>
      <c r="L1904" s="16" t="str">
        <f aca="false">IF(B1904="","",IF(N1904=_xlfn.MAXIFS($N$2:$N$5001,$B$2:$B$5001,B1904,$I$2:$I$5001,I1904),1,0))</f>
        <v/>
      </c>
      <c r="M1904" s="16" t="str">
        <f aca="false">IF(B1904="","",IF(E1904="Em ajustes",IF(N1904=_xlfn.MINIFS($N$2:$N$5001,$B$2:$B$5001,B1904,$E$2:$E$5001,"Em ajustes"),1,0),0))</f>
        <v/>
      </c>
      <c r="N1904" s="17" t="str">
        <f aca="false">IF(A1904="","",IF(ISNUMBER(A1904),A1904,IFERROR(DATE(VALUE(MID(A1904,7,4)),VALUE(MID(A1904,4,2)),VALUE(MID(A1904,1,2)))+TIME(VALUE(MID(A1904,12,2)),VALUE(MID(A1904,15,2)),VALUE(MID(A1904,18,2))),"")))</f>
        <v/>
      </c>
    </row>
    <row r="1905" customFormat="false" ht="15" hidden="false" customHeight="false" outlineLevel="0" collapsed="false">
      <c r="I1905" s="15" t="str">
        <f aca="false">IF(N1905="","",INT(N1905))</f>
        <v/>
      </c>
      <c r="J1905" s="16" t="str">
        <f aca="false">IF(B1905="","",IF(N1905=_xlfn.MINIFS($N$2:$N$5001,$B$2:$B$5001,B1905),1,0))</f>
        <v/>
      </c>
      <c r="K1905" s="16" t="str">
        <f aca="false">IF(B1905="","",IF(AND(D1905="Formalização",E1905="Concluído"),IF(COUNTIFS($B$2:$B$5001,B1905,$E$2:$E$5001,"Em ajustes",$N$2:$N$5001,"&lt;"&amp;I1905)&gt;0,1,0),0))</f>
        <v/>
      </c>
      <c r="L1905" s="16" t="str">
        <f aca="false">IF(B1905="","",IF(N1905=_xlfn.MAXIFS($N$2:$N$5001,$B$2:$B$5001,B1905,$I$2:$I$5001,I1905),1,0))</f>
        <v/>
      </c>
      <c r="M1905" s="16" t="str">
        <f aca="false">IF(B1905="","",IF(E1905="Em ajustes",IF(N1905=_xlfn.MINIFS($N$2:$N$5001,$B$2:$B$5001,B1905,$E$2:$E$5001,"Em ajustes"),1,0),0))</f>
        <v/>
      </c>
      <c r="N1905" s="17" t="str">
        <f aca="false">IF(A1905="","",IF(ISNUMBER(A1905),A1905,IFERROR(DATE(VALUE(MID(A1905,7,4)),VALUE(MID(A1905,4,2)),VALUE(MID(A1905,1,2)))+TIME(VALUE(MID(A1905,12,2)),VALUE(MID(A1905,15,2)),VALUE(MID(A1905,18,2))),"")))</f>
        <v/>
      </c>
    </row>
    <row r="1906" customFormat="false" ht="15" hidden="false" customHeight="false" outlineLevel="0" collapsed="false">
      <c r="I1906" s="15" t="str">
        <f aca="false">IF(N1906="","",INT(N1906))</f>
        <v/>
      </c>
      <c r="J1906" s="16" t="str">
        <f aca="false">IF(B1906="","",IF(N1906=_xlfn.MINIFS($N$2:$N$5001,$B$2:$B$5001,B1906),1,0))</f>
        <v/>
      </c>
      <c r="K1906" s="16" t="str">
        <f aca="false">IF(B1906="","",IF(AND(D1906="Formalização",E1906="Concluído"),IF(COUNTIFS($B$2:$B$5001,B1906,$E$2:$E$5001,"Em ajustes",$N$2:$N$5001,"&lt;"&amp;I1906)&gt;0,1,0),0))</f>
        <v/>
      </c>
      <c r="L1906" s="16" t="str">
        <f aca="false">IF(B1906="","",IF(N1906=_xlfn.MAXIFS($N$2:$N$5001,$B$2:$B$5001,B1906,$I$2:$I$5001,I1906),1,0))</f>
        <v/>
      </c>
      <c r="M1906" s="16" t="str">
        <f aca="false">IF(B1906="","",IF(E1906="Em ajustes",IF(N1906=_xlfn.MINIFS($N$2:$N$5001,$B$2:$B$5001,B1906,$E$2:$E$5001,"Em ajustes"),1,0),0))</f>
        <v/>
      </c>
      <c r="N1906" s="17" t="str">
        <f aca="false">IF(A1906="","",IF(ISNUMBER(A1906),A1906,IFERROR(DATE(VALUE(MID(A1906,7,4)),VALUE(MID(A1906,4,2)),VALUE(MID(A1906,1,2)))+TIME(VALUE(MID(A1906,12,2)),VALUE(MID(A1906,15,2)),VALUE(MID(A1906,18,2))),"")))</f>
        <v/>
      </c>
    </row>
    <row r="1907" customFormat="false" ht="15" hidden="false" customHeight="false" outlineLevel="0" collapsed="false">
      <c r="I1907" s="15" t="str">
        <f aca="false">IF(N1907="","",INT(N1907))</f>
        <v/>
      </c>
      <c r="J1907" s="16" t="str">
        <f aca="false">IF(B1907="","",IF(N1907=_xlfn.MINIFS($N$2:$N$5001,$B$2:$B$5001,B1907),1,0))</f>
        <v/>
      </c>
      <c r="K1907" s="16" t="str">
        <f aca="false">IF(B1907="","",IF(AND(D1907="Formalização",E1907="Concluído"),IF(COUNTIFS($B$2:$B$5001,B1907,$E$2:$E$5001,"Em ajustes",$N$2:$N$5001,"&lt;"&amp;I1907)&gt;0,1,0),0))</f>
        <v/>
      </c>
      <c r="L1907" s="16" t="str">
        <f aca="false">IF(B1907="","",IF(N1907=_xlfn.MAXIFS($N$2:$N$5001,$B$2:$B$5001,B1907,$I$2:$I$5001,I1907),1,0))</f>
        <v/>
      </c>
      <c r="M1907" s="16" t="str">
        <f aca="false">IF(B1907="","",IF(E1907="Em ajustes",IF(N1907=_xlfn.MINIFS($N$2:$N$5001,$B$2:$B$5001,B1907,$E$2:$E$5001,"Em ajustes"),1,0),0))</f>
        <v/>
      </c>
      <c r="N1907" s="17" t="str">
        <f aca="false">IF(A1907="","",IF(ISNUMBER(A1907),A1907,IFERROR(DATE(VALUE(MID(A1907,7,4)),VALUE(MID(A1907,4,2)),VALUE(MID(A1907,1,2)))+TIME(VALUE(MID(A1907,12,2)),VALUE(MID(A1907,15,2)),VALUE(MID(A1907,18,2))),"")))</f>
        <v/>
      </c>
    </row>
    <row r="1908" customFormat="false" ht="15" hidden="false" customHeight="false" outlineLevel="0" collapsed="false">
      <c r="I1908" s="15" t="str">
        <f aca="false">IF(N1908="","",INT(N1908))</f>
        <v/>
      </c>
      <c r="J1908" s="16" t="str">
        <f aca="false">IF(B1908="","",IF(N1908=_xlfn.MINIFS($N$2:$N$5001,$B$2:$B$5001,B1908),1,0))</f>
        <v/>
      </c>
      <c r="K1908" s="16" t="str">
        <f aca="false">IF(B1908="","",IF(AND(D1908="Formalização",E1908="Concluído"),IF(COUNTIFS($B$2:$B$5001,B1908,$E$2:$E$5001,"Em ajustes",$N$2:$N$5001,"&lt;"&amp;I1908)&gt;0,1,0),0))</f>
        <v/>
      </c>
      <c r="L1908" s="16" t="str">
        <f aca="false">IF(B1908="","",IF(N1908=_xlfn.MAXIFS($N$2:$N$5001,$B$2:$B$5001,B1908,$I$2:$I$5001,I1908),1,0))</f>
        <v/>
      </c>
      <c r="M1908" s="16" t="str">
        <f aca="false">IF(B1908="","",IF(E1908="Em ajustes",IF(N1908=_xlfn.MINIFS($N$2:$N$5001,$B$2:$B$5001,B1908,$E$2:$E$5001,"Em ajustes"),1,0),0))</f>
        <v/>
      </c>
      <c r="N1908" s="17" t="str">
        <f aca="false">IF(A1908="","",IF(ISNUMBER(A1908),A1908,IFERROR(DATE(VALUE(MID(A1908,7,4)),VALUE(MID(A1908,4,2)),VALUE(MID(A1908,1,2)))+TIME(VALUE(MID(A1908,12,2)),VALUE(MID(A1908,15,2)),VALUE(MID(A1908,18,2))),"")))</f>
        <v/>
      </c>
    </row>
    <row r="1909" customFormat="false" ht="15" hidden="false" customHeight="false" outlineLevel="0" collapsed="false">
      <c r="I1909" s="15" t="str">
        <f aca="false">IF(N1909="","",INT(N1909))</f>
        <v/>
      </c>
      <c r="J1909" s="16" t="str">
        <f aca="false">IF(B1909="","",IF(N1909=_xlfn.MINIFS($N$2:$N$5001,$B$2:$B$5001,B1909),1,0))</f>
        <v/>
      </c>
      <c r="K1909" s="16" t="str">
        <f aca="false">IF(B1909="","",IF(AND(D1909="Formalização",E1909="Concluído"),IF(COUNTIFS($B$2:$B$5001,B1909,$E$2:$E$5001,"Em ajustes",$N$2:$N$5001,"&lt;"&amp;I1909)&gt;0,1,0),0))</f>
        <v/>
      </c>
      <c r="L1909" s="16" t="str">
        <f aca="false">IF(B1909="","",IF(N1909=_xlfn.MAXIFS($N$2:$N$5001,$B$2:$B$5001,B1909,$I$2:$I$5001,I1909),1,0))</f>
        <v/>
      </c>
      <c r="M1909" s="16" t="str">
        <f aca="false">IF(B1909="","",IF(E1909="Em ajustes",IF(N1909=_xlfn.MINIFS($N$2:$N$5001,$B$2:$B$5001,B1909,$E$2:$E$5001,"Em ajustes"),1,0),0))</f>
        <v/>
      </c>
      <c r="N1909" s="17" t="str">
        <f aca="false">IF(A1909="","",IF(ISNUMBER(A1909),A1909,IFERROR(DATE(VALUE(MID(A1909,7,4)),VALUE(MID(A1909,4,2)),VALUE(MID(A1909,1,2)))+TIME(VALUE(MID(A1909,12,2)),VALUE(MID(A1909,15,2)),VALUE(MID(A1909,18,2))),"")))</f>
        <v/>
      </c>
    </row>
    <row r="1910" customFormat="false" ht="15" hidden="false" customHeight="false" outlineLevel="0" collapsed="false">
      <c r="I1910" s="15" t="str">
        <f aca="false">IF(N1910="","",INT(N1910))</f>
        <v/>
      </c>
      <c r="J1910" s="16" t="str">
        <f aca="false">IF(B1910="","",IF(N1910=_xlfn.MINIFS($N$2:$N$5001,$B$2:$B$5001,B1910),1,0))</f>
        <v/>
      </c>
      <c r="K1910" s="16" t="str">
        <f aca="false">IF(B1910="","",IF(AND(D1910="Formalização",E1910="Concluído"),IF(COUNTIFS($B$2:$B$5001,B1910,$E$2:$E$5001,"Em ajustes",$N$2:$N$5001,"&lt;"&amp;I1910)&gt;0,1,0),0))</f>
        <v/>
      </c>
      <c r="L1910" s="16" t="str">
        <f aca="false">IF(B1910="","",IF(N1910=_xlfn.MAXIFS($N$2:$N$5001,$B$2:$B$5001,B1910,$I$2:$I$5001,I1910),1,0))</f>
        <v/>
      </c>
      <c r="M1910" s="16" t="str">
        <f aca="false">IF(B1910="","",IF(E1910="Em ajustes",IF(N1910=_xlfn.MINIFS($N$2:$N$5001,$B$2:$B$5001,B1910,$E$2:$E$5001,"Em ajustes"),1,0),0))</f>
        <v/>
      </c>
      <c r="N1910" s="17" t="str">
        <f aca="false">IF(A1910="","",IF(ISNUMBER(A1910),A1910,IFERROR(DATE(VALUE(MID(A1910,7,4)),VALUE(MID(A1910,4,2)),VALUE(MID(A1910,1,2)))+TIME(VALUE(MID(A1910,12,2)),VALUE(MID(A1910,15,2)),VALUE(MID(A1910,18,2))),"")))</f>
        <v/>
      </c>
    </row>
    <row r="1911" customFormat="false" ht="15" hidden="false" customHeight="false" outlineLevel="0" collapsed="false">
      <c r="I1911" s="15" t="str">
        <f aca="false">IF(N1911="","",INT(N1911))</f>
        <v/>
      </c>
      <c r="J1911" s="16" t="str">
        <f aca="false">IF(B1911="","",IF(N1911=_xlfn.MINIFS($N$2:$N$5001,$B$2:$B$5001,B1911),1,0))</f>
        <v/>
      </c>
      <c r="K1911" s="16" t="str">
        <f aca="false">IF(B1911="","",IF(AND(D1911="Formalização",E1911="Concluído"),IF(COUNTIFS($B$2:$B$5001,B1911,$E$2:$E$5001,"Em ajustes",$N$2:$N$5001,"&lt;"&amp;I1911)&gt;0,1,0),0))</f>
        <v/>
      </c>
      <c r="L1911" s="16" t="str">
        <f aca="false">IF(B1911="","",IF(N1911=_xlfn.MAXIFS($N$2:$N$5001,$B$2:$B$5001,B1911,$I$2:$I$5001,I1911),1,0))</f>
        <v/>
      </c>
      <c r="M1911" s="16" t="str">
        <f aca="false">IF(B1911="","",IF(E1911="Em ajustes",IF(N1911=_xlfn.MINIFS($N$2:$N$5001,$B$2:$B$5001,B1911,$E$2:$E$5001,"Em ajustes"),1,0),0))</f>
        <v/>
      </c>
      <c r="N1911" s="17" t="str">
        <f aca="false">IF(A1911="","",IF(ISNUMBER(A1911),A1911,IFERROR(DATE(VALUE(MID(A1911,7,4)),VALUE(MID(A1911,4,2)),VALUE(MID(A1911,1,2)))+TIME(VALUE(MID(A1911,12,2)),VALUE(MID(A1911,15,2)),VALUE(MID(A1911,18,2))),"")))</f>
        <v/>
      </c>
    </row>
    <row r="1912" customFormat="false" ht="15" hidden="false" customHeight="false" outlineLevel="0" collapsed="false">
      <c r="I1912" s="15" t="str">
        <f aca="false">IF(N1912="","",INT(N1912))</f>
        <v/>
      </c>
      <c r="J1912" s="16" t="str">
        <f aca="false">IF(B1912="","",IF(N1912=_xlfn.MINIFS($N$2:$N$5001,$B$2:$B$5001,B1912),1,0))</f>
        <v/>
      </c>
      <c r="K1912" s="16" t="str">
        <f aca="false">IF(B1912="","",IF(AND(D1912="Formalização",E1912="Concluído"),IF(COUNTIFS($B$2:$B$5001,B1912,$E$2:$E$5001,"Em ajustes",$N$2:$N$5001,"&lt;"&amp;I1912)&gt;0,1,0),0))</f>
        <v/>
      </c>
      <c r="L1912" s="16" t="str">
        <f aca="false">IF(B1912="","",IF(N1912=_xlfn.MAXIFS($N$2:$N$5001,$B$2:$B$5001,B1912,$I$2:$I$5001,I1912),1,0))</f>
        <v/>
      </c>
      <c r="M1912" s="16" t="str">
        <f aca="false">IF(B1912="","",IF(E1912="Em ajustes",IF(N1912=_xlfn.MINIFS($N$2:$N$5001,$B$2:$B$5001,B1912,$E$2:$E$5001,"Em ajustes"),1,0),0))</f>
        <v/>
      </c>
      <c r="N1912" s="17" t="str">
        <f aca="false">IF(A1912="","",IF(ISNUMBER(A1912),A1912,IFERROR(DATE(VALUE(MID(A1912,7,4)),VALUE(MID(A1912,4,2)),VALUE(MID(A1912,1,2)))+TIME(VALUE(MID(A1912,12,2)),VALUE(MID(A1912,15,2)),VALUE(MID(A1912,18,2))),"")))</f>
        <v/>
      </c>
    </row>
    <row r="1913" customFormat="false" ht="15" hidden="false" customHeight="false" outlineLevel="0" collapsed="false">
      <c r="I1913" s="15" t="str">
        <f aca="false">IF(N1913="","",INT(N1913))</f>
        <v/>
      </c>
      <c r="J1913" s="16" t="str">
        <f aca="false">IF(B1913="","",IF(N1913=_xlfn.MINIFS($N$2:$N$5001,$B$2:$B$5001,B1913),1,0))</f>
        <v/>
      </c>
      <c r="K1913" s="16" t="str">
        <f aca="false">IF(B1913="","",IF(AND(D1913="Formalização",E1913="Concluído"),IF(COUNTIFS($B$2:$B$5001,B1913,$E$2:$E$5001,"Em ajustes",$N$2:$N$5001,"&lt;"&amp;I1913)&gt;0,1,0),0))</f>
        <v/>
      </c>
      <c r="L1913" s="16" t="str">
        <f aca="false">IF(B1913="","",IF(N1913=_xlfn.MAXIFS($N$2:$N$5001,$B$2:$B$5001,B1913,$I$2:$I$5001,I1913),1,0))</f>
        <v/>
      </c>
      <c r="M1913" s="16" t="str">
        <f aca="false">IF(B1913="","",IF(E1913="Em ajustes",IF(N1913=_xlfn.MINIFS($N$2:$N$5001,$B$2:$B$5001,B1913,$E$2:$E$5001,"Em ajustes"),1,0),0))</f>
        <v/>
      </c>
      <c r="N1913" s="17" t="str">
        <f aca="false">IF(A1913="","",IF(ISNUMBER(A1913),A1913,IFERROR(DATE(VALUE(MID(A1913,7,4)),VALUE(MID(A1913,4,2)),VALUE(MID(A1913,1,2)))+TIME(VALUE(MID(A1913,12,2)),VALUE(MID(A1913,15,2)),VALUE(MID(A1913,18,2))),"")))</f>
        <v/>
      </c>
    </row>
    <row r="1914" customFormat="false" ht="15" hidden="false" customHeight="false" outlineLevel="0" collapsed="false">
      <c r="I1914" s="15" t="str">
        <f aca="false">IF(N1914="","",INT(N1914))</f>
        <v/>
      </c>
      <c r="J1914" s="16" t="str">
        <f aca="false">IF(B1914="","",IF(N1914=_xlfn.MINIFS($N$2:$N$5001,$B$2:$B$5001,B1914),1,0))</f>
        <v/>
      </c>
      <c r="K1914" s="16" t="str">
        <f aca="false">IF(B1914="","",IF(AND(D1914="Formalização",E1914="Concluído"),IF(COUNTIFS($B$2:$B$5001,B1914,$E$2:$E$5001,"Em ajustes",$N$2:$N$5001,"&lt;"&amp;I1914)&gt;0,1,0),0))</f>
        <v/>
      </c>
      <c r="L1914" s="16" t="str">
        <f aca="false">IF(B1914="","",IF(N1914=_xlfn.MAXIFS($N$2:$N$5001,$B$2:$B$5001,B1914,$I$2:$I$5001,I1914),1,0))</f>
        <v/>
      </c>
      <c r="M1914" s="16" t="str">
        <f aca="false">IF(B1914="","",IF(E1914="Em ajustes",IF(N1914=_xlfn.MINIFS($N$2:$N$5001,$B$2:$B$5001,B1914,$E$2:$E$5001,"Em ajustes"),1,0),0))</f>
        <v/>
      </c>
      <c r="N1914" s="17" t="str">
        <f aca="false">IF(A1914="","",IF(ISNUMBER(A1914),A1914,IFERROR(DATE(VALUE(MID(A1914,7,4)),VALUE(MID(A1914,4,2)),VALUE(MID(A1914,1,2)))+TIME(VALUE(MID(A1914,12,2)),VALUE(MID(A1914,15,2)),VALUE(MID(A1914,18,2))),"")))</f>
        <v/>
      </c>
    </row>
    <row r="1915" customFormat="false" ht="15" hidden="false" customHeight="false" outlineLevel="0" collapsed="false">
      <c r="I1915" s="15" t="str">
        <f aca="false">IF(N1915="","",INT(N1915))</f>
        <v/>
      </c>
      <c r="J1915" s="16" t="str">
        <f aca="false">IF(B1915="","",IF(N1915=_xlfn.MINIFS($N$2:$N$5001,$B$2:$B$5001,B1915),1,0))</f>
        <v/>
      </c>
      <c r="K1915" s="16" t="str">
        <f aca="false">IF(B1915="","",IF(AND(D1915="Formalização",E1915="Concluído"),IF(COUNTIFS($B$2:$B$5001,B1915,$E$2:$E$5001,"Em ajustes",$N$2:$N$5001,"&lt;"&amp;I1915)&gt;0,1,0),0))</f>
        <v/>
      </c>
      <c r="L1915" s="16" t="str">
        <f aca="false">IF(B1915="","",IF(N1915=_xlfn.MAXIFS($N$2:$N$5001,$B$2:$B$5001,B1915,$I$2:$I$5001,I1915),1,0))</f>
        <v/>
      </c>
      <c r="M1915" s="16" t="str">
        <f aca="false">IF(B1915="","",IF(E1915="Em ajustes",IF(N1915=_xlfn.MINIFS($N$2:$N$5001,$B$2:$B$5001,B1915,$E$2:$E$5001,"Em ajustes"),1,0),0))</f>
        <v/>
      </c>
      <c r="N1915" s="17" t="str">
        <f aca="false">IF(A1915="","",IF(ISNUMBER(A1915),A1915,IFERROR(DATE(VALUE(MID(A1915,7,4)),VALUE(MID(A1915,4,2)),VALUE(MID(A1915,1,2)))+TIME(VALUE(MID(A1915,12,2)),VALUE(MID(A1915,15,2)),VALUE(MID(A1915,18,2))),"")))</f>
        <v/>
      </c>
    </row>
    <row r="1916" customFormat="false" ht="15" hidden="false" customHeight="false" outlineLevel="0" collapsed="false">
      <c r="I1916" s="15" t="str">
        <f aca="false">IF(N1916="","",INT(N1916))</f>
        <v/>
      </c>
      <c r="J1916" s="16" t="str">
        <f aca="false">IF(B1916="","",IF(N1916=_xlfn.MINIFS($N$2:$N$5001,$B$2:$B$5001,B1916),1,0))</f>
        <v/>
      </c>
      <c r="K1916" s="16" t="str">
        <f aca="false">IF(B1916="","",IF(AND(D1916="Formalização",E1916="Concluído"),IF(COUNTIFS($B$2:$B$5001,B1916,$E$2:$E$5001,"Em ajustes",$N$2:$N$5001,"&lt;"&amp;I1916)&gt;0,1,0),0))</f>
        <v/>
      </c>
      <c r="L1916" s="16" t="str">
        <f aca="false">IF(B1916="","",IF(N1916=_xlfn.MAXIFS($N$2:$N$5001,$B$2:$B$5001,B1916,$I$2:$I$5001,I1916),1,0))</f>
        <v/>
      </c>
      <c r="M1916" s="16" t="str">
        <f aca="false">IF(B1916="","",IF(E1916="Em ajustes",IF(N1916=_xlfn.MINIFS($N$2:$N$5001,$B$2:$B$5001,B1916,$E$2:$E$5001,"Em ajustes"),1,0),0))</f>
        <v/>
      </c>
      <c r="N1916" s="17" t="str">
        <f aca="false">IF(A1916="","",IF(ISNUMBER(A1916),A1916,IFERROR(DATE(VALUE(MID(A1916,7,4)),VALUE(MID(A1916,4,2)),VALUE(MID(A1916,1,2)))+TIME(VALUE(MID(A1916,12,2)),VALUE(MID(A1916,15,2)),VALUE(MID(A1916,18,2))),"")))</f>
        <v/>
      </c>
    </row>
    <row r="1917" customFormat="false" ht="15" hidden="false" customHeight="false" outlineLevel="0" collapsed="false">
      <c r="I1917" s="15" t="str">
        <f aca="false">IF(N1917="","",INT(N1917))</f>
        <v/>
      </c>
      <c r="J1917" s="16" t="str">
        <f aca="false">IF(B1917="","",IF(N1917=_xlfn.MINIFS($N$2:$N$5001,$B$2:$B$5001,B1917),1,0))</f>
        <v/>
      </c>
      <c r="K1917" s="16" t="str">
        <f aca="false">IF(B1917="","",IF(AND(D1917="Formalização",E1917="Concluído"),IF(COUNTIFS($B$2:$B$5001,B1917,$E$2:$E$5001,"Em ajustes",$N$2:$N$5001,"&lt;"&amp;I1917)&gt;0,1,0),0))</f>
        <v/>
      </c>
      <c r="L1917" s="16" t="str">
        <f aca="false">IF(B1917="","",IF(N1917=_xlfn.MAXIFS($N$2:$N$5001,$B$2:$B$5001,B1917,$I$2:$I$5001,I1917),1,0))</f>
        <v/>
      </c>
      <c r="M1917" s="16" t="str">
        <f aca="false">IF(B1917="","",IF(E1917="Em ajustes",IF(N1917=_xlfn.MINIFS($N$2:$N$5001,$B$2:$B$5001,B1917,$E$2:$E$5001,"Em ajustes"),1,0),0))</f>
        <v/>
      </c>
      <c r="N1917" s="17" t="str">
        <f aca="false">IF(A1917="","",IF(ISNUMBER(A1917),A1917,IFERROR(DATE(VALUE(MID(A1917,7,4)),VALUE(MID(A1917,4,2)),VALUE(MID(A1917,1,2)))+TIME(VALUE(MID(A1917,12,2)),VALUE(MID(A1917,15,2)),VALUE(MID(A1917,18,2))),"")))</f>
        <v/>
      </c>
    </row>
    <row r="1918" customFormat="false" ht="15" hidden="false" customHeight="false" outlineLevel="0" collapsed="false">
      <c r="I1918" s="15" t="str">
        <f aca="false">IF(N1918="","",INT(N1918))</f>
        <v/>
      </c>
      <c r="J1918" s="16" t="str">
        <f aca="false">IF(B1918="","",IF(N1918=_xlfn.MINIFS($N$2:$N$5001,$B$2:$B$5001,B1918),1,0))</f>
        <v/>
      </c>
      <c r="K1918" s="16" t="str">
        <f aca="false">IF(B1918="","",IF(AND(D1918="Formalização",E1918="Concluído"),IF(COUNTIFS($B$2:$B$5001,B1918,$E$2:$E$5001,"Em ajustes",$N$2:$N$5001,"&lt;"&amp;I1918)&gt;0,1,0),0))</f>
        <v/>
      </c>
      <c r="L1918" s="16" t="str">
        <f aca="false">IF(B1918="","",IF(N1918=_xlfn.MAXIFS($N$2:$N$5001,$B$2:$B$5001,B1918,$I$2:$I$5001,I1918),1,0))</f>
        <v/>
      </c>
      <c r="M1918" s="16" t="str">
        <f aca="false">IF(B1918="","",IF(E1918="Em ajustes",IF(N1918=_xlfn.MINIFS($N$2:$N$5001,$B$2:$B$5001,B1918,$E$2:$E$5001,"Em ajustes"),1,0),0))</f>
        <v/>
      </c>
      <c r="N1918" s="17" t="str">
        <f aca="false">IF(A1918="","",IF(ISNUMBER(A1918),A1918,IFERROR(DATE(VALUE(MID(A1918,7,4)),VALUE(MID(A1918,4,2)),VALUE(MID(A1918,1,2)))+TIME(VALUE(MID(A1918,12,2)),VALUE(MID(A1918,15,2)),VALUE(MID(A1918,18,2))),"")))</f>
        <v/>
      </c>
    </row>
    <row r="1919" customFormat="false" ht="15" hidden="false" customHeight="false" outlineLevel="0" collapsed="false">
      <c r="I1919" s="15" t="str">
        <f aca="false">IF(N1919="","",INT(N1919))</f>
        <v/>
      </c>
      <c r="J1919" s="16" t="str">
        <f aca="false">IF(B1919="","",IF(N1919=_xlfn.MINIFS($N$2:$N$5001,$B$2:$B$5001,B1919),1,0))</f>
        <v/>
      </c>
      <c r="K1919" s="16" t="str">
        <f aca="false">IF(B1919="","",IF(AND(D1919="Formalização",E1919="Concluído"),IF(COUNTIFS($B$2:$B$5001,B1919,$E$2:$E$5001,"Em ajustes",$N$2:$N$5001,"&lt;"&amp;I1919)&gt;0,1,0),0))</f>
        <v/>
      </c>
      <c r="L1919" s="16" t="str">
        <f aca="false">IF(B1919="","",IF(N1919=_xlfn.MAXIFS($N$2:$N$5001,$B$2:$B$5001,B1919,$I$2:$I$5001,I1919),1,0))</f>
        <v/>
      </c>
      <c r="M1919" s="16" t="str">
        <f aca="false">IF(B1919="","",IF(E1919="Em ajustes",IF(N1919=_xlfn.MINIFS($N$2:$N$5001,$B$2:$B$5001,B1919,$E$2:$E$5001,"Em ajustes"),1,0),0))</f>
        <v/>
      </c>
      <c r="N1919" s="17" t="str">
        <f aca="false">IF(A1919="","",IF(ISNUMBER(A1919),A1919,IFERROR(DATE(VALUE(MID(A1919,7,4)),VALUE(MID(A1919,4,2)),VALUE(MID(A1919,1,2)))+TIME(VALUE(MID(A1919,12,2)),VALUE(MID(A1919,15,2)),VALUE(MID(A1919,18,2))),"")))</f>
        <v/>
      </c>
    </row>
    <row r="1920" customFormat="false" ht="15" hidden="false" customHeight="false" outlineLevel="0" collapsed="false">
      <c r="I1920" s="15" t="str">
        <f aca="false">IF(N1920="","",INT(N1920))</f>
        <v/>
      </c>
      <c r="J1920" s="16" t="str">
        <f aca="false">IF(B1920="","",IF(N1920=_xlfn.MINIFS($N$2:$N$5001,$B$2:$B$5001,B1920),1,0))</f>
        <v/>
      </c>
      <c r="K1920" s="16" t="str">
        <f aca="false">IF(B1920="","",IF(AND(D1920="Formalização",E1920="Concluído"),IF(COUNTIFS($B$2:$B$5001,B1920,$E$2:$E$5001,"Em ajustes",$N$2:$N$5001,"&lt;"&amp;I1920)&gt;0,1,0),0))</f>
        <v/>
      </c>
      <c r="L1920" s="16" t="str">
        <f aca="false">IF(B1920="","",IF(N1920=_xlfn.MAXIFS($N$2:$N$5001,$B$2:$B$5001,B1920,$I$2:$I$5001,I1920),1,0))</f>
        <v/>
      </c>
      <c r="M1920" s="16" t="str">
        <f aca="false">IF(B1920="","",IF(E1920="Em ajustes",IF(N1920=_xlfn.MINIFS($N$2:$N$5001,$B$2:$B$5001,B1920,$E$2:$E$5001,"Em ajustes"),1,0),0))</f>
        <v/>
      </c>
      <c r="N1920" s="17" t="str">
        <f aca="false">IF(A1920="","",IF(ISNUMBER(A1920),A1920,IFERROR(DATE(VALUE(MID(A1920,7,4)),VALUE(MID(A1920,4,2)),VALUE(MID(A1920,1,2)))+TIME(VALUE(MID(A1920,12,2)),VALUE(MID(A1920,15,2)),VALUE(MID(A1920,18,2))),"")))</f>
        <v/>
      </c>
    </row>
    <row r="1921" customFormat="false" ht="15" hidden="false" customHeight="false" outlineLevel="0" collapsed="false">
      <c r="I1921" s="15" t="str">
        <f aca="false">IF(N1921="","",INT(N1921))</f>
        <v/>
      </c>
      <c r="J1921" s="16" t="str">
        <f aca="false">IF(B1921="","",IF(N1921=_xlfn.MINIFS($N$2:$N$5001,$B$2:$B$5001,B1921),1,0))</f>
        <v/>
      </c>
      <c r="K1921" s="16" t="str">
        <f aca="false">IF(B1921="","",IF(AND(D1921="Formalização",E1921="Concluído"),IF(COUNTIFS($B$2:$B$5001,B1921,$E$2:$E$5001,"Em ajustes",$N$2:$N$5001,"&lt;"&amp;I1921)&gt;0,1,0),0))</f>
        <v/>
      </c>
      <c r="L1921" s="16" t="str">
        <f aca="false">IF(B1921="","",IF(N1921=_xlfn.MAXIFS($N$2:$N$5001,$B$2:$B$5001,B1921,$I$2:$I$5001,I1921),1,0))</f>
        <v/>
      </c>
      <c r="M1921" s="16" t="str">
        <f aca="false">IF(B1921="","",IF(E1921="Em ajustes",IF(N1921=_xlfn.MINIFS($N$2:$N$5001,$B$2:$B$5001,B1921,$E$2:$E$5001,"Em ajustes"),1,0),0))</f>
        <v/>
      </c>
      <c r="N1921" s="17" t="str">
        <f aca="false">IF(A1921="","",IF(ISNUMBER(A1921),A1921,IFERROR(DATE(VALUE(MID(A1921,7,4)),VALUE(MID(A1921,4,2)),VALUE(MID(A1921,1,2)))+TIME(VALUE(MID(A1921,12,2)),VALUE(MID(A1921,15,2)),VALUE(MID(A1921,18,2))),"")))</f>
        <v/>
      </c>
    </row>
    <row r="1922" customFormat="false" ht="15" hidden="false" customHeight="false" outlineLevel="0" collapsed="false">
      <c r="I1922" s="15" t="str">
        <f aca="false">IF(N1922="","",INT(N1922))</f>
        <v/>
      </c>
      <c r="J1922" s="16" t="str">
        <f aca="false">IF(B1922="","",IF(N1922=_xlfn.MINIFS($N$2:$N$5001,$B$2:$B$5001,B1922),1,0))</f>
        <v/>
      </c>
      <c r="K1922" s="16" t="str">
        <f aca="false">IF(B1922="","",IF(AND(D1922="Formalização",E1922="Concluído"),IF(COUNTIFS($B$2:$B$5001,B1922,$E$2:$E$5001,"Em ajustes",$N$2:$N$5001,"&lt;"&amp;I1922)&gt;0,1,0),0))</f>
        <v/>
      </c>
      <c r="L1922" s="16" t="str">
        <f aca="false">IF(B1922="","",IF(N1922=_xlfn.MAXIFS($N$2:$N$5001,$B$2:$B$5001,B1922,$I$2:$I$5001,I1922),1,0))</f>
        <v/>
      </c>
      <c r="M1922" s="16" t="str">
        <f aca="false">IF(B1922="","",IF(E1922="Em ajustes",IF(N1922=_xlfn.MINIFS($N$2:$N$5001,$B$2:$B$5001,B1922,$E$2:$E$5001,"Em ajustes"),1,0),0))</f>
        <v/>
      </c>
      <c r="N1922" s="17" t="str">
        <f aca="false">IF(A1922="","",IF(ISNUMBER(A1922),A1922,IFERROR(DATE(VALUE(MID(A1922,7,4)),VALUE(MID(A1922,4,2)),VALUE(MID(A1922,1,2)))+TIME(VALUE(MID(A1922,12,2)),VALUE(MID(A1922,15,2)),VALUE(MID(A1922,18,2))),"")))</f>
        <v/>
      </c>
    </row>
    <row r="1923" customFormat="false" ht="15" hidden="false" customHeight="false" outlineLevel="0" collapsed="false">
      <c r="I1923" s="15" t="str">
        <f aca="false">IF(N1923="","",INT(N1923))</f>
        <v/>
      </c>
      <c r="J1923" s="16" t="str">
        <f aca="false">IF(B1923="","",IF(N1923=_xlfn.MINIFS($N$2:$N$5001,$B$2:$B$5001,B1923),1,0))</f>
        <v/>
      </c>
      <c r="K1923" s="16" t="str">
        <f aca="false">IF(B1923="","",IF(AND(D1923="Formalização",E1923="Concluído"),IF(COUNTIFS($B$2:$B$5001,B1923,$E$2:$E$5001,"Em ajustes",$N$2:$N$5001,"&lt;"&amp;I1923)&gt;0,1,0),0))</f>
        <v/>
      </c>
      <c r="L1923" s="16" t="str">
        <f aca="false">IF(B1923="","",IF(N1923=_xlfn.MAXIFS($N$2:$N$5001,$B$2:$B$5001,B1923,$I$2:$I$5001,I1923),1,0))</f>
        <v/>
      </c>
      <c r="M1923" s="16" t="str">
        <f aca="false">IF(B1923="","",IF(E1923="Em ajustes",IF(N1923=_xlfn.MINIFS($N$2:$N$5001,$B$2:$B$5001,B1923,$E$2:$E$5001,"Em ajustes"),1,0),0))</f>
        <v/>
      </c>
      <c r="N1923" s="17" t="str">
        <f aca="false">IF(A1923="","",IF(ISNUMBER(A1923),A1923,IFERROR(DATE(VALUE(MID(A1923,7,4)),VALUE(MID(A1923,4,2)),VALUE(MID(A1923,1,2)))+TIME(VALUE(MID(A1923,12,2)),VALUE(MID(A1923,15,2)),VALUE(MID(A1923,18,2))),"")))</f>
        <v/>
      </c>
    </row>
    <row r="1924" customFormat="false" ht="15" hidden="false" customHeight="false" outlineLevel="0" collapsed="false">
      <c r="I1924" s="15" t="str">
        <f aca="false">IF(N1924="","",INT(N1924))</f>
        <v/>
      </c>
      <c r="J1924" s="16" t="str">
        <f aca="false">IF(B1924="","",IF(N1924=_xlfn.MINIFS($N$2:$N$5001,$B$2:$B$5001,B1924),1,0))</f>
        <v/>
      </c>
      <c r="K1924" s="16" t="str">
        <f aca="false">IF(B1924="","",IF(AND(D1924="Formalização",E1924="Concluído"),IF(COUNTIFS($B$2:$B$5001,B1924,$E$2:$E$5001,"Em ajustes",$N$2:$N$5001,"&lt;"&amp;I1924)&gt;0,1,0),0))</f>
        <v/>
      </c>
      <c r="L1924" s="16" t="str">
        <f aca="false">IF(B1924="","",IF(N1924=_xlfn.MAXIFS($N$2:$N$5001,$B$2:$B$5001,B1924,$I$2:$I$5001,I1924),1,0))</f>
        <v/>
      </c>
      <c r="M1924" s="16" t="str">
        <f aca="false">IF(B1924="","",IF(E1924="Em ajustes",IF(N1924=_xlfn.MINIFS($N$2:$N$5001,$B$2:$B$5001,B1924,$E$2:$E$5001,"Em ajustes"),1,0),0))</f>
        <v/>
      </c>
      <c r="N1924" s="17" t="str">
        <f aca="false">IF(A1924="","",IF(ISNUMBER(A1924),A1924,IFERROR(DATE(VALUE(MID(A1924,7,4)),VALUE(MID(A1924,4,2)),VALUE(MID(A1924,1,2)))+TIME(VALUE(MID(A1924,12,2)),VALUE(MID(A1924,15,2)),VALUE(MID(A1924,18,2))),"")))</f>
        <v/>
      </c>
    </row>
    <row r="1925" customFormat="false" ht="15" hidden="false" customHeight="false" outlineLevel="0" collapsed="false">
      <c r="I1925" s="15" t="str">
        <f aca="false">IF(N1925="","",INT(N1925))</f>
        <v/>
      </c>
      <c r="J1925" s="16" t="str">
        <f aca="false">IF(B1925="","",IF(N1925=_xlfn.MINIFS($N$2:$N$5001,$B$2:$B$5001,B1925),1,0))</f>
        <v/>
      </c>
      <c r="K1925" s="16" t="str">
        <f aca="false">IF(B1925="","",IF(AND(D1925="Formalização",E1925="Concluído"),IF(COUNTIFS($B$2:$B$5001,B1925,$E$2:$E$5001,"Em ajustes",$N$2:$N$5001,"&lt;"&amp;I1925)&gt;0,1,0),0))</f>
        <v/>
      </c>
      <c r="L1925" s="16" t="str">
        <f aca="false">IF(B1925="","",IF(N1925=_xlfn.MAXIFS($N$2:$N$5001,$B$2:$B$5001,B1925,$I$2:$I$5001,I1925),1,0))</f>
        <v/>
      </c>
      <c r="M1925" s="16" t="str">
        <f aca="false">IF(B1925="","",IF(E1925="Em ajustes",IF(N1925=_xlfn.MINIFS($N$2:$N$5001,$B$2:$B$5001,B1925,$E$2:$E$5001,"Em ajustes"),1,0),0))</f>
        <v/>
      </c>
      <c r="N1925" s="17" t="str">
        <f aca="false">IF(A1925="","",IF(ISNUMBER(A1925),A1925,IFERROR(DATE(VALUE(MID(A1925,7,4)),VALUE(MID(A1925,4,2)),VALUE(MID(A1925,1,2)))+TIME(VALUE(MID(A1925,12,2)),VALUE(MID(A1925,15,2)),VALUE(MID(A1925,18,2))),"")))</f>
        <v/>
      </c>
    </row>
    <row r="1926" customFormat="false" ht="15" hidden="false" customHeight="false" outlineLevel="0" collapsed="false">
      <c r="I1926" s="15" t="str">
        <f aca="false">IF(N1926="","",INT(N1926))</f>
        <v/>
      </c>
      <c r="J1926" s="16" t="str">
        <f aca="false">IF(B1926="","",IF(N1926=_xlfn.MINIFS($N$2:$N$5001,$B$2:$B$5001,B1926),1,0))</f>
        <v/>
      </c>
      <c r="K1926" s="16" t="str">
        <f aca="false">IF(B1926="","",IF(AND(D1926="Formalização",E1926="Concluído"),IF(COUNTIFS($B$2:$B$5001,B1926,$E$2:$E$5001,"Em ajustes",$N$2:$N$5001,"&lt;"&amp;I1926)&gt;0,1,0),0))</f>
        <v/>
      </c>
      <c r="L1926" s="16" t="str">
        <f aca="false">IF(B1926="","",IF(N1926=_xlfn.MAXIFS($N$2:$N$5001,$B$2:$B$5001,B1926,$I$2:$I$5001,I1926),1,0))</f>
        <v/>
      </c>
      <c r="M1926" s="16" t="str">
        <f aca="false">IF(B1926="","",IF(E1926="Em ajustes",IF(N1926=_xlfn.MINIFS($N$2:$N$5001,$B$2:$B$5001,B1926,$E$2:$E$5001,"Em ajustes"),1,0),0))</f>
        <v/>
      </c>
      <c r="N1926" s="17" t="str">
        <f aca="false">IF(A1926="","",IF(ISNUMBER(A1926),A1926,IFERROR(DATE(VALUE(MID(A1926,7,4)),VALUE(MID(A1926,4,2)),VALUE(MID(A1926,1,2)))+TIME(VALUE(MID(A1926,12,2)),VALUE(MID(A1926,15,2)),VALUE(MID(A1926,18,2))),"")))</f>
        <v/>
      </c>
    </row>
    <row r="1927" customFormat="false" ht="15" hidden="false" customHeight="false" outlineLevel="0" collapsed="false">
      <c r="I1927" s="15" t="str">
        <f aca="false">IF(N1927="","",INT(N1927))</f>
        <v/>
      </c>
      <c r="J1927" s="16" t="str">
        <f aca="false">IF(B1927="","",IF(N1927=_xlfn.MINIFS($N$2:$N$5001,$B$2:$B$5001,B1927),1,0))</f>
        <v/>
      </c>
      <c r="K1927" s="16" t="str">
        <f aca="false">IF(B1927="","",IF(AND(D1927="Formalização",E1927="Concluído"),IF(COUNTIFS($B$2:$B$5001,B1927,$E$2:$E$5001,"Em ajustes",$N$2:$N$5001,"&lt;"&amp;I1927)&gt;0,1,0),0))</f>
        <v/>
      </c>
      <c r="L1927" s="16" t="str">
        <f aca="false">IF(B1927="","",IF(N1927=_xlfn.MAXIFS($N$2:$N$5001,$B$2:$B$5001,B1927,$I$2:$I$5001,I1927),1,0))</f>
        <v/>
      </c>
      <c r="M1927" s="16" t="str">
        <f aca="false">IF(B1927="","",IF(E1927="Em ajustes",IF(N1927=_xlfn.MINIFS($N$2:$N$5001,$B$2:$B$5001,B1927,$E$2:$E$5001,"Em ajustes"),1,0),0))</f>
        <v/>
      </c>
      <c r="N1927" s="17" t="str">
        <f aca="false">IF(A1927="","",IF(ISNUMBER(A1927),A1927,IFERROR(DATE(VALUE(MID(A1927,7,4)),VALUE(MID(A1927,4,2)),VALUE(MID(A1927,1,2)))+TIME(VALUE(MID(A1927,12,2)),VALUE(MID(A1927,15,2)),VALUE(MID(A1927,18,2))),"")))</f>
        <v/>
      </c>
    </row>
    <row r="1928" customFormat="false" ht="15" hidden="false" customHeight="false" outlineLevel="0" collapsed="false">
      <c r="I1928" s="15" t="str">
        <f aca="false">IF(N1928="","",INT(N1928))</f>
        <v/>
      </c>
      <c r="J1928" s="16" t="str">
        <f aca="false">IF(B1928="","",IF(N1928=_xlfn.MINIFS($N$2:$N$5001,$B$2:$B$5001,B1928),1,0))</f>
        <v/>
      </c>
      <c r="K1928" s="16" t="str">
        <f aca="false">IF(B1928="","",IF(AND(D1928="Formalização",E1928="Concluído"),IF(COUNTIFS($B$2:$B$5001,B1928,$E$2:$E$5001,"Em ajustes",$N$2:$N$5001,"&lt;"&amp;I1928)&gt;0,1,0),0))</f>
        <v/>
      </c>
      <c r="L1928" s="16" t="str">
        <f aca="false">IF(B1928="","",IF(N1928=_xlfn.MAXIFS($N$2:$N$5001,$B$2:$B$5001,B1928,$I$2:$I$5001,I1928),1,0))</f>
        <v/>
      </c>
      <c r="M1928" s="16" t="str">
        <f aca="false">IF(B1928="","",IF(E1928="Em ajustes",IF(N1928=_xlfn.MINIFS($N$2:$N$5001,$B$2:$B$5001,B1928,$E$2:$E$5001,"Em ajustes"),1,0),0))</f>
        <v/>
      </c>
      <c r="N1928" s="17" t="str">
        <f aca="false">IF(A1928="","",IF(ISNUMBER(A1928),A1928,IFERROR(DATE(VALUE(MID(A1928,7,4)),VALUE(MID(A1928,4,2)),VALUE(MID(A1928,1,2)))+TIME(VALUE(MID(A1928,12,2)),VALUE(MID(A1928,15,2)),VALUE(MID(A1928,18,2))),"")))</f>
        <v/>
      </c>
    </row>
    <row r="1929" customFormat="false" ht="15" hidden="false" customHeight="false" outlineLevel="0" collapsed="false">
      <c r="I1929" s="15" t="str">
        <f aca="false">IF(N1929="","",INT(N1929))</f>
        <v/>
      </c>
      <c r="J1929" s="16" t="str">
        <f aca="false">IF(B1929="","",IF(N1929=_xlfn.MINIFS($N$2:$N$5001,$B$2:$B$5001,B1929),1,0))</f>
        <v/>
      </c>
      <c r="K1929" s="16" t="str">
        <f aca="false">IF(B1929="","",IF(AND(D1929="Formalização",E1929="Concluído"),IF(COUNTIFS($B$2:$B$5001,B1929,$E$2:$E$5001,"Em ajustes",$N$2:$N$5001,"&lt;"&amp;I1929)&gt;0,1,0),0))</f>
        <v/>
      </c>
      <c r="L1929" s="16" t="str">
        <f aca="false">IF(B1929="","",IF(N1929=_xlfn.MAXIFS($N$2:$N$5001,$B$2:$B$5001,B1929,$I$2:$I$5001,I1929),1,0))</f>
        <v/>
      </c>
      <c r="M1929" s="16" t="str">
        <f aca="false">IF(B1929="","",IF(E1929="Em ajustes",IF(N1929=_xlfn.MINIFS($N$2:$N$5001,$B$2:$B$5001,B1929,$E$2:$E$5001,"Em ajustes"),1,0),0))</f>
        <v/>
      </c>
      <c r="N1929" s="17" t="str">
        <f aca="false">IF(A1929="","",IF(ISNUMBER(A1929),A1929,IFERROR(DATE(VALUE(MID(A1929,7,4)),VALUE(MID(A1929,4,2)),VALUE(MID(A1929,1,2)))+TIME(VALUE(MID(A1929,12,2)),VALUE(MID(A1929,15,2)),VALUE(MID(A1929,18,2))),"")))</f>
        <v/>
      </c>
    </row>
    <row r="1930" customFormat="false" ht="15" hidden="false" customHeight="false" outlineLevel="0" collapsed="false">
      <c r="I1930" s="15" t="str">
        <f aca="false">IF(N1930="","",INT(N1930))</f>
        <v/>
      </c>
      <c r="J1930" s="16" t="str">
        <f aca="false">IF(B1930="","",IF(N1930=_xlfn.MINIFS($N$2:$N$5001,$B$2:$B$5001,B1930),1,0))</f>
        <v/>
      </c>
      <c r="K1930" s="16" t="str">
        <f aca="false">IF(B1930="","",IF(AND(D1930="Formalização",E1930="Concluído"),IF(COUNTIFS($B$2:$B$5001,B1930,$E$2:$E$5001,"Em ajustes",$N$2:$N$5001,"&lt;"&amp;I1930)&gt;0,1,0),0))</f>
        <v/>
      </c>
      <c r="L1930" s="16" t="str">
        <f aca="false">IF(B1930="","",IF(N1930=_xlfn.MAXIFS($N$2:$N$5001,$B$2:$B$5001,B1930,$I$2:$I$5001,I1930),1,0))</f>
        <v/>
      </c>
      <c r="M1930" s="16" t="str">
        <f aca="false">IF(B1930="","",IF(E1930="Em ajustes",IF(N1930=_xlfn.MINIFS($N$2:$N$5001,$B$2:$B$5001,B1930,$E$2:$E$5001,"Em ajustes"),1,0),0))</f>
        <v/>
      </c>
      <c r="N1930" s="17" t="str">
        <f aca="false">IF(A1930="","",IF(ISNUMBER(A1930),A1930,IFERROR(DATE(VALUE(MID(A1930,7,4)),VALUE(MID(A1930,4,2)),VALUE(MID(A1930,1,2)))+TIME(VALUE(MID(A1930,12,2)),VALUE(MID(A1930,15,2)),VALUE(MID(A1930,18,2))),"")))</f>
        <v/>
      </c>
    </row>
    <row r="1931" customFormat="false" ht="15" hidden="false" customHeight="false" outlineLevel="0" collapsed="false">
      <c r="I1931" s="15" t="str">
        <f aca="false">IF(N1931="","",INT(N1931))</f>
        <v/>
      </c>
      <c r="J1931" s="16" t="str">
        <f aca="false">IF(B1931="","",IF(N1931=_xlfn.MINIFS($N$2:$N$5001,$B$2:$B$5001,B1931),1,0))</f>
        <v/>
      </c>
      <c r="K1931" s="16" t="str">
        <f aca="false">IF(B1931="","",IF(AND(D1931="Formalização",E1931="Concluído"),IF(COUNTIFS($B$2:$B$5001,B1931,$E$2:$E$5001,"Em ajustes",$N$2:$N$5001,"&lt;"&amp;I1931)&gt;0,1,0),0))</f>
        <v/>
      </c>
      <c r="L1931" s="16" t="str">
        <f aca="false">IF(B1931="","",IF(N1931=_xlfn.MAXIFS($N$2:$N$5001,$B$2:$B$5001,B1931,$I$2:$I$5001,I1931),1,0))</f>
        <v/>
      </c>
      <c r="M1931" s="16" t="str">
        <f aca="false">IF(B1931="","",IF(E1931="Em ajustes",IF(N1931=_xlfn.MINIFS($N$2:$N$5001,$B$2:$B$5001,B1931,$E$2:$E$5001,"Em ajustes"),1,0),0))</f>
        <v/>
      </c>
      <c r="N1931" s="17" t="str">
        <f aca="false">IF(A1931="","",IF(ISNUMBER(A1931),A1931,IFERROR(DATE(VALUE(MID(A1931,7,4)),VALUE(MID(A1931,4,2)),VALUE(MID(A1931,1,2)))+TIME(VALUE(MID(A1931,12,2)),VALUE(MID(A1931,15,2)),VALUE(MID(A1931,18,2))),"")))</f>
        <v/>
      </c>
    </row>
    <row r="1932" customFormat="false" ht="15" hidden="false" customHeight="false" outlineLevel="0" collapsed="false">
      <c r="I1932" s="15" t="str">
        <f aca="false">IF(N1932="","",INT(N1932))</f>
        <v/>
      </c>
      <c r="J1932" s="16" t="str">
        <f aca="false">IF(B1932="","",IF(N1932=_xlfn.MINIFS($N$2:$N$5001,$B$2:$B$5001,B1932),1,0))</f>
        <v/>
      </c>
      <c r="K1932" s="16" t="str">
        <f aca="false">IF(B1932="","",IF(AND(D1932="Formalização",E1932="Concluído"),IF(COUNTIFS($B$2:$B$5001,B1932,$E$2:$E$5001,"Em ajustes",$N$2:$N$5001,"&lt;"&amp;I1932)&gt;0,1,0),0))</f>
        <v/>
      </c>
      <c r="L1932" s="16" t="str">
        <f aca="false">IF(B1932="","",IF(N1932=_xlfn.MAXIFS($N$2:$N$5001,$B$2:$B$5001,B1932,$I$2:$I$5001,I1932),1,0))</f>
        <v/>
      </c>
      <c r="M1932" s="16" t="str">
        <f aca="false">IF(B1932="","",IF(E1932="Em ajustes",IF(N1932=_xlfn.MINIFS($N$2:$N$5001,$B$2:$B$5001,B1932,$E$2:$E$5001,"Em ajustes"),1,0),0))</f>
        <v/>
      </c>
      <c r="N1932" s="17" t="str">
        <f aca="false">IF(A1932="","",IF(ISNUMBER(A1932),A1932,IFERROR(DATE(VALUE(MID(A1932,7,4)),VALUE(MID(A1932,4,2)),VALUE(MID(A1932,1,2)))+TIME(VALUE(MID(A1932,12,2)),VALUE(MID(A1932,15,2)),VALUE(MID(A1932,18,2))),"")))</f>
        <v/>
      </c>
    </row>
    <row r="1933" customFormat="false" ht="15" hidden="false" customHeight="false" outlineLevel="0" collapsed="false">
      <c r="I1933" s="15" t="str">
        <f aca="false">IF(N1933="","",INT(N1933))</f>
        <v/>
      </c>
      <c r="J1933" s="16" t="str">
        <f aca="false">IF(B1933="","",IF(N1933=_xlfn.MINIFS($N$2:$N$5001,$B$2:$B$5001,B1933),1,0))</f>
        <v/>
      </c>
      <c r="K1933" s="16" t="str">
        <f aca="false">IF(B1933="","",IF(AND(D1933="Formalização",E1933="Concluído"),IF(COUNTIFS($B$2:$B$5001,B1933,$E$2:$E$5001,"Em ajustes",$N$2:$N$5001,"&lt;"&amp;I1933)&gt;0,1,0),0))</f>
        <v/>
      </c>
      <c r="L1933" s="16" t="str">
        <f aca="false">IF(B1933="","",IF(N1933=_xlfn.MAXIFS($N$2:$N$5001,$B$2:$B$5001,B1933,$I$2:$I$5001,I1933),1,0))</f>
        <v/>
      </c>
      <c r="M1933" s="16" t="str">
        <f aca="false">IF(B1933="","",IF(E1933="Em ajustes",IF(N1933=_xlfn.MINIFS($N$2:$N$5001,$B$2:$B$5001,B1933,$E$2:$E$5001,"Em ajustes"),1,0),0))</f>
        <v/>
      </c>
      <c r="N1933" s="17" t="str">
        <f aca="false">IF(A1933="","",IF(ISNUMBER(A1933),A1933,IFERROR(DATE(VALUE(MID(A1933,7,4)),VALUE(MID(A1933,4,2)),VALUE(MID(A1933,1,2)))+TIME(VALUE(MID(A1933,12,2)),VALUE(MID(A1933,15,2)),VALUE(MID(A1933,18,2))),"")))</f>
        <v/>
      </c>
    </row>
    <row r="1934" customFormat="false" ht="15" hidden="false" customHeight="false" outlineLevel="0" collapsed="false">
      <c r="I1934" s="15" t="str">
        <f aca="false">IF(N1934="","",INT(N1934))</f>
        <v/>
      </c>
      <c r="J1934" s="16" t="str">
        <f aca="false">IF(B1934="","",IF(N1934=_xlfn.MINIFS($N$2:$N$5001,$B$2:$B$5001,B1934),1,0))</f>
        <v/>
      </c>
      <c r="K1934" s="16" t="str">
        <f aca="false">IF(B1934="","",IF(AND(D1934="Formalização",E1934="Concluído"),IF(COUNTIFS($B$2:$B$5001,B1934,$E$2:$E$5001,"Em ajustes",$N$2:$N$5001,"&lt;"&amp;I1934)&gt;0,1,0),0))</f>
        <v/>
      </c>
      <c r="L1934" s="16" t="str">
        <f aca="false">IF(B1934="","",IF(N1934=_xlfn.MAXIFS($N$2:$N$5001,$B$2:$B$5001,B1934,$I$2:$I$5001,I1934),1,0))</f>
        <v/>
      </c>
      <c r="M1934" s="16" t="str">
        <f aca="false">IF(B1934="","",IF(E1934="Em ajustes",IF(N1934=_xlfn.MINIFS($N$2:$N$5001,$B$2:$B$5001,B1934,$E$2:$E$5001,"Em ajustes"),1,0),0))</f>
        <v/>
      </c>
      <c r="N1934" s="17" t="str">
        <f aca="false">IF(A1934="","",IF(ISNUMBER(A1934),A1934,IFERROR(DATE(VALUE(MID(A1934,7,4)),VALUE(MID(A1934,4,2)),VALUE(MID(A1934,1,2)))+TIME(VALUE(MID(A1934,12,2)),VALUE(MID(A1934,15,2)),VALUE(MID(A1934,18,2))),"")))</f>
        <v/>
      </c>
    </row>
    <row r="1935" customFormat="false" ht="15" hidden="false" customHeight="false" outlineLevel="0" collapsed="false">
      <c r="I1935" s="15" t="str">
        <f aca="false">IF(N1935="","",INT(N1935))</f>
        <v/>
      </c>
      <c r="J1935" s="16" t="str">
        <f aca="false">IF(B1935="","",IF(N1935=_xlfn.MINIFS($N$2:$N$5001,$B$2:$B$5001,B1935),1,0))</f>
        <v/>
      </c>
      <c r="K1935" s="16" t="str">
        <f aca="false">IF(B1935="","",IF(AND(D1935="Formalização",E1935="Concluído"),IF(COUNTIFS($B$2:$B$5001,B1935,$E$2:$E$5001,"Em ajustes",$N$2:$N$5001,"&lt;"&amp;I1935)&gt;0,1,0),0))</f>
        <v/>
      </c>
      <c r="L1935" s="16" t="str">
        <f aca="false">IF(B1935="","",IF(N1935=_xlfn.MAXIFS($N$2:$N$5001,$B$2:$B$5001,B1935,$I$2:$I$5001,I1935),1,0))</f>
        <v/>
      </c>
      <c r="M1935" s="16" t="str">
        <f aca="false">IF(B1935="","",IF(E1935="Em ajustes",IF(N1935=_xlfn.MINIFS($N$2:$N$5001,$B$2:$B$5001,B1935,$E$2:$E$5001,"Em ajustes"),1,0),0))</f>
        <v/>
      </c>
      <c r="N1935" s="17" t="str">
        <f aca="false">IF(A1935="","",IF(ISNUMBER(A1935),A1935,IFERROR(DATE(VALUE(MID(A1935,7,4)),VALUE(MID(A1935,4,2)),VALUE(MID(A1935,1,2)))+TIME(VALUE(MID(A1935,12,2)),VALUE(MID(A1935,15,2)),VALUE(MID(A1935,18,2))),"")))</f>
        <v/>
      </c>
    </row>
    <row r="1936" customFormat="false" ht="15" hidden="false" customHeight="false" outlineLevel="0" collapsed="false">
      <c r="I1936" s="15" t="str">
        <f aca="false">IF(N1936="","",INT(N1936))</f>
        <v/>
      </c>
      <c r="J1936" s="16" t="str">
        <f aca="false">IF(B1936="","",IF(N1936=_xlfn.MINIFS($N$2:$N$5001,$B$2:$B$5001,B1936),1,0))</f>
        <v/>
      </c>
      <c r="K1936" s="16" t="str">
        <f aca="false">IF(B1936="","",IF(AND(D1936="Formalização",E1936="Concluído"),IF(COUNTIFS($B$2:$B$5001,B1936,$E$2:$E$5001,"Em ajustes",$N$2:$N$5001,"&lt;"&amp;I1936)&gt;0,1,0),0))</f>
        <v/>
      </c>
      <c r="L1936" s="16" t="str">
        <f aca="false">IF(B1936="","",IF(N1936=_xlfn.MAXIFS($N$2:$N$5001,$B$2:$B$5001,B1936,$I$2:$I$5001,I1936),1,0))</f>
        <v/>
      </c>
      <c r="M1936" s="16" t="str">
        <f aca="false">IF(B1936="","",IF(E1936="Em ajustes",IF(N1936=_xlfn.MINIFS($N$2:$N$5001,$B$2:$B$5001,B1936,$E$2:$E$5001,"Em ajustes"),1,0),0))</f>
        <v/>
      </c>
      <c r="N1936" s="17" t="str">
        <f aca="false">IF(A1936="","",IF(ISNUMBER(A1936),A1936,IFERROR(DATE(VALUE(MID(A1936,7,4)),VALUE(MID(A1936,4,2)),VALUE(MID(A1936,1,2)))+TIME(VALUE(MID(A1936,12,2)),VALUE(MID(A1936,15,2)),VALUE(MID(A1936,18,2))),"")))</f>
        <v/>
      </c>
    </row>
    <row r="1937" customFormat="false" ht="15" hidden="false" customHeight="false" outlineLevel="0" collapsed="false">
      <c r="I1937" s="15" t="str">
        <f aca="false">IF(N1937="","",INT(N1937))</f>
        <v/>
      </c>
      <c r="J1937" s="16" t="str">
        <f aca="false">IF(B1937="","",IF(N1937=_xlfn.MINIFS($N$2:$N$5001,$B$2:$B$5001,B1937),1,0))</f>
        <v/>
      </c>
      <c r="K1937" s="16" t="str">
        <f aca="false">IF(B1937="","",IF(AND(D1937="Formalização",E1937="Concluído"),IF(COUNTIFS($B$2:$B$5001,B1937,$E$2:$E$5001,"Em ajustes",$N$2:$N$5001,"&lt;"&amp;I1937)&gt;0,1,0),0))</f>
        <v/>
      </c>
      <c r="L1937" s="16" t="str">
        <f aca="false">IF(B1937="","",IF(N1937=_xlfn.MAXIFS($N$2:$N$5001,$B$2:$B$5001,B1937,$I$2:$I$5001,I1937),1,0))</f>
        <v/>
      </c>
      <c r="M1937" s="16" t="str">
        <f aca="false">IF(B1937="","",IF(E1937="Em ajustes",IF(N1937=_xlfn.MINIFS($N$2:$N$5001,$B$2:$B$5001,B1937,$E$2:$E$5001,"Em ajustes"),1,0),0))</f>
        <v/>
      </c>
      <c r="N1937" s="17" t="str">
        <f aca="false">IF(A1937="","",IF(ISNUMBER(A1937),A1937,IFERROR(DATE(VALUE(MID(A1937,7,4)),VALUE(MID(A1937,4,2)),VALUE(MID(A1937,1,2)))+TIME(VALUE(MID(A1937,12,2)),VALUE(MID(A1937,15,2)),VALUE(MID(A1937,18,2))),"")))</f>
        <v/>
      </c>
    </row>
    <row r="1938" customFormat="false" ht="15" hidden="false" customHeight="false" outlineLevel="0" collapsed="false">
      <c r="I1938" s="15" t="str">
        <f aca="false">IF(N1938="","",INT(N1938))</f>
        <v/>
      </c>
      <c r="J1938" s="16" t="str">
        <f aca="false">IF(B1938="","",IF(N1938=_xlfn.MINIFS($N$2:$N$5001,$B$2:$B$5001,B1938),1,0))</f>
        <v/>
      </c>
      <c r="K1938" s="16" t="str">
        <f aca="false">IF(B1938="","",IF(AND(D1938="Formalização",E1938="Concluído"),IF(COUNTIFS($B$2:$B$5001,B1938,$E$2:$E$5001,"Em ajustes",$N$2:$N$5001,"&lt;"&amp;I1938)&gt;0,1,0),0))</f>
        <v/>
      </c>
      <c r="L1938" s="16" t="str">
        <f aca="false">IF(B1938="","",IF(N1938=_xlfn.MAXIFS($N$2:$N$5001,$B$2:$B$5001,B1938,$I$2:$I$5001,I1938),1,0))</f>
        <v/>
      </c>
      <c r="M1938" s="16" t="str">
        <f aca="false">IF(B1938="","",IF(E1938="Em ajustes",IF(N1938=_xlfn.MINIFS($N$2:$N$5001,$B$2:$B$5001,B1938,$E$2:$E$5001,"Em ajustes"),1,0),0))</f>
        <v/>
      </c>
      <c r="N1938" s="17" t="str">
        <f aca="false">IF(A1938="","",IF(ISNUMBER(A1938),A1938,IFERROR(DATE(VALUE(MID(A1938,7,4)),VALUE(MID(A1938,4,2)),VALUE(MID(A1938,1,2)))+TIME(VALUE(MID(A1938,12,2)),VALUE(MID(A1938,15,2)),VALUE(MID(A1938,18,2))),"")))</f>
        <v/>
      </c>
    </row>
    <row r="1939" customFormat="false" ht="15" hidden="false" customHeight="false" outlineLevel="0" collapsed="false">
      <c r="I1939" s="15" t="str">
        <f aca="false">IF(N1939="","",INT(N1939))</f>
        <v/>
      </c>
      <c r="J1939" s="16" t="str">
        <f aca="false">IF(B1939="","",IF(N1939=_xlfn.MINIFS($N$2:$N$5001,$B$2:$B$5001,B1939),1,0))</f>
        <v/>
      </c>
      <c r="K1939" s="16" t="str">
        <f aca="false">IF(B1939="","",IF(AND(D1939="Formalização",E1939="Concluído"),IF(COUNTIFS($B$2:$B$5001,B1939,$E$2:$E$5001,"Em ajustes",$N$2:$N$5001,"&lt;"&amp;I1939)&gt;0,1,0),0))</f>
        <v/>
      </c>
      <c r="L1939" s="16" t="str">
        <f aca="false">IF(B1939="","",IF(N1939=_xlfn.MAXIFS($N$2:$N$5001,$B$2:$B$5001,B1939,$I$2:$I$5001,I1939),1,0))</f>
        <v/>
      </c>
      <c r="M1939" s="16" t="str">
        <f aca="false">IF(B1939="","",IF(E1939="Em ajustes",IF(N1939=_xlfn.MINIFS($N$2:$N$5001,$B$2:$B$5001,B1939,$E$2:$E$5001,"Em ajustes"),1,0),0))</f>
        <v/>
      </c>
      <c r="N1939" s="17" t="str">
        <f aca="false">IF(A1939="","",IF(ISNUMBER(A1939),A1939,IFERROR(DATE(VALUE(MID(A1939,7,4)),VALUE(MID(A1939,4,2)),VALUE(MID(A1939,1,2)))+TIME(VALUE(MID(A1939,12,2)),VALUE(MID(A1939,15,2)),VALUE(MID(A1939,18,2))),"")))</f>
        <v/>
      </c>
    </row>
    <row r="1940" customFormat="false" ht="15" hidden="false" customHeight="false" outlineLevel="0" collapsed="false">
      <c r="I1940" s="15" t="str">
        <f aca="false">IF(N1940="","",INT(N1940))</f>
        <v/>
      </c>
      <c r="J1940" s="16" t="str">
        <f aca="false">IF(B1940="","",IF(N1940=_xlfn.MINIFS($N$2:$N$5001,$B$2:$B$5001,B1940),1,0))</f>
        <v/>
      </c>
      <c r="K1940" s="16" t="str">
        <f aca="false">IF(B1940="","",IF(AND(D1940="Formalização",E1940="Concluído"),IF(COUNTIFS($B$2:$B$5001,B1940,$E$2:$E$5001,"Em ajustes",$N$2:$N$5001,"&lt;"&amp;I1940)&gt;0,1,0),0))</f>
        <v/>
      </c>
      <c r="L1940" s="16" t="str">
        <f aca="false">IF(B1940="","",IF(N1940=_xlfn.MAXIFS($N$2:$N$5001,$B$2:$B$5001,B1940,$I$2:$I$5001,I1940),1,0))</f>
        <v/>
      </c>
      <c r="M1940" s="16" t="str">
        <f aca="false">IF(B1940="","",IF(E1940="Em ajustes",IF(N1940=_xlfn.MINIFS($N$2:$N$5001,$B$2:$B$5001,B1940,$E$2:$E$5001,"Em ajustes"),1,0),0))</f>
        <v/>
      </c>
      <c r="N1940" s="17" t="str">
        <f aca="false">IF(A1940="","",IF(ISNUMBER(A1940),A1940,IFERROR(DATE(VALUE(MID(A1940,7,4)),VALUE(MID(A1940,4,2)),VALUE(MID(A1940,1,2)))+TIME(VALUE(MID(A1940,12,2)),VALUE(MID(A1940,15,2)),VALUE(MID(A1940,18,2))),"")))</f>
        <v/>
      </c>
    </row>
    <row r="1941" customFormat="false" ht="15" hidden="false" customHeight="false" outlineLevel="0" collapsed="false">
      <c r="I1941" s="15" t="str">
        <f aca="false">IF(N1941="","",INT(N1941))</f>
        <v/>
      </c>
      <c r="J1941" s="16" t="str">
        <f aca="false">IF(B1941="","",IF(N1941=_xlfn.MINIFS($N$2:$N$5001,$B$2:$B$5001,B1941),1,0))</f>
        <v/>
      </c>
      <c r="K1941" s="16" t="str">
        <f aca="false">IF(B1941="","",IF(AND(D1941="Formalização",E1941="Concluído"),IF(COUNTIFS($B$2:$B$5001,B1941,$E$2:$E$5001,"Em ajustes",$N$2:$N$5001,"&lt;"&amp;I1941)&gt;0,1,0),0))</f>
        <v/>
      </c>
      <c r="L1941" s="16" t="str">
        <f aca="false">IF(B1941="","",IF(N1941=_xlfn.MAXIFS($N$2:$N$5001,$B$2:$B$5001,B1941,$I$2:$I$5001,I1941),1,0))</f>
        <v/>
      </c>
      <c r="M1941" s="16" t="str">
        <f aca="false">IF(B1941="","",IF(E1941="Em ajustes",IF(N1941=_xlfn.MINIFS($N$2:$N$5001,$B$2:$B$5001,B1941,$E$2:$E$5001,"Em ajustes"),1,0),0))</f>
        <v/>
      </c>
      <c r="N1941" s="17" t="str">
        <f aca="false">IF(A1941="","",IF(ISNUMBER(A1941),A1941,IFERROR(DATE(VALUE(MID(A1941,7,4)),VALUE(MID(A1941,4,2)),VALUE(MID(A1941,1,2)))+TIME(VALUE(MID(A1941,12,2)),VALUE(MID(A1941,15,2)),VALUE(MID(A1941,18,2))),"")))</f>
        <v/>
      </c>
    </row>
    <row r="1942" customFormat="false" ht="15" hidden="false" customHeight="false" outlineLevel="0" collapsed="false">
      <c r="I1942" s="15" t="str">
        <f aca="false">IF(N1942="","",INT(N1942))</f>
        <v/>
      </c>
      <c r="J1942" s="16" t="str">
        <f aca="false">IF(B1942="","",IF(N1942=_xlfn.MINIFS($N$2:$N$5001,$B$2:$B$5001,B1942),1,0))</f>
        <v/>
      </c>
      <c r="K1942" s="16" t="str">
        <f aca="false">IF(B1942="","",IF(AND(D1942="Formalização",E1942="Concluído"),IF(COUNTIFS($B$2:$B$5001,B1942,$E$2:$E$5001,"Em ajustes",$N$2:$N$5001,"&lt;"&amp;I1942)&gt;0,1,0),0))</f>
        <v/>
      </c>
      <c r="L1942" s="16" t="str">
        <f aca="false">IF(B1942="","",IF(N1942=_xlfn.MAXIFS($N$2:$N$5001,$B$2:$B$5001,B1942,$I$2:$I$5001,I1942),1,0))</f>
        <v/>
      </c>
      <c r="M1942" s="16" t="str">
        <f aca="false">IF(B1942="","",IF(E1942="Em ajustes",IF(N1942=_xlfn.MINIFS($N$2:$N$5001,$B$2:$B$5001,B1942,$E$2:$E$5001,"Em ajustes"),1,0),0))</f>
        <v/>
      </c>
      <c r="N1942" s="17" t="str">
        <f aca="false">IF(A1942="","",IF(ISNUMBER(A1942),A1942,IFERROR(DATE(VALUE(MID(A1942,7,4)),VALUE(MID(A1942,4,2)),VALUE(MID(A1942,1,2)))+TIME(VALUE(MID(A1942,12,2)),VALUE(MID(A1942,15,2)),VALUE(MID(A1942,18,2))),"")))</f>
        <v/>
      </c>
    </row>
    <row r="1943" customFormat="false" ht="15" hidden="false" customHeight="false" outlineLevel="0" collapsed="false">
      <c r="I1943" s="15" t="str">
        <f aca="false">IF(N1943="","",INT(N1943))</f>
        <v/>
      </c>
      <c r="J1943" s="16" t="str">
        <f aca="false">IF(B1943="","",IF(N1943=_xlfn.MINIFS($N$2:$N$5001,$B$2:$B$5001,B1943),1,0))</f>
        <v/>
      </c>
      <c r="K1943" s="16" t="str">
        <f aca="false">IF(B1943="","",IF(AND(D1943="Formalização",E1943="Concluído"),IF(COUNTIFS($B$2:$B$5001,B1943,$E$2:$E$5001,"Em ajustes",$N$2:$N$5001,"&lt;"&amp;I1943)&gt;0,1,0),0))</f>
        <v/>
      </c>
      <c r="L1943" s="16" t="str">
        <f aca="false">IF(B1943="","",IF(N1943=_xlfn.MAXIFS($N$2:$N$5001,$B$2:$B$5001,B1943,$I$2:$I$5001,I1943),1,0))</f>
        <v/>
      </c>
      <c r="M1943" s="16" t="str">
        <f aca="false">IF(B1943="","",IF(E1943="Em ajustes",IF(N1943=_xlfn.MINIFS($N$2:$N$5001,$B$2:$B$5001,B1943,$E$2:$E$5001,"Em ajustes"),1,0),0))</f>
        <v/>
      </c>
      <c r="N1943" s="17" t="str">
        <f aca="false">IF(A1943="","",IF(ISNUMBER(A1943),A1943,IFERROR(DATE(VALUE(MID(A1943,7,4)),VALUE(MID(A1943,4,2)),VALUE(MID(A1943,1,2)))+TIME(VALUE(MID(A1943,12,2)),VALUE(MID(A1943,15,2)),VALUE(MID(A1943,18,2))),"")))</f>
        <v/>
      </c>
    </row>
    <row r="1944" customFormat="false" ht="15" hidden="false" customHeight="false" outlineLevel="0" collapsed="false">
      <c r="I1944" s="15" t="str">
        <f aca="false">IF(N1944="","",INT(N1944))</f>
        <v/>
      </c>
      <c r="J1944" s="16" t="str">
        <f aca="false">IF(B1944="","",IF(N1944=_xlfn.MINIFS($N$2:$N$5001,$B$2:$B$5001,B1944),1,0))</f>
        <v/>
      </c>
      <c r="K1944" s="16" t="str">
        <f aca="false">IF(B1944="","",IF(AND(D1944="Formalização",E1944="Concluído"),IF(COUNTIFS($B$2:$B$5001,B1944,$E$2:$E$5001,"Em ajustes",$N$2:$N$5001,"&lt;"&amp;I1944)&gt;0,1,0),0))</f>
        <v/>
      </c>
      <c r="L1944" s="16" t="str">
        <f aca="false">IF(B1944="","",IF(N1944=_xlfn.MAXIFS($N$2:$N$5001,$B$2:$B$5001,B1944,$I$2:$I$5001,I1944),1,0))</f>
        <v/>
      </c>
      <c r="M1944" s="16" t="str">
        <f aca="false">IF(B1944="","",IF(E1944="Em ajustes",IF(N1944=_xlfn.MINIFS($N$2:$N$5001,$B$2:$B$5001,B1944,$E$2:$E$5001,"Em ajustes"),1,0),0))</f>
        <v/>
      </c>
      <c r="N1944" s="17" t="str">
        <f aca="false">IF(A1944="","",IF(ISNUMBER(A1944),A1944,IFERROR(DATE(VALUE(MID(A1944,7,4)),VALUE(MID(A1944,4,2)),VALUE(MID(A1944,1,2)))+TIME(VALUE(MID(A1944,12,2)),VALUE(MID(A1944,15,2)),VALUE(MID(A1944,18,2))),"")))</f>
        <v/>
      </c>
    </row>
    <row r="1945" customFormat="false" ht="15" hidden="false" customHeight="false" outlineLevel="0" collapsed="false">
      <c r="I1945" s="15" t="str">
        <f aca="false">IF(N1945="","",INT(N1945))</f>
        <v/>
      </c>
      <c r="J1945" s="16" t="str">
        <f aca="false">IF(B1945="","",IF(N1945=_xlfn.MINIFS($N$2:$N$5001,$B$2:$B$5001,B1945),1,0))</f>
        <v/>
      </c>
      <c r="K1945" s="16" t="str">
        <f aca="false">IF(B1945="","",IF(AND(D1945="Formalização",E1945="Concluído"),IF(COUNTIFS($B$2:$B$5001,B1945,$E$2:$E$5001,"Em ajustes",$N$2:$N$5001,"&lt;"&amp;I1945)&gt;0,1,0),0))</f>
        <v/>
      </c>
      <c r="L1945" s="16" t="str">
        <f aca="false">IF(B1945="","",IF(N1945=_xlfn.MAXIFS($N$2:$N$5001,$B$2:$B$5001,B1945,$I$2:$I$5001,I1945),1,0))</f>
        <v/>
      </c>
      <c r="M1945" s="16" t="str">
        <f aca="false">IF(B1945="","",IF(E1945="Em ajustes",IF(N1945=_xlfn.MINIFS($N$2:$N$5001,$B$2:$B$5001,B1945,$E$2:$E$5001,"Em ajustes"),1,0),0))</f>
        <v/>
      </c>
      <c r="N1945" s="17" t="str">
        <f aca="false">IF(A1945="","",IF(ISNUMBER(A1945),A1945,IFERROR(DATE(VALUE(MID(A1945,7,4)),VALUE(MID(A1945,4,2)),VALUE(MID(A1945,1,2)))+TIME(VALUE(MID(A1945,12,2)),VALUE(MID(A1945,15,2)),VALUE(MID(A1945,18,2))),"")))</f>
        <v/>
      </c>
    </row>
    <row r="1946" customFormat="false" ht="15" hidden="false" customHeight="false" outlineLevel="0" collapsed="false">
      <c r="I1946" s="15" t="str">
        <f aca="false">IF(N1946="","",INT(N1946))</f>
        <v/>
      </c>
      <c r="J1946" s="16" t="str">
        <f aca="false">IF(B1946="","",IF(N1946=_xlfn.MINIFS($N$2:$N$5001,$B$2:$B$5001,B1946),1,0))</f>
        <v/>
      </c>
      <c r="K1946" s="16" t="str">
        <f aca="false">IF(B1946="","",IF(AND(D1946="Formalização",E1946="Concluído"),IF(COUNTIFS($B$2:$B$5001,B1946,$E$2:$E$5001,"Em ajustes",$N$2:$N$5001,"&lt;"&amp;I1946)&gt;0,1,0),0))</f>
        <v/>
      </c>
      <c r="L1946" s="16" t="str">
        <f aca="false">IF(B1946="","",IF(N1946=_xlfn.MAXIFS($N$2:$N$5001,$B$2:$B$5001,B1946,$I$2:$I$5001,I1946),1,0))</f>
        <v/>
      </c>
      <c r="M1946" s="16" t="str">
        <f aca="false">IF(B1946="","",IF(E1946="Em ajustes",IF(N1946=_xlfn.MINIFS($N$2:$N$5001,$B$2:$B$5001,B1946,$E$2:$E$5001,"Em ajustes"),1,0),0))</f>
        <v/>
      </c>
      <c r="N1946" s="17" t="str">
        <f aca="false">IF(A1946="","",IF(ISNUMBER(A1946),A1946,IFERROR(DATE(VALUE(MID(A1946,7,4)),VALUE(MID(A1946,4,2)),VALUE(MID(A1946,1,2)))+TIME(VALUE(MID(A1946,12,2)),VALUE(MID(A1946,15,2)),VALUE(MID(A1946,18,2))),"")))</f>
        <v/>
      </c>
    </row>
    <row r="1947" customFormat="false" ht="15" hidden="false" customHeight="false" outlineLevel="0" collapsed="false">
      <c r="I1947" s="15" t="str">
        <f aca="false">IF(N1947="","",INT(N1947))</f>
        <v/>
      </c>
      <c r="J1947" s="16" t="str">
        <f aca="false">IF(B1947="","",IF(N1947=_xlfn.MINIFS($N$2:$N$5001,$B$2:$B$5001,B1947),1,0))</f>
        <v/>
      </c>
      <c r="K1947" s="16" t="str">
        <f aca="false">IF(B1947="","",IF(AND(D1947="Formalização",E1947="Concluído"),IF(COUNTIFS($B$2:$B$5001,B1947,$E$2:$E$5001,"Em ajustes",$N$2:$N$5001,"&lt;"&amp;I1947)&gt;0,1,0),0))</f>
        <v/>
      </c>
      <c r="L1947" s="16" t="str">
        <f aca="false">IF(B1947="","",IF(N1947=_xlfn.MAXIFS($N$2:$N$5001,$B$2:$B$5001,B1947,$I$2:$I$5001,I1947),1,0))</f>
        <v/>
      </c>
      <c r="M1947" s="16" t="str">
        <f aca="false">IF(B1947="","",IF(E1947="Em ajustes",IF(N1947=_xlfn.MINIFS($N$2:$N$5001,$B$2:$B$5001,B1947,$E$2:$E$5001,"Em ajustes"),1,0),0))</f>
        <v/>
      </c>
      <c r="N1947" s="17" t="str">
        <f aca="false">IF(A1947="","",IF(ISNUMBER(A1947),A1947,IFERROR(DATE(VALUE(MID(A1947,7,4)),VALUE(MID(A1947,4,2)),VALUE(MID(A1947,1,2)))+TIME(VALUE(MID(A1947,12,2)),VALUE(MID(A1947,15,2)),VALUE(MID(A1947,18,2))),"")))</f>
        <v/>
      </c>
    </row>
    <row r="1948" customFormat="false" ht="15" hidden="false" customHeight="false" outlineLevel="0" collapsed="false">
      <c r="I1948" s="15" t="str">
        <f aca="false">IF(N1948="","",INT(N1948))</f>
        <v/>
      </c>
      <c r="J1948" s="16" t="str">
        <f aca="false">IF(B1948="","",IF(N1948=_xlfn.MINIFS($N$2:$N$5001,$B$2:$B$5001,B1948),1,0))</f>
        <v/>
      </c>
      <c r="K1948" s="16" t="str">
        <f aca="false">IF(B1948="","",IF(AND(D1948="Formalização",E1948="Concluído"),IF(COUNTIFS($B$2:$B$5001,B1948,$E$2:$E$5001,"Em ajustes",$N$2:$N$5001,"&lt;"&amp;I1948)&gt;0,1,0),0))</f>
        <v/>
      </c>
      <c r="L1948" s="16" t="str">
        <f aca="false">IF(B1948="","",IF(N1948=_xlfn.MAXIFS($N$2:$N$5001,$B$2:$B$5001,B1948,$I$2:$I$5001,I1948),1,0))</f>
        <v/>
      </c>
      <c r="M1948" s="16" t="str">
        <f aca="false">IF(B1948="","",IF(E1948="Em ajustes",IF(N1948=_xlfn.MINIFS($N$2:$N$5001,$B$2:$B$5001,B1948,$E$2:$E$5001,"Em ajustes"),1,0),0))</f>
        <v/>
      </c>
      <c r="N1948" s="17" t="str">
        <f aca="false">IF(A1948="","",IF(ISNUMBER(A1948),A1948,IFERROR(DATE(VALUE(MID(A1948,7,4)),VALUE(MID(A1948,4,2)),VALUE(MID(A1948,1,2)))+TIME(VALUE(MID(A1948,12,2)),VALUE(MID(A1948,15,2)),VALUE(MID(A1948,18,2))),"")))</f>
        <v/>
      </c>
    </row>
    <row r="1949" customFormat="false" ht="15" hidden="false" customHeight="false" outlineLevel="0" collapsed="false">
      <c r="I1949" s="15" t="str">
        <f aca="false">IF(N1949="","",INT(N1949))</f>
        <v/>
      </c>
      <c r="J1949" s="16" t="str">
        <f aca="false">IF(B1949="","",IF(N1949=_xlfn.MINIFS($N$2:$N$5001,$B$2:$B$5001,B1949),1,0))</f>
        <v/>
      </c>
      <c r="K1949" s="16" t="str">
        <f aca="false">IF(B1949="","",IF(AND(D1949="Formalização",E1949="Concluído"),IF(COUNTIFS($B$2:$B$5001,B1949,$E$2:$E$5001,"Em ajustes",$N$2:$N$5001,"&lt;"&amp;I1949)&gt;0,1,0),0))</f>
        <v/>
      </c>
      <c r="L1949" s="16" t="str">
        <f aca="false">IF(B1949="","",IF(N1949=_xlfn.MAXIFS($N$2:$N$5001,$B$2:$B$5001,B1949,$I$2:$I$5001,I1949),1,0))</f>
        <v/>
      </c>
      <c r="M1949" s="16" t="str">
        <f aca="false">IF(B1949="","",IF(E1949="Em ajustes",IF(N1949=_xlfn.MINIFS($N$2:$N$5001,$B$2:$B$5001,B1949,$E$2:$E$5001,"Em ajustes"),1,0),0))</f>
        <v/>
      </c>
      <c r="N1949" s="17" t="str">
        <f aca="false">IF(A1949="","",IF(ISNUMBER(A1949),A1949,IFERROR(DATE(VALUE(MID(A1949,7,4)),VALUE(MID(A1949,4,2)),VALUE(MID(A1949,1,2)))+TIME(VALUE(MID(A1949,12,2)),VALUE(MID(A1949,15,2)),VALUE(MID(A1949,18,2))),"")))</f>
        <v/>
      </c>
    </row>
    <row r="1950" customFormat="false" ht="15" hidden="false" customHeight="false" outlineLevel="0" collapsed="false">
      <c r="I1950" s="15" t="str">
        <f aca="false">IF(N1950="","",INT(N1950))</f>
        <v/>
      </c>
      <c r="J1950" s="16" t="str">
        <f aca="false">IF(B1950="","",IF(N1950=_xlfn.MINIFS($N$2:$N$5001,$B$2:$B$5001,B1950),1,0))</f>
        <v/>
      </c>
      <c r="K1950" s="16" t="str">
        <f aca="false">IF(B1950="","",IF(AND(D1950="Formalização",E1950="Concluído"),IF(COUNTIFS($B$2:$B$5001,B1950,$E$2:$E$5001,"Em ajustes",$N$2:$N$5001,"&lt;"&amp;I1950)&gt;0,1,0),0))</f>
        <v/>
      </c>
      <c r="L1950" s="16" t="str">
        <f aca="false">IF(B1950="","",IF(N1950=_xlfn.MAXIFS($N$2:$N$5001,$B$2:$B$5001,B1950,$I$2:$I$5001,I1950),1,0))</f>
        <v/>
      </c>
      <c r="M1950" s="16" t="str">
        <f aca="false">IF(B1950="","",IF(E1950="Em ajustes",IF(N1950=_xlfn.MINIFS($N$2:$N$5001,$B$2:$B$5001,B1950,$E$2:$E$5001,"Em ajustes"),1,0),0))</f>
        <v/>
      </c>
      <c r="N1950" s="17" t="str">
        <f aca="false">IF(A1950="","",IF(ISNUMBER(A1950),A1950,IFERROR(DATE(VALUE(MID(A1950,7,4)),VALUE(MID(A1950,4,2)),VALUE(MID(A1950,1,2)))+TIME(VALUE(MID(A1950,12,2)),VALUE(MID(A1950,15,2)),VALUE(MID(A1950,18,2))),"")))</f>
        <v/>
      </c>
    </row>
    <row r="1951" customFormat="false" ht="15" hidden="false" customHeight="false" outlineLevel="0" collapsed="false">
      <c r="I1951" s="15" t="str">
        <f aca="false">IF(N1951="","",INT(N1951))</f>
        <v/>
      </c>
      <c r="J1951" s="16" t="str">
        <f aca="false">IF(B1951="","",IF(N1951=_xlfn.MINIFS($N$2:$N$5001,$B$2:$B$5001,B1951),1,0))</f>
        <v/>
      </c>
      <c r="K1951" s="16" t="str">
        <f aca="false">IF(B1951="","",IF(AND(D1951="Formalização",E1951="Concluído"),IF(COUNTIFS($B$2:$B$5001,B1951,$E$2:$E$5001,"Em ajustes",$N$2:$N$5001,"&lt;"&amp;I1951)&gt;0,1,0),0))</f>
        <v/>
      </c>
      <c r="L1951" s="16" t="str">
        <f aca="false">IF(B1951="","",IF(N1951=_xlfn.MAXIFS($N$2:$N$5001,$B$2:$B$5001,B1951,$I$2:$I$5001,I1951),1,0))</f>
        <v/>
      </c>
      <c r="M1951" s="16" t="str">
        <f aca="false">IF(B1951="","",IF(E1951="Em ajustes",IF(N1951=_xlfn.MINIFS($N$2:$N$5001,$B$2:$B$5001,B1951,$E$2:$E$5001,"Em ajustes"),1,0),0))</f>
        <v/>
      </c>
      <c r="N1951" s="17" t="str">
        <f aca="false">IF(A1951="","",IF(ISNUMBER(A1951),A1951,IFERROR(DATE(VALUE(MID(A1951,7,4)),VALUE(MID(A1951,4,2)),VALUE(MID(A1951,1,2)))+TIME(VALUE(MID(A1951,12,2)),VALUE(MID(A1951,15,2)),VALUE(MID(A1951,18,2))),"")))</f>
        <v/>
      </c>
    </row>
    <row r="1952" customFormat="false" ht="15" hidden="false" customHeight="false" outlineLevel="0" collapsed="false">
      <c r="I1952" s="15" t="str">
        <f aca="false">IF(N1952="","",INT(N1952))</f>
        <v/>
      </c>
      <c r="J1952" s="16" t="str">
        <f aca="false">IF(B1952="","",IF(N1952=_xlfn.MINIFS($N$2:$N$5001,$B$2:$B$5001,B1952),1,0))</f>
        <v/>
      </c>
      <c r="K1952" s="16" t="str">
        <f aca="false">IF(B1952="","",IF(AND(D1952="Formalização",E1952="Concluído"),IF(COUNTIFS($B$2:$B$5001,B1952,$E$2:$E$5001,"Em ajustes",$N$2:$N$5001,"&lt;"&amp;I1952)&gt;0,1,0),0))</f>
        <v/>
      </c>
      <c r="L1952" s="16" t="str">
        <f aca="false">IF(B1952="","",IF(N1952=_xlfn.MAXIFS($N$2:$N$5001,$B$2:$B$5001,B1952,$I$2:$I$5001,I1952),1,0))</f>
        <v/>
      </c>
      <c r="M1952" s="16" t="str">
        <f aca="false">IF(B1952="","",IF(E1952="Em ajustes",IF(N1952=_xlfn.MINIFS($N$2:$N$5001,$B$2:$B$5001,B1952,$E$2:$E$5001,"Em ajustes"),1,0),0))</f>
        <v/>
      </c>
      <c r="N1952" s="17" t="str">
        <f aca="false">IF(A1952="","",IF(ISNUMBER(A1952),A1952,IFERROR(DATE(VALUE(MID(A1952,7,4)),VALUE(MID(A1952,4,2)),VALUE(MID(A1952,1,2)))+TIME(VALUE(MID(A1952,12,2)),VALUE(MID(A1952,15,2)),VALUE(MID(A1952,18,2))),"")))</f>
        <v/>
      </c>
    </row>
    <row r="1953" customFormat="false" ht="15" hidden="false" customHeight="false" outlineLevel="0" collapsed="false">
      <c r="I1953" s="15" t="str">
        <f aca="false">IF(N1953="","",INT(N1953))</f>
        <v/>
      </c>
      <c r="J1953" s="16" t="str">
        <f aca="false">IF(B1953="","",IF(N1953=_xlfn.MINIFS($N$2:$N$5001,$B$2:$B$5001,B1953),1,0))</f>
        <v/>
      </c>
      <c r="K1953" s="16" t="str">
        <f aca="false">IF(B1953="","",IF(AND(D1953="Formalização",E1953="Concluído"),IF(COUNTIFS($B$2:$B$5001,B1953,$E$2:$E$5001,"Em ajustes",$N$2:$N$5001,"&lt;"&amp;I1953)&gt;0,1,0),0))</f>
        <v/>
      </c>
      <c r="L1953" s="16" t="str">
        <f aca="false">IF(B1953="","",IF(N1953=_xlfn.MAXIFS($N$2:$N$5001,$B$2:$B$5001,B1953,$I$2:$I$5001,I1953),1,0))</f>
        <v/>
      </c>
      <c r="M1953" s="16" t="str">
        <f aca="false">IF(B1953="","",IF(E1953="Em ajustes",IF(N1953=_xlfn.MINIFS($N$2:$N$5001,$B$2:$B$5001,B1953,$E$2:$E$5001,"Em ajustes"),1,0),0))</f>
        <v/>
      </c>
      <c r="N1953" s="17" t="str">
        <f aca="false">IF(A1953="","",IF(ISNUMBER(A1953),A1953,IFERROR(DATE(VALUE(MID(A1953,7,4)),VALUE(MID(A1953,4,2)),VALUE(MID(A1953,1,2)))+TIME(VALUE(MID(A1953,12,2)),VALUE(MID(A1953,15,2)),VALUE(MID(A1953,18,2))),"")))</f>
        <v/>
      </c>
    </row>
    <row r="1954" customFormat="false" ht="15" hidden="false" customHeight="false" outlineLevel="0" collapsed="false">
      <c r="I1954" s="15" t="str">
        <f aca="false">IF(N1954="","",INT(N1954))</f>
        <v/>
      </c>
      <c r="J1954" s="16" t="str">
        <f aca="false">IF(B1954="","",IF(N1954=_xlfn.MINIFS($N$2:$N$5001,$B$2:$B$5001,B1954),1,0))</f>
        <v/>
      </c>
      <c r="K1954" s="16" t="str">
        <f aca="false">IF(B1954="","",IF(AND(D1954="Formalização",E1954="Concluído"),IF(COUNTIFS($B$2:$B$5001,B1954,$E$2:$E$5001,"Em ajustes",$N$2:$N$5001,"&lt;"&amp;I1954)&gt;0,1,0),0))</f>
        <v/>
      </c>
      <c r="L1954" s="16" t="str">
        <f aca="false">IF(B1954="","",IF(N1954=_xlfn.MAXIFS($N$2:$N$5001,$B$2:$B$5001,B1954,$I$2:$I$5001,I1954),1,0))</f>
        <v/>
      </c>
      <c r="M1954" s="16" t="str">
        <f aca="false">IF(B1954="","",IF(E1954="Em ajustes",IF(N1954=_xlfn.MINIFS($N$2:$N$5001,$B$2:$B$5001,B1954,$E$2:$E$5001,"Em ajustes"),1,0),0))</f>
        <v/>
      </c>
      <c r="N1954" s="17" t="str">
        <f aca="false">IF(A1954="","",IF(ISNUMBER(A1954),A1954,IFERROR(DATE(VALUE(MID(A1954,7,4)),VALUE(MID(A1954,4,2)),VALUE(MID(A1954,1,2)))+TIME(VALUE(MID(A1954,12,2)),VALUE(MID(A1954,15,2)),VALUE(MID(A1954,18,2))),"")))</f>
        <v/>
      </c>
    </row>
    <row r="1955" customFormat="false" ht="15" hidden="false" customHeight="false" outlineLevel="0" collapsed="false">
      <c r="I1955" s="15" t="str">
        <f aca="false">IF(N1955="","",INT(N1955))</f>
        <v/>
      </c>
      <c r="J1955" s="16" t="str">
        <f aca="false">IF(B1955="","",IF(N1955=_xlfn.MINIFS($N$2:$N$5001,$B$2:$B$5001,B1955),1,0))</f>
        <v/>
      </c>
      <c r="K1955" s="16" t="str">
        <f aca="false">IF(B1955="","",IF(AND(D1955="Formalização",E1955="Concluído"),IF(COUNTIFS($B$2:$B$5001,B1955,$E$2:$E$5001,"Em ajustes",$N$2:$N$5001,"&lt;"&amp;I1955)&gt;0,1,0),0))</f>
        <v/>
      </c>
      <c r="L1955" s="16" t="str">
        <f aca="false">IF(B1955="","",IF(N1955=_xlfn.MAXIFS($N$2:$N$5001,$B$2:$B$5001,B1955,$I$2:$I$5001,I1955),1,0))</f>
        <v/>
      </c>
      <c r="M1955" s="16" t="str">
        <f aca="false">IF(B1955="","",IF(E1955="Em ajustes",IF(N1955=_xlfn.MINIFS($N$2:$N$5001,$B$2:$B$5001,B1955,$E$2:$E$5001,"Em ajustes"),1,0),0))</f>
        <v/>
      </c>
      <c r="N1955" s="17" t="str">
        <f aca="false">IF(A1955="","",IF(ISNUMBER(A1955),A1955,IFERROR(DATE(VALUE(MID(A1955,7,4)),VALUE(MID(A1955,4,2)),VALUE(MID(A1955,1,2)))+TIME(VALUE(MID(A1955,12,2)),VALUE(MID(A1955,15,2)),VALUE(MID(A1955,18,2))),"")))</f>
        <v/>
      </c>
    </row>
    <row r="1956" customFormat="false" ht="15" hidden="false" customHeight="false" outlineLevel="0" collapsed="false">
      <c r="I1956" s="15" t="str">
        <f aca="false">IF(N1956="","",INT(N1956))</f>
        <v/>
      </c>
      <c r="J1956" s="16" t="str">
        <f aca="false">IF(B1956="","",IF(N1956=_xlfn.MINIFS($N$2:$N$5001,$B$2:$B$5001,B1956),1,0))</f>
        <v/>
      </c>
      <c r="K1956" s="16" t="str">
        <f aca="false">IF(B1956="","",IF(AND(D1956="Formalização",E1956="Concluído"),IF(COUNTIFS($B$2:$B$5001,B1956,$E$2:$E$5001,"Em ajustes",$N$2:$N$5001,"&lt;"&amp;I1956)&gt;0,1,0),0))</f>
        <v/>
      </c>
      <c r="L1956" s="16" t="str">
        <f aca="false">IF(B1956="","",IF(N1956=_xlfn.MAXIFS($N$2:$N$5001,$B$2:$B$5001,B1956,$I$2:$I$5001,I1956),1,0))</f>
        <v/>
      </c>
      <c r="M1956" s="16" t="str">
        <f aca="false">IF(B1956="","",IF(E1956="Em ajustes",IF(N1956=_xlfn.MINIFS($N$2:$N$5001,$B$2:$B$5001,B1956,$E$2:$E$5001,"Em ajustes"),1,0),0))</f>
        <v/>
      </c>
      <c r="N1956" s="17" t="str">
        <f aca="false">IF(A1956="","",IF(ISNUMBER(A1956),A1956,IFERROR(DATE(VALUE(MID(A1956,7,4)),VALUE(MID(A1956,4,2)),VALUE(MID(A1956,1,2)))+TIME(VALUE(MID(A1956,12,2)),VALUE(MID(A1956,15,2)),VALUE(MID(A1956,18,2))),"")))</f>
        <v/>
      </c>
    </row>
    <row r="1957" customFormat="false" ht="15" hidden="false" customHeight="false" outlineLevel="0" collapsed="false">
      <c r="I1957" s="15" t="str">
        <f aca="false">IF(N1957="","",INT(N1957))</f>
        <v/>
      </c>
      <c r="J1957" s="16" t="str">
        <f aca="false">IF(B1957="","",IF(N1957=_xlfn.MINIFS($N$2:$N$5001,$B$2:$B$5001,B1957),1,0))</f>
        <v/>
      </c>
      <c r="K1957" s="16" t="str">
        <f aca="false">IF(B1957="","",IF(AND(D1957="Formalização",E1957="Concluído"),IF(COUNTIFS($B$2:$B$5001,B1957,$E$2:$E$5001,"Em ajustes",$N$2:$N$5001,"&lt;"&amp;I1957)&gt;0,1,0),0))</f>
        <v/>
      </c>
      <c r="L1957" s="16" t="str">
        <f aca="false">IF(B1957="","",IF(N1957=_xlfn.MAXIFS($N$2:$N$5001,$B$2:$B$5001,B1957,$I$2:$I$5001,I1957),1,0))</f>
        <v/>
      </c>
      <c r="M1957" s="16" t="str">
        <f aca="false">IF(B1957="","",IF(E1957="Em ajustes",IF(N1957=_xlfn.MINIFS($N$2:$N$5001,$B$2:$B$5001,B1957,$E$2:$E$5001,"Em ajustes"),1,0),0))</f>
        <v/>
      </c>
      <c r="N1957" s="17" t="str">
        <f aca="false">IF(A1957="","",IF(ISNUMBER(A1957),A1957,IFERROR(DATE(VALUE(MID(A1957,7,4)),VALUE(MID(A1957,4,2)),VALUE(MID(A1957,1,2)))+TIME(VALUE(MID(A1957,12,2)),VALUE(MID(A1957,15,2)),VALUE(MID(A1957,18,2))),"")))</f>
        <v/>
      </c>
    </row>
    <row r="1958" customFormat="false" ht="15" hidden="false" customHeight="false" outlineLevel="0" collapsed="false">
      <c r="I1958" s="15" t="str">
        <f aca="false">IF(N1958="","",INT(N1958))</f>
        <v/>
      </c>
      <c r="J1958" s="16" t="str">
        <f aca="false">IF(B1958="","",IF(N1958=_xlfn.MINIFS($N$2:$N$5001,$B$2:$B$5001,B1958),1,0))</f>
        <v/>
      </c>
      <c r="K1958" s="16" t="str">
        <f aca="false">IF(B1958="","",IF(AND(D1958="Formalização",E1958="Concluído"),IF(COUNTIFS($B$2:$B$5001,B1958,$E$2:$E$5001,"Em ajustes",$N$2:$N$5001,"&lt;"&amp;I1958)&gt;0,1,0),0))</f>
        <v/>
      </c>
      <c r="L1958" s="16" t="str">
        <f aca="false">IF(B1958="","",IF(N1958=_xlfn.MAXIFS($N$2:$N$5001,$B$2:$B$5001,B1958,$I$2:$I$5001,I1958),1,0))</f>
        <v/>
      </c>
      <c r="M1958" s="16" t="str">
        <f aca="false">IF(B1958="","",IF(E1958="Em ajustes",IF(N1958=_xlfn.MINIFS($N$2:$N$5001,$B$2:$B$5001,B1958,$E$2:$E$5001,"Em ajustes"),1,0),0))</f>
        <v/>
      </c>
      <c r="N1958" s="17" t="str">
        <f aca="false">IF(A1958="","",IF(ISNUMBER(A1958),A1958,IFERROR(DATE(VALUE(MID(A1958,7,4)),VALUE(MID(A1958,4,2)),VALUE(MID(A1958,1,2)))+TIME(VALUE(MID(A1958,12,2)),VALUE(MID(A1958,15,2)),VALUE(MID(A1958,18,2))),"")))</f>
        <v/>
      </c>
    </row>
    <row r="1959" customFormat="false" ht="15" hidden="false" customHeight="false" outlineLevel="0" collapsed="false">
      <c r="I1959" s="15" t="str">
        <f aca="false">IF(N1959="","",INT(N1959))</f>
        <v/>
      </c>
      <c r="J1959" s="16" t="str">
        <f aca="false">IF(B1959="","",IF(N1959=_xlfn.MINIFS($N$2:$N$5001,$B$2:$B$5001,B1959),1,0))</f>
        <v/>
      </c>
      <c r="K1959" s="16" t="str">
        <f aca="false">IF(B1959="","",IF(AND(D1959="Formalização",E1959="Concluído"),IF(COUNTIFS($B$2:$B$5001,B1959,$E$2:$E$5001,"Em ajustes",$N$2:$N$5001,"&lt;"&amp;I1959)&gt;0,1,0),0))</f>
        <v/>
      </c>
      <c r="L1959" s="16" t="str">
        <f aca="false">IF(B1959="","",IF(N1959=_xlfn.MAXIFS($N$2:$N$5001,$B$2:$B$5001,B1959,$I$2:$I$5001,I1959),1,0))</f>
        <v/>
      </c>
      <c r="M1959" s="16" t="str">
        <f aca="false">IF(B1959="","",IF(E1959="Em ajustes",IF(N1959=_xlfn.MINIFS($N$2:$N$5001,$B$2:$B$5001,B1959,$E$2:$E$5001,"Em ajustes"),1,0),0))</f>
        <v/>
      </c>
      <c r="N1959" s="17" t="str">
        <f aca="false">IF(A1959="","",IF(ISNUMBER(A1959),A1959,IFERROR(DATE(VALUE(MID(A1959,7,4)),VALUE(MID(A1959,4,2)),VALUE(MID(A1959,1,2)))+TIME(VALUE(MID(A1959,12,2)),VALUE(MID(A1959,15,2)),VALUE(MID(A1959,18,2))),"")))</f>
        <v/>
      </c>
    </row>
    <row r="1960" customFormat="false" ht="15" hidden="false" customHeight="false" outlineLevel="0" collapsed="false">
      <c r="I1960" s="15" t="str">
        <f aca="false">IF(N1960="","",INT(N1960))</f>
        <v/>
      </c>
      <c r="J1960" s="16" t="str">
        <f aca="false">IF(B1960="","",IF(N1960=_xlfn.MINIFS($N$2:$N$5001,$B$2:$B$5001,B1960),1,0))</f>
        <v/>
      </c>
      <c r="K1960" s="16" t="str">
        <f aca="false">IF(B1960="","",IF(AND(D1960="Formalização",E1960="Concluído"),IF(COUNTIFS($B$2:$B$5001,B1960,$E$2:$E$5001,"Em ajustes",$N$2:$N$5001,"&lt;"&amp;I1960)&gt;0,1,0),0))</f>
        <v/>
      </c>
      <c r="L1960" s="16" t="str">
        <f aca="false">IF(B1960="","",IF(N1960=_xlfn.MAXIFS($N$2:$N$5001,$B$2:$B$5001,B1960,$I$2:$I$5001,I1960),1,0))</f>
        <v/>
      </c>
      <c r="M1960" s="16" t="str">
        <f aca="false">IF(B1960="","",IF(E1960="Em ajustes",IF(N1960=_xlfn.MINIFS($N$2:$N$5001,$B$2:$B$5001,B1960,$E$2:$E$5001,"Em ajustes"),1,0),0))</f>
        <v/>
      </c>
      <c r="N1960" s="17" t="str">
        <f aca="false">IF(A1960="","",IF(ISNUMBER(A1960),A1960,IFERROR(DATE(VALUE(MID(A1960,7,4)),VALUE(MID(A1960,4,2)),VALUE(MID(A1960,1,2)))+TIME(VALUE(MID(A1960,12,2)),VALUE(MID(A1960,15,2)),VALUE(MID(A1960,18,2))),"")))</f>
        <v/>
      </c>
    </row>
    <row r="1961" customFormat="false" ht="15" hidden="false" customHeight="false" outlineLevel="0" collapsed="false">
      <c r="I1961" s="15" t="str">
        <f aca="false">IF(N1961="","",INT(N1961))</f>
        <v/>
      </c>
      <c r="J1961" s="16" t="str">
        <f aca="false">IF(B1961="","",IF(N1961=_xlfn.MINIFS($N$2:$N$5001,$B$2:$B$5001,B1961),1,0))</f>
        <v/>
      </c>
      <c r="K1961" s="16" t="str">
        <f aca="false">IF(B1961="","",IF(AND(D1961="Formalização",E1961="Concluído"),IF(COUNTIFS($B$2:$B$5001,B1961,$E$2:$E$5001,"Em ajustes",$N$2:$N$5001,"&lt;"&amp;I1961)&gt;0,1,0),0))</f>
        <v/>
      </c>
      <c r="L1961" s="16" t="str">
        <f aca="false">IF(B1961="","",IF(N1961=_xlfn.MAXIFS($N$2:$N$5001,$B$2:$B$5001,B1961,$I$2:$I$5001,I1961),1,0))</f>
        <v/>
      </c>
      <c r="M1961" s="16" t="str">
        <f aca="false">IF(B1961="","",IF(E1961="Em ajustes",IF(N1961=_xlfn.MINIFS($N$2:$N$5001,$B$2:$B$5001,B1961,$E$2:$E$5001,"Em ajustes"),1,0),0))</f>
        <v/>
      </c>
      <c r="N1961" s="17" t="str">
        <f aca="false">IF(A1961="","",IF(ISNUMBER(A1961),A1961,IFERROR(DATE(VALUE(MID(A1961,7,4)),VALUE(MID(A1961,4,2)),VALUE(MID(A1961,1,2)))+TIME(VALUE(MID(A1961,12,2)),VALUE(MID(A1961,15,2)),VALUE(MID(A1961,18,2))),"")))</f>
        <v/>
      </c>
    </row>
    <row r="1962" customFormat="false" ht="15" hidden="false" customHeight="false" outlineLevel="0" collapsed="false">
      <c r="I1962" s="15" t="str">
        <f aca="false">IF(N1962="","",INT(N1962))</f>
        <v/>
      </c>
      <c r="J1962" s="16" t="str">
        <f aca="false">IF(B1962="","",IF(N1962=_xlfn.MINIFS($N$2:$N$5001,$B$2:$B$5001,B1962),1,0))</f>
        <v/>
      </c>
      <c r="K1962" s="16" t="str">
        <f aca="false">IF(B1962="","",IF(AND(D1962="Formalização",E1962="Concluído"),IF(COUNTIFS($B$2:$B$5001,B1962,$E$2:$E$5001,"Em ajustes",$N$2:$N$5001,"&lt;"&amp;I1962)&gt;0,1,0),0))</f>
        <v/>
      </c>
      <c r="L1962" s="16" t="str">
        <f aca="false">IF(B1962="","",IF(N1962=_xlfn.MAXIFS($N$2:$N$5001,$B$2:$B$5001,B1962,$I$2:$I$5001,I1962),1,0))</f>
        <v/>
      </c>
      <c r="M1962" s="16" t="str">
        <f aca="false">IF(B1962="","",IF(E1962="Em ajustes",IF(N1962=_xlfn.MINIFS($N$2:$N$5001,$B$2:$B$5001,B1962,$E$2:$E$5001,"Em ajustes"),1,0),0))</f>
        <v/>
      </c>
      <c r="N1962" s="17" t="str">
        <f aca="false">IF(A1962="","",IF(ISNUMBER(A1962),A1962,IFERROR(DATE(VALUE(MID(A1962,7,4)),VALUE(MID(A1962,4,2)),VALUE(MID(A1962,1,2)))+TIME(VALUE(MID(A1962,12,2)),VALUE(MID(A1962,15,2)),VALUE(MID(A1962,18,2))),"")))</f>
        <v/>
      </c>
    </row>
    <row r="1963" customFormat="false" ht="15" hidden="false" customHeight="false" outlineLevel="0" collapsed="false">
      <c r="I1963" s="15" t="str">
        <f aca="false">IF(N1963="","",INT(N1963))</f>
        <v/>
      </c>
      <c r="J1963" s="16" t="str">
        <f aca="false">IF(B1963="","",IF(N1963=_xlfn.MINIFS($N$2:$N$5001,$B$2:$B$5001,B1963),1,0))</f>
        <v/>
      </c>
      <c r="K1963" s="16" t="str">
        <f aca="false">IF(B1963="","",IF(AND(D1963="Formalização",E1963="Concluído"),IF(COUNTIFS($B$2:$B$5001,B1963,$E$2:$E$5001,"Em ajustes",$N$2:$N$5001,"&lt;"&amp;I1963)&gt;0,1,0),0))</f>
        <v/>
      </c>
      <c r="L1963" s="16" t="str">
        <f aca="false">IF(B1963="","",IF(N1963=_xlfn.MAXIFS($N$2:$N$5001,$B$2:$B$5001,B1963,$I$2:$I$5001,I1963),1,0))</f>
        <v/>
      </c>
      <c r="M1963" s="16" t="str">
        <f aca="false">IF(B1963="","",IF(E1963="Em ajustes",IF(N1963=_xlfn.MINIFS($N$2:$N$5001,$B$2:$B$5001,B1963,$E$2:$E$5001,"Em ajustes"),1,0),0))</f>
        <v/>
      </c>
      <c r="N1963" s="17" t="str">
        <f aca="false">IF(A1963="","",IF(ISNUMBER(A1963),A1963,IFERROR(DATE(VALUE(MID(A1963,7,4)),VALUE(MID(A1963,4,2)),VALUE(MID(A1963,1,2)))+TIME(VALUE(MID(A1963,12,2)),VALUE(MID(A1963,15,2)),VALUE(MID(A1963,18,2))),"")))</f>
        <v/>
      </c>
    </row>
    <row r="1964" customFormat="false" ht="15" hidden="false" customHeight="false" outlineLevel="0" collapsed="false">
      <c r="I1964" s="15" t="str">
        <f aca="false">IF(N1964="","",INT(N1964))</f>
        <v/>
      </c>
      <c r="J1964" s="16" t="str">
        <f aca="false">IF(B1964="","",IF(N1964=_xlfn.MINIFS($N$2:$N$5001,$B$2:$B$5001,B1964),1,0))</f>
        <v/>
      </c>
      <c r="K1964" s="16" t="str">
        <f aca="false">IF(B1964="","",IF(AND(D1964="Formalização",E1964="Concluído"),IF(COUNTIFS($B$2:$B$5001,B1964,$E$2:$E$5001,"Em ajustes",$N$2:$N$5001,"&lt;"&amp;I1964)&gt;0,1,0),0))</f>
        <v/>
      </c>
      <c r="L1964" s="16" t="str">
        <f aca="false">IF(B1964="","",IF(N1964=_xlfn.MAXIFS($N$2:$N$5001,$B$2:$B$5001,B1964,$I$2:$I$5001,I1964),1,0))</f>
        <v/>
      </c>
      <c r="M1964" s="16" t="str">
        <f aca="false">IF(B1964="","",IF(E1964="Em ajustes",IF(N1964=_xlfn.MINIFS($N$2:$N$5001,$B$2:$B$5001,B1964,$E$2:$E$5001,"Em ajustes"),1,0),0))</f>
        <v/>
      </c>
      <c r="N1964" s="17" t="str">
        <f aca="false">IF(A1964="","",IF(ISNUMBER(A1964),A1964,IFERROR(DATE(VALUE(MID(A1964,7,4)),VALUE(MID(A1964,4,2)),VALUE(MID(A1964,1,2)))+TIME(VALUE(MID(A1964,12,2)),VALUE(MID(A1964,15,2)),VALUE(MID(A1964,18,2))),"")))</f>
        <v/>
      </c>
    </row>
    <row r="1965" customFormat="false" ht="15" hidden="false" customHeight="false" outlineLevel="0" collapsed="false">
      <c r="I1965" s="15" t="str">
        <f aca="false">IF(N1965="","",INT(N1965))</f>
        <v/>
      </c>
      <c r="J1965" s="16" t="str">
        <f aca="false">IF(B1965="","",IF(N1965=_xlfn.MINIFS($N$2:$N$5001,$B$2:$B$5001,B1965),1,0))</f>
        <v/>
      </c>
      <c r="K1965" s="16" t="str">
        <f aca="false">IF(B1965="","",IF(AND(D1965="Formalização",E1965="Concluído"),IF(COUNTIFS($B$2:$B$5001,B1965,$E$2:$E$5001,"Em ajustes",$N$2:$N$5001,"&lt;"&amp;I1965)&gt;0,1,0),0))</f>
        <v/>
      </c>
      <c r="L1965" s="16" t="str">
        <f aca="false">IF(B1965="","",IF(N1965=_xlfn.MAXIFS($N$2:$N$5001,$B$2:$B$5001,B1965,$I$2:$I$5001,I1965),1,0))</f>
        <v/>
      </c>
      <c r="M1965" s="16" t="str">
        <f aca="false">IF(B1965="","",IF(E1965="Em ajustes",IF(N1965=_xlfn.MINIFS($N$2:$N$5001,$B$2:$B$5001,B1965,$E$2:$E$5001,"Em ajustes"),1,0),0))</f>
        <v/>
      </c>
      <c r="N1965" s="17" t="str">
        <f aca="false">IF(A1965="","",IF(ISNUMBER(A1965),A1965,IFERROR(DATE(VALUE(MID(A1965,7,4)),VALUE(MID(A1965,4,2)),VALUE(MID(A1965,1,2)))+TIME(VALUE(MID(A1965,12,2)),VALUE(MID(A1965,15,2)),VALUE(MID(A1965,18,2))),"")))</f>
        <v/>
      </c>
    </row>
    <row r="1966" customFormat="false" ht="15" hidden="false" customHeight="false" outlineLevel="0" collapsed="false">
      <c r="I1966" s="15" t="str">
        <f aca="false">IF(N1966="","",INT(N1966))</f>
        <v/>
      </c>
      <c r="J1966" s="16" t="str">
        <f aca="false">IF(B1966="","",IF(N1966=_xlfn.MINIFS($N$2:$N$5001,$B$2:$B$5001,B1966),1,0))</f>
        <v/>
      </c>
      <c r="K1966" s="16" t="str">
        <f aca="false">IF(B1966="","",IF(AND(D1966="Formalização",E1966="Concluído"),IF(COUNTIFS($B$2:$B$5001,B1966,$E$2:$E$5001,"Em ajustes",$N$2:$N$5001,"&lt;"&amp;I1966)&gt;0,1,0),0))</f>
        <v/>
      </c>
      <c r="L1966" s="16" t="str">
        <f aca="false">IF(B1966="","",IF(N1966=_xlfn.MAXIFS($N$2:$N$5001,$B$2:$B$5001,B1966,$I$2:$I$5001,I1966),1,0))</f>
        <v/>
      </c>
      <c r="M1966" s="16" t="str">
        <f aca="false">IF(B1966="","",IF(E1966="Em ajustes",IF(N1966=_xlfn.MINIFS($N$2:$N$5001,$B$2:$B$5001,B1966,$E$2:$E$5001,"Em ajustes"),1,0),0))</f>
        <v/>
      </c>
      <c r="N1966" s="17" t="str">
        <f aca="false">IF(A1966="","",IF(ISNUMBER(A1966),A1966,IFERROR(DATE(VALUE(MID(A1966,7,4)),VALUE(MID(A1966,4,2)),VALUE(MID(A1966,1,2)))+TIME(VALUE(MID(A1966,12,2)),VALUE(MID(A1966,15,2)),VALUE(MID(A1966,18,2))),"")))</f>
        <v/>
      </c>
    </row>
    <row r="1967" customFormat="false" ht="15" hidden="false" customHeight="false" outlineLevel="0" collapsed="false">
      <c r="I1967" s="15" t="str">
        <f aca="false">IF(N1967="","",INT(N1967))</f>
        <v/>
      </c>
      <c r="J1967" s="16" t="str">
        <f aca="false">IF(B1967="","",IF(N1967=_xlfn.MINIFS($N$2:$N$5001,$B$2:$B$5001,B1967),1,0))</f>
        <v/>
      </c>
      <c r="K1967" s="16" t="str">
        <f aca="false">IF(B1967="","",IF(AND(D1967="Formalização",E1967="Concluído"),IF(COUNTIFS($B$2:$B$5001,B1967,$E$2:$E$5001,"Em ajustes",$N$2:$N$5001,"&lt;"&amp;I1967)&gt;0,1,0),0))</f>
        <v/>
      </c>
      <c r="L1967" s="16" t="str">
        <f aca="false">IF(B1967="","",IF(N1967=_xlfn.MAXIFS($N$2:$N$5001,$B$2:$B$5001,B1967,$I$2:$I$5001,I1967),1,0))</f>
        <v/>
      </c>
      <c r="M1967" s="16" t="str">
        <f aca="false">IF(B1967="","",IF(E1967="Em ajustes",IF(N1967=_xlfn.MINIFS($N$2:$N$5001,$B$2:$B$5001,B1967,$E$2:$E$5001,"Em ajustes"),1,0),0))</f>
        <v/>
      </c>
      <c r="N1967" s="17" t="str">
        <f aca="false">IF(A1967="","",IF(ISNUMBER(A1967),A1967,IFERROR(DATE(VALUE(MID(A1967,7,4)),VALUE(MID(A1967,4,2)),VALUE(MID(A1967,1,2)))+TIME(VALUE(MID(A1967,12,2)),VALUE(MID(A1967,15,2)),VALUE(MID(A1967,18,2))),"")))</f>
        <v/>
      </c>
    </row>
    <row r="1968" customFormat="false" ht="15" hidden="false" customHeight="false" outlineLevel="0" collapsed="false">
      <c r="I1968" s="15" t="str">
        <f aca="false">IF(N1968="","",INT(N1968))</f>
        <v/>
      </c>
      <c r="J1968" s="16" t="str">
        <f aca="false">IF(B1968="","",IF(N1968=_xlfn.MINIFS($N$2:$N$5001,$B$2:$B$5001,B1968),1,0))</f>
        <v/>
      </c>
      <c r="K1968" s="16" t="str">
        <f aca="false">IF(B1968="","",IF(AND(D1968="Formalização",E1968="Concluído"),IF(COUNTIFS($B$2:$B$5001,B1968,$E$2:$E$5001,"Em ajustes",$N$2:$N$5001,"&lt;"&amp;I1968)&gt;0,1,0),0))</f>
        <v/>
      </c>
      <c r="L1968" s="16" t="str">
        <f aca="false">IF(B1968="","",IF(N1968=_xlfn.MAXIFS($N$2:$N$5001,$B$2:$B$5001,B1968,$I$2:$I$5001,I1968),1,0))</f>
        <v/>
      </c>
      <c r="M1968" s="16" t="str">
        <f aca="false">IF(B1968="","",IF(E1968="Em ajustes",IF(N1968=_xlfn.MINIFS($N$2:$N$5001,$B$2:$B$5001,B1968,$E$2:$E$5001,"Em ajustes"),1,0),0))</f>
        <v/>
      </c>
      <c r="N1968" s="17" t="str">
        <f aca="false">IF(A1968="","",IF(ISNUMBER(A1968),A1968,IFERROR(DATE(VALUE(MID(A1968,7,4)),VALUE(MID(A1968,4,2)),VALUE(MID(A1968,1,2)))+TIME(VALUE(MID(A1968,12,2)),VALUE(MID(A1968,15,2)),VALUE(MID(A1968,18,2))),"")))</f>
        <v/>
      </c>
    </row>
    <row r="1969" customFormat="false" ht="15" hidden="false" customHeight="false" outlineLevel="0" collapsed="false">
      <c r="I1969" s="15" t="str">
        <f aca="false">IF(N1969="","",INT(N1969))</f>
        <v/>
      </c>
      <c r="J1969" s="16" t="str">
        <f aca="false">IF(B1969="","",IF(N1969=_xlfn.MINIFS($N$2:$N$5001,$B$2:$B$5001,B1969),1,0))</f>
        <v/>
      </c>
      <c r="K1969" s="16" t="str">
        <f aca="false">IF(B1969="","",IF(AND(D1969="Formalização",E1969="Concluído"),IF(COUNTIFS($B$2:$B$5001,B1969,$E$2:$E$5001,"Em ajustes",$N$2:$N$5001,"&lt;"&amp;I1969)&gt;0,1,0),0))</f>
        <v/>
      </c>
      <c r="L1969" s="16" t="str">
        <f aca="false">IF(B1969="","",IF(N1969=_xlfn.MAXIFS($N$2:$N$5001,$B$2:$B$5001,B1969,$I$2:$I$5001,I1969),1,0))</f>
        <v/>
      </c>
      <c r="M1969" s="16" t="str">
        <f aca="false">IF(B1969="","",IF(E1969="Em ajustes",IF(N1969=_xlfn.MINIFS($N$2:$N$5001,$B$2:$B$5001,B1969,$E$2:$E$5001,"Em ajustes"),1,0),0))</f>
        <v/>
      </c>
      <c r="N1969" s="17" t="str">
        <f aca="false">IF(A1969="","",IF(ISNUMBER(A1969),A1969,IFERROR(DATE(VALUE(MID(A1969,7,4)),VALUE(MID(A1969,4,2)),VALUE(MID(A1969,1,2)))+TIME(VALUE(MID(A1969,12,2)),VALUE(MID(A1969,15,2)),VALUE(MID(A1969,18,2))),"")))</f>
        <v/>
      </c>
    </row>
    <row r="1970" customFormat="false" ht="15" hidden="false" customHeight="false" outlineLevel="0" collapsed="false">
      <c r="I1970" s="15" t="str">
        <f aca="false">IF(N1970="","",INT(N1970))</f>
        <v/>
      </c>
      <c r="J1970" s="16" t="str">
        <f aca="false">IF(B1970="","",IF(N1970=_xlfn.MINIFS($N$2:$N$5001,$B$2:$B$5001,B1970),1,0))</f>
        <v/>
      </c>
      <c r="K1970" s="16" t="str">
        <f aca="false">IF(B1970="","",IF(AND(D1970="Formalização",E1970="Concluído"),IF(COUNTIFS($B$2:$B$5001,B1970,$E$2:$E$5001,"Em ajustes",$N$2:$N$5001,"&lt;"&amp;I1970)&gt;0,1,0),0))</f>
        <v/>
      </c>
      <c r="L1970" s="16" t="str">
        <f aca="false">IF(B1970="","",IF(N1970=_xlfn.MAXIFS($N$2:$N$5001,$B$2:$B$5001,B1970,$I$2:$I$5001,I1970),1,0))</f>
        <v/>
      </c>
      <c r="M1970" s="16" t="str">
        <f aca="false">IF(B1970="","",IF(E1970="Em ajustes",IF(N1970=_xlfn.MINIFS($N$2:$N$5001,$B$2:$B$5001,B1970,$E$2:$E$5001,"Em ajustes"),1,0),0))</f>
        <v/>
      </c>
      <c r="N1970" s="17" t="str">
        <f aca="false">IF(A1970="","",IF(ISNUMBER(A1970),A1970,IFERROR(DATE(VALUE(MID(A1970,7,4)),VALUE(MID(A1970,4,2)),VALUE(MID(A1970,1,2)))+TIME(VALUE(MID(A1970,12,2)),VALUE(MID(A1970,15,2)),VALUE(MID(A1970,18,2))),"")))</f>
        <v/>
      </c>
    </row>
    <row r="1971" customFormat="false" ht="15" hidden="false" customHeight="false" outlineLevel="0" collapsed="false">
      <c r="I1971" s="15" t="str">
        <f aca="false">IF(N1971="","",INT(N1971))</f>
        <v/>
      </c>
      <c r="J1971" s="16" t="str">
        <f aca="false">IF(B1971="","",IF(N1971=_xlfn.MINIFS($N$2:$N$5001,$B$2:$B$5001,B1971),1,0))</f>
        <v/>
      </c>
      <c r="K1971" s="16" t="str">
        <f aca="false">IF(B1971="","",IF(AND(D1971="Formalização",E1971="Concluído"),IF(COUNTIFS($B$2:$B$5001,B1971,$E$2:$E$5001,"Em ajustes",$N$2:$N$5001,"&lt;"&amp;I1971)&gt;0,1,0),0))</f>
        <v/>
      </c>
      <c r="L1971" s="16" t="str">
        <f aca="false">IF(B1971="","",IF(N1971=_xlfn.MAXIFS($N$2:$N$5001,$B$2:$B$5001,B1971,$I$2:$I$5001,I1971),1,0))</f>
        <v/>
      </c>
      <c r="M1971" s="16" t="str">
        <f aca="false">IF(B1971="","",IF(E1971="Em ajustes",IF(N1971=_xlfn.MINIFS($N$2:$N$5001,$B$2:$B$5001,B1971,$E$2:$E$5001,"Em ajustes"),1,0),0))</f>
        <v/>
      </c>
      <c r="N1971" s="17" t="str">
        <f aca="false">IF(A1971="","",IF(ISNUMBER(A1971),A1971,IFERROR(DATE(VALUE(MID(A1971,7,4)),VALUE(MID(A1971,4,2)),VALUE(MID(A1971,1,2)))+TIME(VALUE(MID(A1971,12,2)),VALUE(MID(A1971,15,2)),VALUE(MID(A1971,18,2))),"")))</f>
        <v/>
      </c>
    </row>
    <row r="1972" customFormat="false" ht="15" hidden="false" customHeight="false" outlineLevel="0" collapsed="false">
      <c r="I1972" s="15" t="str">
        <f aca="false">IF(N1972="","",INT(N1972))</f>
        <v/>
      </c>
      <c r="J1972" s="16" t="str">
        <f aca="false">IF(B1972="","",IF(N1972=_xlfn.MINIFS($N$2:$N$5001,$B$2:$B$5001,B1972),1,0))</f>
        <v/>
      </c>
      <c r="K1972" s="16" t="str">
        <f aca="false">IF(B1972="","",IF(AND(D1972="Formalização",E1972="Concluído"),IF(COUNTIFS($B$2:$B$5001,B1972,$E$2:$E$5001,"Em ajustes",$N$2:$N$5001,"&lt;"&amp;I1972)&gt;0,1,0),0))</f>
        <v/>
      </c>
      <c r="L1972" s="16" t="str">
        <f aca="false">IF(B1972="","",IF(N1972=_xlfn.MAXIFS($N$2:$N$5001,$B$2:$B$5001,B1972,$I$2:$I$5001,I1972),1,0))</f>
        <v/>
      </c>
      <c r="M1972" s="16" t="str">
        <f aca="false">IF(B1972="","",IF(E1972="Em ajustes",IF(N1972=_xlfn.MINIFS($N$2:$N$5001,$B$2:$B$5001,B1972,$E$2:$E$5001,"Em ajustes"),1,0),0))</f>
        <v/>
      </c>
      <c r="N1972" s="17" t="str">
        <f aca="false">IF(A1972="","",IF(ISNUMBER(A1972),A1972,IFERROR(DATE(VALUE(MID(A1972,7,4)),VALUE(MID(A1972,4,2)),VALUE(MID(A1972,1,2)))+TIME(VALUE(MID(A1972,12,2)),VALUE(MID(A1972,15,2)),VALUE(MID(A1972,18,2))),"")))</f>
        <v/>
      </c>
    </row>
    <row r="1973" customFormat="false" ht="15" hidden="false" customHeight="false" outlineLevel="0" collapsed="false">
      <c r="I1973" s="15" t="str">
        <f aca="false">IF(N1973="","",INT(N1973))</f>
        <v/>
      </c>
      <c r="J1973" s="16" t="str">
        <f aca="false">IF(B1973="","",IF(N1973=_xlfn.MINIFS($N$2:$N$5001,$B$2:$B$5001,B1973),1,0))</f>
        <v/>
      </c>
      <c r="K1973" s="16" t="str">
        <f aca="false">IF(B1973="","",IF(AND(D1973="Formalização",E1973="Concluído"),IF(COUNTIFS($B$2:$B$5001,B1973,$E$2:$E$5001,"Em ajustes",$N$2:$N$5001,"&lt;"&amp;I1973)&gt;0,1,0),0))</f>
        <v/>
      </c>
      <c r="L1973" s="16" t="str">
        <f aca="false">IF(B1973="","",IF(N1973=_xlfn.MAXIFS($N$2:$N$5001,$B$2:$B$5001,B1973,$I$2:$I$5001,I1973),1,0))</f>
        <v/>
      </c>
      <c r="M1973" s="16" t="str">
        <f aca="false">IF(B1973="","",IF(E1973="Em ajustes",IF(N1973=_xlfn.MINIFS($N$2:$N$5001,$B$2:$B$5001,B1973,$E$2:$E$5001,"Em ajustes"),1,0),0))</f>
        <v/>
      </c>
      <c r="N1973" s="17" t="str">
        <f aca="false">IF(A1973="","",IF(ISNUMBER(A1973),A1973,IFERROR(DATE(VALUE(MID(A1973,7,4)),VALUE(MID(A1973,4,2)),VALUE(MID(A1973,1,2)))+TIME(VALUE(MID(A1973,12,2)),VALUE(MID(A1973,15,2)),VALUE(MID(A1973,18,2))),"")))</f>
        <v/>
      </c>
    </row>
    <row r="1974" customFormat="false" ht="15" hidden="false" customHeight="false" outlineLevel="0" collapsed="false">
      <c r="I1974" s="15" t="str">
        <f aca="false">IF(N1974="","",INT(N1974))</f>
        <v/>
      </c>
      <c r="J1974" s="16" t="str">
        <f aca="false">IF(B1974="","",IF(N1974=_xlfn.MINIFS($N$2:$N$5001,$B$2:$B$5001,B1974),1,0))</f>
        <v/>
      </c>
      <c r="K1974" s="16" t="str">
        <f aca="false">IF(B1974="","",IF(AND(D1974="Formalização",E1974="Concluído"),IF(COUNTIFS($B$2:$B$5001,B1974,$E$2:$E$5001,"Em ajustes",$N$2:$N$5001,"&lt;"&amp;I1974)&gt;0,1,0),0))</f>
        <v/>
      </c>
      <c r="L1974" s="16" t="str">
        <f aca="false">IF(B1974="","",IF(N1974=_xlfn.MAXIFS($N$2:$N$5001,$B$2:$B$5001,B1974,$I$2:$I$5001,I1974),1,0))</f>
        <v/>
      </c>
      <c r="M1974" s="16" t="str">
        <f aca="false">IF(B1974="","",IF(E1974="Em ajustes",IF(N1974=_xlfn.MINIFS($N$2:$N$5001,$B$2:$B$5001,B1974,$E$2:$E$5001,"Em ajustes"),1,0),0))</f>
        <v/>
      </c>
      <c r="N1974" s="17" t="str">
        <f aca="false">IF(A1974="","",IF(ISNUMBER(A1974),A1974,IFERROR(DATE(VALUE(MID(A1974,7,4)),VALUE(MID(A1974,4,2)),VALUE(MID(A1974,1,2)))+TIME(VALUE(MID(A1974,12,2)),VALUE(MID(A1974,15,2)),VALUE(MID(A1974,18,2))),"")))</f>
        <v/>
      </c>
    </row>
    <row r="1975" customFormat="false" ht="15" hidden="false" customHeight="false" outlineLevel="0" collapsed="false">
      <c r="I1975" s="15" t="str">
        <f aca="false">IF(N1975="","",INT(N1975))</f>
        <v/>
      </c>
      <c r="J1975" s="16" t="str">
        <f aca="false">IF(B1975="","",IF(N1975=_xlfn.MINIFS($N$2:$N$5001,$B$2:$B$5001,B1975),1,0))</f>
        <v/>
      </c>
      <c r="K1975" s="16" t="str">
        <f aca="false">IF(B1975="","",IF(AND(D1975="Formalização",E1975="Concluído"),IF(COUNTIFS($B$2:$B$5001,B1975,$E$2:$E$5001,"Em ajustes",$N$2:$N$5001,"&lt;"&amp;I1975)&gt;0,1,0),0))</f>
        <v/>
      </c>
      <c r="L1975" s="16" t="str">
        <f aca="false">IF(B1975="","",IF(N1975=_xlfn.MAXIFS($N$2:$N$5001,$B$2:$B$5001,B1975,$I$2:$I$5001,I1975),1,0))</f>
        <v/>
      </c>
      <c r="M1975" s="16" t="str">
        <f aca="false">IF(B1975="","",IF(E1975="Em ajustes",IF(N1975=_xlfn.MINIFS($N$2:$N$5001,$B$2:$B$5001,B1975,$E$2:$E$5001,"Em ajustes"),1,0),0))</f>
        <v/>
      </c>
      <c r="N1975" s="17" t="str">
        <f aca="false">IF(A1975="","",IF(ISNUMBER(A1975),A1975,IFERROR(DATE(VALUE(MID(A1975,7,4)),VALUE(MID(A1975,4,2)),VALUE(MID(A1975,1,2)))+TIME(VALUE(MID(A1975,12,2)),VALUE(MID(A1975,15,2)),VALUE(MID(A1975,18,2))),"")))</f>
        <v/>
      </c>
    </row>
    <row r="1976" customFormat="false" ht="15" hidden="false" customHeight="false" outlineLevel="0" collapsed="false">
      <c r="I1976" s="15" t="str">
        <f aca="false">IF(N1976="","",INT(N1976))</f>
        <v/>
      </c>
      <c r="J1976" s="16" t="str">
        <f aca="false">IF(B1976="","",IF(N1976=_xlfn.MINIFS($N$2:$N$5001,$B$2:$B$5001,B1976),1,0))</f>
        <v/>
      </c>
      <c r="K1976" s="16" t="str">
        <f aca="false">IF(B1976="","",IF(AND(D1976="Formalização",E1976="Concluído"),IF(COUNTIFS($B$2:$B$5001,B1976,$E$2:$E$5001,"Em ajustes",$N$2:$N$5001,"&lt;"&amp;I1976)&gt;0,1,0),0))</f>
        <v/>
      </c>
      <c r="L1976" s="16" t="str">
        <f aca="false">IF(B1976="","",IF(N1976=_xlfn.MAXIFS($N$2:$N$5001,$B$2:$B$5001,B1976,$I$2:$I$5001,I1976),1,0))</f>
        <v/>
      </c>
      <c r="M1976" s="16" t="str">
        <f aca="false">IF(B1976="","",IF(E1976="Em ajustes",IF(N1976=_xlfn.MINIFS($N$2:$N$5001,$B$2:$B$5001,B1976,$E$2:$E$5001,"Em ajustes"),1,0),0))</f>
        <v/>
      </c>
      <c r="N1976" s="17" t="str">
        <f aca="false">IF(A1976="","",IF(ISNUMBER(A1976),A1976,IFERROR(DATE(VALUE(MID(A1976,7,4)),VALUE(MID(A1976,4,2)),VALUE(MID(A1976,1,2)))+TIME(VALUE(MID(A1976,12,2)),VALUE(MID(A1976,15,2)),VALUE(MID(A1976,18,2))),"")))</f>
        <v/>
      </c>
    </row>
    <row r="1977" customFormat="false" ht="15" hidden="false" customHeight="false" outlineLevel="0" collapsed="false">
      <c r="I1977" s="15" t="str">
        <f aca="false">IF(N1977="","",INT(N1977))</f>
        <v/>
      </c>
      <c r="J1977" s="16" t="str">
        <f aca="false">IF(B1977="","",IF(N1977=_xlfn.MINIFS($N$2:$N$5001,$B$2:$B$5001,B1977),1,0))</f>
        <v/>
      </c>
      <c r="K1977" s="16" t="str">
        <f aca="false">IF(B1977="","",IF(AND(D1977="Formalização",E1977="Concluído"),IF(COUNTIFS($B$2:$B$5001,B1977,$E$2:$E$5001,"Em ajustes",$N$2:$N$5001,"&lt;"&amp;I1977)&gt;0,1,0),0))</f>
        <v/>
      </c>
      <c r="L1977" s="16" t="str">
        <f aca="false">IF(B1977="","",IF(N1977=_xlfn.MAXIFS($N$2:$N$5001,$B$2:$B$5001,B1977,$I$2:$I$5001,I1977),1,0))</f>
        <v/>
      </c>
      <c r="M1977" s="16" t="str">
        <f aca="false">IF(B1977="","",IF(E1977="Em ajustes",IF(N1977=_xlfn.MINIFS($N$2:$N$5001,$B$2:$B$5001,B1977,$E$2:$E$5001,"Em ajustes"),1,0),0))</f>
        <v/>
      </c>
      <c r="N1977" s="17" t="str">
        <f aca="false">IF(A1977="","",IF(ISNUMBER(A1977),A1977,IFERROR(DATE(VALUE(MID(A1977,7,4)),VALUE(MID(A1977,4,2)),VALUE(MID(A1977,1,2)))+TIME(VALUE(MID(A1977,12,2)),VALUE(MID(A1977,15,2)),VALUE(MID(A1977,18,2))),"")))</f>
        <v/>
      </c>
    </row>
    <row r="1978" customFormat="false" ht="15" hidden="false" customHeight="false" outlineLevel="0" collapsed="false">
      <c r="I1978" s="15" t="str">
        <f aca="false">IF(N1978="","",INT(N1978))</f>
        <v/>
      </c>
      <c r="J1978" s="16" t="str">
        <f aca="false">IF(B1978="","",IF(N1978=_xlfn.MINIFS($N$2:$N$5001,$B$2:$B$5001,B1978),1,0))</f>
        <v/>
      </c>
      <c r="K1978" s="16" t="str">
        <f aca="false">IF(B1978="","",IF(AND(D1978="Formalização",E1978="Concluído"),IF(COUNTIFS($B$2:$B$5001,B1978,$E$2:$E$5001,"Em ajustes",$N$2:$N$5001,"&lt;"&amp;I1978)&gt;0,1,0),0))</f>
        <v/>
      </c>
      <c r="L1978" s="16" t="str">
        <f aca="false">IF(B1978="","",IF(N1978=_xlfn.MAXIFS($N$2:$N$5001,$B$2:$B$5001,B1978,$I$2:$I$5001,I1978),1,0))</f>
        <v/>
      </c>
      <c r="M1978" s="16" t="str">
        <f aca="false">IF(B1978="","",IF(E1978="Em ajustes",IF(N1978=_xlfn.MINIFS($N$2:$N$5001,$B$2:$B$5001,B1978,$E$2:$E$5001,"Em ajustes"),1,0),0))</f>
        <v/>
      </c>
      <c r="N1978" s="17" t="str">
        <f aca="false">IF(A1978="","",IF(ISNUMBER(A1978),A1978,IFERROR(DATE(VALUE(MID(A1978,7,4)),VALUE(MID(A1978,4,2)),VALUE(MID(A1978,1,2)))+TIME(VALUE(MID(A1978,12,2)),VALUE(MID(A1978,15,2)),VALUE(MID(A1978,18,2))),"")))</f>
        <v/>
      </c>
    </row>
    <row r="1979" customFormat="false" ht="15" hidden="false" customHeight="false" outlineLevel="0" collapsed="false">
      <c r="I1979" s="15" t="str">
        <f aca="false">IF(N1979="","",INT(N1979))</f>
        <v/>
      </c>
      <c r="J1979" s="16" t="str">
        <f aca="false">IF(B1979="","",IF(N1979=_xlfn.MINIFS($N$2:$N$5001,$B$2:$B$5001,B1979),1,0))</f>
        <v/>
      </c>
      <c r="K1979" s="16" t="str">
        <f aca="false">IF(B1979="","",IF(AND(D1979="Formalização",E1979="Concluído"),IF(COUNTIFS($B$2:$B$5001,B1979,$E$2:$E$5001,"Em ajustes",$N$2:$N$5001,"&lt;"&amp;I1979)&gt;0,1,0),0))</f>
        <v/>
      </c>
      <c r="L1979" s="16" t="str">
        <f aca="false">IF(B1979="","",IF(N1979=_xlfn.MAXIFS($N$2:$N$5001,$B$2:$B$5001,B1979,$I$2:$I$5001,I1979),1,0))</f>
        <v/>
      </c>
      <c r="M1979" s="16" t="str">
        <f aca="false">IF(B1979="","",IF(E1979="Em ajustes",IF(N1979=_xlfn.MINIFS($N$2:$N$5001,$B$2:$B$5001,B1979,$E$2:$E$5001,"Em ajustes"),1,0),0))</f>
        <v/>
      </c>
      <c r="N1979" s="17" t="str">
        <f aca="false">IF(A1979="","",IF(ISNUMBER(A1979),A1979,IFERROR(DATE(VALUE(MID(A1979,7,4)),VALUE(MID(A1979,4,2)),VALUE(MID(A1979,1,2)))+TIME(VALUE(MID(A1979,12,2)),VALUE(MID(A1979,15,2)),VALUE(MID(A1979,18,2))),"")))</f>
        <v/>
      </c>
    </row>
    <row r="1980" customFormat="false" ht="15" hidden="false" customHeight="false" outlineLevel="0" collapsed="false">
      <c r="I1980" s="15" t="str">
        <f aca="false">IF(N1980="","",INT(N1980))</f>
        <v/>
      </c>
      <c r="J1980" s="16" t="str">
        <f aca="false">IF(B1980="","",IF(N1980=_xlfn.MINIFS($N$2:$N$5001,$B$2:$B$5001,B1980),1,0))</f>
        <v/>
      </c>
      <c r="K1980" s="16" t="str">
        <f aca="false">IF(B1980="","",IF(AND(D1980="Formalização",E1980="Concluído"),IF(COUNTIFS($B$2:$B$5001,B1980,$E$2:$E$5001,"Em ajustes",$N$2:$N$5001,"&lt;"&amp;I1980)&gt;0,1,0),0))</f>
        <v/>
      </c>
      <c r="L1980" s="16" t="str">
        <f aca="false">IF(B1980="","",IF(N1980=_xlfn.MAXIFS($N$2:$N$5001,$B$2:$B$5001,B1980,$I$2:$I$5001,I1980),1,0))</f>
        <v/>
      </c>
      <c r="M1980" s="16" t="str">
        <f aca="false">IF(B1980="","",IF(E1980="Em ajustes",IF(N1980=_xlfn.MINIFS($N$2:$N$5001,$B$2:$B$5001,B1980,$E$2:$E$5001,"Em ajustes"),1,0),0))</f>
        <v/>
      </c>
      <c r="N1980" s="17" t="str">
        <f aca="false">IF(A1980="","",IF(ISNUMBER(A1980),A1980,IFERROR(DATE(VALUE(MID(A1980,7,4)),VALUE(MID(A1980,4,2)),VALUE(MID(A1980,1,2)))+TIME(VALUE(MID(A1980,12,2)),VALUE(MID(A1980,15,2)),VALUE(MID(A1980,18,2))),"")))</f>
        <v/>
      </c>
    </row>
    <row r="1981" customFormat="false" ht="15" hidden="false" customHeight="false" outlineLevel="0" collapsed="false">
      <c r="I1981" s="15" t="str">
        <f aca="false">IF(N1981="","",INT(N1981))</f>
        <v/>
      </c>
      <c r="J1981" s="16" t="str">
        <f aca="false">IF(B1981="","",IF(N1981=_xlfn.MINIFS($N$2:$N$5001,$B$2:$B$5001,B1981),1,0))</f>
        <v/>
      </c>
      <c r="K1981" s="16" t="str">
        <f aca="false">IF(B1981="","",IF(AND(D1981="Formalização",E1981="Concluído"),IF(COUNTIFS($B$2:$B$5001,B1981,$E$2:$E$5001,"Em ajustes",$N$2:$N$5001,"&lt;"&amp;I1981)&gt;0,1,0),0))</f>
        <v/>
      </c>
      <c r="L1981" s="16" t="str">
        <f aca="false">IF(B1981="","",IF(N1981=_xlfn.MAXIFS($N$2:$N$5001,$B$2:$B$5001,B1981,$I$2:$I$5001,I1981),1,0))</f>
        <v/>
      </c>
      <c r="M1981" s="16" t="str">
        <f aca="false">IF(B1981="","",IF(E1981="Em ajustes",IF(N1981=_xlfn.MINIFS($N$2:$N$5001,$B$2:$B$5001,B1981,$E$2:$E$5001,"Em ajustes"),1,0),0))</f>
        <v/>
      </c>
      <c r="N1981" s="17" t="str">
        <f aca="false">IF(A1981="","",IF(ISNUMBER(A1981),A1981,IFERROR(DATE(VALUE(MID(A1981,7,4)),VALUE(MID(A1981,4,2)),VALUE(MID(A1981,1,2)))+TIME(VALUE(MID(A1981,12,2)),VALUE(MID(A1981,15,2)),VALUE(MID(A1981,18,2))),"")))</f>
        <v/>
      </c>
    </row>
    <row r="1982" customFormat="false" ht="15" hidden="false" customHeight="false" outlineLevel="0" collapsed="false">
      <c r="I1982" s="15" t="str">
        <f aca="false">IF(N1982="","",INT(N1982))</f>
        <v/>
      </c>
      <c r="J1982" s="16" t="str">
        <f aca="false">IF(B1982="","",IF(N1982=_xlfn.MINIFS($N$2:$N$5001,$B$2:$B$5001,B1982),1,0))</f>
        <v/>
      </c>
      <c r="K1982" s="16" t="str">
        <f aca="false">IF(B1982="","",IF(AND(D1982="Formalização",E1982="Concluído"),IF(COUNTIFS($B$2:$B$5001,B1982,$E$2:$E$5001,"Em ajustes",$N$2:$N$5001,"&lt;"&amp;I1982)&gt;0,1,0),0))</f>
        <v/>
      </c>
      <c r="L1982" s="16" t="str">
        <f aca="false">IF(B1982="","",IF(N1982=_xlfn.MAXIFS($N$2:$N$5001,$B$2:$B$5001,B1982,$I$2:$I$5001,I1982),1,0))</f>
        <v/>
      </c>
      <c r="M1982" s="16" t="str">
        <f aca="false">IF(B1982="","",IF(E1982="Em ajustes",IF(N1982=_xlfn.MINIFS($N$2:$N$5001,$B$2:$B$5001,B1982,$E$2:$E$5001,"Em ajustes"),1,0),0))</f>
        <v/>
      </c>
      <c r="N1982" s="17" t="str">
        <f aca="false">IF(A1982="","",IF(ISNUMBER(A1982),A1982,IFERROR(DATE(VALUE(MID(A1982,7,4)),VALUE(MID(A1982,4,2)),VALUE(MID(A1982,1,2)))+TIME(VALUE(MID(A1982,12,2)),VALUE(MID(A1982,15,2)),VALUE(MID(A1982,18,2))),"")))</f>
        <v/>
      </c>
    </row>
    <row r="1983" customFormat="false" ht="15" hidden="false" customHeight="false" outlineLevel="0" collapsed="false">
      <c r="I1983" s="15" t="str">
        <f aca="false">IF(N1983="","",INT(N1983))</f>
        <v/>
      </c>
      <c r="J1983" s="16" t="str">
        <f aca="false">IF(B1983="","",IF(N1983=_xlfn.MINIFS($N$2:$N$5001,$B$2:$B$5001,B1983),1,0))</f>
        <v/>
      </c>
      <c r="K1983" s="16" t="str">
        <f aca="false">IF(B1983="","",IF(AND(D1983="Formalização",E1983="Concluído"),IF(COUNTIFS($B$2:$B$5001,B1983,$E$2:$E$5001,"Em ajustes",$N$2:$N$5001,"&lt;"&amp;I1983)&gt;0,1,0),0))</f>
        <v/>
      </c>
      <c r="L1983" s="16" t="str">
        <f aca="false">IF(B1983="","",IF(N1983=_xlfn.MAXIFS($N$2:$N$5001,$B$2:$B$5001,B1983,$I$2:$I$5001,I1983),1,0))</f>
        <v/>
      </c>
      <c r="M1983" s="16" t="str">
        <f aca="false">IF(B1983="","",IF(E1983="Em ajustes",IF(N1983=_xlfn.MINIFS($N$2:$N$5001,$B$2:$B$5001,B1983,$E$2:$E$5001,"Em ajustes"),1,0),0))</f>
        <v/>
      </c>
      <c r="N1983" s="17" t="str">
        <f aca="false">IF(A1983="","",IF(ISNUMBER(A1983),A1983,IFERROR(DATE(VALUE(MID(A1983,7,4)),VALUE(MID(A1983,4,2)),VALUE(MID(A1983,1,2)))+TIME(VALUE(MID(A1983,12,2)),VALUE(MID(A1983,15,2)),VALUE(MID(A1983,18,2))),"")))</f>
        <v/>
      </c>
    </row>
    <row r="1984" customFormat="false" ht="15" hidden="false" customHeight="false" outlineLevel="0" collapsed="false">
      <c r="I1984" s="15" t="str">
        <f aca="false">IF(N1984="","",INT(N1984))</f>
        <v/>
      </c>
      <c r="J1984" s="16" t="str">
        <f aca="false">IF(B1984="","",IF(N1984=_xlfn.MINIFS($N$2:$N$5001,$B$2:$B$5001,B1984),1,0))</f>
        <v/>
      </c>
      <c r="K1984" s="16" t="str">
        <f aca="false">IF(B1984="","",IF(AND(D1984="Formalização",E1984="Concluído"),IF(COUNTIFS($B$2:$B$5001,B1984,$E$2:$E$5001,"Em ajustes",$N$2:$N$5001,"&lt;"&amp;I1984)&gt;0,1,0),0))</f>
        <v/>
      </c>
      <c r="L1984" s="16" t="str">
        <f aca="false">IF(B1984="","",IF(N1984=_xlfn.MAXIFS($N$2:$N$5001,$B$2:$B$5001,B1984,$I$2:$I$5001,I1984),1,0))</f>
        <v/>
      </c>
      <c r="M1984" s="16" t="str">
        <f aca="false">IF(B1984="","",IF(E1984="Em ajustes",IF(N1984=_xlfn.MINIFS($N$2:$N$5001,$B$2:$B$5001,B1984,$E$2:$E$5001,"Em ajustes"),1,0),0))</f>
        <v/>
      </c>
      <c r="N1984" s="17" t="str">
        <f aca="false">IF(A1984="","",IF(ISNUMBER(A1984),A1984,IFERROR(DATE(VALUE(MID(A1984,7,4)),VALUE(MID(A1984,4,2)),VALUE(MID(A1984,1,2)))+TIME(VALUE(MID(A1984,12,2)),VALUE(MID(A1984,15,2)),VALUE(MID(A1984,18,2))),"")))</f>
        <v/>
      </c>
    </row>
    <row r="1985" customFormat="false" ht="15" hidden="false" customHeight="false" outlineLevel="0" collapsed="false">
      <c r="I1985" s="15" t="str">
        <f aca="false">IF(N1985="","",INT(N1985))</f>
        <v/>
      </c>
      <c r="J1985" s="16" t="str">
        <f aca="false">IF(B1985="","",IF(N1985=_xlfn.MINIFS($N$2:$N$5001,$B$2:$B$5001,B1985),1,0))</f>
        <v/>
      </c>
      <c r="K1985" s="16" t="str">
        <f aca="false">IF(B1985="","",IF(AND(D1985="Formalização",E1985="Concluído"),IF(COUNTIFS($B$2:$B$5001,B1985,$E$2:$E$5001,"Em ajustes",$N$2:$N$5001,"&lt;"&amp;I1985)&gt;0,1,0),0))</f>
        <v/>
      </c>
      <c r="L1985" s="16" t="str">
        <f aca="false">IF(B1985="","",IF(N1985=_xlfn.MAXIFS($N$2:$N$5001,$B$2:$B$5001,B1985,$I$2:$I$5001,I1985),1,0))</f>
        <v/>
      </c>
      <c r="M1985" s="16" t="str">
        <f aca="false">IF(B1985="","",IF(E1985="Em ajustes",IF(N1985=_xlfn.MINIFS($N$2:$N$5001,$B$2:$B$5001,B1985,$E$2:$E$5001,"Em ajustes"),1,0),0))</f>
        <v/>
      </c>
      <c r="N1985" s="17" t="str">
        <f aca="false">IF(A1985="","",IF(ISNUMBER(A1985),A1985,IFERROR(DATE(VALUE(MID(A1985,7,4)),VALUE(MID(A1985,4,2)),VALUE(MID(A1985,1,2)))+TIME(VALUE(MID(A1985,12,2)),VALUE(MID(A1985,15,2)),VALUE(MID(A1985,18,2))),"")))</f>
        <v/>
      </c>
    </row>
    <row r="1986" customFormat="false" ht="15" hidden="false" customHeight="false" outlineLevel="0" collapsed="false">
      <c r="I1986" s="15" t="str">
        <f aca="false">IF(N1986="","",INT(N1986))</f>
        <v/>
      </c>
      <c r="J1986" s="16" t="str">
        <f aca="false">IF(B1986="","",IF(N1986=_xlfn.MINIFS($N$2:$N$5001,$B$2:$B$5001,B1986),1,0))</f>
        <v/>
      </c>
      <c r="K1986" s="16" t="str">
        <f aca="false">IF(B1986="","",IF(AND(D1986="Formalização",E1986="Concluído"),IF(COUNTIFS($B$2:$B$5001,B1986,$E$2:$E$5001,"Em ajustes",$N$2:$N$5001,"&lt;"&amp;I1986)&gt;0,1,0),0))</f>
        <v/>
      </c>
      <c r="L1986" s="16" t="str">
        <f aca="false">IF(B1986="","",IF(N1986=_xlfn.MAXIFS($N$2:$N$5001,$B$2:$B$5001,B1986,$I$2:$I$5001,I1986),1,0))</f>
        <v/>
      </c>
      <c r="M1986" s="16" t="str">
        <f aca="false">IF(B1986="","",IF(E1986="Em ajustes",IF(N1986=_xlfn.MINIFS($N$2:$N$5001,$B$2:$B$5001,B1986,$E$2:$E$5001,"Em ajustes"),1,0),0))</f>
        <v/>
      </c>
      <c r="N1986" s="17" t="str">
        <f aca="false">IF(A1986="","",IF(ISNUMBER(A1986),A1986,IFERROR(DATE(VALUE(MID(A1986,7,4)),VALUE(MID(A1986,4,2)),VALUE(MID(A1986,1,2)))+TIME(VALUE(MID(A1986,12,2)),VALUE(MID(A1986,15,2)),VALUE(MID(A1986,18,2))),"")))</f>
        <v/>
      </c>
    </row>
    <row r="1987" customFormat="false" ht="15" hidden="false" customHeight="false" outlineLevel="0" collapsed="false">
      <c r="I1987" s="15" t="str">
        <f aca="false">IF(N1987="","",INT(N1987))</f>
        <v/>
      </c>
      <c r="J1987" s="16" t="str">
        <f aca="false">IF(B1987="","",IF(N1987=_xlfn.MINIFS($N$2:$N$5001,$B$2:$B$5001,B1987),1,0))</f>
        <v/>
      </c>
      <c r="K1987" s="16" t="str">
        <f aca="false">IF(B1987="","",IF(AND(D1987="Formalização",E1987="Concluído"),IF(COUNTIFS($B$2:$B$5001,B1987,$E$2:$E$5001,"Em ajustes",$N$2:$N$5001,"&lt;"&amp;I1987)&gt;0,1,0),0))</f>
        <v/>
      </c>
      <c r="L1987" s="16" t="str">
        <f aca="false">IF(B1987="","",IF(N1987=_xlfn.MAXIFS($N$2:$N$5001,$B$2:$B$5001,B1987,$I$2:$I$5001,I1987),1,0))</f>
        <v/>
      </c>
      <c r="M1987" s="16" t="str">
        <f aca="false">IF(B1987="","",IF(E1987="Em ajustes",IF(N1987=_xlfn.MINIFS($N$2:$N$5001,$B$2:$B$5001,B1987,$E$2:$E$5001,"Em ajustes"),1,0),0))</f>
        <v/>
      </c>
      <c r="N1987" s="17" t="str">
        <f aca="false">IF(A1987="","",IF(ISNUMBER(A1987),A1987,IFERROR(DATE(VALUE(MID(A1987,7,4)),VALUE(MID(A1987,4,2)),VALUE(MID(A1987,1,2)))+TIME(VALUE(MID(A1987,12,2)),VALUE(MID(A1987,15,2)),VALUE(MID(A1987,18,2))),"")))</f>
        <v/>
      </c>
    </row>
    <row r="1988" customFormat="false" ht="15" hidden="false" customHeight="false" outlineLevel="0" collapsed="false">
      <c r="I1988" s="15" t="str">
        <f aca="false">IF(N1988="","",INT(N1988))</f>
        <v/>
      </c>
      <c r="J1988" s="16" t="str">
        <f aca="false">IF(B1988="","",IF(N1988=_xlfn.MINIFS($N$2:$N$5001,$B$2:$B$5001,B1988),1,0))</f>
        <v/>
      </c>
      <c r="K1988" s="16" t="str">
        <f aca="false">IF(B1988="","",IF(AND(D1988="Formalização",E1988="Concluído"),IF(COUNTIFS($B$2:$B$5001,B1988,$E$2:$E$5001,"Em ajustes",$N$2:$N$5001,"&lt;"&amp;I1988)&gt;0,1,0),0))</f>
        <v/>
      </c>
      <c r="L1988" s="16" t="str">
        <f aca="false">IF(B1988="","",IF(N1988=_xlfn.MAXIFS($N$2:$N$5001,$B$2:$B$5001,B1988,$I$2:$I$5001,I1988),1,0))</f>
        <v/>
      </c>
      <c r="M1988" s="16" t="str">
        <f aca="false">IF(B1988="","",IF(E1988="Em ajustes",IF(N1988=_xlfn.MINIFS($N$2:$N$5001,$B$2:$B$5001,B1988,$E$2:$E$5001,"Em ajustes"),1,0),0))</f>
        <v/>
      </c>
      <c r="N1988" s="17" t="str">
        <f aca="false">IF(A1988="","",IF(ISNUMBER(A1988),A1988,IFERROR(DATE(VALUE(MID(A1988,7,4)),VALUE(MID(A1988,4,2)),VALUE(MID(A1988,1,2)))+TIME(VALUE(MID(A1988,12,2)),VALUE(MID(A1988,15,2)),VALUE(MID(A1988,18,2))),"")))</f>
        <v/>
      </c>
    </row>
    <row r="1989" customFormat="false" ht="15" hidden="false" customHeight="false" outlineLevel="0" collapsed="false">
      <c r="I1989" s="15" t="str">
        <f aca="false">IF(N1989="","",INT(N1989))</f>
        <v/>
      </c>
      <c r="J1989" s="16" t="str">
        <f aca="false">IF(B1989="","",IF(N1989=_xlfn.MINIFS($N$2:$N$5001,$B$2:$B$5001,B1989),1,0))</f>
        <v/>
      </c>
      <c r="K1989" s="16" t="str">
        <f aca="false">IF(B1989="","",IF(AND(D1989="Formalização",E1989="Concluído"),IF(COUNTIFS($B$2:$B$5001,B1989,$E$2:$E$5001,"Em ajustes",$N$2:$N$5001,"&lt;"&amp;I1989)&gt;0,1,0),0))</f>
        <v/>
      </c>
      <c r="L1989" s="16" t="str">
        <f aca="false">IF(B1989="","",IF(N1989=_xlfn.MAXIFS($N$2:$N$5001,$B$2:$B$5001,B1989,$I$2:$I$5001,I1989),1,0))</f>
        <v/>
      </c>
      <c r="M1989" s="16" t="str">
        <f aca="false">IF(B1989="","",IF(E1989="Em ajustes",IF(N1989=_xlfn.MINIFS($N$2:$N$5001,$B$2:$B$5001,B1989,$E$2:$E$5001,"Em ajustes"),1,0),0))</f>
        <v/>
      </c>
      <c r="N1989" s="17" t="str">
        <f aca="false">IF(A1989="","",IF(ISNUMBER(A1989),A1989,IFERROR(DATE(VALUE(MID(A1989,7,4)),VALUE(MID(A1989,4,2)),VALUE(MID(A1989,1,2)))+TIME(VALUE(MID(A1989,12,2)),VALUE(MID(A1989,15,2)),VALUE(MID(A1989,18,2))),"")))</f>
        <v/>
      </c>
    </row>
    <row r="1990" customFormat="false" ht="15" hidden="false" customHeight="false" outlineLevel="0" collapsed="false">
      <c r="I1990" s="15" t="str">
        <f aca="false">IF(N1990="","",INT(N1990))</f>
        <v/>
      </c>
      <c r="J1990" s="16" t="str">
        <f aca="false">IF(B1990="","",IF(N1990=_xlfn.MINIFS($N$2:$N$5001,$B$2:$B$5001,B1990),1,0))</f>
        <v/>
      </c>
      <c r="K1990" s="16" t="str">
        <f aca="false">IF(B1990="","",IF(AND(D1990="Formalização",E1990="Concluído"),IF(COUNTIFS($B$2:$B$5001,B1990,$E$2:$E$5001,"Em ajustes",$N$2:$N$5001,"&lt;"&amp;I1990)&gt;0,1,0),0))</f>
        <v/>
      </c>
      <c r="L1990" s="16" t="str">
        <f aca="false">IF(B1990="","",IF(N1990=_xlfn.MAXIFS($N$2:$N$5001,$B$2:$B$5001,B1990,$I$2:$I$5001,I1990),1,0))</f>
        <v/>
      </c>
      <c r="M1990" s="16" t="str">
        <f aca="false">IF(B1990="","",IF(E1990="Em ajustes",IF(N1990=_xlfn.MINIFS($N$2:$N$5001,$B$2:$B$5001,B1990,$E$2:$E$5001,"Em ajustes"),1,0),0))</f>
        <v/>
      </c>
      <c r="N1990" s="17" t="str">
        <f aca="false">IF(A1990="","",IF(ISNUMBER(A1990),A1990,IFERROR(DATE(VALUE(MID(A1990,7,4)),VALUE(MID(A1990,4,2)),VALUE(MID(A1990,1,2)))+TIME(VALUE(MID(A1990,12,2)),VALUE(MID(A1990,15,2)),VALUE(MID(A1990,18,2))),"")))</f>
        <v/>
      </c>
    </row>
    <row r="1991" customFormat="false" ht="15" hidden="false" customHeight="false" outlineLevel="0" collapsed="false">
      <c r="I1991" s="15" t="str">
        <f aca="false">IF(N1991="","",INT(N1991))</f>
        <v/>
      </c>
      <c r="J1991" s="16" t="str">
        <f aca="false">IF(B1991="","",IF(N1991=_xlfn.MINIFS($N$2:$N$5001,$B$2:$B$5001,B1991),1,0))</f>
        <v/>
      </c>
      <c r="K1991" s="16" t="str">
        <f aca="false">IF(B1991="","",IF(AND(D1991="Formalização",E1991="Concluído"),IF(COUNTIFS($B$2:$B$5001,B1991,$E$2:$E$5001,"Em ajustes",$N$2:$N$5001,"&lt;"&amp;I1991)&gt;0,1,0),0))</f>
        <v/>
      </c>
      <c r="L1991" s="16" t="str">
        <f aca="false">IF(B1991="","",IF(N1991=_xlfn.MAXIFS($N$2:$N$5001,$B$2:$B$5001,B1991,$I$2:$I$5001,I1991),1,0))</f>
        <v/>
      </c>
      <c r="M1991" s="16" t="str">
        <f aca="false">IF(B1991="","",IF(E1991="Em ajustes",IF(N1991=_xlfn.MINIFS($N$2:$N$5001,$B$2:$B$5001,B1991,$E$2:$E$5001,"Em ajustes"),1,0),0))</f>
        <v/>
      </c>
      <c r="N1991" s="17" t="str">
        <f aca="false">IF(A1991="","",IF(ISNUMBER(A1991),A1991,IFERROR(DATE(VALUE(MID(A1991,7,4)),VALUE(MID(A1991,4,2)),VALUE(MID(A1991,1,2)))+TIME(VALUE(MID(A1991,12,2)),VALUE(MID(A1991,15,2)),VALUE(MID(A1991,18,2))),"")))</f>
        <v/>
      </c>
    </row>
    <row r="1992" customFormat="false" ht="15" hidden="false" customHeight="false" outlineLevel="0" collapsed="false">
      <c r="I1992" s="15" t="str">
        <f aca="false">IF(N1992="","",INT(N1992))</f>
        <v/>
      </c>
      <c r="J1992" s="16" t="str">
        <f aca="false">IF(B1992="","",IF(N1992=_xlfn.MINIFS($N$2:$N$5001,$B$2:$B$5001,B1992),1,0))</f>
        <v/>
      </c>
      <c r="K1992" s="16" t="str">
        <f aca="false">IF(B1992="","",IF(AND(D1992="Formalização",E1992="Concluído"),IF(COUNTIFS($B$2:$B$5001,B1992,$E$2:$E$5001,"Em ajustes",$N$2:$N$5001,"&lt;"&amp;I1992)&gt;0,1,0),0))</f>
        <v/>
      </c>
      <c r="L1992" s="16" t="str">
        <f aca="false">IF(B1992="","",IF(N1992=_xlfn.MAXIFS($N$2:$N$5001,$B$2:$B$5001,B1992,$I$2:$I$5001,I1992),1,0))</f>
        <v/>
      </c>
      <c r="M1992" s="16" t="str">
        <f aca="false">IF(B1992="","",IF(E1992="Em ajustes",IF(N1992=_xlfn.MINIFS($N$2:$N$5001,$B$2:$B$5001,B1992,$E$2:$E$5001,"Em ajustes"),1,0),0))</f>
        <v/>
      </c>
      <c r="N1992" s="17" t="str">
        <f aca="false">IF(A1992="","",IF(ISNUMBER(A1992),A1992,IFERROR(DATE(VALUE(MID(A1992,7,4)),VALUE(MID(A1992,4,2)),VALUE(MID(A1992,1,2)))+TIME(VALUE(MID(A1992,12,2)),VALUE(MID(A1992,15,2)),VALUE(MID(A1992,18,2))),"")))</f>
        <v/>
      </c>
    </row>
    <row r="1993" customFormat="false" ht="15" hidden="false" customHeight="false" outlineLevel="0" collapsed="false">
      <c r="I1993" s="15" t="str">
        <f aca="false">IF(N1993="","",INT(N1993))</f>
        <v/>
      </c>
      <c r="J1993" s="16" t="str">
        <f aca="false">IF(B1993="","",IF(N1993=_xlfn.MINIFS($N$2:$N$5001,$B$2:$B$5001,B1993),1,0))</f>
        <v/>
      </c>
      <c r="K1993" s="16" t="str">
        <f aca="false">IF(B1993="","",IF(AND(D1993="Formalização",E1993="Concluído"),IF(COUNTIFS($B$2:$B$5001,B1993,$E$2:$E$5001,"Em ajustes",$N$2:$N$5001,"&lt;"&amp;I1993)&gt;0,1,0),0))</f>
        <v/>
      </c>
      <c r="L1993" s="16" t="str">
        <f aca="false">IF(B1993="","",IF(N1993=_xlfn.MAXIFS($N$2:$N$5001,$B$2:$B$5001,B1993,$I$2:$I$5001,I1993),1,0))</f>
        <v/>
      </c>
      <c r="M1993" s="16" t="str">
        <f aca="false">IF(B1993="","",IF(E1993="Em ajustes",IF(N1993=_xlfn.MINIFS($N$2:$N$5001,$B$2:$B$5001,B1993,$E$2:$E$5001,"Em ajustes"),1,0),0))</f>
        <v/>
      </c>
      <c r="N1993" s="17" t="str">
        <f aca="false">IF(A1993="","",IF(ISNUMBER(A1993),A1993,IFERROR(DATE(VALUE(MID(A1993,7,4)),VALUE(MID(A1993,4,2)),VALUE(MID(A1993,1,2)))+TIME(VALUE(MID(A1993,12,2)),VALUE(MID(A1993,15,2)),VALUE(MID(A1993,18,2))),"")))</f>
        <v/>
      </c>
    </row>
    <row r="1994" customFormat="false" ht="15" hidden="false" customHeight="false" outlineLevel="0" collapsed="false">
      <c r="I1994" s="15" t="str">
        <f aca="false">IF(N1994="","",INT(N1994))</f>
        <v/>
      </c>
      <c r="J1994" s="16" t="str">
        <f aca="false">IF(B1994="","",IF(N1994=_xlfn.MINIFS($N$2:$N$5001,$B$2:$B$5001,B1994),1,0))</f>
        <v/>
      </c>
      <c r="K1994" s="16" t="str">
        <f aca="false">IF(B1994="","",IF(AND(D1994="Formalização",E1994="Concluído"),IF(COUNTIFS($B$2:$B$5001,B1994,$E$2:$E$5001,"Em ajustes",$N$2:$N$5001,"&lt;"&amp;I1994)&gt;0,1,0),0))</f>
        <v/>
      </c>
      <c r="L1994" s="16" t="str">
        <f aca="false">IF(B1994="","",IF(N1994=_xlfn.MAXIFS($N$2:$N$5001,$B$2:$B$5001,B1994,$I$2:$I$5001,I1994),1,0))</f>
        <v/>
      </c>
      <c r="M1994" s="16" t="str">
        <f aca="false">IF(B1994="","",IF(E1994="Em ajustes",IF(N1994=_xlfn.MINIFS($N$2:$N$5001,$B$2:$B$5001,B1994,$E$2:$E$5001,"Em ajustes"),1,0),0))</f>
        <v/>
      </c>
      <c r="N1994" s="17" t="str">
        <f aca="false">IF(A1994="","",IF(ISNUMBER(A1994),A1994,IFERROR(DATE(VALUE(MID(A1994,7,4)),VALUE(MID(A1994,4,2)),VALUE(MID(A1994,1,2)))+TIME(VALUE(MID(A1994,12,2)),VALUE(MID(A1994,15,2)),VALUE(MID(A1994,18,2))),"")))</f>
        <v/>
      </c>
    </row>
    <row r="1995" customFormat="false" ht="15" hidden="false" customHeight="false" outlineLevel="0" collapsed="false">
      <c r="I1995" s="15" t="str">
        <f aca="false">IF(N1995="","",INT(N1995))</f>
        <v/>
      </c>
      <c r="J1995" s="16" t="str">
        <f aca="false">IF(B1995="","",IF(N1995=_xlfn.MINIFS($N$2:$N$5001,$B$2:$B$5001,B1995),1,0))</f>
        <v/>
      </c>
      <c r="K1995" s="16" t="str">
        <f aca="false">IF(B1995="","",IF(AND(D1995="Formalização",E1995="Concluído"),IF(COUNTIFS($B$2:$B$5001,B1995,$E$2:$E$5001,"Em ajustes",$N$2:$N$5001,"&lt;"&amp;I1995)&gt;0,1,0),0))</f>
        <v/>
      </c>
      <c r="L1995" s="16" t="str">
        <f aca="false">IF(B1995="","",IF(N1995=_xlfn.MAXIFS($N$2:$N$5001,$B$2:$B$5001,B1995,$I$2:$I$5001,I1995),1,0))</f>
        <v/>
      </c>
      <c r="M1995" s="16" t="str">
        <f aca="false">IF(B1995="","",IF(E1995="Em ajustes",IF(N1995=_xlfn.MINIFS($N$2:$N$5001,$B$2:$B$5001,B1995,$E$2:$E$5001,"Em ajustes"),1,0),0))</f>
        <v/>
      </c>
      <c r="N1995" s="17" t="str">
        <f aca="false">IF(A1995="","",IF(ISNUMBER(A1995),A1995,IFERROR(DATE(VALUE(MID(A1995,7,4)),VALUE(MID(A1995,4,2)),VALUE(MID(A1995,1,2)))+TIME(VALUE(MID(A1995,12,2)),VALUE(MID(A1995,15,2)),VALUE(MID(A1995,18,2))),"")))</f>
        <v/>
      </c>
    </row>
    <row r="1996" customFormat="false" ht="15" hidden="false" customHeight="false" outlineLevel="0" collapsed="false">
      <c r="I1996" s="15" t="str">
        <f aca="false">IF(N1996="","",INT(N1996))</f>
        <v/>
      </c>
      <c r="J1996" s="16" t="str">
        <f aca="false">IF(B1996="","",IF(N1996=_xlfn.MINIFS($N$2:$N$5001,$B$2:$B$5001,B1996),1,0))</f>
        <v/>
      </c>
      <c r="K1996" s="16" t="str">
        <f aca="false">IF(B1996="","",IF(AND(D1996="Formalização",E1996="Concluído"),IF(COUNTIFS($B$2:$B$5001,B1996,$E$2:$E$5001,"Em ajustes",$N$2:$N$5001,"&lt;"&amp;I1996)&gt;0,1,0),0))</f>
        <v/>
      </c>
      <c r="L1996" s="16" t="str">
        <f aca="false">IF(B1996="","",IF(N1996=_xlfn.MAXIFS($N$2:$N$5001,$B$2:$B$5001,B1996,$I$2:$I$5001,I1996),1,0))</f>
        <v/>
      </c>
      <c r="M1996" s="16" t="str">
        <f aca="false">IF(B1996="","",IF(E1996="Em ajustes",IF(N1996=_xlfn.MINIFS($N$2:$N$5001,$B$2:$B$5001,B1996,$E$2:$E$5001,"Em ajustes"),1,0),0))</f>
        <v/>
      </c>
      <c r="N1996" s="17" t="str">
        <f aca="false">IF(A1996="","",IF(ISNUMBER(A1996),A1996,IFERROR(DATE(VALUE(MID(A1996,7,4)),VALUE(MID(A1996,4,2)),VALUE(MID(A1996,1,2)))+TIME(VALUE(MID(A1996,12,2)),VALUE(MID(A1996,15,2)),VALUE(MID(A1996,18,2))),"")))</f>
        <v/>
      </c>
    </row>
    <row r="1997" customFormat="false" ht="15" hidden="false" customHeight="false" outlineLevel="0" collapsed="false">
      <c r="I1997" s="15" t="str">
        <f aca="false">IF(N1997="","",INT(N1997))</f>
        <v/>
      </c>
      <c r="J1997" s="16" t="str">
        <f aca="false">IF(B1997="","",IF(N1997=_xlfn.MINIFS($N$2:$N$5001,$B$2:$B$5001,B1997),1,0))</f>
        <v/>
      </c>
      <c r="K1997" s="16" t="str">
        <f aca="false">IF(B1997="","",IF(AND(D1997="Formalização",E1997="Concluído"),IF(COUNTIFS($B$2:$B$5001,B1997,$E$2:$E$5001,"Em ajustes",$N$2:$N$5001,"&lt;"&amp;I1997)&gt;0,1,0),0))</f>
        <v/>
      </c>
      <c r="L1997" s="16" t="str">
        <f aca="false">IF(B1997="","",IF(N1997=_xlfn.MAXIFS($N$2:$N$5001,$B$2:$B$5001,B1997,$I$2:$I$5001,I1997),1,0))</f>
        <v/>
      </c>
      <c r="M1997" s="16" t="str">
        <f aca="false">IF(B1997="","",IF(E1997="Em ajustes",IF(N1997=_xlfn.MINIFS($N$2:$N$5001,$B$2:$B$5001,B1997,$E$2:$E$5001,"Em ajustes"),1,0),0))</f>
        <v/>
      </c>
      <c r="N1997" s="17" t="str">
        <f aca="false">IF(A1997="","",IF(ISNUMBER(A1997),A1997,IFERROR(DATE(VALUE(MID(A1997,7,4)),VALUE(MID(A1997,4,2)),VALUE(MID(A1997,1,2)))+TIME(VALUE(MID(A1997,12,2)),VALUE(MID(A1997,15,2)),VALUE(MID(A1997,18,2))),"")))</f>
        <v/>
      </c>
    </row>
    <row r="1998" customFormat="false" ht="15" hidden="false" customHeight="false" outlineLevel="0" collapsed="false">
      <c r="I1998" s="15" t="str">
        <f aca="false">IF(N1998="","",INT(N1998))</f>
        <v/>
      </c>
      <c r="J1998" s="16" t="str">
        <f aca="false">IF(B1998="","",IF(N1998=_xlfn.MINIFS($N$2:$N$5001,$B$2:$B$5001,B1998),1,0))</f>
        <v/>
      </c>
      <c r="K1998" s="16" t="str">
        <f aca="false">IF(B1998="","",IF(AND(D1998="Formalização",E1998="Concluído"),IF(COUNTIFS($B$2:$B$5001,B1998,$E$2:$E$5001,"Em ajustes",$N$2:$N$5001,"&lt;"&amp;I1998)&gt;0,1,0),0))</f>
        <v/>
      </c>
      <c r="L1998" s="16" t="str">
        <f aca="false">IF(B1998="","",IF(N1998=_xlfn.MAXIFS($N$2:$N$5001,$B$2:$B$5001,B1998,$I$2:$I$5001,I1998),1,0))</f>
        <v/>
      </c>
      <c r="M1998" s="16" t="str">
        <f aca="false">IF(B1998="","",IF(E1998="Em ajustes",IF(N1998=_xlfn.MINIFS($N$2:$N$5001,$B$2:$B$5001,B1998,$E$2:$E$5001,"Em ajustes"),1,0),0))</f>
        <v/>
      </c>
      <c r="N1998" s="17" t="str">
        <f aca="false">IF(A1998="","",IF(ISNUMBER(A1998),A1998,IFERROR(DATE(VALUE(MID(A1998,7,4)),VALUE(MID(A1998,4,2)),VALUE(MID(A1998,1,2)))+TIME(VALUE(MID(A1998,12,2)),VALUE(MID(A1998,15,2)),VALUE(MID(A1998,18,2))),"")))</f>
        <v/>
      </c>
    </row>
    <row r="1999" customFormat="false" ht="15" hidden="false" customHeight="false" outlineLevel="0" collapsed="false">
      <c r="I1999" s="15" t="str">
        <f aca="false">IF(N1999="","",INT(N1999))</f>
        <v/>
      </c>
      <c r="J1999" s="16" t="str">
        <f aca="false">IF(B1999="","",IF(N1999=_xlfn.MINIFS($N$2:$N$5001,$B$2:$B$5001,B1999),1,0))</f>
        <v/>
      </c>
      <c r="K1999" s="16" t="str">
        <f aca="false">IF(B1999="","",IF(AND(D1999="Formalização",E1999="Concluído"),IF(COUNTIFS($B$2:$B$5001,B1999,$E$2:$E$5001,"Em ajustes",$N$2:$N$5001,"&lt;"&amp;I1999)&gt;0,1,0),0))</f>
        <v/>
      </c>
      <c r="L1999" s="16" t="str">
        <f aca="false">IF(B1999="","",IF(N1999=_xlfn.MAXIFS($N$2:$N$5001,$B$2:$B$5001,B1999,$I$2:$I$5001,I1999),1,0))</f>
        <v/>
      </c>
      <c r="M1999" s="16" t="str">
        <f aca="false">IF(B1999="","",IF(E1999="Em ajustes",IF(N1999=_xlfn.MINIFS($N$2:$N$5001,$B$2:$B$5001,B1999,$E$2:$E$5001,"Em ajustes"),1,0),0))</f>
        <v/>
      </c>
      <c r="N1999" s="17" t="str">
        <f aca="false">IF(A1999="","",IF(ISNUMBER(A1999),A1999,IFERROR(DATE(VALUE(MID(A1999,7,4)),VALUE(MID(A1999,4,2)),VALUE(MID(A1999,1,2)))+TIME(VALUE(MID(A1999,12,2)),VALUE(MID(A1999,15,2)),VALUE(MID(A1999,18,2))),"")))</f>
        <v/>
      </c>
    </row>
    <row r="2000" customFormat="false" ht="15" hidden="false" customHeight="false" outlineLevel="0" collapsed="false">
      <c r="I2000" s="15" t="str">
        <f aca="false">IF(N2000="","",INT(N2000))</f>
        <v/>
      </c>
      <c r="J2000" s="16" t="str">
        <f aca="false">IF(B2000="","",IF(N2000=_xlfn.MINIFS($N$2:$N$5001,$B$2:$B$5001,B2000),1,0))</f>
        <v/>
      </c>
      <c r="K2000" s="16" t="str">
        <f aca="false">IF(B2000="","",IF(AND(D2000="Formalização",E2000="Concluído"),IF(COUNTIFS($B$2:$B$5001,B2000,$E$2:$E$5001,"Em ajustes",$N$2:$N$5001,"&lt;"&amp;I2000)&gt;0,1,0),0))</f>
        <v/>
      </c>
      <c r="L2000" s="16" t="str">
        <f aca="false">IF(B2000="","",IF(N2000=_xlfn.MAXIFS($N$2:$N$5001,$B$2:$B$5001,B2000,$I$2:$I$5001,I2000),1,0))</f>
        <v/>
      </c>
      <c r="M2000" s="16" t="str">
        <f aca="false">IF(B2000="","",IF(E2000="Em ajustes",IF(N2000=_xlfn.MINIFS($N$2:$N$5001,$B$2:$B$5001,B2000,$E$2:$E$5001,"Em ajustes"),1,0),0))</f>
        <v/>
      </c>
      <c r="N2000" s="17" t="str">
        <f aca="false">IF(A2000="","",IF(ISNUMBER(A2000),A2000,IFERROR(DATE(VALUE(MID(A2000,7,4)),VALUE(MID(A2000,4,2)),VALUE(MID(A2000,1,2)))+TIME(VALUE(MID(A2000,12,2)),VALUE(MID(A2000,15,2)),VALUE(MID(A2000,18,2))),"")))</f>
        <v/>
      </c>
    </row>
    <row r="2001" customFormat="false" ht="15" hidden="false" customHeight="false" outlineLevel="0" collapsed="false">
      <c r="I2001" s="15" t="str">
        <f aca="false">IF(N2001="","",INT(N2001))</f>
        <v/>
      </c>
      <c r="J2001" s="16" t="str">
        <f aca="false">IF(B2001="","",IF(N2001=_xlfn.MINIFS($N$2:$N$5001,$B$2:$B$5001,B2001),1,0))</f>
        <v/>
      </c>
      <c r="K2001" s="16" t="str">
        <f aca="false">IF(B2001="","",IF(AND(D2001="Formalização",E2001="Concluído"),IF(COUNTIFS($B$2:$B$5001,B2001,$E$2:$E$5001,"Em ajustes",$N$2:$N$5001,"&lt;"&amp;I2001)&gt;0,1,0),0))</f>
        <v/>
      </c>
      <c r="L2001" s="16" t="str">
        <f aca="false">IF(B2001="","",IF(N2001=_xlfn.MAXIFS($N$2:$N$5001,$B$2:$B$5001,B2001,$I$2:$I$5001,I2001),1,0))</f>
        <v/>
      </c>
      <c r="M2001" s="16" t="str">
        <f aca="false">IF(B2001="","",IF(E2001="Em ajustes",IF(N2001=_xlfn.MINIFS($N$2:$N$5001,$B$2:$B$5001,B2001,$E$2:$E$5001,"Em ajustes"),1,0),0))</f>
        <v/>
      </c>
      <c r="N2001" s="17" t="str">
        <f aca="false">IF(A2001="","",IF(ISNUMBER(A2001),A2001,IFERROR(DATE(VALUE(MID(A2001,7,4)),VALUE(MID(A2001,4,2)),VALUE(MID(A2001,1,2)))+TIME(VALUE(MID(A2001,12,2)),VALUE(MID(A2001,15,2)),VALUE(MID(A2001,18,2))),"")))</f>
        <v/>
      </c>
    </row>
    <row r="2002" customFormat="false" ht="15" hidden="false" customHeight="false" outlineLevel="0" collapsed="false">
      <c r="I2002" s="15" t="str">
        <f aca="false">IF(N2002="","",INT(N2002))</f>
        <v/>
      </c>
      <c r="J2002" s="16" t="str">
        <f aca="false">IF(B2002="","",IF(N2002=_xlfn.MINIFS($N$2:$N$5001,$B$2:$B$5001,B2002),1,0))</f>
        <v/>
      </c>
      <c r="K2002" s="16" t="str">
        <f aca="false">IF(B2002="","",IF(AND(D2002="Formalização",E2002="Concluído"),IF(COUNTIFS($B$2:$B$5001,B2002,$E$2:$E$5001,"Em ajustes",$N$2:$N$5001,"&lt;"&amp;I2002)&gt;0,1,0),0))</f>
        <v/>
      </c>
      <c r="L2002" s="16" t="str">
        <f aca="false">IF(B2002="","",IF(N2002=_xlfn.MAXIFS($N$2:$N$5001,$B$2:$B$5001,B2002,$I$2:$I$5001,I2002),1,0))</f>
        <v/>
      </c>
      <c r="M2002" s="16" t="str">
        <f aca="false">IF(B2002="","",IF(E2002="Em ajustes",IF(N2002=_xlfn.MINIFS($N$2:$N$5001,$B$2:$B$5001,B2002,$E$2:$E$5001,"Em ajustes"),1,0),0))</f>
        <v/>
      </c>
      <c r="N2002" s="17" t="str">
        <f aca="false">IF(A2002="","",IF(ISNUMBER(A2002),A2002,IFERROR(DATE(VALUE(MID(A2002,7,4)),VALUE(MID(A2002,4,2)),VALUE(MID(A2002,1,2)))+TIME(VALUE(MID(A2002,12,2)),VALUE(MID(A2002,15,2)),VALUE(MID(A2002,18,2))),"")))</f>
        <v/>
      </c>
    </row>
    <row r="2003" customFormat="false" ht="15" hidden="false" customHeight="false" outlineLevel="0" collapsed="false">
      <c r="I2003" s="15" t="str">
        <f aca="false">IF(N2003="","",INT(N2003))</f>
        <v/>
      </c>
      <c r="J2003" s="16" t="str">
        <f aca="false">IF(B2003="","",IF(N2003=_xlfn.MINIFS($N$2:$N$5001,$B$2:$B$5001,B2003),1,0))</f>
        <v/>
      </c>
      <c r="K2003" s="16" t="str">
        <f aca="false">IF(B2003="","",IF(AND(D2003="Formalização",E2003="Concluído"),IF(COUNTIFS($B$2:$B$5001,B2003,$E$2:$E$5001,"Em ajustes",$N$2:$N$5001,"&lt;"&amp;I2003)&gt;0,1,0),0))</f>
        <v/>
      </c>
      <c r="L2003" s="16" t="str">
        <f aca="false">IF(B2003="","",IF(N2003=_xlfn.MAXIFS($N$2:$N$5001,$B$2:$B$5001,B2003,$I$2:$I$5001,I2003),1,0))</f>
        <v/>
      </c>
      <c r="M2003" s="16" t="str">
        <f aca="false">IF(B2003="","",IF(E2003="Em ajustes",IF(N2003=_xlfn.MINIFS($N$2:$N$5001,$B$2:$B$5001,B2003,$E$2:$E$5001,"Em ajustes"),1,0),0))</f>
        <v/>
      </c>
      <c r="N2003" s="17" t="str">
        <f aca="false">IF(A2003="","",IF(ISNUMBER(A2003),A2003,IFERROR(DATE(VALUE(MID(A2003,7,4)),VALUE(MID(A2003,4,2)),VALUE(MID(A2003,1,2)))+TIME(VALUE(MID(A2003,12,2)),VALUE(MID(A2003,15,2)),VALUE(MID(A2003,18,2))),"")))</f>
        <v/>
      </c>
    </row>
    <row r="2004" customFormat="false" ht="15" hidden="false" customHeight="false" outlineLevel="0" collapsed="false">
      <c r="I2004" s="15" t="str">
        <f aca="false">IF(N2004="","",INT(N2004))</f>
        <v/>
      </c>
      <c r="J2004" s="16" t="str">
        <f aca="false">IF(B2004="","",IF(N2004=_xlfn.MINIFS($N$2:$N$5001,$B$2:$B$5001,B2004),1,0))</f>
        <v/>
      </c>
      <c r="K2004" s="16" t="str">
        <f aca="false">IF(B2004="","",IF(AND(D2004="Formalização",E2004="Concluído"),IF(COUNTIFS($B$2:$B$5001,B2004,$E$2:$E$5001,"Em ajustes",$N$2:$N$5001,"&lt;"&amp;I2004)&gt;0,1,0),0))</f>
        <v/>
      </c>
      <c r="L2004" s="16" t="str">
        <f aca="false">IF(B2004="","",IF(N2004=_xlfn.MAXIFS($N$2:$N$5001,$B$2:$B$5001,B2004,$I$2:$I$5001,I2004),1,0))</f>
        <v/>
      </c>
      <c r="M2004" s="16" t="str">
        <f aca="false">IF(B2004="","",IF(E2004="Em ajustes",IF(N2004=_xlfn.MINIFS($N$2:$N$5001,$B$2:$B$5001,B2004,$E$2:$E$5001,"Em ajustes"),1,0),0))</f>
        <v/>
      </c>
      <c r="N2004" s="17" t="str">
        <f aca="false">IF(A2004="","",IF(ISNUMBER(A2004),A2004,IFERROR(DATE(VALUE(MID(A2004,7,4)),VALUE(MID(A2004,4,2)),VALUE(MID(A2004,1,2)))+TIME(VALUE(MID(A2004,12,2)),VALUE(MID(A2004,15,2)),VALUE(MID(A2004,18,2))),"")))</f>
        <v/>
      </c>
    </row>
    <row r="2005" customFormat="false" ht="15" hidden="false" customHeight="false" outlineLevel="0" collapsed="false">
      <c r="I2005" s="15" t="str">
        <f aca="false">IF(N2005="","",INT(N2005))</f>
        <v/>
      </c>
      <c r="J2005" s="16" t="str">
        <f aca="false">IF(B2005="","",IF(N2005=_xlfn.MINIFS($N$2:$N$5001,$B$2:$B$5001,B2005),1,0))</f>
        <v/>
      </c>
      <c r="K2005" s="16" t="str">
        <f aca="false">IF(B2005="","",IF(AND(D2005="Formalização",E2005="Concluído"),IF(COUNTIFS($B$2:$B$5001,B2005,$E$2:$E$5001,"Em ajustes",$N$2:$N$5001,"&lt;"&amp;I2005)&gt;0,1,0),0))</f>
        <v/>
      </c>
      <c r="L2005" s="16" t="str">
        <f aca="false">IF(B2005="","",IF(N2005=_xlfn.MAXIFS($N$2:$N$5001,$B$2:$B$5001,B2005,$I$2:$I$5001,I2005),1,0))</f>
        <v/>
      </c>
      <c r="M2005" s="16" t="str">
        <f aca="false">IF(B2005="","",IF(E2005="Em ajustes",IF(N2005=_xlfn.MINIFS($N$2:$N$5001,$B$2:$B$5001,B2005,$E$2:$E$5001,"Em ajustes"),1,0),0))</f>
        <v/>
      </c>
      <c r="N2005" s="17" t="str">
        <f aca="false">IF(A2005="","",IF(ISNUMBER(A2005),A2005,IFERROR(DATE(VALUE(MID(A2005,7,4)),VALUE(MID(A2005,4,2)),VALUE(MID(A2005,1,2)))+TIME(VALUE(MID(A2005,12,2)),VALUE(MID(A2005,15,2)),VALUE(MID(A2005,18,2))),"")))</f>
        <v/>
      </c>
    </row>
    <row r="2006" customFormat="false" ht="15" hidden="false" customHeight="false" outlineLevel="0" collapsed="false">
      <c r="I2006" s="15" t="str">
        <f aca="false">IF(N2006="","",INT(N2006))</f>
        <v/>
      </c>
      <c r="J2006" s="16" t="str">
        <f aca="false">IF(B2006="","",IF(N2006=_xlfn.MINIFS($N$2:$N$5001,$B$2:$B$5001,B2006),1,0))</f>
        <v/>
      </c>
      <c r="K2006" s="16" t="str">
        <f aca="false">IF(B2006="","",IF(AND(D2006="Formalização",E2006="Concluído"),IF(COUNTIFS($B$2:$B$5001,B2006,$E$2:$E$5001,"Em ajustes",$N$2:$N$5001,"&lt;"&amp;I2006)&gt;0,1,0),0))</f>
        <v/>
      </c>
      <c r="L2006" s="16" t="str">
        <f aca="false">IF(B2006="","",IF(N2006=_xlfn.MAXIFS($N$2:$N$5001,$B$2:$B$5001,B2006,$I$2:$I$5001,I2006),1,0))</f>
        <v/>
      </c>
      <c r="M2006" s="16" t="str">
        <f aca="false">IF(B2006="","",IF(E2006="Em ajustes",IF(N2006=_xlfn.MINIFS($N$2:$N$5001,$B$2:$B$5001,B2006,$E$2:$E$5001,"Em ajustes"),1,0),0))</f>
        <v/>
      </c>
      <c r="N2006" s="17" t="str">
        <f aca="false">IF(A2006="","",IF(ISNUMBER(A2006),A2006,IFERROR(DATE(VALUE(MID(A2006,7,4)),VALUE(MID(A2006,4,2)),VALUE(MID(A2006,1,2)))+TIME(VALUE(MID(A2006,12,2)),VALUE(MID(A2006,15,2)),VALUE(MID(A2006,18,2))),"")))</f>
        <v/>
      </c>
    </row>
    <row r="2007" customFormat="false" ht="15" hidden="false" customHeight="false" outlineLevel="0" collapsed="false">
      <c r="I2007" s="15" t="str">
        <f aca="false">IF(N2007="","",INT(N2007))</f>
        <v/>
      </c>
      <c r="J2007" s="16" t="str">
        <f aca="false">IF(B2007="","",IF(N2007=_xlfn.MINIFS($N$2:$N$5001,$B$2:$B$5001,B2007),1,0))</f>
        <v/>
      </c>
      <c r="K2007" s="16" t="str">
        <f aca="false">IF(B2007="","",IF(AND(D2007="Formalização",E2007="Concluído"),IF(COUNTIFS($B$2:$B$5001,B2007,$E$2:$E$5001,"Em ajustes",$N$2:$N$5001,"&lt;"&amp;I2007)&gt;0,1,0),0))</f>
        <v/>
      </c>
      <c r="L2007" s="16" t="str">
        <f aca="false">IF(B2007="","",IF(N2007=_xlfn.MAXIFS($N$2:$N$5001,$B$2:$B$5001,B2007,$I$2:$I$5001,I2007),1,0))</f>
        <v/>
      </c>
      <c r="M2007" s="16" t="str">
        <f aca="false">IF(B2007="","",IF(E2007="Em ajustes",IF(N2007=_xlfn.MINIFS($N$2:$N$5001,$B$2:$B$5001,B2007,$E$2:$E$5001,"Em ajustes"),1,0),0))</f>
        <v/>
      </c>
      <c r="N2007" s="17" t="str">
        <f aca="false">IF(A2007="","",IF(ISNUMBER(A2007),A2007,IFERROR(DATE(VALUE(MID(A2007,7,4)),VALUE(MID(A2007,4,2)),VALUE(MID(A2007,1,2)))+TIME(VALUE(MID(A2007,12,2)),VALUE(MID(A2007,15,2)),VALUE(MID(A2007,18,2))),"")))</f>
        <v/>
      </c>
    </row>
    <row r="2008" customFormat="false" ht="15" hidden="false" customHeight="false" outlineLevel="0" collapsed="false">
      <c r="I2008" s="15" t="str">
        <f aca="false">IF(N2008="","",INT(N2008))</f>
        <v/>
      </c>
      <c r="J2008" s="16" t="str">
        <f aca="false">IF(B2008="","",IF(N2008=_xlfn.MINIFS($N$2:$N$5001,$B$2:$B$5001,B2008),1,0))</f>
        <v/>
      </c>
      <c r="K2008" s="16" t="str">
        <f aca="false">IF(B2008="","",IF(AND(D2008="Formalização",E2008="Concluído"),IF(COUNTIFS($B$2:$B$5001,B2008,$E$2:$E$5001,"Em ajustes",$N$2:$N$5001,"&lt;"&amp;I2008)&gt;0,1,0),0))</f>
        <v/>
      </c>
      <c r="L2008" s="16" t="str">
        <f aca="false">IF(B2008="","",IF(N2008=_xlfn.MAXIFS($N$2:$N$5001,$B$2:$B$5001,B2008,$I$2:$I$5001,I2008),1,0))</f>
        <v/>
      </c>
      <c r="M2008" s="16" t="str">
        <f aca="false">IF(B2008="","",IF(E2008="Em ajustes",IF(N2008=_xlfn.MINIFS($N$2:$N$5001,$B$2:$B$5001,B2008,$E$2:$E$5001,"Em ajustes"),1,0),0))</f>
        <v/>
      </c>
      <c r="N2008" s="17" t="str">
        <f aca="false">IF(A2008="","",IF(ISNUMBER(A2008),A2008,IFERROR(DATE(VALUE(MID(A2008,7,4)),VALUE(MID(A2008,4,2)),VALUE(MID(A2008,1,2)))+TIME(VALUE(MID(A2008,12,2)),VALUE(MID(A2008,15,2)),VALUE(MID(A2008,18,2))),"")))</f>
        <v/>
      </c>
    </row>
    <row r="2009" customFormat="false" ht="15" hidden="false" customHeight="false" outlineLevel="0" collapsed="false">
      <c r="I2009" s="15" t="str">
        <f aca="false">IF(N2009="","",INT(N2009))</f>
        <v/>
      </c>
      <c r="J2009" s="16" t="str">
        <f aca="false">IF(B2009="","",IF(N2009=_xlfn.MINIFS($N$2:$N$5001,$B$2:$B$5001,B2009),1,0))</f>
        <v/>
      </c>
      <c r="K2009" s="16" t="str">
        <f aca="false">IF(B2009="","",IF(AND(D2009="Formalização",E2009="Concluído"),IF(COUNTIFS($B$2:$B$5001,B2009,$E$2:$E$5001,"Em ajustes",$N$2:$N$5001,"&lt;"&amp;I2009)&gt;0,1,0),0))</f>
        <v/>
      </c>
      <c r="L2009" s="16" t="str">
        <f aca="false">IF(B2009="","",IF(N2009=_xlfn.MAXIFS($N$2:$N$5001,$B$2:$B$5001,B2009,$I$2:$I$5001,I2009),1,0))</f>
        <v/>
      </c>
      <c r="M2009" s="16" t="str">
        <f aca="false">IF(B2009="","",IF(E2009="Em ajustes",IF(N2009=_xlfn.MINIFS($N$2:$N$5001,$B$2:$B$5001,B2009,$E$2:$E$5001,"Em ajustes"),1,0),0))</f>
        <v/>
      </c>
      <c r="N2009" s="17" t="str">
        <f aca="false">IF(A2009="","",IF(ISNUMBER(A2009),A2009,IFERROR(DATE(VALUE(MID(A2009,7,4)),VALUE(MID(A2009,4,2)),VALUE(MID(A2009,1,2)))+TIME(VALUE(MID(A2009,12,2)),VALUE(MID(A2009,15,2)),VALUE(MID(A2009,18,2))),"")))</f>
        <v/>
      </c>
    </row>
    <row r="2010" customFormat="false" ht="15" hidden="false" customHeight="false" outlineLevel="0" collapsed="false">
      <c r="I2010" s="15" t="str">
        <f aca="false">IF(N2010="","",INT(N2010))</f>
        <v/>
      </c>
      <c r="J2010" s="16" t="str">
        <f aca="false">IF(B2010="","",IF(N2010=_xlfn.MINIFS($N$2:$N$5001,$B$2:$B$5001,B2010),1,0))</f>
        <v/>
      </c>
      <c r="K2010" s="16" t="str">
        <f aca="false">IF(B2010="","",IF(AND(D2010="Formalização",E2010="Concluído"),IF(COUNTIFS($B$2:$B$5001,B2010,$E$2:$E$5001,"Em ajustes",$N$2:$N$5001,"&lt;"&amp;I2010)&gt;0,1,0),0))</f>
        <v/>
      </c>
      <c r="L2010" s="16" t="str">
        <f aca="false">IF(B2010="","",IF(N2010=_xlfn.MAXIFS($N$2:$N$5001,$B$2:$B$5001,B2010,$I$2:$I$5001,I2010),1,0))</f>
        <v/>
      </c>
      <c r="M2010" s="16" t="str">
        <f aca="false">IF(B2010="","",IF(E2010="Em ajustes",IF(N2010=_xlfn.MINIFS($N$2:$N$5001,$B$2:$B$5001,B2010,$E$2:$E$5001,"Em ajustes"),1,0),0))</f>
        <v/>
      </c>
      <c r="N2010" s="17" t="str">
        <f aca="false">IF(A2010="","",IF(ISNUMBER(A2010),A2010,IFERROR(DATE(VALUE(MID(A2010,7,4)),VALUE(MID(A2010,4,2)),VALUE(MID(A2010,1,2)))+TIME(VALUE(MID(A2010,12,2)),VALUE(MID(A2010,15,2)),VALUE(MID(A2010,18,2))),"")))</f>
        <v/>
      </c>
    </row>
    <row r="2011" customFormat="false" ht="15" hidden="false" customHeight="false" outlineLevel="0" collapsed="false">
      <c r="I2011" s="15" t="str">
        <f aca="false">IF(N2011="","",INT(N2011))</f>
        <v/>
      </c>
      <c r="J2011" s="16" t="str">
        <f aca="false">IF(B2011="","",IF(N2011=_xlfn.MINIFS($N$2:$N$5001,$B$2:$B$5001,B2011),1,0))</f>
        <v/>
      </c>
      <c r="K2011" s="16" t="str">
        <f aca="false">IF(B2011="","",IF(AND(D2011="Formalização",E2011="Concluído"),IF(COUNTIFS($B$2:$B$5001,B2011,$E$2:$E$5001,"Em ajustes",$N$2:$N$5001,"&lt;"&amp;I2011)&gt;0,1,0),0))</f>
        <v/>
      </c>
      <c r="L2011" s="16" t="str">
        <f aca="false">IF(B2011="","",IF(N2011=_xlfn.MAXIFS($N$2:$N$5001,$B$2:$B$5001,B2011,$I$2:$I$5001,I2011),1,0))</f>
        <v/>
      </c>
      <c r="M2011" s="16" t="str">
        <f aca="false">IF(B2011="","",IF(E2011="Em ajustes",IF(N2011=_xlfn.MINIFS($N$2:$N$5001,$B$2:$B$5001,B2011,$E$2:$E$5001,"Em ajustes"),1,0),0))</f>
        <v/>
      </c>
      <c r="N2011" s="17" t="str">
        <f aca="false">IF(A2011="","",IF(ISNUMBER(A2011),A2011,IFERROR(DATE(VALUE(MID(A2011,7,4)),VALUE(MID(A2011,4,2)),VALUE(MID(A2011,1,2)))+TIME(VALUE(MID(A2011,12,2)),VALUE(MID(A2011,15,2)),VALUE(MID(A2011,18,2))),"")))</f>
        <v/>
      </c>
    </row>
    <row r="2012" customFormat="false" ht="15" hidden="false" customHeight="false" outlineLevel="0" collapsed="false">
      <c r="I2012" s="15" t="str">
        <f aca="false">IF(N2012="","",INT(N2012))</f>
        <v/>
      </c>
      <c r="J2012" s="16" t="str">
        <f aca="false">IF(B2012="","",IF(N2012=_xlfn.MINIFS($N$2:$N$5001,$B$2:$B$5001,B2012),1,0))</f>
        <v/>
      </c>
      <c r="K2012" s="16" t="str">
        <f aca="false">IF(B2012="","",IF(AND(D2012="Formalização",E2012="Concluído"),IF(COUNTIFS($B$2:$B$5001,B2012,$E$2:$E$5001,"Em ajustes",$N$2:$N$5001,"&lt;"&amp;I2012)&gt;0,1,0),0))</f>
        <v/>
      </c>
      <c r="L2012" s="16" t="str">
        <f aca="false">IF(B2012="","",IF(N2012=_xlfn.MAXIFS($N$2:$N$5001,$B$2:$B$5001,B2012,$I$2:$I$5001,I2012),1,0))</f>
        <v/>
      </c>
      <c r="M2012" s="16" t="str">
        <f aca="false">IF(B2012="","",IF(E2012="Em ajustes",IF(N2012=_xlfn.MINIFS($N$2:$N$5001,$B$2:$B$5001,B2012,$E$2:$E$5001,"Em ajustes"),1,0),0))</f>
        <v/>
      </c>
      <c r="N2012" s="17" t="str">
        <f aca="false">IF(A2012="","",IF(ISNUMBER(A2012),A2012,IFERROR(DATE(VALUE(MID(A2012,7,4)),VALUE(MID(A2012,4,2)),VALUE(MID(A2012,1,2)))+TIME(VALUE(MID(A2012,12,2)),VALUE(MID(A2012,15,2)),VALUE(MID(A2012,18,2))),"")))</f>
        <v/>
      </c>
    </row>
    <row r="2013" customFormat="false" ht="15" hidden="false" customHeight="false" outlineLevel="0" collapsed="false">
      <c r="I2013" s="15" t="str">
        <f aca="false">IF(N2013="","",INT(N2013))</f>
        <v/>
      </c>
      <c r="J2013" s="16" t="str">
        <f aca="false">IF(B2013="","",IF(N2013=_xlfn.MINIFS($N$2:$N$5001,$B$2:$B$5001,B2013),1,0))</f>
        <v/>
      </c>
      <c r="K2013" s="16" t="str">
        <f aca="false">IF(B2013="","",IF(AND(D2013="Formalização",E2013="Concluído"),IF(COUNTIFS($B$2:$B$5001,B2013,$E$2:$E$5001,"Em ajustes",$N$2:$N$5001,"&lt;"&amp;I2013)&gt;0,1,0),0))</f>
        <v/>
      </c>
      <c r="L2013" s="16" t="str">
        <f aca="false">IF(B2013="","",IF(N2013=_xlfn.MAXIFS($N$2:$N$5001,$B$2:$B$5001,B2013,$I$2:$I$5001,I2013),1,0))</f>
        <v/>
      </c>
      <c r="M2013" s="16" t="str">
        <f aca="false">IF(B2013="","",IF(E2013="Em ajustes",IF(N2013=_xlfn.MINIFS($N$2:$N$5001,$B$2:$B$5001,B2013,$E$2:$E$5001,"Em ajustes"),1,0),0))</f>
        <v/>
      </c>
      <c r="N2013" s="17" t="str">
        <f aca="false">IF(A2013="","",IF(ISNUMBER(A2013),A2013,IFERROR(DATE(VALUE(MID(A2013,7,4)),VALUE(MID(A2013,4,2)),VALUE(MID(A2013,1,2)))+TIME(VALUE(MID(A2013,12,2)),VALUE(MID(A2013,15,2)),VALUE(MID(A2013,18,2))),"")))</f>
        <v/>
      </c>
    </row>
    <row r="2014" customFormat="false" ht="15" hidden="false" customHeight="false" outlineLevel="0" collapsed="false">
      <c r="I2014" s="15" t="str">
        <f aca="false">IF(N2014="","",INT(N2014))</f>
        <v/>
      </c>
      <c r="J2014" s="16" t="str">
        <f aca="false">IF(B2014="","",IF(N2014=_xlfn.MINIFS($N$2:$N$5001,$B$2:$B$5001,B2014),1,0))</f>
        <v/>
      </c>
      <c r="K2014" s="16" t="str">
        <f aca="false">IF(B2014="","",IF(AND(D2014="Formalização",E2014="Concluído"),IF(COUNTIFS($B$2:$B$5001,B2014,$E$2:$E$5001,"Em ajustes",$N$2:$N$5001,"&lt;"&amp;I2014)&gt;0,1,0),0))</f>
        <v/>
      </c>
      <c r="L2014" s="16" t="str">
        <f aca="false">IF(B2014="","",IF(N2014=_xlfn.MAXIFS($N$2:$N$5001,$B$2:$B$5001,B2014,$I$2:$I$5001,I2014),1,0))</f>
        <v/>
      </c>
      <c r="M2014" s="16" t="str">
        <f aca="false">IF(B2014="","",IF(E2014="Em ajustes",IF(N2014=_xlfn.MINIFS($N$2:$N$5001,$B$2:$B$5001,B2014,$E$2:$E$5001,"Em ajustes"),1,0),0))</f>
        <v/>
      </c>
      <c r="N2014" s="17" t="str">
        <f aca="false">IF(A2014="","",IF(ISNUMBER(A2014),A2014,IFERROR(DATE(VALUE(MID(A2014,7,4)),VALUE(MID(A2014,4,2)),VALUE(MID(A2014,1,2)))+TIME(VALUE(MID(A2014,12,2)),VALUE(MID(A2014,15,2)),VALUE(MID(A2014,18,2))),"")))</f>
        <v/>
      </c>
    </row>
    <row r="2015" customFormat="false" ht="15" hidden="false" customHeight="false" outlineLevel="0" collapsed="false">
      <c r="I2015" s="15" t="str">
        <f aca="false">IF(N2015="","",INT(N2015))</f>
        <v/>
      </c>
      <c r="J2015" s="16" t="str">
        <f aca="false">IF(B2015="","",IF(N2015=_xlfn.MINIFS($N$2:$N$5001,$B$2:$B$5001,B2015),1,0))</f>
        <v/>
      </c>
      <c r="K2015" s="16" t="str">
        <f aca="false">IF(B2015="","",IF(AND(D2015="Formalização",E2015="Concluído"),IF(COUNTIFS($B$2:$B$5001,B2015,$E$2:$E$5001,"Em ajustes",$N$2:$N$5001,"&lt;"&amp;I2015)&gt;0,1,0),0))</f>
        <v/>
      </c>
      <c r="L2015" s="16" t="str">
        <f aca="false">IF(B2015="","",IF(N2015=_xlfn.MAXIFS($N$2:$N$5001,$B$2:$B$5001,B2015,$I$2:$I$5001,I2015),1,0))</f>
        <v/>
      </c>
      <c r="M2015" s="16" t="str">
        <f aca="false">IF(B2015="","",IF(E2015="Em ajustes",IF(N2015=_xlfn.MINIFS($N$2:$N$5001,$B$2:$B$5001,B2015,$E$2:$E$5001,"Em ajustes"),1,0),0))</f>
        <v/>
      </c>
      <c r="N2015" s="17" t="str">
        <f aca="false">IF(A2015="","",IF(ISNUMBER(A2015),A2015,IFERROR(DATE(VALUE(MID(A2015,7,4)),VALUE(MID(A2015,4,2)),VALUE(MID(A2015,1,2)))+TIME(VALUE(MID(A2015,12,2)),VALUE(MID(A2015,15,2)),VALUE(MID(A2015,18,2))),"")))</f>
        <v/>
      </c>
    </row>
    <row r="2016" customFormat="false" ht="15" hidden="false" customHeight="false" outlineLevel="0" collapsed="false">
      <c r="I2016" s="15" t="str">
        <f aca="false">IF(N2016="","",INT(N2016))</f>
        <v/>
      </c>
      <c r="J2016" s="16" t="str">
        <f aca="false">IF(B2016="","",IF(N2016=_xlfn.MINIFS($N$2:$N$5001,$B$2:$B$5001,B2016),1,0))</f>
        <v/>
      </c>
      <c r="K2016" s="16" t="str">
        <f aca="false">IF(B2016="","",IF(AND(D2016="Formalização",E2016="Concluído"),IF(COUNTIFS($B$2:$B$5001,B2016,$E$2:$E$5001,"Em ajustes",$N$2:$N$5001,"&lt;"&amp;I2016)&gt;0,1,0),0))</f>
        <v/>
      </c>
      <c r="L2016" s="16" t="str">
        <f aca="false">IF(B2016="","",IF(N2016=_xlfn.MAXIFS($N$2:$N$5001,$B$2:$B$5001,B2016,$I$2:$I$5001,I2016),1,0))</f>
        <v/>
      </c>
      <c r="M2016" s="16" t="str">
        <f aca="false">IF(B2016="","",IF(E2016="Em ajustes",IF(N2016=_xlfn.MINIFS($N$2:$N$5001,$B$2:$B$5001,B2016,$E$2:$E$5001,"Em ajustes"),1,0),0))</f>
        <v/>
      </c>
      <c r="N2016" s="17" t="str">
        <f aca="false">IF(A2016="","",IF(ISNUMBER(A2016),A2016,IFERROR(DATE(VALUE(MID(A2016,7,4)),VALUE(MID(A2016,4,2)),VALUE(MID(A2016,1,2)))+TIME(VALUE(MID(A2016,12,2)),VALUE(MID(A2016,15,2)),VALUE(MID(A2016,18,2))),"")))</f>
        <v/>
      </c>
    </row>
    <row r="2017" customFormat="false" ht="15" hidden="false" customHeight="false" outlineLevel="0" collapsed="false">
      <c r="I2017" s="15" t="str">
        <f aca="false">IF(N2017="","",INT(N2017))</f>
        <v/>
      </c>
      <c r="J2017" s="16" t="str">
        <f aca="false">IF(B2017="","",IF(N2017=_xlfn.MINIFS($N$2:$N$5001,$B$2:$B$5001,B2017),1,0))</f>
        <v/>
      </c>
      <c r="K2017" s="16" t="str">
        <f aca="false">IF(B2017="","",IF(AND(D2017="Formalização",E2017="Concluído"),IF(COUNTIFS($B$2:$B$5001,B2017,$E$2:$E$5001,"Em ajustes",$N$2:$N$5001,"&lt;"&amp;I2017)&gt;0,1,0),0))</f>
        <v/>
      </c>
      <c r="L2017" s="16" t="str">
        <f aca="false">IF(B2017="","",IF(N2017=_xlfn.MAXIFS($N$2:$N$5001,$B$2:$B$5001,B2017,$I$2:$I$5001,I2017),1,0))</f>
        <v/>
      </c>
      <c r="M2017" s="16" t="str">
        <f aca="false">IF(B2017="","",IF(E2017="Em ajustes",IF(N2017=_xlfn.MINIFS($N$2:$N$5001,$B$2:$B$5001,B2017,$E$2:$E$5001,"Em ajustes"),1,0),0))</f>
        <v/>
      </c>
      <c r="N2017" s="17" t="str">
        <f aca="false">IF(A2017="","",IF(ISNUMBER(A2017),A2017,IFERROR(DATE(VALUE(MID(A2017,7,4)),VALUE(MID(A2017,4,2)),VALUE(MID(A2017,1,2)))+TIME(VALUE(MID(A2017,12,2)),VALUE(MID(A2017,15,2)),VALUE(MID(A2017,18,2))),"")))</f>
        <v/>
      </c>
    </row>
    <row r="2018" customFormat="false" ht="15" hidden="false" customHeight="false" outlineLevel="0" collapsed="false">
      <c r="I2018" s="15" t="str">
        <f aca="false">IF(N2018="","",INT(N2018))</f>
        <v/>
      </c>
      <c r="J2018" s="16" t="str">
        <f aca="false">IF(B2018="","",IF(N2018=_xlfn.MINIFS($N$2:$N$5001,$B$2:$B$5001,B2018),1,0))</f>
        <v/>
      </c>
      <c r="K2018" s="16" t="str">
        <f aca="false">IF(B2018="","",IF(AND(D2018="Formalização",E2018="Concluído"),IF(COUNTIFS($B$2:$B$5001,B2018,$E$2:$E$5001,"Em ajustes",$N$2:$N$5001,"&lt;"&amp;I2018)&gt;0,1,0),0))</f>
        <v/>
      </c>
      <c r="L2018" s="16" t="str">
        <f aca="false">IF(B2018="","",IF(N2018=_xlfn.MAXIFS($N$2:$N$5001,$B$2:$B$5001,B2018,$I$2:$I$5001,I2018),1,0))</f>
        <v/>
      </c>
      <c r="M2018" s="16" t="str">
        <f aca="false">IF(B2018="","",IF(E2018="Em ajustes",IF(N2018=_xlfn.MINIFS($N$2:$N$5001,$B$2:$B$5001,B2018,$E$2:$E$5001,"Em ajustes"),1,0),0))</f>
        <v/>
      </c>
      <c r="N2018" s="17" t="str">
        <f aca="false">IF(A2018="","",IF(ISNUMBER(A2018),A2018,IFERROR(DATE(VALUE(MID(A2018,7,4)),VALUE(MID(A2018,4,2)),VALUE(MID(A2018,1,2)))+TIME(VALUE(MID(A2018,12,2)),VALUE(MID(A2018,15,2)),VALUE(MID(A2018,18,2))),"")))</f>
        <v/>
      </c>
    </row>
    <row r="2019" customFormat="false" ht="15" hidden="false" customHeight="false" outlineLevel="0" collapsed="false">
      <c r="I2019" s="15" t="str">
        <f aca="false">IF(N2019="","",INT(N2019))</f>
        <v/>
      </c>
      <c r="J2019" s="16" t="str">
        <f aca="false">IF(B2019="","",IF(N2019=_xlfn.MINIFS($N$2:$N$5001,$B$2:$B$5001,B2019),1,0))</f>
        <v/>
      </c>
      <c r="K2019" s="16" t="str">
        <f aca="false">IF(B2019="","",IF(AND(D2019="Formalização",E2019="Concluído"),IF(COUNTIFS($B$2:$B$5001,B2019,$E$2:$E$5001,"Em ajustes",$N$2:$N$5001,"&lt;"&amp;I2019)&gt;0,1,0),0))</f>
        <v/>
      </c>
      <c r="L2019" s="16" t="str">
        <f aca="false">IF(B2019="","",IF(N2019=_xlfn.MAXIFS($N$2:$N$5001,$B$2:$B$5001,B2019,$I$2:$I$5001,I2019),1,0))</f>
        <v/>
      </c>
      <c r="M2019" s="16" t="str">
        <f aca="false">IF(B2019="","",IF(E2019="Em ajustes",IF(N2019=_xlfn.MINIFS($N$2:$N$5001,$B$2:$B$5001,B2019,$E$2:$E$5001,"Em ajustes"),1,0),0))</f>
        <v/>
      </c>
      <c r="N2019" s="17" t="str">
        <f aca="false">IF(A2019="","",IF(ISNUMBER(A2019),A2019,IFERROR(DATE(VALUE(MID(A2019,7,4)),VALUE(MID(A2019,4,2)),VALUE(MID(A2019,1,2)))+TIME(VALUE(MID(A2019,12,2)),VALUE(MID(A2019,15,2)),VALUE(MID(A2019,18,2))),"")))</f>
        <v/>
      </c>
    </row>
    <row r="2020" customFormat="false" ht="15" hidden="false" customHeight="false" outlineLevel="0" collapsed="false">
      <c r="I2020" s="15" t="str">
        <f aca="false">IF(N2020="","",INT(N2020))</f>
        <v/>
      </c>
      <c r="J2020" s="16" t="str">
        <f aca="false">IF(B2020="","",IF(N2020=_xlfn.MINIFS($N$2:$N$5001,$B$2:$B$5001,B2020),1,0))</f>
        <v/>
      </c>
      <c r="K2020" s="16" t="str">
        <f aca="false">IF(B2020="","",IF(AND(D2020="Formalização",E2020="Concluído"),IF(COUNTIFS($B$2:$B$5001,B2020,$E$2:$E$5001,"Em ajustes",$N$2:$N$5001,"&lt;"&amp;I2020)&gt;0,1,0),0))</f>
        <v/>
      </c>
      <c r="L2020" s="16" t="str">
        <f aca="false">IF(B2020="","",IF(N2020=_xlfn.MAXIFS($N$2:$N$5001,$B$2:$B$5001,B2020,$I$2:$I$5001,I2020),1,0))</f>
        <v/>
      </c>
      <c r="M2020" s="16" t="str">
        <f aca="false">IF(B2020="","",IF(E2020="Em ajustes",IF(N2020=_xlfn.MINIFS($N$2:$N$5001,$B$2:$B$5001,B2020,$E$2:$E$5001,"Em ajustes"),1,0),0))</f>
        <v/>
      </c>
      <c r="N2020" s="17" t="str">
        <f aca="false">IF(A2020="","",IF(ISNUMBER(A2020),A2020,IFERROR(DATE(VALUE(MID(A2020,7,4)),VALUE(MID(A2020,4,2)),VALUE(MID(A2020,1,2)))+TIME(VALUE(MID(A2020,12,2)),VALUE(MID(A2020,15,2)),VALUE(MID(A2020,18,2))),"")))</f>
        <v/>
      </c>
    </row>
    <row r="2021" customFormat="false" ht="15" hidden="false" customHeight="false" outlineLevel="0" collapsed="false">
      <c r="I2021" s="15" t="str">
        <f aca="false">IF(N2021="","",INT(N2021))</f>
        <v/>
      </c>
      <c r="J2021" s="16" t="str">
        <f aca="false">IF(B2021="","",IF(N2021=_xlfn.MINIFS($N$2:$N$5001,$B$2:$B$5001,B2021),1,0))</f>
        <v/>
      </c>
      <c r="K2021" s="16" t="str">
        <f aca="false">IF(B2021="","",IF(AND(D2021="Formalização",E2021="Concluído"),IF(COUNTIFS($B$2:$B$5001,B2021,$E$2:$E$5001,"Em ajustes",$N$2:$N$5001,"&lt;"&amp;I2021)&gt;0,1,0),0))</f>
        <v/>
      </c>
      <c r="L2021" s="16" t="str">
        <f aca="false">IF(B2021="","",IF(N2021=_xlfn.MAXIFS($N$2:$N$5001,$B$2:$B$5001,B2021,$I$2:$I$5001,I2021),1,0))</f>
        <v/>
      </c>
      <c r="M2021" s="16" t="str">
        <f aca="false">IF(B2021="","",IF(E2021="Em ajustes",IF(N2021=_xlfn.MINIFS($N$2:$N$5001,$B$2:$B$5001,B2021,$E$2:$E$5001,"Em ajustes"),1,0),0))</f>
        <v/>
      </c>
      <c r="N2021" s="17" t="str">
        <f aca="false">IF(A2021="","",IF(ISNUMBER(A2021),A2021,IFERROR(DATE(VALUE(MID(A2021,7,4)),VALUE(MID(A2021,4,2)),VALUE(MID(A2021,1,2)))+TIME(VALUE(MID(A2021,12,2)),VALUE(MID(A2021,15,2)),VALUE(MID(A2021,18,2))),"")))</f>
        <v/>
      </c>
    </row>
    <row r="2022" customFormat="false" ht="15" hidden="false" customHeight="false" outlineLevel="0" collapsed="false">
      <c r="I2022" s="15" t="str">
        <f aca="false">IF(N2022="","",INT(N2022))</f>
        <v/>
      </c>
      <c r="J2022" s="16" t="str">
        <f aca="false">IF(B2022="","",IF(N2022=_xlfn.MINIFS($N$2:$N$5001,$B$2:$B$5001,B2022),1,0))</f>
        <v/>
      </c>
      <c r="K2022" s="16" t="str">
        <f aca="false">IF(B2022="","",IF(AND(D2022="Formalização",E2022="Concluído"),IF(COUNTIFS($B$2:$B$5001,B2022,$E$2:$E$5001,"Em ajustes",$N$2:$N$5001,"&lt;"&amp;I2022)&gt;0,1,0),0))</f>
        <v/>
      </c>
      <c r="L2022" s="16" t="str">
        <f aca="false">IF(B2022="","",IF(N2022=_xlfn.MAXIFS($N$2:$N$5001,$B$2:$B$5001,B2022,$I$2:$I$5001,I2022),1,0))</f>
        <v/>
      </c>
      <c r="M2022" s="16" t="str">
        <f aca="false">IF(B2022="","",IF(E2022="Em ajustes",IF(N2022=_xlfn.MINIFS($N$2:$N$5001,$B$2:$B$5001,B2022,$E$2:$E$5001,"Em ajustes"),1,0),0))</f>
        <v/>
      </c>
      <c r="N2022" s="17" t="str">
        <f aca="false">IF(A2022="","",IF(ISNUMBER(A2022),A2022,IFERROR(DATE(VALUE(MID(A2022,7,4)),VALUE(MID(A2022,4,2)),VALUE(MID(A2022,1,2)))+TIME(VALUE(MID(A2022,12,2)),VALUE(MID(A2022,15,2)),VALUE(MID(A2022,18,2))),"")))</f>
        <v/>
      </c>
    </row>
    <row r="2023" customFormat="false" ht="15" hidden="false" customHeight="false" outlineLevel="0" collapsed="false">
      <c r="I2023" s="15" t="str">
        <f aca="false">IF(N2023="","",INT(N2023))</f>
        <v/>
      </c>
      <c r="J2023" s="16" t="str">
        <f aca="false">IF(B2023="","",IF(N2023=_xlfn.MINIFS($N$2:$N$5001,$B$2:$B$5001,B2023),1,0))</f>
        <v/>
      </c>
      <c r="K2023" s="16" t="str">
        <f aca="false">IF(B2023="","",IF(AND(D2023="Formalização",E2023="Concluído"),IF(COUNTIFS($B$2:$B$5001,B2023,$E$2:$E$5001,"Em ajustes",$N$2:$N$5001,"&lt;"&amp;I2023)&gt;0,1,0),0))</f>
        <v/>
      </c>
      <c r="L2023" s="16" t="str">
        <f aca="false">IF(B2023="","",IF(N2023=_xlfn.MAXIFS($N$2:$N$5001,$B$2:$B$5001,B2023,$I$2:$I$5001,I2023),1,0))</f>
        <v/>
      </c>
      <c r="M2023" s="16" t="str">
        <f aca="false">IF(B2023="","",IF(E2023="Em ajustes",IF(N2023=_xlfn.MINIFS($N$2:$N$5001,$B$2:$B$5001,B2023,$E$2:$E$5001,"Em ajustes"),1,0),0))</f>
        <v/>
      </c>
      <c r="N2023" s="17" t="str">
        <f aca="false">IF(A2023="","",IF(ISNUMBER(A2023),A2023,IFERROR(DATE(VALUE(MID(A2023,7,4)),VALUE(MID(A2023,4,2)),VALUE(MID(A2023,1,2)))+TIME(VALUE(MID(A2023,12,2)),VALUE(MID(A2023,15,2)),VALUE(MID(A2023,18,2))),"")))</f>
        <v/>
      </c>
    </row>
    <row r="2024" customFormat="false" ht="15" hidden="false" customHeight="false" outlineLevel="0" collapsed="false">
      <c r="I2024" s="15" t="str">
        <f aca="false">IF(N2024="","",INT(N2024))</f>
        <v/>
      </c>
      <c r="J2024" s="16" t="str">
        <f aca="false">IF(B2024="","",IF(N2024=_xlfn.MINIFS($N$2:$N$5001,$B$2:$B$5001,B2024),1,0))</f>
        <v/>
      </c>
      <c r="K2024" s="16" t="str">
        <f aca="false">IF(B2024="","",IF(AND(D2024="Formalização",E2024="Concluído"),IF(COUNTIFS($B$2:$B$5001,B2024,$E$2:$E$5001,"Em ajustes",$N$2:$N$5001,"&lt;"&amp;I2024)&gt;0,1,0),0))</f>
        <v/>
      </c>
      <c r="L2024" s="16" t="str">
        <f aca="false">IF(B2024="","",IF(N2024=_xlfn.MAXIFS($N$2:$N$5001,$B$2:$B$5001,B2024,$I$2:$I$5001,I2024),1,0))</f>
        <v/>
      </c>
      <c r="M2024" s="16" t="str">
        <f aca="false">IF(B2024="","",IF(E2024="Em ajustes",IF(N2024=_xlfn.MINIFS($N$2:$N$5001,$B$2:$B$5001,B2024,$E$2:$E$5001,"Em ajustes"),1,0),0))</f>
        <v/>
      </c>
      <c r="N2024" s="17" t="str">
        <f aca="false">IF(A2024="","",IF(ISNUMBER(A2024),A2024,IFERROR(DATE(VALUE(MID(A2024,7,4)),VALUE(MID(A2024,4,2)),VALUE(MID(A2024,1,2)))+TIME(VALUE(MID(A2024,12,2)),VALUE(MID(A2024,15,2)),VALUE(MID(A2024,18,2))),"")))</f>
        <v/>
      </c>
    </row>
    <row r="2025" customFormat="false" ht="15" hidden="false" customHeight="false" outlineLevel="0" collapsed="false">
      <c r="I2025" s="15" t="str">
        <f aca="false">IF(N2025="","",INT(N2025))</f>
        <v/>
      </c>
      <c r="J2025" s="16" t="str">
        <f aca="false">IF(B2025="","",IF(N2025=_xlfn.MINIFS($N$2:$N$5001,$B$2:$B$5001,B2025),1,0))</f>
        <v/>
      </c>
      <c r="K2025" s="16" t="str">
        <f aca="false">IF(B2025="","",IF(AND(D2025="Formalização",E2025="Concluído"),IF(COUNTIFS($B$2:$B$5001,B2025,$E$2:$E$5001,"Em ajustes",$N$2:$N$5001,"&lt;"&amp;I2025)&gt;0,1,0),0))</f>
        <v/>
      </c>
      <c r="L2025" s="16" t="str">
        <f aca="false">IF(B2025="","",IF(N2025=_xlfn.MAXIFS($N$2:$N$5001,$B$2:$B$5001,B2025,$I$2:$I$5001,I2025),1,0))</f>
        <v/>
      </c>
      <c r="M2025" s="16" t="str">
        <f aca="false">IF(B2025="","",IF(E2025="Em ajustes",IF(N2025=_xlfn.MINIFS($N$2:$N$5001,$B$2:$B$5001,B2025,$E$2:$E$5001,"Em ajustes"),1,0),0))</f>
        <v/>
      </c>
      <c r="N2025" s="17" t="str">
        <f aca="false">IF(A2025="","",IF(ISNUMBER(A2025),A2025,IFERROR(DATE(VALUE(MID(A2025,7,4)),VALUE(MID(A2025,4,2)),VALUE(MID(A2025,1,2)))+TIME(VALUE(MID(A2025,12,2)),VALUE(MID(A2025,15,2)),VALUE(MID(A2025,18,2))),"")))</f>
        <v/>
      </c>
    </row>
    <row r="2026" customFormat="false" ht="15" hidden="false" customHeight="false" outlineLevel="0" collapsed="false">
      <c r="I2026" s="15" t="str">
        <f aca="false">IF(N2026="","",INT(N2026))</f>
        <v/>
      </c>
      <c r="J2026" s="16" t="str">
        <f aca="false">IF(B2026="","",IF(N2026=_xlfn.MINIFS($N$2:$N$5001,$B$2:$B$5001,B2026),1,0))</f>
        <v/>
      </c>
      <c r="K2026" s="16" t="str">
        <f aca="false">IF(B2026="","",IF(AND(D2026="Formalização",E2026="Concluído"),IF(COUNTIFS($B$2:$B$5001,B2026,$E$2:$E$5001,"Em ajustes",$N$2:$N$5001,"&lt;"&amp;I2026)&gt;0,1,0),0))</f>
        <v/>
      </c>
      <c r="L2026" s="16" t="str">
        <f aca="false">IF(B2026="","",IF(N2026=_xlfn.MAXIFS($N$2:$N$5001,$B$2:$B$5001,B2026,$I$2:$I$5001,I2026),1,0))</f>
        <v/>
      </c>
      <c r="M2026" s="16" t="str">
        <f aca="false">IF(B2026="","",IF(E2026="Em ajustes",IF(N2026=_xlfn.MINIFS($N$2:$N$5001,$B$2:$B$5001,B2026,$E$2:$E$5001,"Em ajustes"),1,0),0))</f>
        <v/>
      </c>
      <c r="N2026" s="17" t="str">
        <f aca="false">IF(A2026="","",IF(ISNUMBER(A2026),A2026,IFERROR(DATE(VALUE(MID(A2026,7,4)),VALUE(MID(A2026,4,2)),VALUE(MID(A2026,1,2)))+TIME(VALUE(MID(A2026,12,2)),VALUE(MID(A2026,15,2)),VALUE(MID(A2026,18,2))),"")))</f>
        <v/>
      </c>
    </row>
    <row r="2027" customFormat="false" ht="15" hidden="false" customHeight="false" outlineLevel="0" collapsed="false">
      <c r="I2027" s="15" t="str">
        <f aca="false">IF(N2027="","",INT(N2027))</f>
        <v/>
      </c>
      <c r="J2027" s="16" t="str">
        <f aca="false">IF(B2027="","",IF(N2027=_xlfn.MINIFS($N$2:$N$5001,$B$2:$B$5001,B2027),1,0))</f>
        <v/>
      </c>
      <c r="K2027" s="16" t="str">
        <f aca="false">IF(B2027="","",IF(AND(D2027="Formalização",E2027="Concluído"),IF(COUNTIFS($B$2:$B$5001,B2027,$E$2:$E$5001,"Em ajustes",$N$2:$N$5001,"&lt;"&amp;I2027)&gt;0,1,0),0))</f>
        <v/>
      </c>
      <c r="L2027" s="16" t="str">
        <f aca="false">IF(B2027="","",IF(N2027=_xlfn.MAXIFS($N$2:$N$5001,$B$2:$B$5001,B2027,$I$2:$I$5001,I2027),1,0))</f>
        <v/>
      </c>
      <c r="M2027" s="16" t="str">
        <f aca="false">IF(B2027="","",IF(E2027="Em ajustes",IF(N2027=_xlfn.MINIFS($N$2:$N$5001,$B$2:$B$5001,B2027,$E$2:$E$5001,"Em ajustes"),1,0),0))</f>
        <v/>
      </c>
      <c r="N2027" s="17" t="str">
        <f aca="false">IF(A2027="","",IF(ISNUMBER(A2027),A2027,IFERROR(DATE(VALUE(MID(A2027,7,4)),VALUE(MID(A2027,4,2)),VALUE(MID(A2027,1,2)))+TIME(VALUE(MID(A2027,12,2)),VALUE(MID(A2027,15,2)),VALUE(MID(A2027,18,2))),"")))</f>
        <v/>
      </c>
    </row>
    <row r="2028" customFormat="false" ht="15" hidden="false" customHeight="false" outlineLevel="0" collapsed="false">
      <c r="I2028" s="15" t="str">
        <f aca="false">IF(N2028="","",INT(N2028))</f>
        <v/>
      </c>
      <c r="J2028" s="16" t="str">
        <f aca="false">IF(B2028="","",IF(N2028=_xlfn.MINIFS($N$2:$N$5001,$B$2:$B$5001,B2028),1,0))</f>
        <v/>
      </c>
      <c r="K2028" s="16" t="str">
        <f aca="false">IF(B2028="","",IF(AND(D2028="Formalização",E2028="Concluído"),IF(COUNTIFS($B$2:$B$5001,B2028,$E$2:$E$5001,"Em ajustes",$N$2:$N$5001,"&lt;"&amp;I2028)&gt;0,1,0),0))</f>
        <v/>
      </c>
      <c r="L2028" s="16" t="str">
        <f aca="false">IF(B2028="","",IF(N2028=_xlfn.MAXIFS($N$2:$N$5001,$B$2:$B$5001,B2028,$I$2:$I$5001,I2028),1,0))</f>
        <v/>
      </c>
      <c r="M2028" s="16" t="str">
        <f aca="false">IF(B2028="","",IF(E2028="Em ajustes",IF(N2028=_xlfn.MINIFS($N$2:$N$5001,$B$2:$B$5001,B2028,$E$2:$E$5001,"Em ajustes"),1,0),0))</f>
        <v/>
      </c>
      <c r="N2028" s="17" t="str">
        <f aca="false">IF(A2028="","",IF(ISNUMBER(A2028),A2028,IFERROR(DATE(VALUE(MID(A2028,7,4)),VALUE(MID(A2028,4,2)),VALUE(MID(A2028,1,2)))+TIME(VALUE(MID(A2028,12,2)),VALUE(MID(A2028,15,2)),VALUE(MID(A2028,18,2))),"")))</f>
        <v/>
      </c>
    </row>
    <row r="2029" customFormat="false" ht="15" hidden="false" customHeight="false" outlineLevel="0" collapsed="false">
      <c r="I2029" s="15" t="str">
        <f aca="false">IF(N2029="","",INT(N2029))</f>
        <v/>
      </c>
      <c r="J2029" s="16" t="str">
        <f aca="false">IF(B2029="","",IF(N2029=_xlfn.MINIFS($N$2:$N$5001,$B$2:$B$5001,B2029),1,0))</f>
        <v/>
      </c>
      <c r="K2029" s="16" t="str">
        <f aca="false">IF(B2029="","",IF(AND(D2029="Formalização",E2029="Concluído"),IF(COUNTIFS($B$2:$B$5001,B2029,$E$2:$E$5001,"Em ajustes",$N$2:$N$5001,"&lt;"&amp;I2029)&gt;0,1,0),0))</f>
        <v/>
      </c>
      <c r="L2029" s="16" t="str">
        <f aca="false">IF(B2029="","",IF(N2029=_xlfn.MAXIFS($N$2:$N$5001,$B$2:$B$5001,B2029,$I$2:$I$5001,I2029),1,0))</f>
        <v/>
      </c>
      <c r="M2029" s="16" t="str">
        <f aca="false">IF(B2029="","",IF(E2029="Em ajustes",IF(N2029=_xlfn.MINIFS($N$2:$N$5001,$B$2:$B$5001,B2029,$E$2:$E$5001,"Em ajustes"),1,0),0))</f>
        <v/>
      </c>
      <c r="N2029" s="17" t="str">
        <f aca="false">IF(A2029="","",IF(ISNUMBER(A2029),A2029,IFERROR(DATE(VALUE(MID(A2029,7,4)),VALUE(MID(A2029,4,2)),VALUE(MID(A2029,1,2)))+TIME(VALUE(MID(A2029,12,2)),VALUE(MID(A2029,15,2)),VALUE(MID(A2029,18,2))),"")))</f>
        <v/>
      </c>
    </row>
    <row r="2030" customFormat="false" ht="15" hidden="false" customHeight="false" outlineLevel="0" collapsed="false">
      <c r="I2030" s="15" t="str">
        <f aca="false">IF(N2030="","",INT(N2030))</f>
        <v/>
      </c>
      <c r="J2030" s="16" t="str">
        <f aca="false">IF(B2030="","",IF(N2030=_xlfn.MINIFS($N$2:$N$5001,$B$2:$B$5001,B2030),1,0))</f>
        <v/>
      </c>
      <c r="K2030" s="16" t="str">
        <f aca="false">IF(B2030="","",IF(AND(D2030="Formalização",E2030="Concluído"),IF(COUNTIFS($B$2:$B$5001,B2030,$E$2:$E$5001,"Em ajustes",$N$2:$N$5001,"&lt;"&amp;I2030)&gt;0,1,0),0))</f>
        <v/>
      </c>
      <c r="L2030" s="16" t="str">
        <f aca="false">IF(B2030="","",IF(N2030=_xlfn.MAXIFS($N$2:$N$5001,$B$2:$B$5001,B2030,$I$2:$I$5001,I2030),1,0))</f>
        <v/>
      </c>
      <c r="M2030" s="16" t="str">
        <f aca="false">IF(B2030="","",IF(E2030="Em ajustes",IF(N2030=_xlfn.MINIFS($N$2:$N$5001,$B$2:$B$5001,B2030,$E$2:$E$5001,"Em ajustes"),1,0),0))</f>
        <v/>
      </c>
      <c r="N2030" s="17" t="str">
        <f aca="false">IF(A2030="","",IF(ISNUMBER(A2030),A2030,IFERROR(DATE(VALUE(MID(A2030,7,4)),VALUE(MID(A2030,4,2)),VALUE(MID(A2030,1,2)))+TIME(VALUE(MID(A2030,12,2)),VALUE(MID(A2030,15,2)),VALUE(MID(A2030,18,2))),"")))</f>
        <v/>
      </c>
    </row>
    <row r="2031" customFormat="false" ht="15" hidden="false" customHeight="false" outlineLevel="0" collapsed="false">
      <c r="I2031" s="15" t="str">
        <f aca="false">IF(N2031="","",INT(N2031))</f>
        <v/>
      </c>
      <c r="J2031" s="16" t="str">
        <f aca="false">IF(B2031="","",IF(N2031=_xlfn.MINIFS($N$2:$N$5001,$B$2:$B$5001,B2031),1,0))</f>
        <v/>
      </c>
      <c r="K2031" s="16" t="str">
        <f aca="false">IF(B2031="","",IF(AND(D2031="Formalização",E2031="Concluído"),IF(COUNTIFS($B$2:$B$5001,B2031,$E$2:$E$5001,"Em ajustes",$N$2:$N$5001,"&lt;"&amp;I2031)&gt;0,1,0),0))</f>
        <v/>
      </c>
      <c r="L2031" s="16" t="str">
        <f aca="false">IF(B2031="","",IF(N2031=_xlfn.MAXIFS($N$2:$N$5001,$B$2:$B$5001,B2031,$I$2:$I$5001,I2031),1,0))</f>
        <v/>
      </c>
      <c r="M2031" s="16" t="str">
        <f aca="false">IF(B2031="","",IF(E2031="Em ajustes",IF(N2031=_xlfn.MINIFS($N$2:$N$5001,$B$2:$B$5001,B2031,$E$2:$E$5001,"Em ajustes"),1,0),0))</f>
        <v/>
      </c>
      <c r="N2031" s="17" t="str">
        <f aca="false">IF(A2031="","",IF(ISNUMBER(A2031),A2031,IFERROR(DATE(VALUE(MID(A2031,7,4)),VALUE(MID(A2031,4,2)),VALUE(MID(A2031,1,2)))+TIME(VALUE(MID(A2031,12,2)),VALUE(MID(A2031,15,2)),VALUE(MID(A2031,18,2))),"")))</f>
        <v/>
      </c>
    </row>
    <row r="2032" customFormat="false" ht="15" hidden="false" customHeight="false" outlineLevel="0" collapsed="false">
      <c r="I2032" s="15" t="str">
        <f aca="false">IF(N2032="","",INT(N2032))</f>
        <v/>
      </c>
      <c r="J2032" s="16" t="str">
        <f aca="false">IF(B2032="","",IF(N2032=_xlfn.MINIFS($N$2:$N$5001,$B$2:$B$5001,B2032),1,0))</f>
        <v/>
      </c>
      <c r="K2032" s="16" t="str">
        <f aca="false">IF(B2032="","",IF(AND(D2032="Formalização",E2032="Concluído"),IF(COUNTIFS($B$2:$B$5001,B2032,$E$2:$E$5001,"Em ajustes",$N$2:$N$5001,"&lt;"&amp;I2032)&gt;0,1,0),0))</f>
        <v/>
      </c>
      <c r="L2032" s="16" t="str">
        <f aca="false">IF(B2032="","",IF(N2032=_xlfn.MAXIFS($N$2:$N$5001,$B$2:$B$5001,B2032,$I$2:$I$5001,I2032),1,0))</f>
        <v/>
      </c>
      <c r="M2032" s="16" t="str">
        <f aca="false">IF(B2032="","",IF(E2032="Em ajustes",IF(N2032=_xlfn.MINIFS($N$2:$N$5001,$B$2:$B$5001,B2032,$E$2:$E$5001,"Em ajustes"),1,0),0))</f>
        <v/>
      </c>
      <c r="N2032" s="17" t="str">
        <f aca="false">IF(A2032="","",IF(ISNUMBER(A2032),A2032,IFERROR(DATE(VALUE(MID(A2032,7,4)),VALUE(MID(A2032,4,2)),VALUE(MID(A2032,1,2)))+TIME(VALUE(MID(A2032,12,2)),VALUE(MID(A2032,15,2)),VALUE(MID(A2032,18,2))),"")))</f>
        <v/>
      </c>
    </row>
    <row r="2033" customFormat="false" ht="15" hidden="false" customHeight="false" outlineLevel="0" collapsed="false">
      <c r="I2033" s="15" t="str">
        <f aca="false">IF(N2033="","",INT(N2033))</f>
        <v/>
      </c>
      <c r="J2033" s="16" t="str">
        <f aca="false">IF(B2033="","",IF(N2033=_xlfn.MINIFS($N$2:$N$5001,$B$2:$B$5001,B2033),1,0))</f>
        <v/>
      </c>
      <c r="K2033" s="16" t="str">
        <f aca="false">IF(B2033="","",IF(AND(D2033="Formalização",E2033="Concluído"),IF(COUNTIFS($B$2:$B$5001,B2033,$E$2:$E$5001,"Em ajustes",$N$2:$N$5001,"&lt;"&amp;I2033)&gt;0,1,0),0))</f>
        <v/>
      </c>
      <c r="L2033" s="16" t="str">
        <f aca="false">IF(B2033="","",IF(N2033=_xlfn.MAXIFS($N$2:$N$5001,$B$2:$B$5001,B2033,$I$2:$I$5001,I2033),1,0))</f>
        <v/>
      </c>
      <c r="M2033" s="16" t="str">
        <f aca="false">IF(B2033="","",IF(E2033="Em ajustes",IF(N2033=_xlfn.MINIFS($N$2:$N$5001,$B$2:$B$5001,B2033,$E$2:$E$5001,"Em ajustes"),1,0),0))</f>
        <v/>
      </c>
      <c r="N2033" s="17" t="str">
        <f aca="false">IF(A2033="","",IF(ISNUMBER(A2033),A2033,IFERROR(DATE(VALUE(MID(A2033,7,4)),VALUE(MID(A2033,4,2)),VALUE(MID(A2033,1,2)))+TIME(VALUE(MID(A2033,12,2)),VALUE(MID(A2033,15,2)),VALUE(MID(A2033,18,2))),"")))</f>
        <v/>
      </c>
    </row>
    <row r="2034" customFormat="false" ht="15" hidden="false" customHeight="false" outlineLevel="0" collapsed="false">
      <c r="I2034" s="15" t="str">
        <f aca="false">IF(N2034="","",INT(N2034))</f>
        <v/>
      </c>
      <c r="J2034" s="16" t="str">
        <f aca="false">IF(B2034="","",IF(N2034=_xlfn.MINIFS($N$2:$N$5001,$B$2:$B$5001,B2034),1,0))</f>
        <v/>
      </c>
      <c r="K2034" s="16" t="str">
        <f aca="false">IF(B2034="","",IF(AND(D2034="Formalização",E2034="Concluído"),IF(COUNTIFS($B$2:$B$5001,B2034,$E$2:$E$5001,"Em ajustes",$N$2:$N$5001,"&lt;"&amp;I2034)&gt;0,1,0),0))</f>
        <v/>
      </c>
      <c r="L2034" s="16" t="str">
        <f aca="false">IF(B2034="","",IF(N2034=_xlfn.MAXIFS($N$2:$N$5001,$B$2:$B$5001,B2034,$I$2:$I$5001,I2034),1,0))</f>
        <v/>
      </c>
      <c r="M2034" s="16" t="str">
        <f aca="false">IF(B2034="","",IF(E2034="Em ajustes",IF(N2034=_xlfn.MINIFS($N$2:$N$5001,$B$2:$B$5001,B2034,$E$2:$E$5001,"Em ajustes"),1,0),0))</f>
        <v/>
      </c>
      <c r="N2034" s="17" t="str">
        <f aca="false">IF(A2034="","",IF(ISNUMBER(A2034),A2034,IFERROR(DATE(VALUE(MID(A2034,7,4)),VALUE(MID(A2034,4,2)),VALUE(MID(A2034,1,2)))+TIME(VALUE(MID(A2034,12,2)),VALUE(MID(A2034,15,2)),VALUE(MID(A2034,18,2))),"")))</f>
        <v/>
      </c>
    </row>
    <row r="2035" customFormat="false" ht="15" hidden="false" customHeight="false" outlineLevel="0" collapsed="false">
      <c r="I2035" s="15" t="str">
        <f aca="false">IF(N2035="","",INT(N2035))</f>
        <v/>
      </c>
      <c r="J2035" s="16" t="str">
        <f aca="false">IF(B2035="","",IF(N2035=_xlfn.MINIFS($N$2:$N$5001,$B$2:$B$5001,B2035),1,0))</f>
        <v/>
      </c>
      <c r="K2035" s="16" t="str">
        <f aca="false">IF(B2035="","",IF(AND(D2035="Formalização",E2035="Concluído"),IF(COUNTIFS($B$2:$B$5001,B2035,$E$2:$E$5001,"Em ajustes",$N$2:$N$5001,"&lt;"&amp;I2035)&gt;0,1,0),0))</f>
        <v/>
      </c>
      <c r="L2035" s="16" t="str">
        <f aca="false">IF(B2035="","",IF(N2035=_xlfn.MAXIFS($N$2:$N$5001,$B$2:$B$5001,B2035,$I$2:$I$5001,I2035),1,0))</f>
        <v/>
      </c>
      <c r="M2035" s="16" t="str">
        <f aca="false">IF(B2035="","",IF(E2035="Em ajustes",IF(N2035=_xlfn.MINIFS($N$2:$N$5001,$B$2:$B$5001,B2035,$E$2:$E$5001,"Em ajustes"),1,0),0))</f>
        <v/>
      </c>
      <c r="N2035" s="17" t="str">
        <f aca="false">IF(A2035="","",IF(ISNUMBER(A2035),A2035,IFERROR(DATE(VALUE(MID(A2035,7,4)),VALUE(MID(A2035,4,2)),VALUE(MID(A2035,1,2)))+TIME(VALUE(MID(A2035,12,2)),VALUE(MID(A2035,15,2)),VALUE(MID(A2035,18,2))),"")))</f>
        <v/>
      </c>
    </row>
    <row r="2036" customFormat="false" ht="15" hidden="false" customHeight="false" outlineLevel="0" collapsed="false">
      <c r="I2036" s="15" t="str">
        <f aca="false">IF(N2036="","",INT(N2036))</f>
        <v/>
      </c>
      <c r="J2036" s="16" t="str">
        <f aca="false">IF(B2036="","",IF(N2036=_xlfn.MINIFS($N$2:$N$5001,$B$2:$B$5001,B2036),1,0))</f>
        <v/>
      </c>
      <c r="K2036" s="16" t="str">
        <f aca="false">IF(B2036="","",IF(AND(D2036="Formalização",E2036="Concluído"),IF(COUNTIFS($B$2:$B$5001,B2036,$E$2:$E$5001,"Em ajustes",$N$2:$N$5001,"&lt;"&amp;I2036)&gt;0,1,0),0))</f>
        <v/>
      </c>
      <c r="L2036" s="16" t="str">
        <f aca="false">IF(B2036="","",IF(N2036=_xlfn.MAXIFS($N$2:$N$5001,$B$2:$B$5001,B2036,$I$2:$I$5001,I2036),1,0))</f>
        <v/>
      </c>
      <c r="M2036" s="16" t="str">
        <f aca="false">IF(B2036="","",IF(E2036="Em ajustes",IF(N2036=_xlfn.MINIFS($N$2:$N$5001,$B$2:$B$5001,B2036,$E$2:$E$5001,"Em ajustes"),1,0),0))</f>
        <v/>
      </c>
      <c r="N2036" s="17" t="str">
        <f aca="false">IF(A2036="","",IF(ISNUMBER(A2036),A2036,IFERROR(DATE(VALUE(MID(A2036,7,4)),VALUE(MID(A2036,4,2)),VALUE(MID(A2036,1,2)))+TIME(VALUE(MID(A2036,12,2)),VALUE(MID(A2036,15,2)),VALUE(MID(A2036,18,2))),"")))</f>
        <v/>
      </c>
    </row>
    <row r="2037" customFormat="false" ht="15" hidden="false" customHeight="false" outlineLevel="0" collapsed="false">
      <c r="I2037" s="15" t="str">
        <f aca="false">IF(N2037="","",INT(N2037))</f>
        <v/>
      </c>
      <c r="J2037" s="16" t="str">
        <f aca="false">IF(B2037="","",IF(N2037=_xlfn.MINIFS($N$2:$N$5001,$B$2:$B$5001,B2037),1,0))</f>
        <v/>
      </c>
      <c r="K2037" s="16" t="str">
        <f aca="false">IF(B2037="","",IF(AND(D2037="Formalização",E2037="Concluído"),IF(COUNTIFS($B$2:$B$5001,B2037,$E$2:$E$5001,"Em ajustes",$N$2:$N$5001,"&lt;"&amp;I2037)&gt;0,1,0),0))</f>
        <v/>
      </c>
      <c r="L2037" s="16" t="str">
        <f aca="false">IF(B2037="","",IF(N2037=_xlfn.MAXIFS($N$2:$N$5001,$B$2:$B$5001,B2037,$I$2:$I$5001,I2037),1,0))</f>
        <v/>
      </c>
      <c r="M2037" s="16" t="str">
        <f aca="false">IF(B2037="","",IF(E2037="Em ajustes",IF(N2037=_xlfn.MINIFS($N$2:$N$5001,$B$2:$B$5001,B2037,$E$2:$E$5001,"Em ajustes"),1,0),0))</f>
        <v/>
      </c>
      <c r="N2037" s="17" t="str">
        <f aca="false">IF(A2037="","",IF(ISNUMBER(A2037),A2037,IFERROR(DATE(VALUE(MID(A2037,7,4)),VALUE(MID(A2037,4,2)),VALUE(MID(A2037,1,2)))+TIME(VALUE(MID(A2037,12,2)),VALUE(MID(A2037,15,2)),VALUE(MID(A2037,18,2))),"")))</f>
        <v/>
      </c>
    </row>
    <row r="2038" customFormat="false" ht="15" hidden="false" customHeight="false" outlineLevel="0" collapsed="false">
      <c r="I2038" s="15" t="str">
        <f aca="false">IF(N2038="","",INT(N2038))</f>
        <v/>
      </c>
      <c r="J2038" s="16" t="str">
        <f aca="false">IF(B2038="","",IF(N2038=_xlfn.MINIFS($N$2:$N$5001,$B$2:$B$5001,B2038),1,0))</f>
        <v/>
      </c>
      <c r="K2038" s="16" t="str">
        <f aca="false">IF(B2038="","",IF(AND(D2038="Formalização",E2038="Concluído"),IF(COUNTIFS($B$2:$B$5001,B2038,$E$2:$E$5001,"Em ajustes",$N$2:$N$5001,"&lt;"&amp;I2038)&gt;0,1,0),0))</f>
        <v/>
      </c>
      <c r="L2038" s="16" t="str">
        <f aca="false">IF(B2038="","",IF(N2038=_xlfn.MAXIFS($N$2:$N$5001,$B$2:$B$5001,B2038,$I$2:$I$5001,I2038),1,0))</f>
        <v/>
      </c>
      <c r="M2038" s="16" t="str">
        <f aca="false">IF(B2038="","",IF(E2038="Em ajustes",IF(N2038=_xlfn.MINIFS($N$2:$N$5001,$B$2:$B$5001,B2038,$E$2:$E$5001,"Em ajustes"),1,0),0))</f>
        <v/>
      </c>
      <c r="N2038" s="17" t="str">
        <f aca="false">IF(A2038="","",IF(ISNUMBER(A2038),A2038,IFERROR(DATE(VALUE(MID(A2038,7,4)),VALUE(MID(A2038,4,2)),VALUE(MID(A2038,1,2)))+TIME(VALUE(MID(A2038,12,2)),VALUE(MID(A2038,15,2)),VALUE(MID(A2038,18,2))),"")))</f>
        <v/>
      </c>
    </row>
    <row r="2039" customFormat="false" ht="15" hidden="false" customHeight="false" outlineLevel="0" collapsed="false">
      <c r="I2039" s="15" t="str">
        <f aca="false">IF(N2039="","",INT(N2039))</f>
        <v/>
      </c>
      <c r="J2039" s="16" t="str">
        <f aca="false">IF(B2039="","",IF(N2039=_xlfn.MINIFS($N$2:$N$5001,$B$2:$B$5001,B2039),1,0))</f>
        <v/>
      </c>
      <c r="K2039" s="16" t="str">
        <f aca="false">IF(B2039="","",IF(AND(D2039="Formalização",E2039="Concluído"),IF(COUNTIFS($B$2:$B$5001,B2039,$E$2:$E$5001,"Em ajustes",$N$2:$N$5001,"&lt;"&amp;I2039)&gt;0,1,0),0))</f>
        <v/>
      </c>
      <c r="L2039" s="16" t="str">
        <f aca="false">IF(B2039="","",IF(N2039=_xlfn.MAXIFS($N$2:$N$5001,$B$2:$B$5001,B2039,$I$2:$I$5001,I2039),1,0))</f>
        <v/>
      </c>
      <c r="M2039" s="16" t="str">
        <f aca="false">IF(B2039="","",IF(E2039="Em ajustes",IF(N2039=_xlfn.MINIFS($N$2:$N$5001,$B$2:$B$5001,B2039,$E$2:$E$5001,"Em ajustes"),1,0),0))</f>
        <v/>
      </c>
      <c r="N2039" s="17" t="str">
        <f aca="false">IF(A2039="","",IF(ISNUMBER(A2039),A2039,IFERROR(DATE(VALUE(MID(A2039,7,4)),VALUE(MID(A2039,4,2)),VALUE(MID(A2039,1,2)))+TIME(VALUE(MID(A2039,12,2)),VALUE(MID(A2039,15,2)),VALUE(MID(A2039,18,2))),"")))</f>
        <v/>
      </c>
    </row>
    <row r="2040" customFormat="false" ht="15" hidden="false" customHeight="false" outlineLevel="0" collapsed="false">
      <c r="I2040" s="15" t="str">
        <f aca="false">IF(N2040="","",INT(N2040))</f>
        <v/>
      </c>
      <c r="J2040" s="16" t="str">
        <f aca="false">IF(B2040="","",IF(N2040=_xlfn.MINIFS($N$2:$N$5001,$B$2:$B$5001,B2040),1,0))</f>
        <v/>
      </c>
      <c r="K2040" s="16" t="str">
        <f aca="false">IF(B2040="","",IF(AND(D2040="Formalização",E2040="Concluído"),IF(COUNTIFS($B$2:$B$5001,B2040,$E$2:$E$5001,"Em ajustes",$N$2:$N$5001,"&lt;"&amp;I2040)&gt;0,1,0),0))</f>
        <v/>
      </c>
      <c r="L2040" s="16" t="str">
        <f aca="false">IF(B2040="","",IF(N2040=_xlfn.MAXIFS($N$2:$N$5001,$B$2:$B$5001,B2040,$I$2:$I$5001,I2040),1,0))</f>
        <v/>
      </c>
      <c r="M2040" s="16" t="str">
        <f aca="false">IF(B2040="","",IF(E2040="Em ajustes",IF(N2040=_xlfn.MINIFS($N$2:$N$5001,$B$2:$B$5001,B2040,$E$2:$E$5001,"Em ajustes"),1,0),0))</f>
        <v/>
      </c>
      <c r="N2040" s="17" t="str">
        <f aca="false">IF(A2040="","",IF(ISNUMBER(A2040),A2040,IFERROR(DATE(VALUE(MID(A2040,7,4)),VALUE(MID(A2040,4,2)),VALUE(MID(A2040,1,2)))+TIME(VALUE(MID(A2040,12,2)),VALUE(MID(A2040,15,2)),VALUE(MID(A2040,18,2))),"")))</f>
        <v/>
      </c>
    </row>
    <row r="2041" customFormat="false" ht="15" hidden="false" customHeight="false" outlineLevel="0" collapsed="false">
      <c r="I2041" s="15" t="str">
        <f aca="false">IF(N2041="","",INT(N2041))</f>
        <v/>
      </c>
      <c r="J2041" s="16" t="str">
        <f aca="false">IF(B2041="","",IF(N2041=_xlfn.MINIFS($N$2:$N$5001,$B$2:$B$5001,B2041),1,0))</f>
        <v/>
      </c>
      <c r="K2041" s="16" t="str">
        <f aca="false">IF(B2041="","",IF(AND(D2041="Formalização",E2041="Concluído"),IF(COUNTIFS($B$2:$B$5001,B2041,$E$2:$E$5001,"Em ajustes",$N$2:$N$5001,"&lt;"&amp;I2041)&gt;0,1,0),0))</f>
        <v/>
      </c>
      <c r="L2041" s="16" t="str">
        <f aca="false">IF(B2041="","",IF(N2041=_xlfn.MAXIFS($N$2:$N$5001,$B$2:$B$5001,B2041,$I$2:$I$5001,I2041),1,0))</f>
        <v/>
      </c>
      <c r="M2041" s="16" t="str">
        <f aca="false">IF(B2041="","",IF(E2041="Em ajustes",IF(N2041=_xlfn.MINIFS($N$2:$N$5001,$B$2:$B$5001,B2041,$E$2:$E$5001,"Em ajustes"),1,0),0))</f>
        <v/>
      </c>
      <c r="N2041" s="17" t="str">
        <f aca="false">IF(A2041="","",IF(ISNUMBER(A2041),A2041,IFERROR(DATE(VALUE(MID(A2041,7,4)),VALUE(MID(A2041,4,2)),VALUE(MID(A2041,1,2)))+TIME(VALUE(MID(A2041,12,2)),VALUE(MID(A2041,15,2)),VALUE(MID(A2041,18,2))),"")))</f>
        <v/>
      </c>
    </row>
    <row r="2042" customFormat="false" ht="15" hidden="false" customHeight="false" outlineLevel="0" collapsed="false">
      <c r="I2042" s="15" t="str">
        <f aca="false">IF(N2042="","",INT(N2042))</f>
        <v/>
      </c>
      <c r="J2042" s="16" t="str">
        <f aca="false">IF(B2042="","",IF(N2042=_xlfn.MINIFS($N$2:$N$5001,$B$2:$B$5001,B2042),1,0))</f>
        <v/>
      </c>
      <c r="K2042" s="16" t="str">
        <f aca="false">IF(B2042="","",IF(AND(D2042="Formalização",E2042="Concluído"),IF(COUNTIFS($B$2:$B$5001,B2042,$E$2:$E$5001,"Em ajustes",$N$2:$N$5001,"&lt;"&amp;I2042)&gt;0,1,0),0))</f>
        <v/>
      </c>
      <c r="L2042" s="16" t="str">
        <f aca="false">IF(B2042="","",IF(N2042=_xlfn.MAXIFS($N$2:$N$5001,$B$2:$B$5001,B2042,$I$2:$I$5001,I2042),1,0))</f>
        <v/>
      </c>
      <c r="M2042" s="16" t="str">
        <f aca="false">IF(B2042="","",IF(E2042="Em ajustes",IF(N2042=_xlfn.MINIFS($N$2:$N$5001,$B$2:$B$5001,B2042,$E$2:$E$5001,"Em ajustes"),1,0),0))</f>
        <v/>
      </c>
      <c r="N2042" s="17" t="str">
        <f aca="false">IF(A2042="","",IF(ISNUMBER(A2042),A2042,IFERROR(DATE(VALUE(MID(A2042,7,4)),VALUE(MID(A2042,4,2)),VALUE(MID(A2042,1,2)))+TIME(VALUE(MID(A2042,12,2)),VALUE(MID(A2042,15,2)),VALUE(MID(A2042,18,2))),"")))</f>
        <v/>
      </c>
    </row>
    <row r="2043" customFormat="false" ht="15" hidden="false" customHeight="false" outlineLevel="0" collapsed="false">
      <c r="I2043" s="15" t="str">
        <f aca="false">IF(N2043="","",INT(N2043))</f>
        <v/>
      </c>
      <c r="J2043" s="16" t="str">
        <f aca="false">IF(B2043="","",IF(N2043=_xlfn.MINIFS($N$2:$N$5001,$B$2:$B$5001,B2043),1,0))</f>
        <v/>
      </c>
      <c r="K2043" s="16" t="str">
        <f aca="false">IF(B2043="","",IF(AND(D2043="Formalização",E2043="Concluído"),IF(COUNTIFS($B$2:$B$5001,B2043,$E$2:$E$5001,"Em ajustes",$N$2:$N$5001,"&lt;"&amp;I2043)&gt;0,1,0),0))</f>
        <v/>
      </c>
      <c r="L2043" s="16" t="str">
        <f aca="false">IF(B2043="","",IF(N2043=_xlfn.MAXIFS($N$2:$N$5001,$B$2:$B$5001,B2043,$I$2:$I$5001,I2043),1,0))</f>
        <v/>
      </c>
      <c r="M2043" s="16" t="str">
        <f aca="false">IF(B2043="","",IF(E2043="Em ajustes",IF(N2043=_xlfn.MINIFS($N$2:$N$5001,$B$2:$B$5001,B2043,$E$2:$E$5001,"Em ajustes"),1,0),0))</f>
        <v/>
      </c>
      <c r="N2043" s="17" t="str">
        <f aca="false">IF(A2043="","",IF(ISNUMBER(A2043),A2043,IFERROR(DATE(VALUE(MID(A2043,7,4)),VALUE(MID(A2043,4,2)),VALUE(MID(A2043,1,2)))+TIME(VALUE(MID(A2043,12,2)),VALUE(MID(A2043,15,2)),VALUE(MID(A2043,18,2))),"")))</f>
        <v/>
      </c>
    </row>
    <row r="2044" customFormat="false" ht="15" hidden="false" customHeight="false" outlineLevel="0" collapsed="false">
      <c r="I2044" s="15" t="str">
        <f aca="false">IF(N2044="","",INT(N2044))</f>
        <v/>
      </c>
      <c r="J2044" s="16" t="str">
        <f aca="false">IF(B2044="","",IF(N2044=_xlfn.MINIFS($N$2:$N$5001,$B$2:$B$5001,B2044),1,0))</f>
        <v/>
      </c>
      <c r="K2044" s="16" t="str">
        <f aca="false">IF(B2044="","",IF(AND(D2044="Formalização",E2044="Concluído"),IF(COUNTIFS($B$2:$B$5001,B2044,$E$2:$E$5001,"Em ajustes",$N$2:$N$5001,"&lt;"&amp;I2044)&gt;0,1,0),0))</f>
        <v/>
      </c>
      <c r="L2044" s="16" t="str">
        <f aca="false">IF(B2044="","",IF(N2044=_xlfn.MAXIFS($N$2:$N$5001,$B$2:$B$5001,B2044,$I$2:$I$5001,I2044),1,0))</f>
        <v/>
      </c>
      <c r="M2044" s="16" t="str">
        <f aca="false">IF(B2044="","",IF(E2044="Em ajustes",IF(N2044=_xlfn.MINIFS($N$2:$N$5001,$B$2:$B$5001,B2044,$E$2:$E$5001,"Em ajustes"),1,0),0))</f>
        <v/>
      </c>
      <c r="N2044" s="17" t="str">
        <f aca="false">IF(A2044="","",IF(ISNUMBER(A2044),A2044,IFERROR(DATE(VALUE(MID(A2044,7,4)),VALUE(MID(A2044,4,2)),VALUE(MID(A2044,1,2)))+TIME(VALUE(MID(A2044,12,2)),VALUE(MID(A2044,15,2)),VALUE(MID(A2044,18,2))),"")))</f>
        <v/>
      </c>
    </row>
    <row r="2045" customFormat="false" ht="15" hidden="false" customHeight="false" outlineLevel="0" collapsed="false">
      <c r="I2045" s="15" t="str">
        <f aca="false">IF(N2045="","",INT(N2045))</f>
        <v/>
      </c>
      <c r="J2045" s="16" t="str">
        <f aca="false">IF(B2045="","",IF(N2045=_xlfn.MINIFS($N$2:$N$5001,$B$2:$B$5001,B2045),1,0))</f>
        <v/>
      </c>
      <c r="K2045" s="16" t="str">
        <f aca="false">IF(B2045="","",IF(AND(D2045="Formalização",E2045="Concluído"),IF(COUNTIFS($B$2:$B$5001,B2045,$E$2:$E$5001,"Em ajustes",$N$2:$N$5001,"&lt;"&amp;I2045)&gt;0,1,0),0))</f>
        <v/>
      </c>
      <c r="L2045" s="16" t="str">
        <f aca="false">IF(B2045="","",IF(N2045=_xlfn.MAXIFS($N$2:$N$5001,$B$2:$B$5001,B2045,$I$2:$I$5001,I2045),1,0))</f>
        <v/>
      </c>
      <c r="M2045" s="16" t="str">
        <f aca="false">IF(B2045="","",IF(E2045="Em ajustes",IF(N2045=_xlfn.MINIFS($N$2:$N$5001,$B$2:$B$5001,B2045,$E$2:$E$5001,"Em ajustes"),1,0),0))</f>
        <v/>
      </c>
      <c r="N2045" s="17" t="str">
        <f aca="false">IF(A2045="","",IF(ISNUMBER(A2045),A2045,IFERROR(DATE(VALUE(MID(A2045,7,4)),VALUE(MID(A2045,4,2)),VALUE(MID(A2045,1,2)))+TIME(VALUE(MID(A2045,12,2)),VALUE(MID(A2045,15,2)),VALUE(MID(A2045,18,2))),"")))</f>
        <v/>
      </c>
    </row>
    <row r="2046" customFormat="false" ht="15" hidden="false" customHeight="false" outlineLevel="0" collapsed="false">
      <c r="I2046" s="15" t="str">
        <f aca="false">IF(N2046="","",INT(N2046))</f>
        <v/>
      </c>
      <c r="J2046" s="16" t="str">
        <f aca="false">IF(B2046="","",IF(N2046=_xlfn.MINIFS($N$2:$N$5001,$B$2:$B$5001,B2046),1,0))</f>
        <v/>
      </c>
      <c r="K2046" s="16" t="str">
        <f aca="false">IF(B2046="","",IF(AND(D2046="Formalização",E2046="Concluído"),IF(COUNTIFS($B$2:$B$5001,B2046,$E$2:$E$5001,"Em ajustes",$N$2:$N$5001,"&lt;"&amp;I2046)&gt;0,1,0),0))</f>
        <v/>
      </c>
      <c r="L2046" s="16" t="str">
        <f aca="false">IF(B2046="","",IF(N2046=_xlfn.MAXIFS($N$2:$N$5001,$B$2:$B$5001,B2046,$I$2:$I$5001,I2046),1,0))</f>
        <v/>
      </c>
      <c r="M2046" s="16" t="str">
        <f aca="false">IF(B2046="","",IF(E2046="Em ajustes",IF(N2046=_xlfn.MINIFS($N$2:$N$5001,$B$2:$B$5001,B2046,$E$2:$E$5001,"Em ajustes"),1,0),0))</f>
        <v/>
      </c>
      <c r="N2046" s="17" t="str">
        <f aca="false">IF(A2046="","",IF(ISNUMBER(A2046),A2046,IFERROR(DATE(VALUE(MID(A2046,7,4)),VALUE(MID(A2046,4,2)),VALUE(MID(A2046,1,2)))+TIME(VALUE(MID(A2046,12,2)),VALUE(MID(A2046,15,2)),VALUE(MID(A2046,18,2))),"")))</f>
        <v/>
      </c>
    </row>
    <row r="2047" customFormat="false" ht="15" hidden="false" customHeight="false" outlineLevel="0" collapsed="false">
      <c r="I2047" s="15" t="str">
        <f aca="false">IF(N2047="","",INT(N2047))</f>
        <v/>
      </c>
      <c r="J2047" s="16" t="str">
        <f aca="false">IF(B2047="","",IF(N2047=_xlfn.MINIFS($N$2:$N$5001,$B$2:$B$5001,B2047),1,0))</f>
        <v/>
      </c>
      <c r="K2047" s="16" t="str">
        <f aca="false">IF(B2047="","",IF(AND(D2047="Formalização",E2047="Concluído"),IF(COUNTIFS($B$2:$B$5001,B2047,$E$2:$E$5001,"Em ajustes",$N$2:$N$5001,"&lt;"&amp;I2047)&gt;0,1,0),0))</f>
        <v/>
      </c>
      <c r="L2047" s="16" t="str">
        <f aca="false">IF(B2047="","",IF(N2047=_xlfn.MAXIFS($N$2:$N$5001,$B$2:$B$5001,B2047,$I$2:$I$5001,I2047),1,0))</f>
        <v/>
      </c>
      <c r="M2047" s="16" t="str">
        <f aca="false">IF(B2047="","",IF(E2047="Em ajustes",IF(N2047=_xlfn.MINIFS($N$2:$N$5001,$B$2:$B$5001,B2047,$E$2:$E$5001,"Em ajustes"),1,0),0))</f>
        <v/>
      </c>
      <c r="N2047" s="17" t="str">
        <f aca="false">IF(A2047="","",IF(ISNUMBER(A2047),A2047,IFERROR(DATE(VALUE(MID(A2047,7,4)),VALUE(MID(A2047,4,2)),VALUE(MID(A2047,1,2)))+TIME(VALUE(MID(A2047,12,2)),VALUE(MID(A2047,15,2)),VALUE(MID(A2047,18,2))),"")))</f>
        <v/>
      </c>
    </row>
    <row r="2048" customFormat="false" ht="15" hidden="false" customHeight="false" outlineLevel="0" collapsed="false">
      <c r="I2048" s="15" t="str">
        <f aca="false">IF(N2048="","",INT(N2048))</f>
        <v/>
      </c>
      <c r="J2048" s="16" t="str">
        <f aca="false">IF(B2048="","",IF(N2048=_xlfn.MINIFS($N$2:$N$5001,$B$2:$B$5001,B2048),1,0))</f>
        <v/>
      </c>
      <c r="K2048" s="16" t="str">
        <f aca="false">IF(B2048="","",IF(AND(D2048="Formalização",E2048="Concluído"),IF(COUNTIFS($B$2:$B$5001,B2048,$E$2:$E$5001,"Em ajustes",$N$2:$N$5001,"&lt;"&amp;I2048)&gt;0,1,0),0))</f>
        <v/>
      </c>
      <c r="L2048" s="16" t="str">
        <f aca="false">IF(B2048="","",IF(N2048=_xlfn.MAXIFS($N$2:$N$5001,$B$2:$B$5001,B2048,$I$2:$I$5001,I2048),1,0))</f>
        <v/>
      </c>
      <c r="M2048" s="16" t="str">
        <f aca="false">IF(B2048="","",IF(E2048="Em ajustes",IF(N2048=_xlfn.MINIFS($N$2:$N$5001,$B$2:$B$5001,B2048,$E$2:$E$5001,"Em ajustes"),1,0),0))</f>
        <v/>
      </c>
      <c r="N2048" s="17" t="str">
        <f aca="false">IF(A2048="","",IF(ISNUMBER(A2048),A2048,IFERROR(DATE(VALUE(MID(A2048,7,4)),VALUE(MID(A2048,4,2)),VALUE(MID(A2048,1,2)))+TIME(VALUE(MID(A2048,12,2)),VALUE(MID(A2048,15,2)),VALUE(MID(A2048,18,2))),"")))</f>
        <v/>
      </c>
    </row>
    <row r="2049" customFormat="false" ht="15" hidden="false" customHeight="false" outlineLevel="0" collapsed="false">
      <c r="I2049" s="15" t="str">
        <f aca="false">IF(N2049="","",INT(N2049))</f>
        <v/>
      </c>
      <c r="J2049" s="16" t="str">
        <f aca="false">IF(B2049="","",IF(N2049=_xlfn.MINIFS($N$2:$N$5001,$B$2:$B$5001,B2049),1,0))</f>
        <v/>
      </c>
      <c r="K2049" s="16" t="str">
        <f aca="false">IF(B2049="","",IF(AND(D2049="Formalização",E2049="Concluído"),IF(COUNTIFS($B$2:$B$5001,B2049,$E$2:$E$5001,"Em ajustes",$N$2:$N$5001,"&lt;"&amp;I2049)&gt;0,1,0),0))</f>
        <v/>
      </c>
      <c r="L2049" s="16" t="str">
        <f aca="false">IF(B2049="","",IF(N2049=_xlfn.MAXIFS($N$2:$N$5001,$B$2:$B$5001,B2049,$I$2:$I$5001,I2049),1,0))</f>
        <v/>
      </c>
      <c r="M2049" s="16" t="str">
        <f aca="false">IF(B2049="","",IF(E2049="Em ajustes",IF(N2049=_xlfn.MINIFS($N$2:$N$5001,$B$2:$B$5001,B2049,$E$2:$E$5001,"Em ajustes"),1,0),0))</f>
        <v/>
      </c>
      <c r="N2049" s="17" t="str">
        <f aca="false">IF(A2049="","",IF(ISNUMBER(A2049),A2049,IFERROR(DATE(VALUE(MID(A2049,7,4)),VALUE(MID(A2049,4,2)),VALUE(MID(A2049,1,2)))+TIME(VALUE(MID(A2049,12,2)),VALUE(MID(A2049,15,2)),VALUE(MID(A2049,18,2))),"")))</f>
        <v/>
      </c>
    </row>
    <row r="2050" customFormat="false" ht="15" hidden="false" customHeight="false" outlineLevel="0" collapsed="false">
      <c r="I2050" s="15" t="str">
        <f aca="false">IF(N2050="","",INT(N2050))</f>
        <v/>
      </c>
      <c r="J2050" s="16" t="str">
        <f aca="false">IF(B2050="","",IF(N2050=_xlfn.MINIFS($N$2:$N$5001,$B$2:$B$5001,B2050),1,0))</f>
        <v/>
      </c>
      <c r="K2050" s="16" t="str">
        <f aca="false">IF(B2050="","",IF(AND(D2050="Formalização",E2050="Concluído"),IF(COUNTIFS($B$2:$B$5001,B2050,$E$2:$E$5001,"Em ajustes",$N$2:$N$5001,"&lt;"&amp;I2050)&gt;0,1,0),0))</f>
        <v/>
      </c>
      <c r="L2050" s="16" t="str">
        <f aca="false">IF(B2050="","",IF(N2050=_xlfn.MAXIFS($N$2:$N$5001,$B$2:$B$5001,B2050,$I$2:$I$5001,I2050),1,0))</f>
        <v/>
      </c>
      <c r="M2050" s="16" t="str">
        <f aca="false">IF(B2050="","",IF(E2050="Em ajustes",IF(N2050=_xlfn.MINIFS($N$2:$N$5001,$B$2:$B$5001,B2050,$E$2:$E$5001,"Em ajustes"),1,0),0))</f>
        <v/>
      </c>
      <c r="N2050" s="17" t="str">
        <f aca="false">IF(A2050="","",IF(ISNUMBER(A2050),A2050,IFERROR(DATE(VALUE(MID(A2050,7,4)),VALUE(MID(A2050,4,2)),VALUE(MID(A2050,1,2)))+TIME(VALUE(MID(A2050,12,2)),VALUE(MID(A2050,15,2)),VALUE(MID(A2050,18,2))),"")))</f>
        <v/>
      </c>
    </row>
    <row r="2051" customFormat="false" ht="15" hidden="false" customHeight="false" outlineLevel="0" collapsed="false">
      <c r="I2051" s="15" t="str">
        <f aca="false">IF(N2051="","",INT(N2051))</f>
        <v/>
      </c>
      <c r="J2051" s="16" t="str">
        <f aca="false">IF(B2051="","",IF(N2051=_xlfn.MINIFS($N$2:$N$5001,$B$2:$B$5001,B2051),1,0))</f>
        <v/>
      </c>
      <c r="K2051" s="16" t="str">
        <f aca="false">IF(B2051="","",IF(AND(D2051="Formalização",E2051="Concluído"),IF(COUNTIFS($B$2:$B$5001,B2051,$E$2:$E$5001,"Em ajustes",$N$2:$N$5001,"&lt;"&amp;I2051)&gt;0,1,0),0))</f>
        <v/>
      </c>
      <c r="L2051" s="16" t="str">
        <f aca="false">IF(B2051="","",IF(N2051=_xlfn.MAXIFS($N$2:$N$5001,$B$2:$B$5001,B2051,$I$2:$I$5001,I2051),1,0))</f>
        <v/>
      </c>
      <c r="M2051" s="16" t="str">
        <f aca="false">IF(B2051="","",IF(E2051="Em ajustes",IF(N2051=_xlfn.MINIFS($N$2:$N$5001,$B$2:$B$5001,B2051,$E$2:$E$5001,"Em ajustes"),1,0),0))</f>
        <v/>
      </c>
      <c r="N2051" s="17" t="str">
        <f aca="false">IF(A2051="","",IF(ISNUMBER(A2051),A2051,IFERROR(DATE(VALUE(MID(A2051,7,4)),VALUE(MID(A2051,4,2)),VALUE(MID(A2051,1,2)))+TIME(VALUE(MID(A2051,12,2)),VALUE(MID(A2051,15,2)),VALUE(MID(A2051,18,2))),"")))</f>
        <v/>
      </c>
    </row>
    <row r="2052" customFormat="false" ht="15" hidden="false" customHeight="false" outlineLevel="0" collapsed="false">
      <c r="I2052" s="15" t="str">
        <f aca="false">IF(N2052="","",INT(N2052))</f>
        <v/>
      </c>
      <c r="J2052" s="16" t="str">
        <f aca="false">IF(B2052="","",IF(N2052=_xlfn.MINIFS($N$2:$N$5001,$B$2:$B$5001,B2052),1,0))</f>
        <v/>
      </c>
      <c r="K2052" s="16" t="str">
        <f aca="false">IF(B2052="","",IF(AND(D2052="Formalização",E2052="Concluído"),IF(COUNTIFS($B$2:$B$5001,B2052,$E$2:$E$5001,"Em ajustes",$N$2:$N$5001,"&lt;"&amp;I2052)&gt;0,1,0),0))</f>
        <v/>
      </c>
      <c r="L2052" s="16" t="str">
        <f aca="false">IF(B2052="","",IF(N2052=_xlfn.MAXIFS($N$2:$N$5001,$B$2:$B$5001,B2052,$I$2:$I$5001,I2052),1,0))</f>
        <v/>
      </c>
      <c r="M2052" s="16" t="str">
        <f aca="false">IF(B2052="","",IF(E2052="Em ajustes",IF(N2052=_xlfn.MINIFS($N$2:$N$5001,$B$2:$B$5001,B2052,$E$2:$E$5001,"Em ajustes"),1,0),0))</f>
        <v/>
      </c>
      <c r="N2052" s="17" t="str">
        <f aca="false">IF(A2052="","",IF(ISNUMBER(A2052),A2052,IFERROR(DATE(VALUE(MID(A2052,7,4)),VALUE(MID(A2052,4,2)),VALUE(MID(A2052,1,2)))+TIME(VALUE(MID(A2052,12,2)),VALUE(MID(A2052,15,2)),VALUE(MID(A2052,18,2))),"")))</f>
        <v/>
      </c>
    </row>
    <row r="2053" customFormat="false" ht="15" hidden="false" customHeight="false" outlineLevel="0" collapsed="false">
      <c r="I2053" s="15" t="str">
        <f aca="false">IF(N2053="","",INT(N2053))</f>
        <v/>
      </c>
      <c r="J2053" s="16" t="str">
        <f aca="false">IF(B2053="","",IF(N2053=_xlfn.MINIFS($N$2:$N$5001,$B$2:$B$5001,B2053),1,0))</f>
        <v/>
      </c>
      <c r="K2053" s="16" t="str">
        <f aca="false">IF(B2053="","",IF(AND(D2053="Formalização",E2053="Concluído"),IF(COUNTIFS($B$2:$B$5001,B2053,$E$2:$E$5001,"Em ajustes",$N$2:$N$5001,"&lt;"&amp;I2053)&gt;0,1,0),0))</f>
        <v/>
      </c>
      <c r="L2053" s="16" t="str">
        <f aca="false">IF(B2053="","",IF(N2053=_xlfn.MAXIFS($N$2:$N$5001,$B$2:$B$5001,B2053,$I$2:$I$5001,I2053),1,0))</f>
        <v/>
      </c>
      <c r="M2053" s="16" t="str">
        <f aca="false">IF(B2053="","",IF(E2053="Em ajustes",IF(N2053=_xlfn.MINIFS($N$2:$N$5001,$B$2:$B$5001,B2053,$E$2:$E$5001,"Em ajustes"),1,0),0))</f>
        <v/>
      </c>
      <c r="N2053" s="17" t="str">
        <f aca="false">IF(A2053="","",IF(ISNUMBER(A2053),A2053,IFERROR(DATE(VALUE(MID(A2053,7,4)),VALUE(MID(A2053,4,2)),VALUE(MID(A2053,1,2)))+TIME(VALUE(MID(A2053,12,2)),VALUE(MID(A2053,15,2)),VALUE(MID(A2053,18,2))),"")))</f>
        <v/>
      </c>
    </row>
    <row r="2054" customFormat="false" ht="15" hidden="false" customHeight="false" outlineLevel="0" collapsed="false">
      <c r="I2054" s="15" t="str">
        <f aca="false">IF(N2054="","",INT(N2054))</f>
        <v/>
      </c>
      <c r="J2054" s="16" t="str">
        <f aca="false">IF(B2054="","",IF(N2054=_xlfn.MINIFS($N$2:$N$5001,$B$2:$B$5001,B2054),1,0))</f>
        <v/>
      </c>
      <c r="K2054" s="16" t="str">
        <f aca="false">IF(B2054="","",IF(AND(D2054="Formalização",E2054="Concluído"),IF(COUNTIFS($B$2:$B$5001,B2054,$E$2:$E$5001,"Em ajustes",$N$2:$N$5001,"&lt;"&amp;I2054)&gt;0,1,0),0))</f>
        <v/>
      </c>
      <c r="L2054" s="16" t="str">
        <f aca="false">IF(B2054="","",IF(N2054=_xlfn.MAXIFS($N$2:$N$5001,$B$2:$B$5001,B2054,$I$2:$I$5001,I2054),1,0))</f>
        <v/>
      </c>
      <c r="M2054" s="16" t="str">
        <f aca="false">IF(B2054="","",IF(E2054="Em ajustes",IF(N2054=_xlfn.MINIFS($N$2:$N$5001,$B$2:$B$5001,B2054,$E$2:$E$5001,"Em ajustes"),1,0),0))</f>
        <v/>
      </c>
      <c r="N2054" s="17" t="str">
        <f aca="false">IF(A2054="","",IF(ISNUMBER(A2054),A2054,IFERROR(DATE(VALUE(MID(A2054,7,4)),VALUE(MID(A2054,4,2)),VALUE(MID(A2054,1,2)))+TIME(VALUE(MID(A2054,12,2)),VALUE(MID(A2054,15,2)),VALUE(MID(A2054,18,2))),"")))</f>
        <v/>
      </c>
    </row>
    <row r="2055" customFormat="false" ht="15" hidden="false" customHeight="false" outlineLevel="0" collapsed="false">
      <c r="I2055" s="15" t="str">
        <f aca="false">IF(N2055="","",INT(N2055))</f>
        <v/>
      </c>
      <c r="J2055" s="16" t="str">
        <f aca="false">IF(B2055="","",IF(N2055=_xlfn.MINIFS($N$2:$N$5001,$B$2:$B$5001,B2055),1,0))</f>
        <v/>
      </c>
      <c r="K2055" s="16" t="str">
        <f aca="false">IF(B2055="","",IF(AND(D2055="Formalização",E2055="Concluído"),IF(COUNTIFS($B$2:$B$5001,B2055,$E$2:$E$5001,"Em ajustes",$N$2:$N$5001,"&lt;"&amp;I2055)&gt;0,1,0),0))</f>
        <v/>
      </c>
      <c r="L2055" s="16" t="str">
        <f aca="false">IF(B2055="","",IF(N2055=_xlfn.MAXIFS($N$2:$N$5001,$B$2:$B$5001,B2055,$I$2:$I$5001,I2055),1,0))</f>
        <v/>
      </c>
      <c r="M2055" s="16" t="str">
        <f aca="false">IF(B2055="","",IF(E2055="Em ajustes",IF(N2055=_xlfn.MINIFS($N$2:$N$5001,$B$2:$B$5001,B2055,$E$2:$E$5001,"Em ajustes"),1,0),0))</f>
        <v/>
      </c>
      <c r="N2055" s="17" t="str">
        <f aca="false">IF(A2055="","",IF(ISNUMBER(A2055),A2055,IFERROR(DATE(VALUE(MID(A2055,7,4)),VALUE(MID(A2055,4,2)),VALUE(MID(A2055,1,2)))+TIME(VALUE(MID(A2055,12,2)),VALUE(MID(A2055,15,2)),VALUE(MID(A2055,18,2))),"")))</f>
        <v/>
      </c>
    </row>
    <row r="2056" customFormat="false" ht="15" hidden="false" customHeight="false" outlineLevel="0" collapsed="false">
      <c r="I2056" s="15" t="str">
        <f aca="false">IF(N2056="","",INT(N2056))</f>
        <v/>
      </c>
      <c r="J2056" s="16" t="str">
        <f aca="false">IF(B2056="","",IF(N2056=_xlfn.MINIFS($N$2:$N$5001,$B$2:$B$5001,B2056),1,0))</f>
        <v/>
      </c>
      <c r="K2056" s="16" t="str">
        <f aca="false">IF(B2056="","",IF(AND(D2056="Formalização",E2056="Concluído"),IF(COUNTIFS($B$2:$B$5001,B2056,$E$2:$E$5001,"Em ajustes",$N$2:$N$5001,"&lt;"&amp;I2056)&gt;0,1,0),0))</f>
        <v/>
      </c>
      <c r="L2056" s="16" t="str">
        <f aca="false">IF(B2056="","",IF(N2056=_xlfn.MAXIFS($N$2:$N$5001,$B$2:$B$5001,B2056,$I$2:$I$5001,I2056),1,0))</f>
        <v/>
      </c>
      <c r="M2056" s="16" t="str">
        <f aca="false">IF(B2056="","",IF(E2056="Em ajustes",IF(N2056=_xlfn.MINIFS($N$2:$N$5001,$B$2:$B$5001,B2056,$E$2:$E$5001,"Em ajustes"),1,0),0))</f>
        <v/>
      </c>
      <c r="N2056" s="17" t="str">
        <f aca="false">IF(A2056="","",IF(ISNUMBER(A2056),A2056,IFERROR(DATE(VALUE(MID(A2056,7,4)),VALUE(MID(A2056,4,2)),VALUE(MID(A2056,1,2)))+TIME(VALUE(MID(A2056,12,2)),VALUE(MID(A2056,15,2)),VALUE(MID(A2056,18,2))),"")))</f>
        <v/>
      </c>
    </row>
    <row r="2057" customFormat="false" ht="15" hidden="false" customHeight="false" outlineLevel="0" collapsed="false">
      <c r="I2057" s="15" t="str">
        <f aca="false">IF(N2057="","",INT(N2057))</f>
        <v/>
      </c>
      <c r="J2057" s="16" t="str">
        <f aca="false">IF(B2057="","",IF(N2057=_xlfn.MINIFS($N$2:$N$5001,$B$2:$B$5001,B2057),1,0))</f>
        <v/>
      </c>
      <c r="K2057" s="16" t="str">
        <f aca="false">IF(B2057="","",IF(AND(D2057="Formalização",E2057="Concluído"),IF(COUNTIFS($B$2:$B$5001,B2057,$E$2:$E$5001,"Em ajustes",$N$2:$N$5001,"&lt;"&amp;I2057)&gt;0,1,0),0))</f>
        <v/>
      </c>
      <c r="L2057" s="16" t="str">
        <f aca="false">IF(B2057="","",IF(N2057=_xlfn.MAXIFS($N$2:$N$5001,$B$2:$B$5001,B2057,$I$2:$I$5001,I2057),1,0))</f>
        <v/>
      </c>
      <c r="M2057" s="16" t="str">
        <f aca="false">IF(B2057="","",IF(E2057="Em ajustes",IF(N2057=_xlfn.MINIFS($N$2:$N$5001,$B$2:$B$5001,B2057,$E$2:$E$5001,"Em ajustes"),1,0),0))</f>
        <v/>
      </c>
      <c r="N2057" s="17" t="str">
        <f aca="false">IF(A2057="","",IF(ISNUMBER(A2057),A2057,IFERROR(DATE(VALUE(MID(A2057,7,4)),VALUE(MID(A2057,4,2)),VALUE(MID(A2057,1,2)))+TIME(VALUE(MID(A2057,12,2)),VALUE(MID(A2057,15,2)),VALUE(MID(A2057,18,2))),"")))</f>
        <v/>
      </c>
    </row>
    <row r="2058" customFormat="false" ht="15" hidden="false" customHeight="false" outlineLevel="0" collapsed="false">
      <c r="I2058" s="15" t="str">
        <f aca="false">IF(N2058="","",INT(N2058))</f>
        <v/>
      </c>
      <c r="J2058" s="16" t="str">
        <f aca="false">IF(B2058="","",IF(N2058=_xlfn.MINIFS($N$2:$N$5001,$B$2:$B$5001,B2058),1,0))</f>
        <v/>
      </c>
      <c r="K2058" s="16" t="str">
        <f aca="false">IF(B2058="","",IF(AND(D2058="Formalização",E2058="Concluído"),IF(COUNTIFS($B$2:$B$5001,B2058,$E$2:$E$5001,"Em ajustes",$N$2:$N$5001,"&lt;"&amp;I2058)&gt;0,1,0),0))</f>
        <v/>
      </c>
      <c r="L2058" s="16" t="str">
        <f aca="false">IF(B2058="","",IF(N2058=_xlfn.MAXIFS($N$2:$N$5001,$B$2:$B$5001,B2058,$I$2:$I$5001,I2058),1,0))</f>
        <v/>
      </c>
      <c r="M2058" s="16" t="str">
        <f aca="false">IF(B2058="","",IF(E2058="Em ajustes",IF(N2058=_xlfn.MINIFS($N$2:$N$5001,$B$2:$B$5001,B2058,$E$2:$E$5001,"Em ajustes"),1,0),0))</f>
        <v/>
      </c>
      <c r="N2058" s="17" t="str">
        <f aca="false">IF(A2058="","",IF(ISNUMBER(A2058),A2058,IFERROR(DATE(VALUE(MID(A2058,7,4)),VALUE(MID(A2058,4,2)),VALUE(MID(A2058,1,2)))+TIME(VALUE(MID(A2058,12,2)),VALUE(MID(A2058,15,2)),VALUE(MID(A2058,18,2))),"")))</f>
        <v/>
      </c>
    </row>
    <row r="2059" customFormat="false" ht="15" hidden="false" customHeight="false" outlineLevel="0" collapsed="false">
      <c r="I2059" s="15" t="str">
        <f aca="false">IF(N2059="","",INT(N2059))</f>
        <v/>
      </c>
      <c r="J2059" s="16" t="str">
        <f aca="false">IF(B2059="","",IF(N2059=_xlfn.MINIFS($N$2:$N$5001,$B$2:$B$5001,B2059),1,0))</f>
        <v/>
      </c>
      <c r="K2059" s="16" t="str">
        <f aca="false">IF(B2059="","",IF(AND(D2059="Formalização",E2059="Concluído"),IF(COUNTIFS($B$2:$B$5001,B2059,$E$2:$E$5001,"Em ajustes",$N$2:$N$5001,"&lt;"&amp;I2059)&gt;0,1,0),0))</f>
        <v/>
      </c>
      <c r="L2059" s="16" t="str">
        <f aca="false">IF(B2059="","",IF(N2059=_xlfn.MAXIFS($N$2:$N$5001,$B$2:$B$5001,B2059,$I$2:$I$5001,I2059),1,0))</f>
        <v/>
      </c>
      <c r="M2059" s="16" t="str">
        <f aca="false">IF(B2059="","",IF(E2059="Em ajustes",IF(N2059=_xlfn.MINIFS($N$2:$N$5001,$B$2:$B$5001,B2059,$E$2:$E$5001,"Em ajustes"),1,0),0))</f>
        <v/>
      </c>
      <c r="N2059" s="17" t="str">
        <f aca="false">IF(A2059="","",IF(ISNUMBER(A2059),A2059,IFERROR(DATE(VALUE(MID(A2059,7,4)),VALUE(MID(A2059,4,2)),VALUE(MID(A2059,1,2)))+TIME(VALUE(MID(A2059,12,2)),VALUE(MID(A2059,15,2)),VALUE(MID(A2059,18,2))),"")))</f>
        <v/>
      </c>
    </row>
    <row r="2060" customFormat="false" ht="15" hidden="false" customHeight="false" outlineLevel="0" collapsed="false">
      <c r="I2060" s="15" t="str">
        <f aca="false">IF(N2060="","",INT(N2060))</f>
        <v/>
      </c>
      <c r="J2060" s="16" t="str">
        <f aca="false">IF(B2060="","",IF(N2060=_xlfn.MINIFS($N$2:$N$5001,$B$2:$B$5001,B2060),1,0))</f>
        <v/>
      </c>
      <c r="K2060" s="16" t="str">
        <f aca="false">IF(B2060="","",IF(AND(D2060="Formalização",E2060="Concluído"),IF(COUNTIFS($B$2:$B$5001,B2060,$E$2:$E$5001,"Em ajustes",$N$2:$N$5001,"&lt;"&amp;I2060)&gt;0,1,0),0))</f>
        <v/>
      </c>
      <c r="L2060" s="16" t="str">
        <f aca="false">IF(B2060="","",IF(N2060=_xlfn.MAXIFS($N$2:$N$5001,$B$2:$B$5001,B2060,$I$2:$I$5001,I2060),1,0))</f>
        <v/>
      </c>
      <c r="M2060" s="16" t="str">
        <f aca="false">IF(B2060="","",IF(E2060="Em ajustes",IF(N2060=_xlfn.MINIFS($N$2:$N$5001,$B$2:$B$5001,B2060,$E$2:$E$5001,"Em ajustes"),1,0),0))</f>
        <v/>
      </c>
      <c r="N2060" s="17" t="str">
        <f aca="false">IF(A2060="","",IF(ISNUMBER(A2060),A2060,IFERROR(DATE(VALUE(MID(A2060,7,4)),VALUE(MID(A2060,4,2)),VALUE(MID(A2060,1,2)))+TIME(VALUE(MID(A2060,12,2)),VALUE(MID(A2060,15,2)),VALUE(MID(A2060,18,2))),"")))</f>
        <v/>
      </c>
    </row>
    <row r="2061" customFormat="false" ht="15" hidden="false" customHeight="false" outlineLevel="0" collapsed="false">
      <c r="I2061" s="15" t="str">
        <f aca="false">IF(N2061="","",INT(N2061))</f>
        <v/>
      </c>
      <c r="J2061" s="16" t="str">
        <f aca="false">IF(B2061="","",IF(N2061=_xlfn.MINIFS($N$2:$N$5001,$B$2:$B$5001,B2061),1,0))</f>
        <v/>
      </c>
      <c r="K2061" s="16" t="str">
        <f aca="false">IF(B2061="","",IF(AND(D2061="Formalização",E2061="Concluído"),IF(COUNTIFS($B$2:$B$5001,B2061,$E$2:$E$5001,"Em ajustes",$N$2:$N$5001,"&lt;"&amp;I2061)&gt;0,1,0),0))</f>
        <v/>
      </c>
      <c r="L2061" s="16" t="str">
        <f aca="false">IF(B2061="","",IF(N2061=_xlfn.MAXIFS($N$2:$N$5001,$B$2:$B$5001,B2061,$I$2:$I$5001,I2061),1,0))</f>
        <v/>
      </c>
      <c r="M2061" s="16" t="str">
        <f aca="false">IF(B2061="","",IF(E2061="Em ajustes",IF(N2061=_xlfn.MINIFS($N$2:$N$5001,$B$2:$B$5001,B2061,$E$2:$E$5001,"Em ajustes"),1,0),0))</f>
        <v/>
      </c>
      <c r="N2061" s="17" t="str">
        <f aca="false">IF(A2061="","",IF(ISNUMBER(A2061),A2061,IFERROR(DATE(VALUE(MID(A2061,7,4)),VALUE(MID(A2061,4,2)),VALUE(MID(A2061,1,2)))+TIME(VALUE(MID(A2061,12,2)),VALUE(MID(A2061,15,2)),VALUE(MID(A2061,18,2))),"")))</f>
        <v/>
      </c>
    </row>
    <row r="2062" customFormat="false" ht="15" hidden="false" customHeight="false" outlineLevel="0" collapsed="false">
      <c r="I2062" s="15" t="str">
        <f aca="false">IF(N2062="","",INT(N2062))</f>
        <v/>
      </c>
      <c r="J2062" s="16" t="str">
        <f aca="false">IF(B2062="","",IF(N2062=_xlfn.MINIFS($N$2:$N$5001,$B$2:$B$5001,B2062),1,0))</f>
        <v/>
      </c>
      <c r="K2062" s="16" t="str">
        <f aca="false">IF(B2062="","",IF(AND(D2062="Formalização",E2062="Concluído"),IF(COUNTIFS($B$2:$B$5001,B2062,$E$2:$E$5001,"Em ajustes",$N$2:$N$5001,"&lt;"&amp;I2062)&gt;0,1,0),0))</f>
        <v/>
      </c>
      <c r="L2062" s="16" t="str">
        <f aca="false">IF(B2062="","",IF(N2062=_xlfn.MAXIFS($N$2:$N$5001,$B$2:$B$5001,B2062,$I$2:$I$5001,I2062),1,0))</f>
        <v/>
      </c>
      <c r="M2062" s="16" t="str">
        <f aca="false">IF(B2062="","",IF(E2062="Em ajustes",IF(N2062=_xlfn.MINIFS($N$2:$N$5001,$B$2:$B$5001,B2062,$E$2:$E$5001,"Em ajustes"),1,0),0))</f>
        <v/>
      </c>
      <c r="N2062" s="17" t="str">
        <f aca="false">IF(A2062="","",IF(ISNUMBER(A2062),A2062,IFERROR(DATE(VALUE(MID(A2062,7,4)),VALUE(MID(A2062,4,2)),VALUE(MID(A2062,1,2)))+TIME(VALUE(MID(A2062,12,2)),VALUE(MID(A2062,15,2)),VALUE(MID(A2062,18,2))),"")))</f>
        <v/>
      </c>
    </row>
    <row r="2063" customFormat="false" ht="15" hidden="false" customHeight="false" outlineLevel="0" collapsed="false">
      <c r="I2063" s="15" t="str">
        <f aca="false">IF(N2063="","",INT(N2063))</f>
        <v/>
      </c>
      <c r="J2063" s="16" t="str">
        <f aca="false">IF(B2063="","",IF(N2063=_xlfn.MINIFS($N$2:$N$5001,$B$2:$B$5001,B2063),1,0))</f>
        <v/>
      </c>
      <c r="K2063" s="16" t="str">
        <f aca="false">IF(B2063="","",IF(AND(D2063="Formalização",E2063="Concluído"),IF(COUNTIFS($B$2:$B$5001,B2063,$E$2:$E$5001,"Em ajustes",$N$2:$N$5001,"&lt;"&amp;I2063)&gt;0,1,0),0))</f>
        <v/>
      </c>
      <c r="L2063" s="16" t="str">
        <f aca="false">IF(B2063="","",IF(N2063=_xlfn.MAXIFS($N$2:$N$5001,$B$2:$B$5001,B2063,$I$2:$I$5001,I2063),1,0))</f>
        <v/>
      </c>
      <c r="M2063" s="16" t="str">
        <f aca="false">IF(B2063="","",IF(E2063="Em ajustes",IF(N2063=_xlfn.MINIFS($N$2:$N$5001,$B$2:$B$5001,B2063,$E$2:$E$5001,"Em ajustes"),1,0),0))</f>
        <v/>
      </c>
      <c r="N2063" s="17" t="str">
        <f aca="false">IF(A2063="","",IF(ISNUMBER(A2063),A2063,IFERROR(DATE(VALUE(MID(A2063,7,4)),VALUE(MID(A2063,4,2)),VALUE(MID(A2063,1,2)))+TIME(VALUE(MID(A2063,12,2)),VALUE(MID(A2063,15,2)),VALUE(MID(A2063,18,2))),"")))</f>
        <v/>
      </c>
    </row>
    <row r="2064" customFormat="false" ht="15" hidden="false" customHeight="false" outlineLevel="0" collapsed="false">
      <c r="I2064" s="15" t="str">
        <f aca="false">IF(N2064="","",INT(N2064))</f>
        <v/>
      </c>
      <c r="J2064" s="16" t="str">
        <f aca="false">IF(B2064="","",IF(N2064=_xlfn.MINIFS($N$2:$N$5001,$B$2:$B$5001,B2064),1,0))</f>
        <v/>
      </c>
      <c r="K2064" s="16" t="str">
        <f aca="false">IF(B2064="","",IF(AND(D2064="Formalização",E2064="Concluído"),IF(COUNTIFS($B$2:$B$5001,B2064,$E$2:$E$5001,"Em ajustes",$N$2:$N$5001,"&lt;"&amp;I2064)&gt;0,1,0),0))</f>
        <v/>
      </c>
      <c r="L2064" s="16" t="str">
        <f aca="false">IF(B2064="","",IF(N2064=_xlfn.MAXIFS($N$2:$N$5001,$B$2:$B$5001,B2064,$I$2:$I$5001,I2064),1,0))</f>
        <v/>
      </c>
      <c r="M2064" s="16" t="str">
        <f aca="false">IF(B2064="","",IF(E2064="Em ajustes",IF(N2064=_xlfn.MINIFS($N$2:$N$5001,$B$2:$B$5001,B2064,$E$2:$E$5001,"Em ajustes"),1,0),0))</f>
        <v/>
      </c>
      <c r="N2064" s="17" t="str">
        <f aca="false">IF(A2064="","",IF(ISNUMBER(A2064),A2064,IFERROR(DATE(VALUE(MID(A2064,7,4)),VALUE(MID(A2064,4,2)),VALUE(MID(A2064,1,2)))+TIME(VALUE(MID(A2064,12,2)),VALUE(MID(A2064,15,2)),VALUE(MID(A2064,18,2))),"")))</f>
        <v/>
      </c>
    </row>
    <row r="2065" customFormat="false" ht="15" hidden="false" customHeight="false" outlineLevel="0" collapsed="false">
      <c r="I2065" s="15" t="str">
        <f aca="false">IF(N2065="","",INT(N2065))</f>
        <v/>
      </c>
      <c r="J2065" s="16" t="str">
        <f aca="false">IF(B2065="","",IF(N2065=_xlfn.MINIFS($N$2:$N$5001,$B$2:$B$5001,B2065),1,0))</f>
        <v/>
      </c>
      <c r="K2065" s="16" t="str">
        <f aca="false">IF(B2065="","",IF(AND(D2065="Formalização",E2065="Concluído"),IF(COUNTIFS($B$2:$B$5001,B2065,$E$2:$E$5001,"Em ajustes",$N$2:$N$5001,"&lt;"&amp;I2065)&gt;0,1,0),0))</f>
        <v/>
      </c>
      <c r="L2065" s="16" t="str">
        <f aca="false">IF(B2065="","",IF(N2065=_xlfn.MAXIFS($N$2:$N$5001,$B$2:$B$5001,B2065,$I$2:$I$5001,I2065),1,0))</f>
        <v/>
      </c>
      <c r="M2065" s="16" t="str">
        <f aca="false">IF(B2065="","",IF(E2065="Em ajustes",IF(N2065=_xlfn.MINIFS($N$2:$N$5001,$B$2:$B$5001,B2065,$E$2:$E$5001,"Em ajustes"),1,0),0))</f>
        <v/>
      </c>
      <c r="N2065" s="17" t="str">
        <f aca="false">IF(A2065="","",IF(ISNUMBER(A2065),A2065,IFERROR(DATE(VALUE(MID(A2065,7,4)),VALUE(MID(A2065,4,2)),VALUE(MID(A2065,1,2)))+TIME(VALUE(MID(A2065,12,2)),VALUE(MID(A2065,15,2)),VALUE(MID(A2065,18,2))),"")))</f>
        <v/>
      </c>
    </row>
    <row r="2066" customFormat="false" ht="15" hidden="false" customHeight="false" outlineLevel="0" collapsed="false">
      <c r="I2066" s="15" t="str">
        <f aca="false">IF(N2066="","",INT(N2066))</f>
        <v/>
      </c>
      <c r="J2066" s="16" t="str">
        <f aca="false">IF(B2066="","",IF(N2066=_xlfn.MINIFS($N$2:$N$5001,$B$2:$B$5001,B2066),1,0))</f>
        <v/>
      </c>
      <c r="K2066" s="16" t="str">
        <f aca="false">IF(B2066="","",IF(AND(D2066="Formalização",E2066="Concluído"),IF(COUNTIFS($B$2:$B$5001,B2066,$E$2:$E$5001,"Em ajustes",$N$2:$N$5001,"&lt;"&amp;I2066)&gt;0,1,0),0))</f>
        <v/>
      </c>
      <c r="L2066" s="16" t="str">
        <f aca="false">IF(B2066="","",IF(N2066=_xlfn.MAXIFS($N$2:$N$5001,$B$2:$B$5001,B2066,$I$2:$I$5001,I2066),1,0))</f>
        <v/>
      </c>
      <c r="M2066" s="16" t="str">
        <f aca="false">IF(B2066="","",IF(E2066="Em ajustes",IF(N2066=_xlfn.MINIFS($N$2:$N$5001,$B$2:$B$5001,B2066,$E$2:$E$5001,"Em ajustes"),1,0),0))</f>
        <v/>
      </c>
      <c r="N2066" s="17" t="str">
        <f aca="false">IF(A2066="","",IF(ISNUMBER(A2066),A2066,IFERROR(DATE(VALUE(MID(A2066,7,4)),VALUE(MID(A2066,4,2)),VALUE(MID(A2066,1,2)))+TIME(VALUE(MID(A2066,12,2)),VALUE(MID(A2066,15,2)),VALUE(MID(A2066,18,2))),"")))</f>
        <v/>
      </c>
    </row>
    <row r="2067" customFormat="false" ht="15" hidden="false" customHeight="false" outlineLevel="0" collapsed="false">
      <c r="I2067" s="15" t="str">
        <f aca="false">IF(N2067="","",INT(N2067))</f>
        <v/>
      </c>
      <c r="J2067" s="16" t="str">
        <f aca="false">IF(B2067="","",IF(N2067=_xlfn.MINIFS($N$2:$N$5001,$B$2:$B$5001,B2067),1,0))</f>
        <v/>
      </c>
      <c r="K2067" s="16" t="str">
        <f aca="false">IF(B2067="","",IF(AND(D2067="Formalização",E2067="Concluído"),IF(COUNTIFS($B$2:$B$5001,B2067,$E$2:$E$5001,"Em ajustes",$N$2:$N$5001,"&lt;"&amp;I2067)&gt;0,1,0),0))</f>
        <v/>
      </c>
      <c r="L2067" s="16" t="str">
        <f aca="false">IF(B2067="","",IF(N2067=_xlfn.MAXIFS($N$2:$N$5001,$B$2:$B$5001,B2067,$I$2:$I$5001,I2067),1,0))</f>
        <v/>
      </c>
      <c r="M2067" s="16" t="str">
        <f aca="false">IF(B2067="","",IF(E2067="Em ajustes",IF(N2067=_xlfn.MINIFS($N$2:$N$5001,$B$2:$B$5001,B2067,$E$2:$E$5001,"Em ajustes"),1,0),0))</f>
        <v/>
      </c>
      <c r="N2067" s="17" t="str">
        <f aca="false">IF(A2067="","",IF(ISNUMBER(A2067),A2067,IFERROR(DATE(VALUE(MID(A2067,7,4)),VALUE(MID(A2067,4,2)),VALUE(MID(A2067,1,2)))+TIME(VALUE(MID(A2067,12,2)),VALUE(MID(A2067,15,2)),VALUE(MID(A2067,18,2))),"")))</f>
        <v/>
      </c>
    </row>
    <row r="2068" customFormat="false" ht="15" hidden="false" customHeight="false" outlineLevel="0" collapsed="false">
      <c r="I2068" s="15" t="str">
        <f aca="false">IF(N2068="","",INT(N2068))</f>
        <v/>
      </c>
      <c r="J2068" s="16" t="str">
        <f aca="false">IF(B2068="","",IF(N2068=_xlfn.MINIFS($N$2:$N$5001,$B$2:$B$5001,B2068),1,0))</f>
        <v/>
      </c>
      <c r="K2068" s="16" t="str">
        <f aca="false">IF(B2068="","",IF(AND(D2068="Formalização",E2068="Concluído"),IF(COUNTIFS($B$2:$B$5001,B2068,$E$2:$E$5001,"Em ajustes",$N$2:$N$5001,"&lt;"&amp;I2068)&gt;0,1,0),0))</f>
        <v/>
      </c>
      <c r="L2068" s="16" t="str">
        <f aca="false">IF(B2068="","",IF(N2068=_xlfn.MAXIFS($N$2:$N$5001,$B$2:$B$5001,B2068,$I$2:$I$5001,I2068),1,0))</f>
        <v/>
      </c>
      <c r="M2068" s="16" t="str">
        <f aca="false">IF(B2068="","",IF(E2068="Em ajustes",IF(N2068=_xlfn.MINIFS($N$2:$N$5001,$B$2:$B$5001,B2068,$E$2:$E$5001,"Em ajustes"),1,0),0))</f>
        <v/>
      </c>
      <c r="N2068" s="17" t="str">
        <f aca="false">IF(A2068="","",IF(ISNUMBER(A2068),A2068,IFERROR(DATE(VALUE(MID(A2068,7,4)),VALUE(MID(A2068,4,2)),VALUE(MID(A2068,1,2)))+TIME(VALUE(MID(A2068,12,2)),VALUE(MID(A2068,15,2)),VALUE(MID(A2068,18,2))),"")))</f>
        <v/>
      </c>
    </row>
    <row r="2069" customFormat="false" ht="15" hidden="false" customHeight="false" outlineLevel="0" collapsed="false">
      <c r="I2069" s="15" t="str">
        <f aca="false">IF(N2069="","",INT(N2069))</f>
        <v/>
      </c>
      <c r="J2069" s="16" t="str">
        <f aca="false">IF(B2069="","",IF(N2069=_xlfn.MINIFS($N$2:$N$5001,$B$2:$B$5001,B2069),1,0))</f>
        <v/>
      </c>
      <c r="K2069" s="16" t="str">
        <f aca="false">IF(B2069="","",IF(AND(D2069="Formalização",E2069="Concluído"),IF(COUNTIFS($B$2:$B$5001,B2069,$E$2:$E$5001,"Em ajustes",$N$2:$N$5001,"&lt;"&amp;I2069)&gt;0,1,0),0))</f>
        <v/>
      </c>
      <c r="L2069" s="16" t="str">
        <f aca="false">IF(B2069="","",IF(N2069=_xlfn.MAXIFS($N$2:$N$5001,$B$2:$B$5001,B2069,$I$2:$I$5001,I2069),1,0))</f>
        <v/>
      </c>
      <c r="M2069" s="16" t="str">
        <f aca="false">IF(B2069="","",IF(E2069="Em ajustes",IF(N2069=_xlfn.MINIFS($N$2:$N$5001,$B$2:$B$5001,B2069,$E$2:$E$5001,"Em ajustes"),1,0),0))</f>
        <v/>
      </c>
      <c r="N2069" s="17" t="str">
        <f aca="false">IF(A2069="","",IF(ISNUMBER(A2069),A2069,IFERROR(DATE(VALUE(MID(A2069,7,4)),VALUE(MID(A2069,4,2)),VALUE(MID(A2069,1,2)))+TIME(VALUE(MID(A2069,12,2)),VALUE(MID(A2069,15,2)),VALUE(MID(A2069,18,2))),"")))</f>
        <v/>
      </c>
    </row>
    <row r="2070" customFormat="false" ht="15" hidden="false" customHeight="false" outlineLevel="0" collapsed="false">
      <c r="I2070" s="15" t="str">
        <f aca="false">IF(N2070="","",INT(N2070))</f>
        <v/>
      </c>
      <c r="J2070" s="16" t="str">
        <f aca="false">IF(B2070="","",IF(N2070=_xlfn.MINIFS($N$2:$N$5001,$B$2:$B$5001,B2070),1,0))</f>
        <v/>
      </c>
      <c r="K2070" s="16" t="str">
        <f aca="false">IF(B2070="","",IF(AND(D2070="Formalização",E2070="Concluído"),IF(COUNTIFS($B$2:$B$5001,B2070,$E$2:$E$5001,"Em ajustes",$N$2:$N$5001,"&lt;"&amp;I2070)&gt;0,1,0),0))</f>
        <v/>
      </c>
      <c r="L2070" s="16" t="str">
        <f aca="false">IF(B2070="","",IF(N2070=_xlfn.MAXIFS($N$2:$N$5001,$B$2:$B$5001,B2070,$I$2:$I$5001,I2070),1,0))</f>
        <v/>
      </c>
      <c r="M2070" s="16" t="str">
        <f aca="false">IF(B2070="","",IF(E2070="Em ajustes",IF(N2070=_xlfn.MINIFS($N$2:$N$5001,$B$2:$B$5001,B2070,$E$2:$E$5001,"Em ajustes"),1,0),0))</f>
        <v/>
      </c>
      <c r="N2070" s="17" t="str">
        <f aca="false">IF(A2070="","",IF(ISNUMBER(A2070),A2070,IFERROR(DATE(VALUE(MID(A2070,7,4)),VALUE(MID(A2070,4,2)),VALUE(MID(A2070,1,2)))+TIME(VALUE(MID(A2070,12,2)),VALUE(MID(A2070,15,2)),VALUE(MID(A2070,18,2))),"")))</f>
        <v/>
      </c>
    </row>
    <row r="2071" customFormat="false" ht="15" hidden="false" customHeight="false" outlineLevel="0" collapsed="false">
      <c r="I2071" s="15" t="str">
        <f aca="false">IF(N2071="","",INT(N2071))</f>
        <v/>
      </c>
      <c r="J2071" s="16" t="str">
        <f aca="false">IF(B2071="","",IF(N2071=_xlfn.MINIFS($N$2:$N$5001,$B$2:$B$5001,B2071),1,0))</f>
        <v/>
      </c>
      <c r="K2071" s="16" t="str">
        <f aca="false">IF(B2071="","",IF(AND(D2071="Formalização",E2071="Concluído"),IF(COUNTIFS($B$2:$B$5001,B2071,$E$2:$E$5001,"Em ajustes",$N$2:$N$5001,"&lt;"&amp;I2071)&gt;0,1,0),0))</f>
        <v/>
      </c>
      <c r="L2071" s="16" t="str">
        <f aca="false">IF(B2071="","",IF(N2071=_xlfn.MAXIFS($N$2:$N$5001,$B$2:$B$5001,B2071,$I$2:$I$5001,I2071),1,0))</f>
        <v/>
      </c>
      <c r="M2071" s="16" t="str">
        <f aca="false">IF(B2071="","",IF(E2071="Em ajustes",IF(N2071=_xlfn.MINIFS($N$2:$N$5001,$B$2:$B$5001,B2071,$E$2:$E$5001,"Em ajustes"),1,0),0))</f>
        <v/>
      </c>
      <c r="N2071" s="17" t="str">
        <f aca="false">IF(A2071="","",IF(ISNUMBER(A2071),A2071,IFERROR(DATE(VALUE(MID(A2071,7,4)),VALUE(MID(A2071,4,2)),VALUE(MID(A2071,1,2)))+TIME(VALUE(MID(A2071,12,2)),VALUE(MID(A2071,15,2)),VALUE(MID(A2071,18,2))),"")))</f>
        <v/>
      </c>
    </row>
    <row r="2072" customFormat="false" ht="15" hidden="false" customHeight="false" outlineLevel="0" collapsed="false">
      <c r="I2072" s="15" t="str">
        <f aca="false">IF(N2072="","",INT(N2072))</f>
        <v/>
      </c>
      <c r="J2072" s="16" t="str">
        <f aca="false">IF(B2072="","",IF(N2072=_xlfn.MINIFS($N$2:$N$5001,$B$2:$B$5001,B2072),1,0))</f>
        <v/>
      </c>
      <c r="K2072" s="16" t="str">
        <f aca="false">IF(B2072="","",IF(AND(D2072="Formalização",E2072="Concluído"),IF(COUNTIFS($B$2:$B$5001,B2072,$E$2:$E$5001,"Em ajustes",$N$2:$N$5001,"&lt;"&amp;I2072)&gt;0,1,0),0))</f>
        <v/>
      </c>
      <c r="L2072" s="16" t="str">
        <f aca="false">IF(B2072="","",IF(N2072=_xlfn.MAXIFS($N$2:$N$5001,$B$2:$B$5001,B2072,$I$2:$I$5001,I2072),1,0))</f>
        <v/>
      </c>
      <c r="M2072" s="16" t="str">
        <f aca="false">IF(B2072="","",IF(E2072="Em ajustes",IF(N2072=_xlfn.MINIFS($N$2:$N$5001,$B$2:$B$5001,B2072,$E$2:$E$5001,"Em ajustes"),1,0),0))</f>
        <v/>
      </c>
      <c r="N2072" s="17" t="str">
        <f aca="false">IF(A2072="","",IF(ISNUMBER(A2072),A2072,IFERROR(DATE(VALUE(MID(A2072,7,4)),VALUE(MID(A2072,4,2)),VALUE(MID(A2072,1,2)))+TIME(VALUE(MID(A2072,12,2)),VALUE(MID(A2072,15,2)),VALUE(MID(A2072,18,2))),"")))</f>
        <v/>
      </c>
    </row>
    <row r="2073" customFormat="false" ht="15" hidden="false" customHeight="false" outlineLevel="0" collapsed="false">
      <c r="I2073" s="15" t="str">
        <f aca="false">IF(N2073="","",INT(N2073))</f>
        <v/>
      </c>
      <c r="J2073" s="16" t="str">
        <f aca="false">IF(B2073="","",IF(N2073=_xlfn.MINIFS($N$2:$N$5001,$B$2:$B$5001,B2073),1,0))</f>
        <v/>
      </c>
      <c r="K2073" s="16" t="str">
        <f aca="false">IF(B2073="","",IF(AND(D2073="Formalização",E2073="Concluído"),IF(COUNTIFS($B$2:$B$5001,B2073,$E$2:$E$5001,"Em ajustes",$N$2:$N$5001,"&lt;"&amp;I2073)&gt;0,1,0),0))</f>
        <v/>
      </c>
      <c r="L2073" s="16" t="str">
        <f aca="false">IF(B2073="","",IF(N2073=_xlfn.MAXIFS($N$2:$N$5001,$B$2:$B$5001,B2073,$I$2:$I$5001,I2073),1,0))</f>
        <v/>
      </c>
      <c r="M2073" s="16" t="str">
        <f aca="false">IF(B2073="","",IF(E2073="Em ajustes",IF(N2073=_xlfn.MINIFS($N$2:$N$5001,$B$2:$B$5001,B2073,$E$2:$E$5001,"Em ajustes"),1,0),0))</f>
        <v/>
      </c>
      <c r="N2073" s="17" t="str">
        <f aca="false">IF(A2073="","",IF(ISNUMBER(A2073),A2073,IFERROR(DATE(VALUE(MID(A2073,7,4)),VALUE(MID(A2073,4,2)),VALUE(MID(A2073,1,2)))+TIME(VALUE(MID(A2073,12,2)),VALUE(MID(A2073,15,2)),VALUE(MID(A2073,18,2))),"")))</f>
        <v/>
      </c>
    </row>
    <row r="2074" customFormat="false" ht="15" hidden="false" customHeight="false" outlineLevel="0" collapsed="false">
      <c r="I2074" s="15" t="str">
        <f aca="false">IF(N2074="","",INT(N2074))</f>
        <v/>
      </c>
      <c r="J2074" s="16" t="str">
        <f aca="false">IF(B2074="","",IF(N2074=_xlfn.MINIFS($N$2:$N$5001,$B$2:$B$5001,B2074),1,0))</f>
        <v/>
      </c>
      <c r="K2074" s="16" t="str">
        <f aca="false">IF(B2074="","",IF(AND(D2074="Formalização",E2074="Concluído"),IF(COUNTIFS($B$2:$B$5001,B2074,$E$2:$E$5001,"Em ajustes",$N$2:$N$5001,"&lt;"&amp;I2074)&gt;0,1,0),0))</f>
        <v/>
      </c>
      <c r="L2074" s="16" t="str">
        <f aca="false">IF(B2074="","",IF(N2074=_xlfn.MAXIFS($N$2:$N$5001,$B$2:$B$5001,B2074,$I$2:$I$5001,I2074),1,0))</f>
        <v/>
      </c>
      <c r="M2074" s="16" t="str">
        <f aca="false">IF(B2074="","",IF(E2074="Em ajustes",IF(N2074=_xlfn.MINIFS($N$2:$N$5001,$B$2:$B$5001,B2074,$E$2:$E$5001,"Em ajustes"),1,0),0))</f>
        <v/>
      </c>
      <c r="N2074" s="17" t="str">
        <f aca="false">IF(A2074="","",IF(ISNUMBER(A2074),A2074,IFERROR(DATE(VALUE(MID(A2074,7,4)),VALUE(MID(A2074,4,2)),VALUE(MID(A2074,1,2)))+TIME(VALUE(MID(A2074,12,2)),VALUE(MID(A2074,15,2)),VALUE(MID(A2074,18,2))),"")))</f>
        <v/>
      </c>
    </row>
    <row r="2075" customFormat="false" ht="15" hidden="false" customHeight="false" outlineLevel="0" collapsed="false">
      <c r="I2075" s="15" t="str">
        <f aca="false">IF(N2075="","",INT(N2075))</f>
        <v/>
      </c>
      <c r="J2075" s="16" t="str">
        <f aca="false">IF(B2075="","",IF(N2075=_xlfn.MINIFS($N$2:$N$5001,$B$2:$B$5001,B2075),1,0))</f>
        <v/>
      </c>
      <c r="K2075" s="16" t="str">
        <f aca="false">IF(B2075="","",IF(AND(D2075="Formalização",E2075="Concluído"),IF(COUNTIFS($B$2:$B$5001,B2075,$E$2:$E$5001,"Em ajustes",$N$2:$N$5001,"&lt;"&amp;I2075)&gt;0,1,0),0))</f>
        <v/>
      </c>
      <c r="L2075" s="16" t="str">
        <f aca="false">IF(B2075="","",IF(N2075=_xlfn.MAXIFS($N$2:$N$5001,$B$2:$B$5001,B2075,$I$2:$I$5001,I2075),1,0))</f>
        <v/>
      </c>
      <c r="M2075" s="16" t="str">
        <f aca="false">IF(B2075="","",IF(E2075="Em ajustes",IF(N2075=_xlfn.MINIFS($N$2:$N$5001,$B$2:$B$5001,B2075,$E$2:$E$5001,"Em ajustes"),1,0),0))</f>
        <v/>
      </c>
      <c r="N2075" s="17" t="str">
        <f aca="false">IF(A2075="","",IF(ISNUMBER(A2075),A2075,IFERROR(DATE(VALUE(MID(A2075,7,4)),VALUE(MID(A2075,4,2)),VALUE(MID(A2075,1,2)))+TIME(VALUE(MID(A2075,12,2)),VALUE(MID(A2075,15,2)),VALUE(MID(A2075,18,2))),"")))</f>
        <v/>
      </c>
    </row>
    <row r="2076" customFormat="false" ht="15" hidden="false" customHeight="false" outlineLevel="0" collapsed="false">
      <c r="I2076" s="15" t="str">
        <f aca="false">IF(N2076="","",INT(N2076))</f>
        <v/>
      </c>
      <c r="J2076" s="16" t="str">
        <f aca="false">IF(B2076="","",IF(N2076=_xlfn.MINIFS($N$2:$N$5001,$B$2:$B$5001,B2076),1,0))</f>
        <v/>
      </c>
      <c r="K2076" s="16" t="str">
        <f aca="false">IF(B2076="","",IF(AND(D2076="Formalização",E2076="Concluído"),IF(COUNTIFS($B$2:$B$5001,B2076,$E$2:$E$5001,"Em ajustes",$N$2:$N$5001,"&lt;"&amp;I2076)&gt;0,1,0),0))</f>
        <v/>
      </c>
      <c r="L2076" s="16" t="str">
        <f aca="false">IF(B2076="","",IF(N2076=_xlfn.MAXIFS($N$2:$N$5001,$B$2:$B$5001,B2076,$I$2:$I$5001,I2076),1,0))</f>
        <v/>
      </c>
      <c r="M2076" s="16" t="str">
        <f aca="false">IF(B2076="","",IF(E2076="Em ajustes",IF(N2076=_xlfn.MINIFS($N$2:$N$5001,$B$2:$B$5001,B2076,$E$2:$E$5001,"Em ajustes"),1,0),0))</f>
        <v/>
      </c>
      <c r="N2076" s="17" t="str">
        <f aca="false">IF(A2076="","",IF(ISNUMBER(A2076),A2076,IFERROR(DATE(VALUE(MID(A2076,7,4)),VALUE(MID(A2076,4,2)),VALUE(MID(A2076,1,2)))+TIME(VALUE(MID(A2076,12,2)),VALUE(MID(A2076,15,2)),VALUE(MID(A2076,18,2))),"")))</f>
        <v/>
      </c>
    </row>
    <row r="2077" customFormat="false" ht="15" hidden="false" customHeight="false" outlineLevel="0" collapsed="false">
      <c r="I2077" s="15" t="str">
        <f aca="false">IF(N2077="","",INT(N2077))</f>
        <v/>
      </c>
      <c r="J2077" s="16" t="str">
        <f aca="false">IF(B2077="","",IF(N2077=_xlfn.MINIFS($N$2:$N$5001,$B$2:$B$5001,B2077),1,0))</f>
        <v/>
      </c>
      <c r="K2077" s="16" t="str">
        <f aca="false">IF(B2077="","",IF(AND(D2077="Formalização",E2077="Concluído"),IF(COUNTIFS($B$2:$B$5001,B2077,$E$2:$E$5001,"Em ajustes",$N$2:$N$5001,"&lt;"&amp;I2077)&gt;0,1,0),0))</f>
        <v/>
      </c>
      <c r="L2077" s="16" t="str">
        <f aca="false">IF(B2077="","",IF(N2077=_xlfn.MAXIFS($N$2:$N$5001,$B$2:$B$5001,B2077,$I$2:$I$5001,I2077),1,0))</f>
        <v/>
      </c>
      <c r="M2077" s="16" t="str">
        <f aca="false">IF(B2077="","",IF(E2077="Em ajustes",IF(N2077=_xlfn.MINIFS($N$2:$N$5001,$B$2:$B$5001,B2077,$E$2:$E$5001,"Em ajustes"),1,0),0))</f>
        <v/>
      </c>
      <c r="N2077" s="17" t="str">
        <f aca="false">IF(A2077="","",IF(ISNUMBER(A2077),A2077,IFERROR(DATE(VALUE(MID(A2077,7,4)),VALUE(MID(A2077,4,2)),VALUE(MID(A2077,1,2)))+TIME(VALUE(MID(A2077,12,2)),VALUE(MID(A2077,15,2)),VALUE(MID(A2077,18,2))),"")))</f>
        <v/>
      </c>
    </row>
    <row r="2078" customFormat="false" ht="15" hidden="false" customHeight="false" outlineLevel="0" collapsed="false">
      <c r="I2078" s="15" t="str">
        <f aca="false">IF(N2078="","",INT(N2078))</f>
        <v/>
      </c>
      <c r="J2078" s="16" t="str">
        <f aca="false">IF(B2078="","",IF(N2078=_xlfn.MINIFS($N$2:$N$5001,$B$2:$B$5001,B2078),1,0))</f>
        <v/>
      </c>
      <c r="K2078" s="16" t="str">
        <f aca="false">IF(B2078="","",IF(AND(D2078="Formalização",E2078="Concluído"),IF(COUNTIFS($B$2:$B$5001,B2078,$E$2:$E$5001,"Em ajustes",$N$2:$N$5001,"&lt;"&amp;I2078)&gt;0,1,0),0))</f>
        <v/>
      </c>
      <c r="L2078" s="16" t="str">
        <f aca="false">IF(B2078="","",IF(N2078=_xlfn.MAXIFS($N$2:$N$5001,$B$2:$B$5001,B2078,$I$2:$I$5001,I2078),1,0))</f>
        <v/>
      </c>
      <c r="M2078" s="16" t="str">
        <f aca="false">IF(B2078="","",IF(E2078="Em ajustes",IF(N2078=_xlfn.MINIFS($N$2:$N$5001,$B$2:$B$5001,B2078,$E$2:$E$5001,"Em ajustes"),1,0),0))</f>
        <v/>
      </c>
      <c r="N2078" s="17" t="str">
        <f aca="false">IF(A2078="","",IF(ISNUMBER(A2078),A2078,IFERROR(DATE(VALUE(MID(A2078,7,4)),VALUE(MID(A2078,4,2)),VALUE(MID(A2078,1,2)))+TIME(VALUE(MID(A2078,12,2)),VALUE(MID(A2078,15,2)),VALUE(MID(A2078,18,2))),"")))</f>
        <v/>
      </c>
    </row>
    <row r="2079" customFormat="false" ht="15" hidden="false" customHeight="false" outlineLevel="0" collapsed="false">
      <c r="I2079" s="15" t="str">
        <f aca="false">IF(N2079="","",INT(N2079))</f>
        <v/>
      </c>
      <c r="J2079" s="16" t="str">
        <f aca="false">IF(B2079="","",IF(N2079=_xlfn.MINIFS($N$2:$N$5001,$B$2:$B$5001,B2079),1,0))</f>
        <v/>
      </c>
      <c r="K2079" s="16" t="str">
        <f aca="false">IF(B2079="","",IF(AND(D2079="Formalização",E2079="Concluído"),IF(COUNTIFS($B$2:$B$5001,B2079,$E$2:$E$5001,"Em ajustes",$N$2:$N$5001,"&lt;"&amp;I2079)&gt;0,1,0),0))</f>
        <v/>
      </c>
      <c r="L2079" s="16" t="str">
        <f aca="false">IF(B2079="","",IF(N2079=_xlfn.MAXIFS($N$2:$N$5001,$B$2:$B$5001,B2079,$I$2:$I$5001,I2079),1,0))</f>
        <v/>
      </c>
      <c r="M2079" s="16" t="str">
        <f aca="false">IF(B2079="","",IF(E2079="Em ajustes",IF(N2079=_xlfn.MINIFS($N$2:$N$5001,$B$2:$B$5001,B2079,$E$2:$E$5001,"Em ajustes"),1,0),0))</f>
        <v/>
      </c>
      <c r="N2079" s="17" t="str">
        <f aca="false">IF(A2079="","",IF(ISNUMBER(A2079),A2079,IFERROR(DATE(VALUE(MID(A2079,7,4)),VALUE(MID(A2079,4,2)),VALUE(MID(A2079,1,2)))+TIME(VALUE(MID(A2079,12,2)),VALUE(MID(A2079,15,2)),VALUE(MID(A2079,18,2))),"")))</f>
        <v/>
      </c>
    </row>
    <row r="2080" customFormat="false" ht="15" hidden="false" customHeight="false" outlineLevel="0" collapsed="false">
      <c r="I2080" s="15" t="str">
        <f aca="false">IF(N2080="","",INT(N2080))</f>
        <v/>
      </c>
      <c r="J2080" s="16" t="str">
        <f aca="false">IF(B2080="","",IF(N2080=_xlfn.MINIFS($N$2:$N$5001,$B$2:$B$5001,B2080),1,0))</f>
        <v/>
      </c>
      <c r="K2080" s="16" t="str">
        <f aca="false">IF(B2080="","",IF(AND(D2080="Formalização",E2080="Concluído"),IF(COUNTIFS($B$2:$B$5001,B2080,$E$2:$E$5001,"Em ajustes",$N$2:$N$5001,"&lt;"&amp;I2080)&gt;0,1,0),0))</f>
        <v/>
      </c>
      <c r="L2080" s="16" t="str">
        <f aca="false">IF(B2080="","",IF(N2080=_xlfn.MAXIFS($N$2:$N$5001,$B$2:$B$5001,B2080,$I$2:$I$5001,I2080),1,0))</f>
        <v/>
      </c>
      <c r="M2080" s="16" t="str">
        <f aca="false">IF(B2080="","",IF(E2080="Em ajustes",IF(N2080=_xlfn.MINIFS($N$2:$N$5001,$B$2:$B$5001,B2080,$E$2:$E$5001,"Em ajustes"),1,0),0))</f>
        <v/>
      </c>
      <c r="N2080" s="17" t="str">
        <f aca="false">IF(A2080="","",IF(ISNUMBER(A2080),A2080,IFERROR(DATE(VALUE(MID(A2080,7,4)),VALUE(MID(A2080,4,2)),VALUE(MID(A2080,1,2)))+TIME(VALUE(MID(A2080,12,2)),VALUE(MID(A2080,15,2)),VALUE(MID(A2080,18,2))),"")))</f>
        <v/>
      </c>
    </row>
    <row r="2081" customFormat="false" ht="15" hidden="false" customHeight="false" outlineLevel="0" collapsed="false">
      <c r="I2081" s="15" t="str">
        <f aca="false">IF(N2081="","",INT(N2081))</f>
        <v/>
      </c>
      <c r="J2081" s="16" t="str">
        <f aca="false">IF(B2081="","",IF(N2081=_xlfn.MINIFS($N$2:$N$5001,$B$2:$B$5001,B2081),1,0))</f>
        <v/>
      </c>
      <c r="K2081" s="16" t="str">
        <f aca="false">IF(B2081="","",IF(AND(D2081="Formalização",E2081="Concluído"),IF(COUNTIFS($B$2:$B$5001,B2081,$E$2:$E$5001,"Em ajustes",$N$2:$N$5001,"&lt;"&amp;I2081)&gt;0,1,0),0))</f>
        <v/>
      </c>
      <c r="L2081" s="16" t="str">
        <f aca="false">IF(B2081="","",IF(N2081=_xlfn.MAXIFS($N$2:$N$5001,$B$2:$B$5001,B2081,$I$2:$I$5001,I2081),1,0))</f>
        <v/>
      </c>
      <c r="M2081" s="16" t="str">
        <f aca="false">IF(B2081="","",IF(E2081="Em ajustes",IF(N2081=_xlfn.MINIFS($N$2:$N$5001,$B$2:$B$5001,B2081,$E$2:$E$5001,"Em ajustes"),1,0),0))</f>
        <v/>
      </c>
      <c r="N2081" s="17" t="str">
        <f aca="false">IF(A2081="","",IF(ISNUMBER(A2081),A2081,IFERROR(DATE(VALUE(MID(A2081,7,4)),VALUE(MID(A2081,4,2)),VALUE(MID(A2081,1,2)))+TIME(VALUE(MID(A2081,12,2)),VALUE(MID(A2081,15,2)),VALUE(MID(A2081,18,2))),"")))</f>
        <v/>
      </c>
    </row>
    <row r="2082" customFormat="false" ht="15" hidden="false" customHeight="false" outlineLevel="0" collapsed="false">
      <c r="I2082" s="15" t="str">
        <f aca="false">IF(N2082="","",INT(N2082))</f>
        <v/>
      </c>
      <c r="J2082" s="16" t="str">
        <f aca="false">IF(B2082="","",IF(N2082=_xlfn.MINIFS($N$2:$N$5001,$B$2:$B$5001,B2082),1,0))</f>
        <v/>
      </c>
      <c r="K2082" s="16" t="str">
        <f aca="false">IF(B2082="","",IF(AND(D2082="Formalização",E2082="Concluído"),IF(COUNTIFS($B$2:$B$5001,B2082,$E$2:$E$5001,"Em ajustes",$N$2:$N$5001,"&lt;"&amp;I2082)&gt;0,1,0),0))</f>
        <v/>
      </c>
      <c r="L2082" s="16" t="str">
        <f aca="false">IF(B2082="","",IF(N2082=_xlfn.MAXIFS($N$2:$N$5001,$B$2:$B$5001,B2082,$I$2:$I$5001,I2082),1,0))</f>
        <v/>
      </c>
      <c r="M2082" s="16" t="str">
        <f aca="false">IF(B2082="","",IF(E2082="Em ajustes",IF(N2082=_xlfn.MINIFS($N$2:$N$5001,$B$2:$B$5001,B2082,$E$2:$E$5001,"Em ajustes"),1,0),0))</f>
        <v/>
      </c>
      <c r="N2082" s="17" t="str">
        <f aca="false">IF(A2082="","",IF(ISNUMBER(A2082),A2082,IFERROR(DATE(VALUE(MID(A2082,7,4)),VALUE(MID(A2082,4,2)),VALUE(MID(A2082,1,2)))+TIME(VALUE(MID(A2082,12,2)),VALUE(MID(A2082,15,2)),VALUE(MID(A2082,18,2))),"")))</f>
        <v/>
      </c>
    </row>
    <row r="2083" customFormat="false" ht="15" hidden="false" customHeight="false" outlineLevel="0" collapsed="false">
      <c r="I2083" s="15" t="str">
        <f aca="false">IF(N2083="","",INT(N2083))</f>
        <v/>
      </c>
      <c r="J2083" s="16" t="str">
        <f aca="false">IF(B2083="","",IF(N2083=_xlfn.MINIFS($N$2:$N$5001,$B$2:$B$5001,B2083),1,0))</f>
        <v/>
      </c>
      <c r="K2083" s="16" t="str">
        <f aca="false">IF(B2083="","",IF(AND(D2083="Formalização",E2083="Concluído"),IF(COUNTIFS($B$2:$B$5001,B2083,$E$2:$E$5001,"Em ajustes",$N$2:$N$5001,"&lt;"&amp;I2083)&gt;0,1,0),0))</f>
        <v/>
      </c>
      <c r="L2083" s="16" t="str">
        <f aca="false">IF(B2083="","",IF(N2083=_xlfn.MAXIFS($N$2:$N$5001,$B$2:$B$5001,B2083,$I$2:$I$5001,I2083),1,0))</f>
        <v/>
      </c>
      <c r="M2083" s="16" t="str">
        <f aca="false">IF(B2083="","",IF(E2083="Em ajustes",IF(N2083=_xlfn.MINIFS($N$2:$N$5001,$B$2:$B$5001,B2083,$E$2:$E$5001,"Em ajustes"),1,0),0))</f>
        <v/>
      </c>
      <c r="N2083" s="17" t="str">
        <f aca="false">IF(A2083="","",IF(ISNUMBER(A2083),A2083,IFERROR(DATE(VALUE(MID(A2083,7,4)),VALUE(MID(A2083,4,2)),VALUE(MID(A2083,1,2)))+TIME(VALUE(MID(A2083,12,2)),VALUE(MID(A2083,15,2)),VALUE(MID(A2083,18,2))),"")))</f>
        <v/>
      </c>
    </row>
    <row r="2084" customFormat="false" ht="15" hidden="false" customHeight="false" outlineLevel="0" collapsed="false">
      <c r="I2084" s="15" t="str">
        <f aca="false">IF(N2084="","",INT(N2084))</f>
        <v/>
      </c>
      <c r="J2084" s="16" t="str">
        <f aca="false">IF(B2084="","",IF(N2084=_xlfn.MINIFS($N$2:$N$5001,$B$2:$B$5001,B2084),1,0))</f>
        <v/>
      </c>
      <c r="K2084" s="16" t="str">
        <f aca="false">IF(B2084="","",IF(AND(D2084="Formalização",E2084="Concluído"),IF(COUNTIFS($B$2:$B$5001,B2084,$E$2:$E$5001,"Em ajustes",$N$2:$N$5001,"&lt;"&amp;I2084)&gt;0,1,0),0))</f>
        <v/>
      </c>
      <c r="L2084" s="16" t="str">
        <f aca="false">IF(B2084="","",IF(N2084=_xlfn.MAXIFS($N$2:$N$5001,$B$2:$B$5001,B2084,$I$2:$I$5001,I2084),1,0))</f>
        <v/>
      </c>
      <c r="M2084" s="16" t="str">
        <f aca="false">IF(B2084="","",IF(E2084="Em ajustes",IF(N2084=_xlfn.MINIFS($N$2:$N$5001,$B$2:$B$5001,B2084,$E$2:$E$5001,"Em ajustes"),1,0),0))</f>
        <v/>
      </c>
      <c r="N2084" s="17" t="str">
        <f aca="false">IF(A2084="","",IF(ISNUMBER(A2084),A2084,IFERROR(DATE(VALUE(MID(A2084,7,4)),VALUE(MID(A2084,4,2)),VALUE(MID(A2084,1,2)))+TIME(VALUE(MID(A2084,12,2)),VALUE(MID(A2084,15,2)),VALUE(MID(A2084,18,2))),"")))</f>
        <v/>
      </c>
    </row>
    <row r="2085" customFormat="false" ht="15" hidden="false" customHeight="false" outlineLevel="0" collapsed="false">
      <c r="I2085" s="15" t="str">
        <f aca="false">IF(N2085="","",INT(N2085))</f>
        <v/>
      </c>
      <c r="J2085" s="16" t="str">
        <f aca="false">IF(B2085="","",IF(N2085=_xlfn.MINIFS($N$2:$N$5001,$B$2:$B$5001,B2085),1,0))</f>
        <v/>
      </c>
      <c r="K2085" s="16" t="str">
        <f aca="false">IF(B2085="","",IF(AND(D2085="Formalização",E2085="Concluído"),IF(COUNTIFS($B$2:$B$5001,B2085,$E$2:$E$5001,"Em ajustes",$N$2:$N$5001,"&lt;"&amp;I2085)&gt;0,1,0),0))</f>
        <v/>
      </c>
      <c r="L2085" s="16" t="str">
        <f aca="false">IF(B2085="","",IF(N2085=_xlfn.MAXIFS($N$2:$N$5001,$B$2:$B$5001,B2085,$I$2:$I$5001,I2085),1,0))</f>
        <v/>
      </c>
      <c r="M2085" s="16" t="str">
        <f aca="false">IF(B2085="","",IF(E2085="Em ajustes",IF(N2085=_xlfn.MINIFS($N$2:$N$5001,$B$2:$B$5001,B2085,$E$2:$E$5001,"Em ajustes"),1,0),0))</f>
        <v/>
      </c>
      <c r="N2085" s="17" t="str">
        <f aca="false">IF(A2085="","",IF(ISNUMBER(A2085),A2085,IFERROR(DATE(VALUE(MID(A2085,7,4)),VALUE(MID(A2085,4,2)),VALUE(MID(A2085,1,2)))+TIME(VALUE(MID(A2085,12,2)),VALUE(MID(A2085,15,2)),VALUE(MID(A2085,18,2))),"")))</f>
        <v/>
      </c>
    </row>
    <row r="2086" customFormat="false" ht="15" hidden="false" customHeight="false" outlineLevel="0" collapsed="false">
      <c r="I2086" s="15" t="str">
        <f aca="false">IF(N2086="","",INT(N2086))</f>
        <v/>
      </c>
      <c r="J2086" s="16" t="str">
        <f aca="false">IF(B2086="","",IF(N2086=_xlfn.MINIFS($N$2:$N$5001,$B$2:$B$5001,B2086),1,0))</f>
        <v/>
      </c>
      <c r="K2086" s="16" t="str">
        <f aca="false">IF(B2086="","",IF(AND(D2086="Formalização",E2086="Concluído"),IF(COUNTIFS($B$2:$B$5001,B2086,$E$2:$E$5001,"Em ajustes",$N$2:$N$5001,"&lt;"&amp;I2086)&gt;0,1,0),0))</f>
        <v/>
      </c>
      <c r="L2086" s="16" t="str">
        <f aca="false">IF(B2086="","",IF(N2086=_xlfn.MAXIFS($N$2:$N$5001,$B$2:$B$5001,B2086,$I$2:$I$5001,I2086),1,0))</f>
        <v/>
      </c>
      <c r="M2086" s="16" t="str">
        <f aca="false">IF(B2086="","",IF(E2086="Em ajustes",IF(N2086=_xlfn.MINIFS($N$2:$N$5001,$B$2:$B$5001,B2086,$E$2:$E$5001,"Em ajustes"),1,0),0))</f>
        <v/>
      </c>
      <c r="N2086" s="17" t="str">
        <f aca="false">IF(A2086="","",IF(ISNUMBER(A2086),A2086,IFERROR(DATE(VALUE(MID(A2086,7,4)),VALUE(MID(A2086,4,2)),VALUE(MID(A2086,1,2)))+TIME(VALUE(MID(A2086,12,2)),VALUE(MID(A2086,15,2)),VALUE(MID(A2086,18,2))),"")))</f>
        <v/>
      </c>
    </row>
    <row r="2087" customFormat="false" ht="15" hidden="false" customHeight="false" outlineLevel="0" collapsed="false">
      <c r="I2087" s="15" t="str">
        <f aca="false">IF(N2087="","",INT(N2087))</f>
        <v/>
      </c>
      <c r="J2087" s="16" t="str">
        <f aca="false">IF(B2087="","",IF(N2087=_xlfn.MINIFS($N$2:$N$5001,$B$2:$B$5001,B2087),1,0))</f>
        <v/>
      </c>
      <c r="K2087" s="16" t="str">
        <f aca="false">IF(B2087="","",IF(AND(D2087="Formalização",E2087="Concluído"),IF(COUNTIFS($B$2:$B$5001,B2087,$E$2:$E$5001,"Em ajustes",$N$2:$N$5001,"&lt;"&amp;I2087)&gt;0,1,0),0))</f>
        <v/>
      </c>
      <c r="L2087" s="16" t="str">
        <f aca="false">IF(B2087="","",IF(N2087=_xlfn.MAXIFS($N$2:$N$5001,$B$2:$B$5001,B2087,$I$2:$I$5001,I2087),1,0))</f>
        <v/>
      </c>
      <c r="M2087" s="16" t="str">
        <f aca="false">IF(B2087="","",IF(E2087="Em ajustes",IF(N2087=_xlfn.MINIFS($N$2:$N$5001,$B$2:$B$5001,B2087,$E$2:$E$5001,"Em ajustes"),1,0),0))</f>
        <v/>
      </c>
      <c r="N2087" s="17" t="str">
        <f aca="false">IF(A2087="","",IF(ISNUMBER(A2087),A2087,IFERROR(DATE(VALUE(MID(A2087,7,4)),VALUE(MID(A2087,4,2)),VALUE(MID(A2087,1,2)))+TIME(VALUE(MID(A2087,12,2)),VALUE(MID(A2087,15,2)),VALUE(MID(A2087,18,2))),"")))</f>
        <v/>
      </c>
    </row>
    <row r="2088" customFormat="false" ht="15" hidden="false" customHeight="false" outlineLevel="0" collapsed="false">
      <c r="I2088" s="15" t="str">
        <f aca="false">IF(N2088="","",INT(N2088))</f>
        <v/>
      </c>
      <c r="J2088" s="16" t="str">
        <f aca="false">IF(B2088="","",IF(N2088=_xlfn.MINIFS($N$2:$N$5001,$B$2:$B$5001,B2088),1,0))</f>
        <v/>
      </c>
      <c r="K2088" s="16" t="str">
        <f aca="false">IF(B2088="","",IF(AND(D2088="Formalização",E2088="Concluído"),IF(COUNTIFS($B$2:$B$5001,B2088,$E$2:$E$5001,"Em ajustes",$N$2:$N$5001,"&lt;"&amp;I2088)&gt;0,1,0),0))</f>
        <v/>
      </c>
      <c r="L2088" s="16" t="str">
        <f aca="false">IF(B2088="","",IF(N2088=_xlfn.MAXIFS($N$2:$N$5001,$B$2:$B$5001,B2088,$I$2:$I$5001,I2088),1,0))</f>
        <v/>
      </c>
      <c r="M2088" s="16" t="str">
        <f aca="false">IF(B2088="","",IF(E2088="Em ajustes",IF(N2088=_xlfn.MINIFS($N$2:$N$5001,$B$2:$B$5001,B2088,$E$2:$E$5001,"Em ajustes"),1,0),0))</f>
        <v/>
      </c>
      <c r="N2088" s="17" t="str">
        <f aca="false">IF(A2088="","",IF(ISNUMBER(A2088),A2088,IFERROR(DATE(VALUE(MID(A2088,7,4)),VALUE(MID(A2088,4,2)),VALUE(MID(A2088,1,2)))+TIME(VALUE(MID(A2088,12,2)),VALUE(MID(A2088,15,2)),VALUE(MID(A2088,18,2))),"")))</f>
        <v/>
      </c>
    </row>
    <row r="2089" customFormat="false" ht="15" hidden="false" customHeight="false" outlineLevel="0" collapsed="false">
      <c r="I2089" s="15" t="str">
        <f aca="false">IF(N2089="","",INT(N2089))</f>
        <v/>
      </c>
      <c r="J2089" s="16" t="str">
        <f aca="false">IF(B2089="","",IF(N2089=_xlfn.MINIFS($N$2:$N$5001,$B$2:$B$5001,B2089),1,0))</f>
        <v/>
      </c>
      <c r="K2089" s="16" t="str">
        <f aca="false">IF(B2089="","",IF(AND(D2089="Formalização",E2089="Concluído"),IF(COUNTIFS($B$2:$B$5001,B2089,$E$2:$E$5001,"Em ajustes",$N$2:$N$5001,"&lt;"&amp;I2089)&gt;0,1,0),0))</f>
        <v/>
      </c>
      <c r="L2089" s="16" t="str">
        <f aca="false">IF(B2089="","",IF(N2089=_xlfn.MAXIFS($N$2:$N$5001,$B$2:$B$5001,B2089,$I$2:$I$5001,I2089),1,0))</f>
        <v/>
      </c>
      <c r="M2089" s="16" t="str">
        <f aca="false">IF(B2089="","",IF(E2089="Em ajustes",IF(N2089=_xlfn.MINIFS($N$2:$N$5001,$B$2:$B$5001,B2089,$E$2:$E$5001,"Em ajustes"),1,0),0))</f>
        <v/>
      </c>
      <c r="N2089" s="17" t="str">
        <f aca="false">IF(A2089="","",IF(ISNUMBER(A2089),A2089,IFERROR(DATE(VALUE(MID(A2089,7,4)),VALUE(MID(A2089,4,2)),VALUE(MID(A2089,1,2)))+TIME(VALUE(MID(A2089,12,2)),VALUE(MID(A2089,15,2)),VALUE(MID(A2089,18,2))),"")))</f>
        <v/>
      </c>
    </row>
    <row r="2090" customFormat="false" ht="15" hidden="false" customHeight="false" outlineLevel="0" collapsed="false">
      <c r="I2090" s="15" t="str">
        <f aca="false">IF(N2090="","",INT(N2090))</f>
        <v/>
      </c>
      <c r="J2090" s="16" t="str">
        <f aca="false">IF(B2090="","",IF(N2090=_xlfn.MINIFS($N$2:$N$5001,$B$2:$B$5001,B2090),1,0))</f>
        <v/>
      </c>
      <c r="K2090" s="16" t="str">
        <f aca="false">IF(B2090="","",IF(AND(D2090="Formalização",E2090="Concluído"),IF(COUNTIFS($B$2:$B$5001,B2090,$E$2:$E$5001,"Em ajustes",$N$2:$N$5001,"&lt;"&amp;I2090)&gt;0,1,0),0))</f>
        <v/>
      </c>
      <c r="L2090" s="16" t="str">
        <f aca="false">IF(B2090="","",IF(N2090=_xlfn.MAXIFS($N$2:$N$5001,$B$2:$B$5001,B2090,$I$2:$I$5001,I2090),1,0))</f>
        <v/>
      </c>
      <c r="M2090" s="16" t="str">
        <f aca="false">IF(B2090="","",IF(E2090="Em ajustes",IF(N2090=_xlfn.MINIFS($N$2:$N$5001,$B$2:$B$5001,B2090,$E$2:$E$5001,"Em ajustes"),1,0),0))</f>
        <v/>
      </c>
      <c r="N2090" s="17" t="str">
        <f aca="false">IF(A2090="","",IF(ISNUMBER(A2090),A2090,IFERROR(DATE(VALUE(MID(A2090,7,4)),VALUE(MID(A2090,4,2)),VALUE(MID(A2090,1,2)))+TIME(VALUE(MID(A2090,12,2)),VALUE(MID(A2090,15,2)),VALUE(MID(A2090,18,2))),"")))</f>
        <v/>
      </c>
    </row>
    <row r="2091" customFormat="false" ht="15" hidden="false" customHeight="false" outlineLevel="0" collapsed="false">
      <c r="I2091" s="15" t="str">
        <f aca="false">IF(N2091="","",INT(N2091))</f>
        <v/>
      </c>
      <c r="J2091" s="16" t="str">
        <f aca="false">IF(B2091="","",IF(N2091=_xlfn.MINIFS($N$2:$N$5001,$B$2:$B$5001,B2091),1,0))</f>
        <v/>
      </c>
      <c r="K2091" s="16" t="str">
        <f aca="false">IF(B2091="","",IF(AND(D2091="Formalização",E2091="Concluído"),IF(COUNTIFS($B$2:$B$5001,B2091,$E$2:$E$5001,"Em ajustes",$N$2:$N$5001,"&lt;"&amp;I2091)&gt;0,1,0),0))</f>
        <v/>
      </c>
      <c r="L2091" s="16" t="str">
        <f aca="false">IF(B2091="","",IF(N2091=_xlfn.MAXIFS($N$2:$N$5001,$B$2:$B$5001,B2091,$I$2:$I$5001,I2091),1,0))</f>
        <v/>
      </c>
      <c r="M2091" s="16" t="str">
        <f aca="false">IF(B2091="","",IF(E2091="Em ajustes",IF(N2091=_xlfn.MINIFS($N$2:$N$5001,$B$2:$B$5001,B2091,$E$2:$E$5001,"Em ajustes"),1,0),0))</f>
        <v/>
      </c>
      <c r="N2091" s="17" t="str">
        <f aca="false">IF(A2091="","",IF(ISNUMBER(A2091),A2091,IFERROR(DATE(VALUE(MID(A2091,7,4)),VALUE(MID(A2091,4,2)),VALUE(MID(A2091,1,2)))+TIME(VALUE(MID(A2091,12,2)),VALUE(MID(A2091,15,2)),VALUE(MID(A2091,18,2))),"")))</f>
        <v/>
      </c>
    </row>
    <row r="2092" customFormat="false" ht="15" hidden="false" customHeight="false" outlineLevel="0" collapsed="false">
      <c r="I2092" s="15" t="str">
        <f aca="false">IF(N2092="","",INT(N2092))</f>
        <v/>
      </c>
      <c r="J2092" s="16" t="str">
        <f aca="false">IF(B2092="","",IF(N2092=_xlfn.MINIFS($N$2:$N$5001,$B$2:$B$5001,B2092),1,0))</f>
        <v/>
      </c>
      <c r="K2092" s="16" t="str">
        <f aca="false">IF(B2092="","",IF(AND(D2092="Formalização",E2092="Concluído"),IF(COUNTIFS($B$2:$B$5001,B2092,$E$2:$E$5001,"Em ajustes",$N$2:$N$5001,"&lt;"&amp;I2092)&gt;0,1,0),0))</f>
        <v/>
      </c>
      <c r="L2092" s="16" t="str">
        <f aca="false">IF(B2092="","",IF(N2092=_xlfn.MAXIFS($N$2:$N$5001,$B$2:$B$5001,B2092,$I$2:$I$5001,I2092),1,0))</f>
        <v/>
      </c>
      <c r="M2092" s="16" t="str">
        <f aca="false">IF(B2092="","",IF(E2092="Em ajustes",IF(N2092=_xlfn.MINIFS($N$2:$N$5001,$B$2:$B$5001,B2092,$E$2:$E$5001,"Em ajustes"),1,0),0))</f>
        <v/>
      </c>
      <c r="N2092" s="17" t="str">
        <f aca="false">IF(A2092="","",IF(ISNUMBER(A2092),A2092,IFERROR(DATE(VALUE(MID(A2092,7,4)),VALUE(MID(A2092,4,2)),VALUE(MID(A2092,1,2)))+TIME(VALUE(MID(A2092,12,2)),VALUE(MID(A2092,15,2)),VALUE(MID(A2092,18,2))),"")))</f>
        <v/>
      </c>
    </row>
    <row r="2093" customFormat="false" ht="15" hidden="false" customHeight="false" outlineLevel="0" collapsed="false">
      <c r="I2093" s="15" t="str">
        <f aca="false">IF(N2093="","",INT(N2093))</f>
        <v/>
      </c>
      <c r="J2093" s="16" t="str">
        <f aca="false">IF(B2093="","",IF(N2093=_xlfn.MINIFS($N$2:$N$5001,$B$2:$B$5001,B2093),1,0))</f>
        <v/>
      </c>
      <c r="K2093" s="16" t="str">
        <f aca="false">IF(B2093="","",IF(AND(D2093="Formalização",E2093="Concluído"),IF(COUNTIFS($B$2:$B$5001,B2093,$E$2:$E$5001,"Em ajustes",$N$2:$N$5001,"&lt;"&amp;I2093)&gt;0,1,0),0))</f>
        <v/>
      </c>
      <c r="L2093" s="16" t="str">
        <f aca="false">IF(B2093="","",IF(N2093=_xlfn.MAXIFS($N$2:$N$5001,$B$2:$B$5001,B2093,$I$2:$I$5001,I2093),1,0))</f>
        <v/>
      </c>
      <c r="M2093" s="16" t="str">
        <f aca="false">IF(B2093="","",IF(E2093="Em ajustes",IF(N2093=_xlfn.MINIFS($N$2:$N$5001,$B$2:$B$5001,B2093,$E$2:$E$5001,"Em ajustes"),1,0),0))</f>
        <v/>
      </c>
      <c r="N2093" s="17" t="str">
        <f aca="false">IF(A2093="","",IF(ISNUMBER(A2093),A2093,IFERROR(DATE(VALUE(MID(A2093,7,4)),VALUE(MID(A2093,4,2)),VALUE(MID(A2093,1,2)))+TIME(VALUE(MID(A2093,12,2)),VALUE(MID(A2093,15,2)),VALUE(MID(A2093,18,2))),"")))</f>
        <v/>
      </c>
    </row>
    <row r="2094" customFormat="false" ht="15" hidden="false" customHeight="false" outlineLevel="0" collapsed="false">
      <c r="I2094" s="15" t="str">
        <f aca="false">IF(N2094="","",INT(N2094))</f>
        <v/>
      </c>
      <c r="J2094" s="16" t="str">
        <f aca="false">IF(B2094="","",IF(N2094=_xlfn.MINIFS($N$2:$N$5001,$B$2:$B$5001,B2094),1,0))</f>
        <v/>
      </c>
      <c r="K2094" s="16" t="str">
        <f aca="false">IF(B2094="","",IF(AND(D2094="Formalização",E2094="Concluído"),IF(COUNTIFS($B$2:$B$5001,B2094,$E$2:$E$5001,"Em ajustes",$N$2:$N$5001,"&lt;"&amp;I2094)&gt;0,1,0),0))</f>
        <v/>
      </c>
      <c r="L2094" s="16" t="str">
        <f aca="false">IF(B2094="","",IF(N2094=_xlfn.MAXIFS($N$2:$N$5001,$B$2:$B$5001,B2094,$I$2:$I$5001,I2094),1,0))</f>
        <v/>
      </c>
      <c r="M2094" s="16" t="str">
        <f aca="false">IF(B2094="","",IF(E2094="Em ajustes",IF(N2094=_xlfn.MINIFS($N$2:$N$5001,$B$2:$B$5001,B2094,$E$2:$E$5001,"Em ajustes"),1,0),0))</f>
        <v/>
      </c>
      <c r="N2094" s="17" t="str">
        <f aca="false">IF(A2094="","",IF(ISNUMBER(A2094),A2094,IFERROR(DATE(VALUE(MID(A2094,7,4)),VALUE(MID(A2094,4,2)),VALUE(MID(A2094,1,2)))+TIME(VALUE(MID(A2094,12,2)),VALUE(MID(A2094,15,2)),VALUE(MID(A2094,18,2))),"")))</f>
        <v/>
      </c>
    </row>
    <row r="2095" customFormat="false" ht="15" hidden="false" customHeight="false" outlineLevel="0" collapsed="false">
      <c r="I2095" s="15" t="str">
        <f aca="false">IF(N2095="","",INT(N2095))</f>
        <v/>
      </c>
      <c r="J2095" s="16" t="str">
        <f aca="false">IF(B2095="","",IF(N2095=_xlfn.MINIFS($N$2:$N$5001,$B$2:$B$5001,B2095),1,0))</f>
        <v/>
      </c>
      <c r="K2095" s="16" t="str">
        <f aca="false">IF(B2095="","",IF(AND(D2095="Formalização",E2095="Concluído"),IF(COUNTIFS($B$2:$B$5001,B2095,$E$2:$E$5001,"Em ajustes",$N$2:$N$5001,"&lt;"&amp;I2095)&gt;0,1,0),0))</f>
        <v/>
      </c>
      <c r="L2095" s="16" t="str">
        <f aca="false">IF(B2095="","",IF(N2095=_xlfn.MAXIFS($N$2:$N$5001,$B$2:$B$5001,B2095,$I$2:$I$5001,I2095),1,0))</f>
        <v/>
      </c>
      <c r="M2095" s="16" t="str">
        <f aca="false">IF(B2095="","",IF(E2095="Em ajustes",IF(N2095=_xlfn.MINIFS($N$2:$N$5001,$B$2:$B$5001,B2095,$E$2:$E$5001,"Em ajustes"),1,0),0))</f>
        <v/>
      </c>
      <c r="N2095" s="17" t="str">
        <f aca="false">IF(A2095="","",IF(ISNUMBER(A2095),A2095,IFERROR(DATE(VALUE(MID(A2095,7,4)),VALUE(MID(A2095,4,2)),VALUE(MID(A2095,1,2)))+TIME(VALUE(MID(A2095,12,2)),VALUE(MID(A2095,15,2)),VALUE(MID(A2095,18,2))),"")))</f>
        <v/>
      </c>
    </row>
    <row r="2096" customFormat="false" ht="15" hidden="false" customHeight="false" outlineLevel="0" collapsed="false">
      <c r="I2096" s="15" t="str">
        <f aca="false">IF(N2096="","",INT(N2096))</f>
        <v/>
      </c>
      <c r="J2096" s="16" t="str">
        <f aca="false">IF(B2096="","",IF(N2096=_xlfn.MINIFS($N$2:$N$5001,$B$2:$B$5001,B2096),1,0))</f>
        <v/>
      </c>
      <c r="K2096" s="16" t="str">
        <f aca="false">IF(B2096="","",IF(AND(D2096="Formalização",E2096="Concluído"),IF(COUNTIFS($B$2:$B$5001,B2096,$E$2:$E$5001,"Em ajustes",$N$2:$N$5001,"&lt;"&amp;I2096)&gt;0,1,0),0))</f>
        <v/>
      </c>
      <c r="L2096" s="16" t="str">
        <f aca="false">IF(B2096="","",IF(N2096=_xlfn.MAXIFS($N$2:$N$5001,$B$2:$B$5001,B2096,$I$2:$I$5001,I2096),1,0))</f>
        <v/>
      </c>
      <c r="M2096" s="16" t="str">
        <f aca="false">IF(B2096="","",IF(E2096="Em ajustes",IF(N2096=_xlfn.MINIFS($N$2:$N$5001,$B$2:$B$5001,B2096,$E$2:$E$5001,"Em ajustes"),1,0),0))</f>
        <v/>
      </c>
      <c r="N2096" s="17" t="str">
        <f aca="false">IF(A2096="","",IF(ISNUMBER(A2096),A2096,IFERROR(DATE(VALUE(MID(A2096,7,4)),VALUE(MID(A2096,4,2)),VALUE(MID(A2096,1,2)))+TIME(VALUE(MID(A2096,12,2)),VALUE(MID(A2096,15,2)),VALUE(MID(A2096,18,2))),"")))</f>
        <v/>
      </c>
    </row>
    <row r="2097" customFormat="false" ht="15" hidden="false" customHeight="false" outlineLevel="0" collapsed="false">
      <c r="I2097" s="15" t="str">
        <f aca="false">IF(N2097="","",INT(N2097))</f>
        <v/>
      </c>
      <c r="J2097" s="16" t="str">
        <f aca="false">IF(B2097="","",IF(N2097=_xlfn.MINIFS($N$2:$N$5001,$B$2:$B$5001,B2097),1,0))</f>
        <v/>
      </c>
      <c r="K2097" s="16" t="str">
        <f aca="false">IF(B2097="","",IF(AND(D2097="Formalização",E2097="Concluído"),IF(COUNTIFS($B$2:$B$5001,B2097,$E$2:$E$5001,"Em ajustes",$N$2:$N$5001,"&lt;"&amp;I2097)&gt;0,1,0),0))</f>
        <v/>
      </c>
      <c r="L2097" s="16" t="str">
        <f aca="false">IF(B2097="","",IF(N2097=_xlfn.MAXIFS($N$2:$N$5001,$B$2:$B$5001,B2097,$I$2:$I$5001,I2097),1,0))</f>
        <v/>
      </c>
      <c r="M2097" s="16" t="str">
        <f aca="false">IF(B2097="","",IF(E2097="Em ajustes",IF(N2097=_xlfn.MINIFS($N$2:$N$5001,$B$2:$B$5001,B2097,$E$2:$E$5001,"Em ajustes"),1,0),0))</f>
        <v/>
      </c>
      <c r="N2097" s="17" t="str">
        <f aca="false">IF(A2097="","",IF(ISNUMBER(A2097),A2097,IFERROR(DATE(VALUE(MID(A2097,7,4)),VALUE(MID(A2097,4,2)),VALUE(MID(A2097,1,2)))+TIME(VALUE(MID(A2097,12,2)),VALUE(MID(A2097,15,2)),VALUE(MID(A2097,18,2))),"")))</f>
        <v/>
      </c>
    </row>
    <row r="2098" customFormat="false" ht="15" hidden="false" customHeight="false" outlineLevel="0" collapsed="false">
      <c r="I2098" s="15" t="str">
        <f aca="false">IF(N2098="","",INT(N2098))</f>
        <v/>
      </c>
      <c r="J2098" s="16" t="str">
        <f aca="false">IF(B2098="","",IF(N2098=_xlfn.MINIFS($N$2:$N$5001,$B$2:$B$5001,B2098),1,0))</f>
        <v/>
      </c>
      <c r="K2098" s="16" t="str">
        <f aca="false">IF(B2098="","",IF(AND(D2098="Formalização",E2098="Concluído"),IF(COUNTIFS($B$2:$B$5001,B2098,$E$2:$E$5001,"Em ajustes",$N$2:$N$5001,"&lt;"&amp;I2098)&gt;0,1,0),0))</f>
        <v/>
      </c>
      <c r="L2098" s="16" t="str">
        <f aca="false">IF(B2098="","",IF(N2098=_xlfn.MAXIFS($N$2:$N$5001,$B$2:$B$5001,B2098,$I$2:$I$5001,I2098),1,0))</f>
        <v/>
      </c>
      <c r="M2098" s="16" t="str">
        <f aca="false">IF(B2098="","",IF(E2098="Em ajustes",IF(N2098=_xlfn.MINIFS($N$2:$N$5001,$B$2:$B$5001,B2098,$E$2:$E$5001,"Em ajustes"),1,0),0))</f>
        <v/>
      </c>
      <c r="N2098" s="17" t="str">
        <f aca="false">IF(A2098="","",IF(ISNUMBER(A2098),A2098,IFERROR(DATE(VALUE(MID(A2098,7,4)),VALUE(MID(A2098,4,2)),VALUE(MID(A2098,1,2)))+TIME(VALUE(MID(A2098,12,2)),VALUE(MID(A2098,15,2)),VALUE(MID(A2098,18,2))),"")))</f>
        <v/>
      </c>
    </row>
    <row r="2099" customFormat="false" ht="15" hidden="false" customHeight="false" outlineLevel="0" collapsed="false">
      <c r="I2099" s="15" t="str">
        <f aca="false">IF(N2099="","",INT(N2099))</f>
        <v/>
      </c>
      <c r="J2099" s="16" t="str">
        <f aca="false">IF(B2099="","",IF(N2099=_xlfn.MINIFS($N$2:$N$5001,$B$2:$B$5001,B2099),1,0))</f>
        <v/>
      </c>
      <c r="K2099" s="16" t="str">
        <f aca="false">IF(B2099="","",IF(AND(D2099="Formalização",E2099="Concluído"),IF(COUNTIFS($B$2:$B$5001,B2099,$E$2:$E$5001,"Em ajustes",$N$2:$N$5001,"&lt;"&amp;I2099)&gt;0,1,0),0))</f>
        <v/>
      </c>
      <c r="L2099" s="16" t="str">
        <f aca="false">IF(B2099="","",IF(N2099=_xlfn.MAXIFS($N$2:$N$5001,$B$2:$B$5001,B2099,$I$2:$I$5001,I2099),1,0))</f>
        <v/>
      </c>
      <c r="M2099" s="16" t="str">
        <f aca="false">IF(B2099="","",IF(E2099="Em ajustes",IF(N2099=_xlfn.MINIFS($N$2:$N$5001,$B$2:$B$5001,B2099,$E$2:$E$5001,"Em ajustes"),1,0),0))</f>
        <v/>
      </c>
      <c r="N2099" s="17" t="str">
        <f aca="false">IF(A2099="","",IF(ISNUMBER(A2099),A2099,IFERROR(DATE(VALUE(MID(A2099,7,4)),VALUE(MID(A2099,4,2)),VALUE(MID(A2099,1,2)))+TIME(VALUE(MID(A2099,12,2)),VALUE(MID(A2099,15,2)),VALUE(MID(A2099,18,2))),"")))</f>
        <v/>
      </c>
    </row>
    <row r="2100" customFormat="false" ht="15" hidden="false" customHeight="false" outlineLevel="0" collapsed="false">
      <c r="I2100" s="15" t="str">
        <f aca="false">IF(N2100="","",INT(N2100))</f>
        <v/>
      </c>
      <c r="J2100" s="16" t="str">
        <f aca="false">IF(B2100="","",IF(N2100=_xlfn.MINIFS($N$2:$N$5001,$B$2:$B$5001,B2100),1,0))</f>
        <v/>
      </c>
      <c r="K2100" s="16" t="str">
        <f aca="false">IF(B2100="","",IF(AND(D2100="Formalização",E2100="Concluído"),IF(COUNTIFS($B$2:$B$5001,B2100,$E$2:$E$5001,"Em ajustes",$N$2:$N$5001,"&lt;"&amp;I2100)&gt;0,1,0),0))</f>
        <v/>
      </c>
      <c r="L2100" s="16" t="str">
        <f aca="false">IF(B2100="","",IF(N2100=_xlfn.MAXIFS($N$2:$N$5001,$B$2:$B$5001,B2100,$I$2:$I$5001,I2100),1,0))</f>
        <v/>
      </c>
      <c r="M2100" s="16" t="str">
        <f aca="false">IF(B2100="","",IF(E2100="Em ajustes",IF(N2100=_xlfn.MINIFS($N$2:$N$5001,$B$2:$B$5001,B2100,$E$2:$E$5001,"Em ajustes"),1,0),0))</f>
        <v/>
      </c>
      <c r="N2100" s="17" t="str">
        <f aca="false">IF(A2100="","",IF(ISNUMBER(A2100),A2100,IFERROR(DATE(VALUE(MID(A2100,7,4)),VALUE(MID(A2100,4,2)),VALUE(MID(A2100,1,2)))+TIME(VALUE(MID(A2100,12,2)),VALUE(MID(A2100,15,2)),VALUE(MID(A2100,18,2))),"")))</f>
        <v/>
      </c>
    </row>
    <row r="2101" customFormat="false" ht="15" hidden="false" customHeight="false" outlineLevel="0" collapsed="false">
      <c r="I2101" s="15" t="str">
        <f aca="false">IF(N2101="","",INT(N2101))</f>
        <v/>
      </c>
      <c r="J2101" s="16" t="str">
        <f aca="false">IF(B2101="","",IF(N2101=_xlfn.MINIFS($N$2:$N$5001,$B$2:$B$5001,B2101),1,0))</f>
        <v/>
      </c>
      <c r="K2101" s="16" t="str">
        <f aca="false">IF(B2101="","",IF(AND(D2101="Formalização",E2101="Concluído"),IF(COUNTIFS($B$2:$B$5001,B2101,$E$2:$E$5001,"Em ajustes",$N$2:$N$5001,"&lt;"&amp;I2101)&gt;0,1,0),0))</f>
        <v/>
      </c>
      <c r="L2101" s="16" t="str">
        <f aca="false">IF(B2101="","",IF(N2101=_xlfn.MAXIFS($N$2:$N$5001,$B$2:$B$5001,B2101,$I$2:$I$5001,I2101),1,0))</f>
        <v/>
      </c>
      <c r="M2101" s="16" t="str">
        <f aca="false">IF(B2101="","",IF(E2101="Em ajustes",IF(N2101=_xlfn.MINIFS($N$2:$N$5001,$B$2:$B$5001,B2101,$E$2:$E$5001,"Em ajustes"),1,0),0))</f>
        <v/>
      </c>
      <c r="N2101" s="17" t="str">
        <f aca="false">IF(A2101="","",IF(ISNUMBER(A2101),A2101,IFERROR(DATE(VALUE(MID(A2101,7,4)),VALUE(MID(A2101,4,2)),VALUE(MID(A2101,1,2)))+TIME(VALUE(MID(A2101,12,2)),VALUE(MID(A2101,15,2)),VALUE(MID(A2101,18,2))),"")))</f>
        <v/>
      </c>
    </row>
    <row r="2102" customFormat="false" ht="15" hidden="false" customHeight="false" outlineLevel="0" collapsed="false">
      <c r="I2102" s="15" t="str">
        <f aca="false">IF(N2102="","",INT(N2102))</f>
        <v/>
      </c>
      <c r="J2102" s="16" t="str">
        <f aca="false">IF(B2102="","",IF(N2102=_xlfn.MINIFS($N$2:$N$5001,$B$2:$B$5001,B2102),1,0))</f>
        <v/>
      </c>
      <c r="K2102" s="16" t="str">
        <f aca="false">IF(B2102="","",IF(AND(D2102="Formalização",E2102="Concluído"),IF(COUNTIFS($B$2:$B$5001,B2102,$E$2:$E$5001,"Em ajustes",$N$2:$N$5001,"&lt;"&amp;I2102)&gt;0,1,0),0))</f>
        <v/>
      </c>
      <c r="L2102" s="16" t="str">
        <f aca="false">IF(B2102="","",IF(N2102=_xlfn.MAXIFS($N$2:$N$5001,$B$2:$B$5001,B2102,$I$2:$I$5001,I2102),1,0))</f>
        <v/>
      </c>
      <c r="M2102" s="16" t="str">
        <f aca="false">IF(B2102="","",IF(E2102="Em ajustes",IF(N2102=_xlfn.MINIFS($N$2:$N$5001,$B$2:$B$5001,B2102,$E$2:$E$5001,"Em ajustes"),1,0),0))</f>
        <v/>
      </c>
      <c r="N2102" s="17" t="str">
        <f aca="false">IF(A2102="","",IF(ISNUMBER(A2102),A2102,IFERROR(DATE(VALUE(MID(A2102,7,4)),VALUE(MID(A2102,4,2)),VALUE(MID(A2102,1,2)))+TIME(VALUE(MID(A2102,12,2)),VALUE(MID(A2102,15,2)),VALUE(MID(A2102,18,2))),"")))</f>
        <v/>
      </c>
    </row>
    <row r="2103" customFormat="false" ht="15" hidden="false" customHeight="false" outlineLevel="0" collapsed="false">
      <c r="I2103" s="15" t="str">
        <f aca="false">IF(N2103="","",INT(N2103))</f>
        <v/>
      </c>
      <c r="J2103" s="16" t="str">
        <f aca="false">IF(B2103="","",IF(N2103=_xlfn.MINIFS($N$2:$N$5001,$B$2:$B$5001,B2103),1,0))</f>
        <v/>
      </c>
      <c r="K2103" s="16" t="str">
        <f aca="false">IF(B2103="","",IF(AND(D2103="Formalização",E2103="Concluído"),IF(COUNTIFS($B$2:$B$5001,B2103,$E$2:$E$5001,"Em ajustes",$N$2:$N$5001,"&lt;"&amp;I2103)&gt;0,1,0),0))</f>
        <v/>
      </c>
      <c r="L2103" s="16" t="str">
        <f aca="false">IF(B2103="","",IF(N2103=_xlfn.MAXIFS($N$2:$N$5001,$B$2:$B$5001,B2103,$I$2:$I$5001,I2103),1,0))</f>
        <v/>
      </c>
      <c r="M2103" s="16" t="str">
        <f aca="false">IF(B2103="","",IF(E2103="Em ajustes",IF(N2103=_xlfn.MINIFS($N$2:$N$5001,$B$2:$B$5001,B2103,$E$2:$E$5001,"Em ajustes"),1,0),0))</f>
        <v/>
      </c>
      <c r="N2103" s="17" t="str">
        <f aca="false">IF(A2103="","",IF(ISNUMBER(A2103),A2103,IFERROR(DATE(VALUE(MID(A2103,7,4)),VALUE(MID(A2103,4,2)),VALUE(MID(A2103,1,2)))+TIME(VALUE(MID(A2103,12,2)),VALUE(MID(A2103,15,2)),VALUE(MID(A2103,18,2))),"")))</f>
        <v/>
      </c>
    </row>
    <row r="2104" customFormat="false" ht="15" hidden="false" customHeight="false" outlineLevel="0" collapsed="false">
      <c r="I2104" s="15" t="str">
        <f aca="false">IF(N2104="","",INT(N2104))</f>
        <v/>
      </c>
      <c r="J2104" s="16" t="str">
        <f aca="false">IF(B2104="","",IF(N2104=_xlfn.MINIFS($N$2:$N$5001,$B$2:$B$5001,B2104),1,0))</f>
        <v/>
      </c>
      <c r="K2104" s="16" t="str">
        <f aca="false">IF(B2104="","",IF(AND(D2104="Formalização",E2104="Concluído"),IF(COUNTIFS($B$2:$B$5001,B2104,$E$2:$E$5001,"Em ajustes",$N$2:$N$5001,"&lt;"&amp;I2104)&gt;0,1,0),0))</f>
        <v/>
      </c>
      <c r="L2104" s="16" t="str">
        <f aca="false">IF(B2104="","",IF(N2104=_xlfn.MAXIFS($N$2:$N$5001,$B$2:$B$5001,B2104,$I$2:$I$5001,I2104),1,0))</f>
        <v/>
      </c>
      <c r="M2104" s="16" t="str">
        <f aca="false">IF(B2104="","",IF(E2104="Em ajustes",IF(N2104=_xlfn.MINIFS($N$2:$N$5001,$B$2:$B$5001,B2104,$E$2:$E$5001,"Em ajustes"),1,0),0))</f>
        <v/>
      </c>
      <c r="N2104" s="17" t="str">
        <f aca="false">IF(A2104="","",IF(ISNUMBER(A2104),A2104,IFERROR(DATE(VALUE(MID(A2104,7,4)),VALUE(MID(A2104,4,2)),VALUE(MID(A2104,1,2)))+TIME(VALUE(MID(A2104,12,2)),VALUE(MID(A2104,15,2)),VALUE(MID(A2104,18,2))),"")))</f>
        <v/>
      </c>
    </row>
    <row r="2105" customFormat="false" ht="15" hidden="false" customHeight="false" outlineLevel="0" collapsed="false">
      <c r="I2105" s="15" t="str">
        <f aca="false">IF(N2105="","",INT(N2105))</f>
        <v/>
      </c>
      <c r="J2105" s="16" t="str">
        <f aca="false">IF(B2105="","",IF(N2105=_xlfn.MINIFS($N$2:$N$5001,$B$2:$B$5001,B2105),1,0))</f>
        <v/>
      </c>
      <c r="K2105" s="16" t="str">
        <f aca="false">IF(B2105="","",IF(AND(D2105="Formalização",E2105="Concluído"),IF(COUNTIFS($B$2:$B$5001,B2105,$E$2:$E$5001,"Em ajustes",$N$2:$N$5001,"&lt;"&amp;I2105)&gt;0,1,0),0))</f>
        <v/>
      </c>
      <c r="L2105" s="16" t="str">
        <f aca="false">IF(B2105="","",IF(N2105=_xlfn.MAXIFS($N$2:$N$5001,$B$2:$B$5001,B2105,$I$2:$I$5001,I2105),1,0))</f>
        <v/>
      </c>
      <c r="M2105" s="16" t="str">
        <f aca="false">IF(B2105="","",IF(E2105="Em ajustes",IF(N2105=_xlfn.MINIFS($N$2:$N$5001,$B$2:$B$5001,B2105,$E$2:$E$5001,"Em ajustes"),1,0),0))</f>
        <v/>
      </c>
      <c r="N2105" s="17" t="str">
        <f aca="false">IF(A2105="","",IF(ISNUMBER(A2105),A2105,IFERROR(DATE(VALUE(MID(A2105,7,4)),VALUE(MID(A2105,4,2)),VALUE(MID(A2105,1,2)))+TIME(VALUE(MID(A2105,12,2)),VALUE(MID(A2105,15,2)),VALUE(MID(A2105,18,2))),"")))</f>
        <v/>
      </c>
    </row>
    <row r="2106" customFormat="false" ht="15" hidden="false" customHeight="false" outlineLevel="0" collapsed="false">
      <c r="I2106" s="15" t="str">
        <f aca="false">IF(N2106="","",INT(N2106))</f>
        <v/>
      </c>
      <c r="J2106" s="16" t="str">
        <f aca="false">IF(B2106="","",IF(N2106=_xlfn.MINIFS($N$2:$N$5001,$B$2:$B$5001,B2106),1,0))</f>
        <v/>
      </c>
      <c r="K2106" s="16" t="str">
        <f aca="false">IF(B2106="","",IF(AND(D2106="Formalização",E2106="Concluído"),IF(COUNTIFS($B$2:$B$5001,B2106,$E$2:$E$5001,"Em ajustes",$N$2:$N$5001,"&lt;"&amp;I2106)&gt;0,1,0),0))</f>
        <v/>
      </c>
      <c r="L2106" s="16" t="str">
        <f aca="false">IF(B2106="","",IF(N2106=_xlfn.MAXIFS($N$2:$N$5001,$B$2:$B$5001,B2106,$I$2:$I$5001,I2106),1,0))</f>
        <v/>
      </c>
      <c r="M2106" s="16" t="str">
        <f aca="false">IF(B2106="","",IF(E2106="Em ajustes",IF(N2106=_xlfn.MINIFS($N$2:$N$5001,$B$2:$B$5001,B2106,$E$2:$E$5001,"Em ajustes"),1,0),0))</f>
        <v/>
      </c>
      <c r="N2106" s="17" t="str">
        <f aca="false">IF(A2106="","",IF(ISNUMBER(A2106),A2106,IFERROR(DATE(VALUE(MID(A2106,7,4)),VALUE(MID(A2106,4,2)),VALUE(MID(A2106,1,2)))+TIME(VALUE(MID(A2106,12,2)),VALUE(MID(A2106,15,2)),VALUE(MID(A2106,18,2))),"")))</f>
        <v/>
      </c>
    </row>
    <row r="2107" customFormat="false" ht="15" hidden="false" customHeight="false" outlineLevel="0" collapsed="false">
      <c r="I2107" s="15" t="str">
        <f aca="false">IF(N2107="","",INT(N2107))</f>
        <v/>
      </c>
      <c r="J2107" s="16" t="str">
        <f aca="false">IF(B2107="","",IF(N2107=_xlfn.MINIFS($N$2:$N$5001,$B$2:$B$5001,B2107),1,0))</f>
        <v/>
      </c>
      <c r="K2107" s="16" t="str">
        <f aca="false">IF(B2107="","",IF(AND(D2107="Formalização",E2107="Concluído"),IF(COUNTIFS($B$2:$B$5001,B2107,$E$2:$E$5001,"Em ajustes",$N$2:$N$5001,"&lt;"&amp;I2107)&gt;0,1,0),0))</f>
        <v/>
      </c>
      <c r="L2107" s="16" t="str">
        <f aca="false">IF(B2107="","",IF(N2107=_xlfn.MAXIFS($N$2:$N$5001,$B$2:$B$5001,B2107,$I$2:$I$5001,I2107),1,0))</f>
        <v/>
      </c>
      <c r="M2107" s="16" t="str">
        <f aca="false">IF(B2107="","",IF(E2107="Em ajustes",IF(N2107=_xlfn.MINIFS($N$2:$N$5001,$B$2:$B$5001,B2107,$E$2:$E$5001,"Em ajustes"),1,0),0))</f>
        <v/>
      </c>
      <c r="N2107" s="17" t="str">
        <f aca="false">IF(A2107="","",IF(ISNUMBER(A2107),A2107,IFERROR(DATE(VALUE(MID(A2107,7,4)),VALUE(MID(A2107,4,2)),VALUE(MID(A2107,1,2)))+TIME(VALUE(MID(A2107,12,2)),VALUE(MID(A2107,15,2)),VALUE(MID(A2107,18,2))),"")))</f>
        <v/>
      </c>
    </row>
    <row r="2108" customFormat="false" ht="15" hidden="false" customHeight="false" outlineLevel="0" collapsed="false">
      <c r="I2108" s="15" t="str">
        <f aca="false">IF(N2108="","",INT(N2108))</f>
        <v/>
      </c>
      <c r="J2108" s="16" t="str">
        <f aca="false">IF(B2108="","",IF(N2108=_xlfn.MINIFS($N$2:$N$5001,$B$2:$B$5001,B2108),1,0))</f>
        <v/>
      </c>
      <c r="K2108" s="16" t="str">
        <f aca="false">IF(B2108="","",IF(AND(D2108="Formalização",E2108="Concluído"),IF(COUNTIFS($B$2:$B$5001,B2108,$E$2:$E$5001,"Em ajustes",$N$2:$N$5001,"&lt;"&amp;I2108)&gt;0,1,0),0))</f>
        <v/>
      </c>
      <c r="L2108" s="16" t="str">
        <f aca="false">IF(B2108="","",IF(N2108=_xlfn.MAXIFS($N$2:$N$5001,$B$2:$B$5001,B2108,$I$2:$I$5001,I2108),1,0))</f>
        <v/>
      </c>
      <c r="M2108" s="16" t="str">
        <f aca="false">IF(B2108="","",IF(E2108="Em ajustes",IF(N2108=_xlfn.MINIFS($N$2:$N$5001,$B$2:$B$5001,B2108,$E$2:$E$5001,"Em ajustes"),1,0),0))</f>
        <v/>
      </c>
      <c r="N2108" s="17" t="str">
        <f aca="false">IF(A2108="","",IF(ISNUMBER(A2108),A2108,IFERROR(DATE(VALUE(MID(A2108,7,4)),VALUE(MID(A2108,4,2)),VALUE(MID(A2108,1,2)))+TIME(VALUE(MID(A2108,12,2)),VALUE(MID(A2108,15,2)),VALUE(MID(A2108,18,2))),"")))</f>
        <v/>
      </c>
    </row>
    <row r="2109" customFormat="false" ht="15" hidden="false" customHeight="false" outlineLevel="0" collapsed="false">
      <c r="I2109" s="15" t="str">
        <f aca="false">IF(N2109="","",INT(N2109))</f>
        <v/>
      </c>
      <c r="J2109" s="16" t="str">
        <f aca="false">IF(B2109="","",IF(N2109=_xlfn.MINIFS($N$2:$N$5001,$B$2:$B$5001,B2109),1,0))</f>
        <v/>
      </c>
      <c r="K2109" s="16" t="str">
        <f aca="false">IF(B2109="","",IF(AND(D2109="Formalização",E2109="Concluído"),IF(COUNTIFS($B$2:$B$5001,B2109,$E$2:$E$5001,"Em ajustes",$N$2:$N$5001,"&lt;"&amp;I2109)&gt;0,1,0),0))</f>
        <v/>
      </c>
      <c r="L2109" s="16" t="str">
        <f aca="false">IF(B2109="","",IF(N2109=_xlfn.MAXIFS($N$2:$N$5001,$B$2:$B$5001,B2109,$I$2:$I$5001,I2109),1,0))</f>
        <v/>
      </c>
      <c r="M2109" s="16" t="str">
        <f aca="false">IF(B2109="","",IF(E2109="Em ajustes",IF(N2109=_xlfn.MINIFS($N$2:$N$5001,$B$2:$B$5001,B2109,$E$2:$E$5001,"Em ajustes"),1,0),0))</f>
        <v/>
      </c>
      <c r="N2109" s="17" t="str">
        <f aca="false">IF(A2109="","",IF(ISNUMBER(A2109),A2109,IFERROR(DATE(VALUE(MID(A2109,7,4)),VALUE(MID(A2109,4,2)),VALUE(MID(A2109,1,2)))+TIME(VALUE(MID(A2109,12,2)),VALUE(MID(A2109,15,2)),VALUE(MID(A2109,18,2))),"")))</f>
        <v/>
      </c>
    </row>
    <row r="2110" customFormat="false" ht="15" hidden="false" customHeight="false" outlineLevel="0" collapsed="false">
      <c r="I2110" s="15" t="str">
        <f aca="false">IF(N2110="","",INT(N2110))</f>
        <v/>
      </c>
      <c r="J2110" s="16" t="str">
        <f aca="false">IF(B2110="","",IF(N2110=_xlfn.MINIFS($N$2:$N$5001,$B$2:$B$5001,B2110),1,0))</f>
        <v/>
      </c>
      <c r="K2110" s="16" t="str">
        <f aca="false">IF(B2110="","",IF(AND(D2110="Formalização",E2110="Concluído"),IF(COUNTIFS($B$2:$B$5001,B2110,$E$2:$E$5001,"Em ajustes",$N$2:$N$5001,"&lt;"&amp;I2110)&gt;0,1,0),0))</f>
        <v/>
      </c>
      <c r="L2110" s="16" t="str">
        <f aca="false">IF(B2110="","",IF(N2110=_xlfn.MAXIFS($N$2:$N$5001,$B$2:$B$5001,B2110,$I$2:$I$5001,I2110),1,0))</f>
        <v/>
      </c>
      <c r="M2110" s="16" t="str">
        <f aca="false">IF(B2110="","",IF(E2110="Em ajustes",IF(N2110=_xlfn.MINIFS($N$2:$N$5001,$B$2:$B$5001,B2110,$E$2:$E$5001,"Em ajustes"),1,0),0))</f>
        <v/>
      </c>
      <c r="N2110" s="17" t="str">
        <f aca="false">IF(A2110="","",IF(ISNUMBER(A2110),A2110,IFERROR(DATE(VALUE(MID(A2110,7,4)),VALUE(MID(A2110,4,2)),VALUE(MID(A2110,1,2)))+TIME(VALUE(MID(A2110,12,2)),VALUE(MID(A2110,15,2)),VALUE(MID(A2110,18,2))),"")))</f>
        <v/>
      </c>
    </row>
    <row r="2111" customFormat="false" ht="15" hidden="false" customHeight="false" outlineLevel="0" collapsed="false">
      <c r="I2111" s="15" t="str">
        <f aca="false">IF(N2111="","",INT(N2111))</f>
        <v/>
      </c>
      <c r="J2111" s="16" t="str">
        <f aca="false">IF(B2111="","",IF(N2111=_xlfn.MINIFS($N$2:$N$5001,$B$2:$B$5001,B2111),1,0))</f>
        <v/>
      </c>
      <c r="K2111" s="16" t="str">
        <f aca="false">IF(B2111="","",IF(AND(D2111="Formalização",E2111="Concluído"),IF(COUNTIFS($B$2:$B$5001,B2111,$E$2:$E$5001,"Em ajustes",$N$2:$N$5001,"&lt;"&amp;I2111)&gt;0,1,0),0))</f>
        <v/>
      </c>
      <c r="L2111" s="16" t="str">
        <f aca="false">IF(B2111="","",IF(N2111=_xlfn.MAXIFS($N$2:$N$5001,$B$2:$B$5001,B2111,$I$2:$I$5001,I2111),1,0))</f>
        <v/>
      </c>
      <c r="M2111" s="16" t="str">
        <f aca="false">IF(B2111="","",IF(E2111="Em ajustes",IF(N2111=_xlfn.MINIFS($N$2:$N$5001,$B$2:$B$5001,B2111,$E$2:$E$5001,"Em ajustes"),1,0),0))</f>
        <v/>
      </c>
      <c r="N2111" s="17" t="str">
        <f aca="false">IF(A2111="","",IF(ISNUMBER(A2111),A2111,IFERROR(DATE(VALUE(MID(A2111,7,4)),VALUE(MID(A2111,4,2)),VALUE(MID(A2111,1,2)))+TIME(VALUE(MID(A2111,12,2)),VALUE(MID(A2111,15,2)),VALUE(MID(A2111,18,2))),"")))</f>
        <v/>
      </c>
    </row>
    <row r="2112" customFormat="false" ht="15" hidden="false" customHeight="false" outlineLevel="0" collapsed="false">
      <c r="I2112" s="15" t="str">
        <f aca="false">IF(N2112="","",INT(N2112))</f>
        <v/>
      </c>
      <c r="J2112" s="16" t="str">
        <f aca="false">IF(B2112="","",IF(N2112=_xlfn.MINIFS($N$2:$N$5001,$B$2:$B$5001,B2112),1,0))</f>
        <v/>
      </c>
      <c r="K2112" s="16" t="str">
        <f aca="false">IF(B2112="","",IF(AND(D2112="Formalização",E2112="Concluído"),IF(COUNTIFS($B$2:$B$5001,B2112,$E$2:$E$5001,"Em ajustes",$N$2:$N$5001,"&lt;"&amp;I2112)&gt;0,1,0),0))</f>
        <v/>
      </c>
      <c r="L2112" s="16" t="str">
        <f aca="false">IF(B2112="","",IF(N2112=_xlfn.MAXIFS($N$2:$N$5001,$B$2:$B$5001,B2112,$I$2:$I$5001,I2112),1,0))</f>
        <v/>
      </c>
      <c r="M2112" s="16" t="str">
        <f aca="false">IF(B2112="","",IF(E2112="Em ajustes",IF(N2112=_xlfn.MINIFS($N$2:$N$5001,$B$2:$B$5001,B2112,$E$2:$E$5001,"Em ajustes"),1,0),0))</f>
        <v/>
      </c>
      <c r="N2112" s="17" t="str">
        <f aca="false">IF(A2112="","",IF(ISNUMBER(A2112),A2112,IFERROR(DATE(VALUE(MID(A2112,7,4)),VALUE(MID(A2112,4,2)),VALUE(MID(A2112,1,2)))+TIME(VALUE(MID(A2112,12,2)),VALUE(MID(A2112,15,2)),VALUE(MID(A2112,18,2))),"")))</f>
        <v/>
      </c>
    </row>
    <row r="2113" customFormat="false" ht="15" hidden="false" customHeight="false" outlineLevel="0" collapsed="false">
      <c r="I2113" s="15" t="str">
        <f aca="false">IF(N2113="","",INT(N2113))</f>
        <v/>
      </c>
      <c r="J2113" s="16" t="str">
        <f aca="false">IF(B2113="","",IF(N2113=_xlfn.MINIFS($N$2:$N$5001,$B$2:$B$5001,B2113),1,0))</f>
        <v/>
      </c>
      <c r="K2113" s="16" t="str">
        <f aca="false">IF(B2113="","",IF(AND(D2113="Formalização",E2113="Concluído"),IF(COUNTIFS($B$2:$B$5001,B2113,$E$2:$E$5001,"Em ajustes",$N$2:$N$5001,"&lt;"&amp;I2113)&gt;0,1,0),0))</f>
        <v/>
      </c>
      <c r="L2113" s="16" t="str">
        <f aca="false">IF(B2113="","",IF(N2113=_xlfn.MAXIFS($N$2:$N$5001,$B$2:$B$5001,B2113,$I$2:$I$5001,I2113),1,0))</f>
        <v/>
      </c>
      <c r="M2113" s="16" t="str">
        <f aca="false">IF(B2113="","",IF(E2113="Em ajustes",IF(N2113=_xlfn.MINIFS($N$2:$N$5001,$B$2:$B$5001,B2113,$E$2:$E$5001,"Em ajustes"),1,0),0))</f>
        <v/>
      </c>
      <c r="N2113" s="17" t="str">
        <f aca="false">IF(A2113="","",IF(ISNUMBER(A2113),A2113,IFERROR(DATE(VALUE(MID(A2113,7,4)),VALUE(MID(A2113,4,2)),VALUE(MID(A2113,1,2)))+TIME(VALUE(MID(A2113,12,2)),VALUE(MID(A2113,15,2)),VALUE(MID(A2113,18,2))),"")))</f>
        <v/>
      </c>
    </row>
    <row r="2114" customFormat="false" ht="15" hidden="false" customHeight="false" outlineLevel="0" collapsed="false">
      <c r="I2114" s="15" t="str">
        <f aca="false">IF(N2114="","",INT(N2114))</f>
        <v/>
      </c>
      <c r="J2114" s="16" t="str">
        <f aca="false">IF(B2114="","",IF(N2114=_xlfn.MINIFS($N$2:$N$5001,$B$2:$B$5001,B2114),1,0))</f>
        <v/>
      </c>
      <c r="K2114" s="16" t="str">
        <f aca="false">IF(B2114="","",IF(AND(D2114="Formalização",E2114="Concluído"),IF(COUNTIFS($B$2:$B$5001,B2114,$E$2:$E$5001,"Em ajustes",$N$2:$N$5001,"&lt;"&amp;I2114)&gt;0,1,0),0))</f>
        <v/>
      </c>
      <c r="L2114" s="16" t="str">
        <f aca="false">IF(B2114="","",IF(N2114=_xlfn.MAXIFS($N$2:$N$5001,$B$2:$B$5001,B2114,$I$2:$I$5001,I2114),1,0))</f>
        <v/>
      </c>
      <c r="M2114" s="16" t="str">
        <f aca="false">IF(B2114="","",IF(E2114="Em ajustes",IF(N2114=_xlfn.MINIFS($N$2:$N$5001,$B$2:$B$5001,B2114,$E$2:$E$5001,"Em ajustes"),1,0),0))</f>
        <v/>
      </c>
      <c r="N2114" s="17" t="str">
        <f aca="false">IF(A2114="","",IF(ISNUMBER(A2114),A2114,IFERROR(DATE(VALUE(MID(A2114,7,4)),VALUE(MID(A2114,4,2)),VALUE(MID(A2114,1,2)))+TIME(VALUE(MID(A2114,12,2)),VALUE(MID(A2114,15,2)),VALUE(MID(A2114,18,2))),"")))</f>
        <v/>
      </c>
    </row>
    <row r="2115" customFormat="false" ht="15" hidden="false" customHeight="false" outlineLevel="0" collapsed="false">
      <c r="I2115" s="15" t="str">
        <f aca="false">IF(N2115="","",INT(N2115))</f>
        <v/>
      </c>
      <c r="J2115" s="16" t="str">
        <f aca="false">IF(B2115="","",IF(N2115=_xlfn.MINIFS($N$2:$N$5001,$B$2:$B$5001,B2115),1,0))</f>
        <v/>
      </c>
      <c r="K2115" s="16" t="str">
        <f aca="false">IF(B2115="","",IF(AND(D2115="Formalização",E2115="Concluído"),IF(COUNTIFS($B$2:$B$5001,B2115,$E$2:$E$5001,"Em ajustes",$N$2:$N$5001,"&lt;"&amp;I2115)&gt;0,1,0),0))</f>
        <v/>
      </c>
      <c r="L2115" s="16" t="str">
        <f aca="false">IF(B2115="","",IF(N2115=_xlfn.MAXIFS($N$2:$N$5001,$B$2:$B$5001,B2115,$I$2:$I$5001,I2115),1,0))</f>
        <v/>
      </c>
      <c r="M2115" s="16" t="str">
        <f aca="false">IF(B2115="","",IF(E2115="Em ajustes",IF(N2115=_xlfn.MINIFS($N$2:$N$5001,$B$2:$B$5001,B2115,$E$2:$E$5001,"Em ajustes"),1,0),0))</f>
        <v/>
      </c>
      <c r="N2115" s="17" t="str">
        <f aca="false">IF(A2115="","",IF(ISNUMBER(A2115),A2115,IFERROR(DATE(VALUE(MID(A2115,7,4)),VALUE(MID(A2115,4,2)),VALUE(MID(A2115,1,2)))+TIME(VALUE(MID(A2115,12,2)),VALUE(MID(A2115,15,2)),VALUE(MID(A2115,18,2))),"")))</f>
        <v/>
      </c>
    </row>
    <row r="2116" customFormat="false" ht="15" hidden="false" customHeight="false" outlineLevel="0" collapsed="false">
      <c r="I2116" s="15" t="str">
        <f aca="false">IF(N2116="","",INT(N2116))</f>
        <v/>
      </c>
      <c r="J2116" s="16" t="str">
        <f aca="false">IF(B2116="","",IF(N2116=_xlfn.MINIFS($N$2:$N$5001,$B$2:$B$5001,B2116),1,0))</f>
        <v/>
      </c>
      <c r="K2116" s="16" t="str">
        <f aca="false">IF(B2116="","",IF(AND(D2116="Formalização",E2116="Concluído"),IF(COUNTIFS($B$2:$B$5001,B2116,$E$2:$E$5001,"Em ajustes",$N$2:$N$5001,"&lt;"&amp;I2116)&gt;0,1,0),0))</f>
        <v/>
      </c>
      <c r="L2116" s="16" t="str">
        <f aca="false">IF(B2116="","",IF(N2116=_xlfn.MAXIFS($N$2:$N$5001,$B$2:$B$5001,B2116,$I$2:$I$5001,I2116),1,0))</f>
        <v/>
      </c>
      <c r="M2116" s="16" t="str">
        <f aca="false">IF(B2116="","",IF(E2116="Em ajustes",IF(N2116=_xlfn.MINIFS($N$2:$N$5001,$B$2:$B$5001,B2116,$E$2:$E$5001,"Em ajustes"),1,0),0))</f>
        <v/>
      </c>
      <c r="N2116" s="17" t="str">
        <f aca="false">IF(A2116="","",IF(ISNUMBER(A2116),A2116,IFERROR(DATE(VALUE(MID(A2116,7,4)),VALUE(MID(A2116,4,2)),VALUE(MID(A2116,1,2)))+TIME(VALUE(MID(A2116,12,2)),VALUE(MID(A2116,15,2)),VALUE(MID(A2116,18,2))),"")))</f>
        <v/>
      </c>
    </row>
    <row r="2117" customFormat="false" ht="15" hidden="false" customHeight="false" outlineLevel="0" collapsed="false">
      <c r="I2117" s="15" t="str">
        <f aca="false">IF(N2117="","",INT(N2117))</f>
        <v/>
      </c>
      <c r="J2117" s="16" t="str">
        <f aca="false">IF(B2117="","",IF(N2117=_xlfn.MINIFS($N$2:$N$5001,$B$2:$B$5001,B2117),1,0))</f>
        <v/>
      </c>
      <c r="K2117" s="16" t="str">
        <f aca="false">IF(B2117="","",IF(AND(D2117="Formalização",E2117="Concluído"),IF(COUNTIFS($B$2:$B$5001,B2117,$E$2:$E$5001,"Em ajustes",$N$2:$N$5001,"&lt;"&amp;I2117)&gt;0,1,0),0))</f>
        <v/>
      </c>
      <c r="L2117" s="16" t="str">
        <f aca="false">IF(B2117="","",IF(N2117=_xlfn.MAXIFS($N$2:$N$5001,$B$2:$B$5001,B2117,$I$2:$I$5001,I2117),1,0))</f>
        <v/>
      </c>
      <c r="M2117" s="16" t="str">
        <f aca="false">IF(B2117="","",IF(E2117="Em ajustes",IF(N2117=_xlfn.MINIFS($N$2:$N$5001,$B$2:$B$5001,B2117,$E$2:$E$5001,"Em ajustes"),1,0),0))</f>
        <v/>
      </c>
      <c r="N2117" s="17" t="str">
        <f aca="false">IF(A2117="","",IF(ISNUMBER(A2117),A2117,IFERROR(DATE(VALUE(MID(A2117,7,4)),VALUE(MID(A2117,4,2)),VALUE(MID(A2117,1,2)))+TIME(VALUE(MID(A2117,12,2)),VALUE(MID(A2117,15,2)),VALUE(MID(A2117,18,2))),"")))</f>
        <v/>
      </c>
    </row>
    <row r="2118" customFormat="false" ht="15" hidden="false" customHeight="false" outlineLevel="0" collapsed="false">
      <c r="I2118" s="15" t="str">
        <f aca="false">IF(N2118="","",INT(N2118))</f>
        <v/>
      </c>
      <c r="J2118" s="16" t="str">
        <f aca="false">IF(B2118="","",IF(N2118=_xlfn.MINIFS($N$2:$N$5001,$B$2:$B$5001,B2118),1,0))</f>
        <v/>
      </c>
      <c r="K2118" s="16" t="str">
        <f aca="false">IF(B2118="","",IF(AND(D2118="Formalização",E2118="Concluído"),IF(COUNTIFS($B$2:$B$5001,B2118,$E$2:$E$5001,"Em ajustes",$N$2:$N$5001,"&lt;"&amp;I2118)&gt;0,1,0),0))</f>
        <v/>
      </c>
      <c r="L2118" s="16" t="str">
        <f aca="false">IF(B2118="","",IF(N2118=_xlfn.MAXIFS($N$2:$N$5001,$B$2:$B$5001,B2118,$I$2:$I$5001,I2118),1,0))</f>
        <v/>
      </c>
      <c r="M2118" s="16" t="str">
        <f aca="false">IF(B2118="","",IF(E2118="Em ajustes",IF(N2118=_xlfn.MINIFS($N$2:$N$5001,$B$2:$B$5001,B2118,$E$2:$E$5001,"Em ajustes"),1,0),0))</f>
        <v/>
      </c>
      <c r="N2118" s="17" t="str">
        <f aca="false">IF(A2118="","",IF(ISNUMBER(A2118),A2118,IFERROR(DATE(VALUE(MID(A2118,7,4)),VALUE(MID(A2118,4,2)),VALUE(MID(A2118,1,2)))+TIME(VALUE(MID(A2118,12,2)),VALUE(MID(A2118,15,2)),VALUE(MID(A2118,18,2))),"")))</f>
        <v/>
      </c>
    </row>
    <row r="2119" customFormat="false" ht="15" hidden="false" customHeight="false" outlineLevel="0" collapsed="false">
      <c r="I2119" s="15" t="str">
        <f aca="false">IF(N2119="","",INT(N2119))</f>
        <v/>
      </c>
      <c r="J2119" s="16" t="str">
        <f aca="false">IF(B2119="","",IF(N2119=_xlfn.MINIFS($N$2:$N$5001,$B$2:$B$5001,B2119),1,0))</f>
        <v/>
      </c>
      <c r="K2119" s="16" t="str">
        <f aca="false">IF(B2119="","",IF(AND(D2119="Formalização",E2119="Concluído"),IF(COUNTIFS($B$2:$B$5001,B2119,$E$2:$E$5001,"Em ajustes",$N$2:$N$5001,"&lt;"&amp;I2119)&gt;0,1,0),0))</f>
        <v/>
      </c>
      <c r="L2119" s="16" t="str">
        <f aca="false">IF(B2119="","",IF(N2119=_xlfn.MAXIFS($N$2:$N$5001,$B$2:$B$5001,B2119,$I$2:$I$5001,I2119),1,0))</f>
        <v/>
      </c>
      <c r="M2119" s="16" t="str">
        <f aca="false">IF(B2119="","",IF(E2119="Em ajustes",IF(N2119=_xlfn.MINIFS($N$2:$N$5001,$B$2:$B$5001,B2119,$E$2:$E$5001,"Em ajustes"),1,0),0))</f>
        <v/>
      </c>
      <c r="N2119" s="17" t="str">
        <f aca="false">IF(A2119="","",IF(ISNUMBER(A2119),A2119,IFERROR(DATE(VALUE(MID(A2119,7,4)),VALUE(MID(A2119,4,2)),VALUE(MID(A2119,1,2)))+TIME(VALUE(MID(A2119,12,2)),VALUE(MID(A2119,15,2)),VALUE(MID(A2119,18,2))),"")))</f>
        <v/>
      </c>
    </row>
    <row r="2120" customFormat="false" ht="15" hidden="false" customHeight="false" outlineLevel="0" collapsed="false">
      <c r="I2120" s="15" t="str">
        <f aca="false">IF(N2120="","",INT(N2120))</f>
        <v/>
      </c>
      <c r="J2120" s="16" t="str">
        <f aca="false">IF(B2120="","",IF(N2120=_xlfn.MINIFS($N$2:$N$5001,$B$2:$B$5001,B2120),1,0))</f>
        <v/>
      </c>
      <c r="K2120" s="16" t="str">
        <f aca="false">IF(B2120="","",IF(AND(D2120="Formalização",E2120="Concluído"),IF(COUNTIFS($B$2:$B$5001,B2120,$E$2:$E$5001,"Em ajustes",$N$2:$N$5001,"&lt;"&amp;I2120)&gt;0,1,0),0))</f>
        <v/>
      </c>
      <c r="L2120" s="16" t="str">
        <f aca="false">IF(B2120="","",IF(N2120=_xlfn.MAXIFS($N$2:$N$5001,$B$2:$B$5001,B2120,$I$2:$I$5001,I2120),1,0))</f>
        <v/>
      </c>
      <c r="M2120" s="16" t="str">
        <f aca="false">IF(B2120="","",IF(E2120="Em ajustes",IF(N2120=_xlfn.MINIFS($N$2:$N$5001,$B$2:$B$5001,B2120,$E$2:$E$5001,"Em ajustes"),1,0),0))</f>
        <v/>
      </c>
      <c r="N2120" s="17" t="str">
        <f aca="false">IF(A2120="","",IF(ISNUMBER(A2120),A2120,IFERROR(DATE(VALUE(MID(A2120,7,4)),VALUE(MID(A2120,4,2)),VALUE(MID(A2120,1,2)))+TIME(VALUE(MID(A2120,12,2)),VALUE(MID(A2120,15,2)),VALUE(MID(A2120,18,2))),"")))</f>
        <v/>
      </c>
    </row>
    <row r="2121" customFormat="false" ht="15" hidden="false" customHeight="false" outlineLevel="0" collapsed="false">
      <c r="I2121" s="15" t="str">
        <f aca="false">IF(N2121="","",INT(N2121))</f>
        <v/>
      </c>
      <c r="J2121" s="16" t="str">
        <f aca="false">IF(B2121="","",IF(N2121=_xlfn.MINIFS($N$2:$N$5001,$B$2:$B$5001,B2121),1,0))</f>
        <v/>
      </c>
      <c r="K2121" s="16" t="str">
        <f aca="false">IF(B2121="","",IF(AND(D2121="Formalização",E2121="Concluído"),IF(COUNTIFS($B$2:$B$5001,B2121,$E$2:$E$5001,"Em ajustes",$N$2:$N$5001,"&lt;"&amp;I2121)&gt;0,1,0),0))</f>
        <v/>
      </c>
      <c r="L2121" s="16" t="str">
        <f aca="false">IF(B2121="","",IF(N2121=_xlfn.MAXIFS($N$2:$N$5001,$B$2:$B$5001,B2121,$I$2:$I$5001,I2121),1,0))</f>
        <v/>
      </c>
      <c r="M2121" s="16" t="str">
        <f aca="false">IF(B2121="","",IF(E2121="Em ajustes",IF(N2121=_xlfn.MINIFS($N$2:$N$5001,$B$2:$B$5001,B2121,$E$2:$E$5001,"Em ajustes"),1,0),0))</f>
        <v/>
      </c>
      <c r="N2121" s="17" t="str">
        <f aca="false">IF(A2121="","",IF(ISNUMBER(A2121),A2121,IFERROR(DATE(VALUE(MID(A2121,7,4)),VALUE(MID(A2121,4,2)),VALUE(MID(A2121,1,2)))+TIME(VALUE(MID(A2121,12,2)),VALUE(MID(A2121,15,2)),VALUE(MID(A2121,18,2))),"")))</f>
        <v/>
      </c>
    </row>
    <row r="2122" customFormat="false" ht="15" hidden="false" customHeight="false" outlineLevel="0" collapsed="false">
      <c r="I2122" s="15" t="str">
        <f aca="false">IF(N2122="","",INT(N2122))</f>
        <v/>
      </c>
      <c r="J2122" s="16" t="str">
        <f aca="false">IF(B2122="","",IF(N2122=_xlfn.MINIFS($N$2:$N$5001,$B$2:$B$5001,B2122),1,0))</f>
        <v/>
      </c>
      <c r="K2122" s="16" t="str">
        <f aca="false">IF(B2122="","",IF(AND(D2122="Formalização",E2122="Concluído"),IF(COUNTIFS($B$2:$B$5001,B2122,$E$2:$E$5001,"Em ajustes",$N$2:$N$5001,"&lt;"&amp;I2122)&gt;0,1,0),0))</f>
        <v/>
      </c>
      <c r="L2122" s="16" t="str">
        <f aca="false">IF(B2122="","",IF(N2122=_xlfn.MAXIFS($N$2:$N$5001,$B$2:$B$5001,B2122,$I$2:$I$5001,I2122),1,0))</f>
        <v/>
      </c>
      <c r="M2122" s="16" t="str">
        <f aca="false">IF(B2122="","",IF(E2122="Em ajustes",IF(N2122=_xlfn.MINIFS($N$2:$N$5001,$B$2:$B$5001,B2122,$E$2:$E$5001,"Em ajustes"),1,0),0))</f>
        <v/>
      </c>
      <c r="N2122" s="17" t="str">
        <f aca="false">IF(A2122="","",IF(ISNUMBER(A2122),A2122,IFERROR(DATE(VALUE(MID(A2122,7,4)),VALUE(MID(A2122,4,2)),VALUE(MID(A2122,1,2)))+TIME(VALUE(MID(A2122,12,2)),VALUE(MID(A2122,15,2)),VALUE(MID(A2122,18,2))),"")))</f>
        <v/>
      </c>
    </row>
    <row r="2123" customFormat="false" ht="15" hidden="false" customHeight="false" outlineLevel="0" collapsed="false">
      <c r="I2123" s="15" t="str">
        <f aca="false">IF(N2123="","",INT(N2123))</f>
        <v/>
      </c>
      <c r="J2123" s="16" t="str">
        <f aca="false">IF(B2123="","",IF(N2123=_xlfn.MINIFS($N$2:$N$5001,$B$2:$B$5001,B2123),1,0))</f>
        <v/>
      </c>
      <c r="K2123" s="16" t="str">
        <f aca="false">IF(B2123="","",IF(AND(D2123="Formalização",E2123="Concluído"),IF(COUNTIFS($B$2:$B$5001,B2123,$E$2:$E$5001,"Em ajustes",$N$2:$N$5001,"&lt;"&amp;I2123)&gt;0,1,0),0))</f>
        <v/>
      </c>
      <c r="L2123" s="16" t="str">
        <f aca="false">IF(B2123="","",IF(N2123=_xlfn.MAXIFS($N$2:$N$5001,$B$2:$B$5001,B2123,$I$2:$I$5001,I2123),1,0))</f>
        <v/>
      </c>
      <c r="M2123" s="16" t="str">
        <f aca="false">IF(B2123="","",IF(E2123="Em ajustes",IF(N2123=_xlfn.MINIFS($N$2:$N$5001,$B$2:$B$5001,B2123,$E$2:$E$5001,"Em ajustes"),1,0),0))</f>
        <v/>
      </c>
      <c r="N2123" s="17" t="str">
        <f aca="false">IF(A2123="","",IF(ISNUMBER(A2123),A2123,IFERROR(DATE(VALUE(MID(A2123,7,4)),VALUE(MID(A2123,4,2)),VALUE(MID(A2123,1,2)))+TIME(VALUE(MID(A2123,12,2)),VALUE(MID(A2123,15,2)),VALUE(MID(A2123,18,2))),"")))</f>
        <v/>
      </c>
    </row>
    <row r="2124" customFormat="false" ht="15" hidden="false" customHeight="false" outlineLevel="0" collapsed="false">
      <c r="I2124" s="15" t="str">
        <f aca="false">IF(N2124="","",INT(N2124))</f>
        <v/>
      </c>
      <c r="J2124" s="16" t="str">
        <f aca="false">IF(B2124="","",IF(N2124=_xlfn.MINIFS($N$2:$N$5001,$B$2:$B$5001,B2124),1,0))</f>
        <v/>
      </c>
      <c r="K2124" s="16" t="str">
        <f aca="false">IF(B2124="","",IF(AND(D2124="Formalização",E2124="Concluído"),IF(COUNTIFS($B$2:$B$5001,B2124,$E$2:$E$5001,"Em ajustes",$N$2:$N$5001,"&lt;"&amp;I2124)&gt;0,1,0),0))</f>
        <v/>
      </c>
      <c r="L2124" s="16" t="str">
        <f aca="false">IF(B2124="","",IF(N2124=_xlfn.MAXIFS($N$2:$N$5001,$B$2:$B$5001,B2124,$I$2:$I$5001,I2124),1,0))</f>
        <v/>
      </c>
      <c r="M2124" s="16" t="str">
        <f aca="false">IF(B2124="","",IF(E2124="Em ajustes",IF(N2124=_xlfn.MINIFS($N$2:$N$5001,$B$2:$B$5001,B2124,$E$2:$E$5001,"Em ajustes"),1,0),0))</f>
        <v/>
      </c>
      <c r="N2124" s="17" t="str">
        <f aca="false">IF(A2124="","",IF(ISNUMBER(A2124),A2124,IFERROR(DATE(VALUE(MID(A2124,7,4)),VALUE(MID(A2124,4,2)),VALUE(MID(A2124,1,2)))+TIME(VALUE(MID(A2124,12,2)),VALUE(MID(A2124,15,2)),VALUE(MID(A2124,18,2))),"")))</f>
        <v/>
      </c>
    </row>
    <row r="2125" customFormat="false" ht="15" hidden="false" customHeight="false" outlineLevel="0" collapsed="false">
      <c r="I2125" s="15" t="str">
        <f aca="false">IF(N2125="","",INT(N2125))</f>
        <v/>
      </c>
      <c r="J2125" s="16" t="str">
        <f aca="false">IF(B2125="","",IF(N2125=_xlfn.MINIFS($N$2:$N$5001,$B$2:$B$5001,B2125),1,0))</f>
        <v/>
      </c>
      <c r="K2125" s="16" t="str">
        <f aca="false">IF(B2125="","",IF(AND(D2125="Formalização",E2125="Concluído"),IF(COUNTIFS($B$2:$B$5001,B2125,$E$2:$E$5001,"Em ajustes",$N$2:$N$5001,"&lt;"&amp;I2125)&gt;0,1,0),0))</f>
        <v/>
      </c>
      <c r="L2125" s="16" t="str">
        <f aca="false">IF(B2125="","",IF(N2125=_xlfn.MAXIFS($N$2:$N$5001,$B$2:$B$5001,B2125,$I$2:$I$5001,I2125),1,0))</f>
        <v/>
      </c>
      <c r="M2125" s="16" t="str">
        <f aca="false">IF(B2125="","",IF(E2125="Em ajustes",IF(N2125=_xlfn.MINIFS($N$2:$N$5001,$B$2:$B$5001,B2125,$E$2:$E$5001,"Em ajustes"),1,0),0))</f>
        <v/>
      </c>
      <c r="N2125" s="17" t="str">
        <f aca="false">IF(A2125="","",IF(ISNUMBER(A2125),A2125,IFERROR(DATE(VALUE(MID(A2125,7,4)),VALUE(MID(A2125,4,2)),VALUE(MID(A2125,1,2)))+TIME(VALUE(MID(A2125,12,2)),VALUE(MID(A2125,15,2)),VALUE(MID(A2125,18,2))),"")))</f>
        <v/>
      </c>
    </row>
    <row r="2126" customFormat="false" ht="15" hidden="false" customHeight="false" outlineLevel="0" collapsed="false">
      <c r="I2126" s="15" t="str">
        <f aca="false">IF(N2126="","",INT(N2126))</f>
        <v/>
      </c>
      <c r="J2126" s="16" t="str">
        <f aca="false">IF(B2126="","",IF(N2126=_xlfn.MINIFS($N$2:$N$5001,$B$2:$B$5001,B2126),1,0))</f>
        <v/>
      </c>
      <c r="K2126" s="16" t="str">
        <f aca="false">IF(B2126="","",IF(AND(D2126="Formalização",E2126="Concluído"),IF(COUNTIFS($B$2:$B$5001,B2126,$E$2:$E$5001,"Em ajustes",$N$2:$N$5001,"&lt;"&amp;I2126)&gt;0,1,0),0))</f>
        <v/>
      </c>
      <c r="L2126" s="16" t="str">
        <f aca="false">IF(B2126="","",IF(N2126=_xlfn.MAXIFS($N$2:$N$5001,$B$2:$B$5001,B2126,$I$2:$I$5001,I2126),1,0))</f>
        <v/>
      </c>
      <c r="M2126" s="16" t="str">
        <f aca="false">IF(B2126="","",IF(E2126="Em ajustes",IF(N2126=_xlfn.MINIFS($N$2:$N$5001,$B$2:$B$5001,B2126,$E$2:$E$5001,"Em ajustes"),1,0),0))</f>
        <v/>
      </c>
      <c r="N2126" s="17" t="str">
        <f aca="false">IF(A2126="","",IF(ISNUMBER(A2126),A2126,IFERROR(DATE(VALUE(MID(A2126,7,4)),VALUE(MID(A2126,4,2)),VALUE(MID(A2126,1,2)))+TIME(VALUE(MID(A2126,12,2)),VALUE(MID(A2126,15,2)),VALUE(MID(A2126,18,2))),"")))</f>
        <v/>
      </c>
    </row>
    <row r="2127" customFormat="false" ht="15" hidden="false" customHeight="false" outlineLevel="0" collapsed="false">
      <c r="I2127" s="15" t="str">
        <f aca="false">IF(N2127="","",INT(N2127))</f>
        <v/>
      </c>
      <c r="J2127" s="16" t="str">
        <f aca="false">IF(B2127="","",IF(N2127=_xlfn.MINIFS($N$2:$N$5001,$B$2:$B$5001,B2127),1,0))</f>
        <v/>
      </c>
      <c r="K2127" s="16" t="str">
        <f aca="false">IF(B2127="","",IF(AND(D2127="Formalização",E2127="Concluído"),IF(COUNTIFS($B$2:$B$5001,B2127,$E$2:$E$5001,"Em ajustes",$N$2:$N$5001,"&lt;"&amp;I2127)&gt;0,1,0),0))</f>
        <v/>
      </c>
      <c r="L2127" s="16" t="str">
        <f aca="false">IF(B2127="","",IF(N2127=_xlfn.MAXIFS($N$2:$N$5001,$B$2:$B$5001,B2127,$I$2:$I$5001,I2127),1,0))</f>
        <v/>
      </c>
      <c r="M2127" s="16" t="str">
        <f aca="false">IF(B2127="","",IF(E2127="Em ajustes",IF(N2127=_xlfn.MINIFS($N$2:$N$5001,$B$2:$B$5001,B2127,$E$2:$E$5001,"Em ajustes"),1,0),0))</f>
        <v/>
      </c>
      <c r="N2127" s="17" t="str">
        <f aca="false">IF(A2127="","",IF(ISNUMBER(A2127),A2127,IFERROR(DATE(VALUE(MID(A2127,7,4)),VALUE(MID(A2127,4,2)),VALUE(MID(A2127,1,2)))+TIME(VALUE(MID(A2127,12,2)),VALUE(MID(A2127,15,2)),VALUE(MID(A2127,18,2))),"")))</f>
        <v/>
      </c>
    </row>
    <row r="2128" customFormat="false" ht="15" hidden="false" customHeight="false" outlineLevel="0" collapsed="false">
      <c r="I2128" s="15" t="str">
        <f aca="false">IF(N2128="","",INT(N2128))</f>
        <v/>
      </c>
      <c r="J2128" s="16" t="str">
        <f aca="false">IF(B2128="","",IF(N2128=_xlfn.MINIFS($N$2:$N$5001,$B$2:$B$5001,B2128),1,0))</f>
        <v/>
      </c>
      <c r="K2128" s="16" t="str">
        <f aca="false">IF(B2128="","",IF(AND(D2128="Formalização",E2128="Concluído"),IF(COUNTIFS($B$2:$B$5001,B2128,$E$2:$E$5001,"Em ajustes",$N$2:$N$5001,"&lt;"&amp;I2128)&gt;0,1,0),0))</f>
        <v/>
      </c>
      <c r="L2128" s="16" t="str">
        <f aca="false">IF(B2128="","",IF(N2128=_xlfn.MAXIFS($N$2:$N$5001,$B$2:$B$5001,B2128,$I$2:$I$5001,I2128),1,0))</f>
        <v/>
      </c>
      <c r="M2128" s="16" t="str">
        <f aca="false">IF(B2128="","",IF(E2128="Em ajustes",IF(N2128=_xlfn.MINIFS($N$2:$N$5001,$B$2:$B$5001,B2128,$E$2:$E$5001,"Em ajustes"),1,0),0))</f>
        <v/>
      </c>
      <c r="N2128" s="17" t="str">
        <f aca="false">IF(A2128="","",IF(ISNUMBER(A2128),A2128,IFERROR(DATE(VALUE(MID(A2128,7,4)),VALUE(MID(A2128,4,2)),VALUE(MID(A2128,1,2)))+TIME(VALUE(MID(A2128,12,2)),VALUE(MID(A2128,15,2)),VALUE(MID(A2128,18,2))),"")))</f>
        <v/>
      </c>
    </row>
    <row r="2129" customFormat="false" ht="15" hidden="false" customHeight="false" outlineLevel="0" collapsed="false">
      <c r="I2129" s="15" t="str">
        <f aca="false">IF(N2129="","",INT(N2129))</f>
        <v/>
      </c>
      <c r="J2129" s="16" t="str">
        <f aca="false">IF(B2129="","",IF(N2129=_xlfn.MINIFS($N$2:$N$5001,$B$2:$B$5001,B2129),1,0))</f>
        <v/>
      </c>
      <c r="K2129" s="16" t="str">
        <f aca="false">IF(B2129="","",IF(AND(D2129="Formalização",E2129="Concluído"),IF(COUNTIFS($B$2:$B$5001,B2129,$E$2:$E$5001,"Em ajustes",$N$2:$N$5001,"&lt;"&amp;I2129)&gt;0,1,0),0))</f>
        <v/>
      </c>
      <c r="L2129" s="16" t="str">
        <f aca="false">IF(B2129="","",IF(N2129=_xlfn.MAXIFS($N$2:$N$5001,$B$2:$B$5001,B2129,$I$2:$I$5001,I2129),1,0))</f>
        <v/>
      </c>
      <c r="M2129" s="16" t="str">
        <f aca="false">IF(B2129="","",IF(E2129="Em ajustes",IF(N2129=_xlfn.MINIFS($N$2:$N$5001,$B$2:$B$5001,B2129,$E$2:$E$5001,"Em ajustes"),1,0),0))</f>
        <v/>
      </c>
      <c r="N2129" s="17" t="str">
        <f aca="false">IF(A2129="","",IF(ISNUMBER(A2129),A2129,IFERROR(DATE(VALUE(MID(A2129,7,4)),VALUE(MID(A2129,4,2)),VALUE(MID(A2129,1,2)))+TIME(VALUE(MID(A2129,12,2)),VALUE(MID(A2129,15,2)),VALUE(MID(A2129,18,2))),"")))</f>
        <v/>
      </c>
    </row>
    <row r="2130" customFormat="false" ht="15" hidden="false" customHeight="false" outlineLevel="0" collapsed="false">
      <c r="I2130" s="15" t="str">
        <f aca="false">IF(N2130="","",INT(N2130))</f>
        <v/>
      </c>
      <c r="J2130" s="16" t="str">
        <f aca="false">IF(B2130="","",IF(N2130=_xlfn.MINIFS($N$2:$N$5001,$B$2:$B$5001,B2130),1,0))</f>
        <v/>
      </c>
      <c r="K2130" s="16" t="str">
        <f aca="false">IF(B2130="","",IF(AND(D2130="Formalização",E2130="Concluído"),IF(COUNTIFS($B$2:$B$5001,B2130,$E$2:$E$5001,"Em ajustes",$N$2:$N$5001,"&lt;"&amp;I2130)&gt;0,1,0),0))</f>
        <v/>
      </c>
      <c r="L2130" s="16" t="str">
        <f aca="false">IF(B2130="","",IF(N2130=_xlfn.MAXIFS($N$2:$N$5001,$B$2:$B$5001,B2130,$I$2:$I$5001,I2130),1,0))</f>
        <v/>
      </c>
      <c r="M2130" s="16" t="str">
        <f aca="false">IF(B2130="","",IF(E2130="Em ajustes",IF(N2130=_xlfn.MINIFS($N$2:$N$5001,$B$2:$B$5001,B2130,$E$2:$E$5001,"Em ajustes"),1,0),0))</f>
        <v/>
      </c>
      <c r="N2130" s="17" t="str">
        <f aca="false">IF(A2130="","",IF(ISNUMBER(A2130),A2130,IFERROR(DATE(VALUE(MID(A2130,7,4)),VALUE(MID(A2130,4,2)),VALUE(MID(A2130,1,2)))+TIME(VALUE(MID(A2130,12,2)),VALUE(MID(A2130,15,2)),VALUE(MID(A2130,18,2))),"")))</f>
        <v/>
      </c>
    </row>
    <row r="2131" customFormat="false" ht="15" hidden="false" customHeight="false" outlineLevel="0" collapsed="false">
      <c r="I2131" s="15" t="str">
        <f aca="false">IF(N2131="","",INT(N2131))</f>
        <v/>
      </c>
      <c r="J2131" s="16" t="str">
        <f aca="false">IF(B2131="","",IF(N2131=_xlfn.MINIFS($N$2:$N$5001,$B$2:$B$5001,B2131),1,0))</f>
        <v/>
      </c>
      <c r="K2131" s="16" t="str">
        <f aca="false">IF(B2131="","",IF(AND(D2131="Formalização",E2131="Concluído"),IF(COUNTIFS($B$2:$B$5001,B2131,$E$2:$E$5001,"Em ajustes",$N$2:$N$5001,"&lt;"&amp;I2131)&gt;0,1,0),0))</f>
        <v/>
      </c>
      <c r="L2131" s="16" t="str">
        <f aca="false">IF(B2131="","",IF(N2131=_xlfn.MAXIFS($N$2:$N$5001,$B$2:$B$5001,B2131,$I$2:$I$5001,I2131),1,0))</f>
        <v/>
      </c>
      <c r="M2131" s="16" t="str">
        <f aca="false">IF(B2131="","",IF(E2131="Em ajustes",IF(N2131=_xlfn.MINIFS($N$2:$N$5001,$B$2:$B$5001,B2131,$E$2:$E$5001,"Em ajustes"),1,0),0))</f>
        <v/>
      </c>
      <c r="N2131" s="17" t="str">
        <f aca="false">IF(A2131="","",IF(ISNUMBER(A2131),A2131,IFERROR(DATE(VALUE(MID(A2131,7,4)),VALUE(MID(A2131,4,2)),VALUE(MID(A2131,1,2)))+TIME(VALUE(MID(A2131,12,2)),VALUE(MID(A2131,15,2)),VALUE(MID(A2131,18,2))),"")))</f>
        <v/>
      </c>
    </row>
    <row r="2132" customFormat="false" ht="15" hidden="false" customHeight="false" outlineLevel="0" collapsed="false">
      <c r="I2132" s="15" t="str">
        <f aca="false">IF(N2132="","",INT(N2132))</f>
        <v/>
      </c>
      <c r="J2132" s="16" t="str">
        <f aca="false">IF(B2132="","",IF(N2132=_xlfn.MINIFS($N$2:$N$5001,$B$2:$B$5001,B2132),1,0))</f>
        <v/>
      </c>
      <c r="K2132" s="16" t="str">
        <f aca="false">IF(B2132="","",IF(AND(D2132="Formalização",E2132="Concluído"),IF(COUNTIFS($B$2:$B$5001,B2132,$E$2:$E$5001,"Em ajustes",$N$2:$N$5001,"&lt;"&amp;I2132)&gt;0,1,0),0))</f>
        <v/>
      </c>
      <c r="L2132" s="16" t="str">
        <f aca="false">IF(B2132="","",IF(N2132=_xlfn.MAXIFS($N$2:$N$5001,$B$2:$B$5001,B2132,$I$2:$I$5001,I2132),1,0))</f>
        <v/>
      </c>
      <c r="M2132" s="16" t="str">
        <f aca="false">IF(B2132="","",IF(E2132="Em ajustes",IF(N2132=_xlfn.MINIFS($N$2:$N$5001,$B$2:$B$5001,B2132,$E$2:$E$5001,"Em ajustes"),1,0),0))</f>
        <v/>
      </c>
      <c r="N2132" s="17" t="str">
        <f aca="false">IF(A2132="","",IF(ISNUMBER(A2132),A2132,IFERROR(DATE(VALUE(MID(A2132,7,4)),VALUE(MID(A2132,4,2)),VALUE(MID(A2132,1,2)))+TIME(VALUE(MID(A2132,12,2)),VALUE(MID(A2132,15,2)),VALUE(MID(A2132,18,2))),"")))</f>
        <v/>
      </c>
    </row>
    <row r="2133" customFormat="false" ht="15" hidden="false" customHeight="false" outlineLevel="0" collapsed="false">
      <c r="I2133" s="15" t="str">
        <f aca="false">IF(N2133="","",INT(N2133))</f>
        <v/>
      </c>
      <c r="J2133" s="16" t="str">
        <f aca="false">IF(B2133="","",IF(N2133=_xlfn.MINIFS($N$2:$N$5001,$B$2:$B$5001,B2133),1,0))</f>
        <v/>
      </c>
      <c r="K2133" s="16" t="str">
        <f aca="false">IF(B2133="","",IF(AND(D2133="Formalização",E2133="Concluído"),IF(COUNTIFS($B$2:$B$5001,B2133,$E$2:$E$5001,"Em ajustes",$N$2:$N$5001,"&lt;"&amp;I2133)&gt;0,1,0),0))</f>
        <v/>
      </c>
      <c r="L2133" s="16" t="str">
        <f aca="false">IF(B2133="","",IF(N2133=_xlfn.MAXIFS($N$2:$N$5001,$B$2:$B$5001,B2133,$I$2:$I$5001,I2133),1,0))</f>
        <v/>
      </c>
      <c r="M2133" s="16" t="str">
        <f aca="false">IF(B2133="","",IF(E2133="Em ajustes",IF(N2133=_xlfn.MINIFS($N$2:$N$5001,$B$2:$B$5001,B2133,$E$2:$E$5001,"Em ajustes"),1,0),0))</f>
        <v/>
      </c>
      <c r="N2133" s="17" t="str">
        <f aca="false">IF(A2133="","",IF(ISNUMBER(A2133),A2133,IFERROR(DATE(VALUE(MID(A2133,7,4)),VALUE(MID(A2133,4,2)),VALUE(MID(A2133,1,2)))+TIME(VALUE(MID(A2133,12,2)),VALUE(MID(A2133,15,2)),VALUE(MID(A2133,18,2))),"")))</f>
        <v/>
      </c>
    </row>
    <row r="2134" customFormat="false" ht="15" hidden="false" customHeight="false" outlineLevel="0" collapsed="false">
      <c r="I2134" s="15" t="str">
        <f aca="false">IF(N2134="","",INT(N2134))</f>
        <v/>
      </c>
      <c r="J2134" s="16" t="str">
        <f aca="false">IF(B2134="","",IF(N2134=_xlfn.MINIFS($N$2:$N$5001,$B$2:$B$5001,B2134),1,0))</f>
        <v/>
      </c>
      <c r="K2134" s="16" t="str">
        <f aca="false">IF(B2134="","",IF(AND(D2134="Formalização",E2134="Concluído"),IF(COUNTIFS($B$2:$B$5001,B2134,$E$2:$E$5001,"Em ajustes",$N$2:$N$5001,"&lt;"&amp;I2134)&gt;0,1,0),0))</f>
        <v/>
      </c>
      <c r="L2134" s="16" t="str">
        <f aca="false">IF(B2134="","",IF(N2134=_xlfn.MAXIFS($N$2:$N$5001,$B$2:$B$5001,B2134,$I$2:$I$5001,I2134),1,0))</f>
        <v/>
      </c>
      <c r="M2134" s="16" t="str">
        <f aca="false">IF(B2134="","",IF(E2134="Em ajustes",IF(N2134=_xlfn.MINIFS($N$2:$N$5001,$B$2:$B$5001,B2134,$E$2:$E$5001,"Em ajustes"),1,0),0))</f>
        <v/>
      </c>
      <c r="N2134" s="17" t="str">
        <f aca="false">IF(A2134="","",IF(ISNUMBER(A2134),A2134,IFERROR(DATE(VALUE(MID(A2134,7,4)),VALUE(MID(A2134,4,2)),VALUE(MID(A2134,1,2)))+TIME(VALUE(MID(A2134,12,2)),VALUE(MID(A2134,15,2)),VALUE(MID(A2134,18,2))),"")))</f>
        <v/>
      </c>
    </row>
    <row r="2135" customFormat="false" ht="15" hidden="false" customHeight="false" outlineLevel="0" collapsed="false">
      <c r="I2135" s="15" t="str">
        <f aca="false">IF(N2135="","",INT(N2135))</f>
        <v/>
      </c>
      <c r="J2135" s="16" t="str">
        <f aca="false">IF(B2135="","",IF(N2135=_xlfn.MINIFS($N$2:$N$5001,$B$2:$B$5001,B2135),1,0))</f>
        <v/>
      </c>
      <c r="K2135" s="16" t="str">
        <f aca="false">IF(B2135="","",IF(AND(D2135="Formalização",E2135="Concluído"),IF(COUNTIFS($B$2:$B$5001,B2135,$E$2:$E$5001,"Em ajustes",$N$2:$N$5001,"&lt;"&amp;I2135)&gt;0,1,0),0))</f>
        <v/>
      </c>
      <c r="L2135" s="16" t="str">
        <f aca="false">IF(B2135="","",IF(N2135=_xlfn.MAXIFS($N$2:$N$5001,$B$2:$B$5001,B2135,$I$2:$I$5001,I2135),1,0))</f>
        <v/>
      </c>
      <c r="M2135" s="16" t="str">
        <f aca="false">IF(B2135="","",IF(E2135="Em ajustes",IF(N2135=_xlfn.MINIFS($N$2:$N$5001,$B$2:$B$5001,B2135,$E$2:$E$5001,"Em ajustes"),1,0),0))</f>
        <v/>
      </c>
      <c r="N2135" s="17" t="str">
        <f aca="false">IF(A2135="","",IF(ISNUMBER(A2135),A2135,IFERROR(DATE(VALUE(MID(A2135,7,4)),VALUE(MID(A2135,4,2)),VALUE(MID(A2135,1,2)))+TIME(VALUE(MID(A2135,12,2)),VALUE(MID(A2135,15,2)),VALUE(MID(A2135,18,2))),"")))</f>
        <v/>
      </c>
    </row>
    <row r="2136" customFormat="false" ht="15" hidden="false" customHeight="false" outlineLevel="0" collapsed="false">
      <c r="I2136" s="15" t="str">
        <f aca="false">IF(N2136="","",INT(N2136))</f>
        <v/>
      </c>
      <c r="J2136" s="16" t="str">
        <f aca="false">IF(B2136="","",IF(N2136=_xlfn.MINIFS($N$2:$N$5001,$B$2:$B$5001,B2136),1,0))</f>
        <v/>
      </c>
      <c r="K2136" s="16" t="str">
        <f aca="false">IF(B2136="","",IF(AND(D2136="Formalização",E2136="Concluído"),IF(COUNTIFS($B$2:$B$5001,B2136,$E$2:$E$5001,"Em ajustes",$N$2:$N$5001,"&lt;"&amp;I2136)&gt;0,1,0),0))</f>
        <v/>
      </c>
      <c r="L2136" s="16" t="str">
        <f aca="false">IF(B2136="","",IF(N2136=_xlfn.MAXIFS($N$2:$N$5001,$B$2:$B$5001,B2136,$I$2:$I$5001,I2136),1,0))</f>
        <v/>
      </c>
      <c r="M2136" s="16" t="str">
        <f aca="false">IF(B2136="","",IF(E2136="Em ajustes",IF(N2136=_xlfn.MINIFS($N$2:$N$5001,$B$2:$B$5001,B2136,$E$2:$E$5001,"Em ajustes"),1,0),0))</f>
        <v/>
      </c>
      <c r="N2136" s="17" t="str">
        <f aca="false">IF(A2136="","",IF(ISNUMBER(A2136),A2136,IFERROR(DATE(VALUE(MID(A2136,7,4)),VALUE(MID(A2136,4,2)),VALUE(MID(A2136,1,2)))+TIME(VALUE(MID(A2136,12,2)),VALUE(MID(A2136,15,2)),VALUE(MID(A2136,18,2))),"")))</f>
        <v/>
      </c>
    </row>
    <row r="2137" customFormat="false" ht="15" hidden="false" customHeight="false" outlineLevel="0" collapsed="false">
      <c r="I2137" s="15" t="str">
        <f aca="false">IF(N2137="","",INT(N2137))</f>
        <v/>
      </c>
      <c r="J2137" s="16" t="str">
        <f aca="false">IF(B2137="","",IF(N2137=_xlfn.MINIFS($N$2:$N$5001,$B$2:$B$5001,B2137),1,0))</f>
        <v/>
      </c>
      <c r="K2137" s="16" t="str">
        <f aca="false">IF(B2137="","",IF(AND(D2137="Formalização",E2137="Concluído"),IF(COUNTIFS($B$2:$B$5001,B2137,$E$2:$E$5001,"Em ajustes",$N$2:$N$5001,"&lt;"&amp;I2137)&gt;0,1,0),0))</f>
        <v/>
      </c>
      <c r="L2137" s="16" t="str">
        <f aca="false">IF(B2137="","",IF(N2137=_xlfn.MAXIFS($N$2:$N$5001,$B$2:$B$5001,B2137,$I$2:$I$5001,I2137),1,0))</f>
        <v/>
      </c>
      <c r="M2137" s="16" t="str">
        <f aca="false">IF(B2137="","",IF(E2137="Em ajustes",IF(N2137=_xlfn.MINIFS($N$2:$N$5001,$B$2:$B$5001,B2137,$E$2:$E$5001,"Em ajustes"),1,0),0))</f>
        <v/>
      </c>
      <c r="N2137" s="17" t="str">
        <f aca="false">IF(A2137="","",IF(ISNUMBER(A2137),A2137,IFERROR(DATE(VALUE(MID(A2137,7,4)),VALUE(MID(A2137,4,2)),VALUE(MID(A2137,1,2)))+TIME(VALUE(MID(A2137,12,2)),VALUE(MID(A2137,15,2)),VALUE(MID(A2137,18,2))),"")))</f>
        <v/>
      </c>
    </row>
    <row r="2138" customFormat="false" ht="15" hidden="false" customHeight="false" outlineLevel="0" collapsed="false">
      <c r="I2138" s="15" t="str">
        <f aca="false">IF(N2138="","",INT(N2138))</f>
        <v/>
      </c>
      <c r="J2138" s="16" t="str">
        <f aca="false">IF(B2138="","",IF(N2138=_xlfn.MINIFS($N$2:$N$5001,$B$2:$B$5001,B2138),1,0))</f>
        <v/>
      </c>
      <c r="K2138" s="16" t="str">
        <f aca="false">IF(B2138="","",IF(AND(D2138="Formalização",E2138="Concluído"),IF(COUNTIFS($B$2:$B$5001,B2138,$E$2:$E$5001,"Em ajustes",$N$2:$N$5001,"&lt;"&amp;I2138)&gt;0,1,0),0))</f>
        <v/>
      </c>
      <c r="L2138" s="16" t="str">
        <f aca="false">IF(B2138="","",IF(N2138=_xlfn.MAXIFS($N$2:$N$5001,$B$2:$B$5001,B2138,$I$2:$I$5001,I2138),1,0))</f>
        <v/>
      </c>
      <c r="M2138" s="16" t="str">
        <f aca="false">IF(B2138="","",IF(E2138="Em ajustes",IF(N2138=_xlfn.MINIFS($N$2:$N$5001,$B$2:$B$5001,B2138,$E$2:$E$5001,"Em ajustes"),1,0),0))</f>
        <v/>
      </c>
      <c r="N2138" s="17" t="str">
        <f aca="false">IF(A2138="","",IF(ISNUMBER(A2138),A2138,IFERROR(DATE(VALUE(MID(A2138,7,4)),VALUE(MID(A2138,4,2)),VALUE(MID(A2138,1,2)))+TIME(VALUE(MID(A2138,12,2)),VALUE(MID(A2138,15,2)),VALUE(MID(A2138,18,2))),"")))</f>
        <v/>
      </c>
    </row>
    <row r="2139" customFormat="false" ht="15" hidden="false" customHeight="false" outlineLevel="0" collapsed="false">
      <c r="I2139" s="15" t="str">
        <f aca="false">IF(N2139="","",INT(N2139))</f>
        <v/>
      </c>
      <c r="J2139" s="16" t="str">
        <f aca="false">IF(B2139="","",IF(N2139=_xlfn.MINIFS($N$2:$N$5001,$B$2:$B$5001,B2139),1,0))</f>
        <v/>
      </c>
      <c r="K2139" s="16" t="str">
        <f aca="false">IF(B2139="","",IF(AND(D2139="Formalização",E2139="Concluído"),IF(COUNTIFS($B$2:$B$5001,B2139,$E$2:$E$5001,"Em ajustes",$N$2:$N$5001,"&lt;"&amp;I2139)&gt;0,1,0),0))</f>
        <v/>
      </c>
      <c r="L2139" s="16" t="str">
        <f aca="false">IF(B2139="","",IF(N2139=_xlfn.MAXIFS($N$2:$N$5001,$B$2:$B$5001,B2139,$I$2:$I$5001,I2139),1,0))</f>
        <v/>
      </c>
      <c r="M2139" s="16" t="str">
        <f aca="false">IF(B2139="","",IF(E2139="Em ajustes",IF(N2139=_xlfn.MINIFS($N$2:$N$5001,$B$2:$B$5001,B2139,$E$2:$E$5001,"Em ajustes"),1,0),0))</f>
        <v/>
      </c>
      <c r="N2139" s="17" t="str">
        <f aca="false">IF(A2139="","",IF(ISNUMBER(A2139),A2139,IFERROR(DATE(VALUE(MID(A2139,7,4)),VALUE(MID(A2139,4,2)),VALUE(MID(A2139,1,2)))+TIME(VALUE(MID(A2139,12,2)),VALUE(MID(A2139,15,2)),VALUE(MID(A2139,18,2))),"")))</f>
        <v/>
      </c>
    </row>
    <row r="2140" customFormat="false" ht="15" hidden="false" customHeight="false" outlineLevel="0" collapsed="false">
      <c r="I2140" s="15" t="str">
        <f aca="false">IF(N2140="","",INT(N2140))</f>
        <v/>
      </c>
      <c r="J2140" s="16" t="str">
        <f aca="false">IF(B2140="","",IF(N2140=_xlfn.MINIFS($N$2:$N$5001,$B$2:$B$5001,B2140),1,0))</f>
        <v/>
      </c>
      <c r="K2140" s="16" t="str">
        <f aca="false">IF(B2140="","",IF(AND(D2140="Formalização",E2140="Concluído"),IF(COUNTIFS($B$2:$B$5001,B2140,$E$2:$E$5001,"Em ajustes",$N$2:$N$5001,"&lt;"&amp;I2140)&gt;0,1,0),0))</f>
        <v/>
      </c>
      <c r="L2140" s="16" t="str">
        <f aca="false">IF(B2140="","",IF(N2140=_xlfn.MAXIFS($N$2:$N$5001,$B$2:$B$5001,B2140,$I$2:$I$5001,I2140),1,0))</f>
        <v/>
      </c>
      <c r="M2140" s="16" t="str">
        <f aca="false">IF(B2140="","",IF(E2140="Em ajustes",IF(N2140=_xlfn.MINIFS($N$2:$N$5001,$B$2:$B$5001,B2140,$E$2:$E$5001,"Em ajustes"),1,0),0))</f>
        <v/>
      </c>
      <c r="N2140" s="17" t="str">
        <f aca="false">IF(A2140="","",IF(ISNUMBER(A2140),A2140,IFERROR(DATE(VALUE(MID(A2140,7,4)),VALUE(MID(A2140,4,2)),VALUE(MID(A2140,1,2)))+TIME(VALUE(MID(A2140,12,2)),VALUE(MID(A2140,15,2)),VALUE(MID(A2140,18,2))),"")))</f>
        <v/>
      </c>
    </row>
    <row r="2141" customFormat="false" ht="15" hidden="false" customHeight="false" outlineLevel="0" collapsed="false">
      <c r="I2141" s="15" t="str">
        <f aca="false">IF(N2141="","",INT(N2141))</f>
        <v/>
      </c>
      <c r="J2141" s="16" t="str">
        <f aca="false">IF(B2141="","",IF(N2141=_xlfn.MINIFS($N$2:$N$5001,$B$2:$B$5001,B2141),1,0))</f>
        <v/>
      </c>
      <c r="K2141" s="16" t="str">
        <f aca="false">IF(B2141="","",IF(AND(D2141="Formalização",E2141="Concluído"),IF(COUNTIFS($B$2:$B$5001,B2141,$E$2:$E$5001,"Em ajustes",$N$2:$N$5001,"&lt;"&amp;I2141)&gt;0,1,0),0))</f>
        <v/>
      </c>
      <c r="L2141" s="16" t="str">
        <f aca="false">IF(B2141="","",IF(N2141=_xlfn.MAXIFS($N$2:$N$5001,$B$2:$B$5001,B2141,$I$2:$I$5001,I2141),1,0))</f>
        <v/>
      </c>
      <c r="M2141" s="16" t="str">
        <f aca="false">IF(B2141="","",IF(E2141="Em ajustes",IF(N2141=_xlfn.MINIFS($N$2:$N$5001,$B$2:$B$5001,B2141,$E$2:$E$5001,"Em ajustes"),1,0),0))</f>
        <v/>
      </c>
      <c r="N2141" s="17" t="str">
        <f aca="false">IF(A2141="","",IF(ISNUMBER(A2141),A2141,IFERROR(DATE(VALUE(MID(A2141,7,4)),VALUE(MID(A2141,4,2)),VALUE(MID(A2141,1,2)))+TIME(VALUE(MID(A2141,12,2)),VALUE(MID(A2141,15,2)),VALUE(MID(A2141,18,2))),"")))</f>
        <v/>
      </c>
    </row>
    <row r="2142" customFormat="false" ht="15" hidden="false" customHeight="false" outlineLevel="0" collapsed="false">
      <c r="I2142" s="15" t="str">
        <f aca="false">IF(N2142="","",INT(N2142))</f>
        <v/>
      </c>
      <c r="J2142" s="16" t="str">
        <f aca="false">IF(B2142="","",IF(N2142=_xlfn.MINIFS($N$2:$N$5001,$B$2:$B$5001,B2142),1,0))</f>
        <v/>
      </c>
      <c r="K2142" s="16" t="str">
        <f aca="false">IF(B2142="","",IF(AND(D2142="Formalização",E2142="Concluído"),IF(COUNTIFS($B$2:$B$5001,B2142,$E$2:$E$5001,"Em ajustes",$N$2:$N$5001,"&lt;"&amp;I2142)&gt;0,1,0),0))</f>
        <v/>
      </c>
      <c r="L2142" s="16" t="str">
        <f aca="false">IF(B2142="","",IF(N2142=_xlfn.MAXIFS($N$2:$N$5001,$B$2:$B$5001,B2142,$I$2:$I$5001,I2142),1,0))</f>
        <v/>
      </c>
      <c r="M2142" s="16" t="str">
        <f aca="false">IF(B2142="","",IF(E2142="Em ajustes",IF(N2142=_xlfn.MINIFS($N$2:$N$5001,$B$2:$B$5001,B2142,$E$2:$E$5001,"Em ajustes"),1,0),0))</f>
        <v/>
      </c>
      <c r="N2142" s="17" t="str">
        <f aca="false">IF(A2142="","",IF(ISNUMBER(A2142),A2142,IFERROR(DATE(VALUE(MID(A2142,7,4)),VALUE(MID(A2142,4,2)),VALUE(MID(A2142,1,2)))+TIME(VALUE(MID(A2142,12,2)),VALUE(MID(A2142,15,2)),VALUE(MID(A2142,18,2))),"")))</f>
        <v/>
      </c>
    </row>
    <row r="2143" customFormat="false" ht="15" hidden="false" customHeight="false" outlineLevel="0" collapsed="false">
      <c r="I2143" s="15" t="str">
        <f aca="false">IF(N2143="","",INT(N2143))</f>
        <v/>
      </c>
      <c r="J2143" s="16" t="str">
        <f aca="false">IF(B2143="","",IF(N2143=_xlfn.MINIFS($N$2:$N$5001,$B$2:$B$5001,B2143),1,0))</f>
        <v/>
      </c>
      <c r="K2143" s="16" t="str">
        <f aca="false">IF(B2143="","",IF(AND(D2143="Formalização",E2143="Concluído"),IF(COUNTIFS($B$2:$B$5001,B2143,$E$2:$E$5001,"Em ajustes",$N$2:$N$5001,"&lt;"&amp;I2143)&gt;0,1,0),0))</f>
        <v/>
      </c>
      <c r="L2143" s="16" t="str">
        <f aca="false">IF(B2143="","",IF(N2143=_xlfn.MAXIFS($N$2:$N$5001,$B$2:$B$5001,B2143,$I$2:$I$5001,I2143),1,0))</f>
        <v/>
      </c>
      <c r="M2143" s="16" t="str">
        <f aca="false">IF(B2143="","",IF(E2143="Em ajustes",IF(N2143=_xlfn.MINIFS($N$2:$N$5001,$B$2:$B$5001,B2143,$E$2:$E$5001,"Em ajustes"),1,0),0))</f>
        <v/>
      </c>
      <c r="N2143" s="17" t="str">
        <f aca="false">IF(A2143="","",IF(ISNUMBER(A2143),A2143,IFERROR(DATE(VALUE(MID(A2143,7,4)),VALUE(MID(A2143,4,2)),VALUE(MID(A2143,1,2)))+TIME(VALUE(MID(A2143,12,2)),VALUE(MID(A2143,15,2)),VALUE(MID(A2143,18,2))),"")))</f>
        <v/>
      </c>
    </row>
    <row r="2144" customFormat="false" ht="15" hidden="false" customHeight="false" outlineLevel="0" collapsed="false">
      <c r="I2144" s="15" t="str">
        <f aca="false">IF(N2144="","",INT(N2144))</f>
        <v/>
      </c>
      <c r="J2144" s="16" t="str">
        <f aca="false">IF(B2144="","",IF(N2144=_xlfn.MINIFS($N$2:$N$5001,$B$2:$B$5001,B2144),1,0))</f>
        <v/>
      </c>
      <c r="K2144" s="16" t="str">
        <f aca="false">IF(B2144="","",IF(AND(D2144="Formalização",E2144="Concluído"),IF(COUNTIFS($B$2:$B$5001,B2144,$E$2:$E$5001,"Em ajustes",$N$2:$N$5001,"&lt;"&amp;I2144)&gt;0,1,0),0))</f>
        <v/>
      </c>
      <c r="L2144" s="16" t="str">
        <f aca="false">IF(B2144="","",IF(N2144=_xlfn.MAXIFS($N$2:$N$5001,$B$2:$B$5001,B2144,$I$2:$I$5001,I2144),1,0))</f>
        <v/>
      </c>
      <c r="M2144" s="16" t="str">
        <f aca="false">IF(B2144="","",IF(E2144="Em ajustes",IF(N2144=_xlfn.MINIFS($N$2:$N$5001,$B$2:$B$5001,B2144,$E$2:$E$5001,"Em ajustes"),1,0),0))</f>
        <v/>
      </c>
      <c r="N2144" s="17" t="str">
        <f aca="false">IF(A2144="","",IF(ISNUMBER(A2144),A2144,IFERROR(DATE(VALUE(MID(A2144,7,4)),VALUE(MID(A2144,4,2)),VALUE(MID(A2144,1,2)))+TIME(VALUE(MID(A2144,12,2)),VALUE(MID(A2144,15,2)),VALUE(MID(A2144,18,2))),"")))</f>
        <v/>
      </c>
    </row>
    <row r="2145" customFormat="false" ht="15" hidden="false" customHeight="false" outlineLevel="0" collapsed="false">
      <c r="I2145" s="15" t="str">
        <f aca="false">IF(N2145="","",INT(N2145))</f>
        <v/>
      </c>
      <c r="J2145" s="16" t="str">
        <f aca="false">IF(B2145="","",IF(N2145=_xlfn.MINIFS($N$2:$N$5001,$B$2:$B$5001,B2145),1,0))</f>
        <v/>
      </c>
      <c r="K2145" s="16" t="str">
        <f aca="false">IF(B2145="","",IF(AND(D2145="Formalização",E2145="Concluído"),IF(COUNTIFS($B$2:$B$5001,B2145,$E$2:$E$5001,"Em ajustes",$N$2:$N$5001,"&lt;"&amp;I2145)&gt;0,1,0),0))</f>
        <v/>
      </c>
      <c r="L2145" s="16" t="str">
        <f aca="false">IF(B2145="","",IF(N2145=_xlfn.MAXIFS($N$2:$N$5001,$B$2:$B$5001,B2145,$I$2:$I$5001,I2145),1,0))</f>
        <v/>
      </c>
      <c r="M2145" s="16" t="str">
        <f aca="false">IF(B2145="","",IF(E2145="Em ajustes",IF(N2145=_xlfn.MINIFS($N$2:$N$5001,$B$2:$B$5001,B2145,$E$2:$E$5001,"Em ajustes"),1,0),0))</f>
        <v/>
      </c>
      <c r="N2145" s="17" t="str">
        <f aca="false">IF(A2145="","",IF(ISNUMBER(A2145),A2145,IFERROR(DATE(VALUE(MID(A2145,7,4)),VALUE(MID(A2145,4,2)),VALUE(MID(A2145,1,2)))+TIME(VALUE(MID(A2145,12,2)),VALUE(MID(A2145,15,2)),VALUE(MID(A2145,18,2))),"")))</f>
        <v/>
      </c>
    </row>
    <row r="2146" customFormat="false" ht="15" hidden="false" customHeight="false" outlineLevel="0" collapsed="false">
      <c r="I2146" s="15" t="str">
        <f aca="false">IF(N2146="","",INT(N2146))</f>
        <v/>
      </c>
      <c r="J2146" s="16" t="str">
        <f aca="false">IF(B2146="","",IF(N2146=_xlfn.MINIFS($N$2:$N$5001,$B$2:$B$5001,B2146),1,0))</f>
        <v/>
      </c>
      <c r="K2146" s="16" t="str">
        <f aca="false">IF(B2146="","",IF(AND(D2146="Formalização",E2146="Concluído"),IF(COUNTIFS($B$2:$B$5001,B2146,$E$2:$E$5001,"Em ajustes",$N$2:$N$5001,"&lt;"&amp;I2146)&gt;0,1,0),0))</f>
        <v/>
      </c>
      <c r="L2146" s="16" t="str">
        <f aca="false">IF(B2146="","",IF(N2146=_xlfn.MAXIFS($N$2:$N$5001,$B$2:$B$5001,B2146,$I$2:$I$5001,I2146),1,0))</f>
        <v/>
      </c>
      <c r="M2146" s="16" t="str">
        <f aca="false">IF(B2146="","",IF(E2146="Em ajustes",IF(N2146=_xlfn.MINIFS($N$2:$N$5001,$B$2:$B$5001,B2146,$E$2:$E$5001,"Em ajustes"),1,0),0))</f>
        <v/>
      </c>
      <c r="N2146" s="17" t="str">
        <f aca="false">IF(A2146="","",IF(ISNUMBER(A2146),A2146,IFERROR(DATE(VALUE(MID(A2146,7,4)),VALUE(MID(A2146,4,2)),VALUE(MID(A2146,1,2)))+TIME(VALUE(MID(A2146,12,2)),VALUE(MID(A2146,15,2)),VALUE(MID(A2146,18,2))),"")))</f>
        <v/>
      </c>
    </row>
    <row r="2147" customFormat="false" ht="15" hidden="false" customHeight="false" outlineLevel="0" collapsed="false">
      <c r="I2147" s="15" t="str">
        <f aca="false">IF(N2147="","",INT(N2147))</f>
        <v/>
      </c>
      <c r="J2147" s="16" t="str">
        <f aca="false">IF(B2147="","",IF(N2147=_xlfn.MINIFS($N$2:$N$5001,$B$2:$B$5001,B2147),1,0))</f>
        <v/>
      </c>
      <c r="K2147" s="16" t="str">
        <f aca="false">IF(B2147="","",IF(AND(D2147="Formalização",E2147="Concluído"),IF(COUNTIFS($B$2:$B$5001,B2147,$E$2:$E$5001,"Em ajustes",$N$2:$N$5001,"&lt;"&amp;I2147)&gt;0,1,0),0))</f>
        <v/>
      </c>
      <c r="L2147" s="16" t="str">
        <f aca="false">IF(B2147="","",IF(N2147=_xlfn.MAXIFS($N$2:$N$5001,$B$2:$B$5001,B2147,$I$2:$I$5001,I2147),1,0))</f>
        <v/>
      </c>
      <c r="M2147" s="16" t="str">
        <f aca="false">IF(B2147="","",IF(E2147="Em ajustes",IF(N2147=_xlfn.MINIFS($N$2:$N$5001,$B$2:$B$5001,B2147,$E$2:$E$5001,"Em ajustes"),1,0),0))</f>
        <v/>
      </c>
      <c r="N2147" s="17" t="str">
        <f aca="false">IF(A2147="","",IF(ISNUMBER(A2147),A2147,IFERROR(DATE(VALUE(MID(A2147,7,4)),VALUE(MID(A2147,4,2)),VALUE(MID(A2147,1,2)))+TIME(VALUE(MID(A2147,12,2)),VALUE(MID(A2147,15,2)),VALUE(MID(A2147,18,2))),"")))</f>
        <v/>
      </c>
    </row>
    <row r="2148" customFormat="false" ht="15" hidden="false" customHeight="false" outlineLevel="0" collapsed="false">
      <c r="I2148" s="15" t="str">
        <f aca="false">IF(N2148="","",INT(N2148))</f>
        <v/>
      </c>
      <c r="J2148" s="16" t="str">
        <f aca="false">IF(B2148="","",IF(N2148=_xlfn.MINIFS($N$2:$N$5001,$B$2:$B$5001,B2148),1,0))</f>
        <v/>
      </c>
      <c r="K2148" s="16" t="str">
        <f aca="false">IF(B2148="","",IF(AND(D2148="Formalização",E2148="Concluído"),IF(COUNTIFS($B$2:$B$5001,B2148,$E$2:$E$5001,"Em ajustes",$N$2:$N$5001,"&lt;"&amp;I2148)&gt;0,1,0),0))</f>
        <v/>
      </c>
      <c r="L2148" s="16" t="str">
        <f aca="false">IF(B2148="","",IF(N2148=_xlfn.MAXIFS($N$2:$N$5001,$B$2:$B$5001,B2148,$I$2:$I$5001,I2148),1,0))</f>
        <v/>
      </c>
      <c r="M2148" s="16" t="str">
        <f aca="false">IF(B2148="","",IF(E2148="Em ajustes",IF(N2148=_xlfn.MINIFS($N$2:$N$5001,$B$2:$B$5001,B2148,$E$2:$E$5001,"Em ajustes"),1,0),0))</f>
        <v/>
      </c>
      <c r="N2148" s="17" t="str">
        <f aca="false">IF(A2148="","",IF(ISNUMBER(A2148),A2148,IFERROR(DATE(VALUE(MID(A2148,7,4)),VALUE(MID(A2148,4,2)),VALUE(MID(A2148,1,2)))+TIME(VALUE(MID(A2148,12,2)),VALUE(MID(A2148,15,2)),VALUE(MID(A2148,18,2))),"")))</f>
        <v/>
      </c>
    </row>
    <row r="2149" customFormat="false" ht="15" hidden="false" customHeight="false" outlineLevel="0" collapsed="false">
      <c r="I2149" s="15" t="str">
        <f aca="false">IF(N2149="","",INT(N2149))</f>
        <v/>
      </c>
      <c r="J2149" s="16" t="str">
        <f aca="false">IF(B2149="","",IF(N2149=_xlfn.MINIFS($N$2:$N$5001,$B$2:$B$5001,B2149),1,0))</f>
        <v/>
      </c>
      <c r="K2149" s="16" t="str">
        <f aca="false">IF(B2149="","",IF(AND(D2149="Formalização",E2149="Concluído"),IF(COUNTIFS($B$2:$B$5001,B2149,$E$2:$E$5001,"Em ajustes",$N$2:$N$5001,"&lt;"&amp;I2149)&gt;0,1,0),0))</f>
        <v/>
      </c>
      <c r="L2149" s="16" t="str">
        <f aca="false">IF(B2149="","",IF(N2149=_xlfn.MAXIFS($N$2:$N$5001,$B$2:$B$5001,B2149,$I$2:$I$5001,I2149),1,0))</f>
        <v/>
      </c>
      <c r="M2149" s="16" t="str">
        <f aca="false">IF(B2149="","",IF(E2149="Em ajustes",IF(N2149=_xlfn.MINIFS($N$2:$N$5001,$B$2:$B$5001,B2149,$E$2:$E$5001,"Em ajustes"),1,0),0))</f>
        <v/>
      </c>
      <c r="N2149" s="17" t="str">
        <f aca="false">IF(A2149="","",IF(ISNUMBER(A2149),A2149,IFERROR(DATE(VALUE(MID(A2149,7,4)),VALUE(MID(A2149,4,2)),VALUE(MID(A2149,1,2)))+TIME(VALUE(MID(A2149,12,2)),VALUE(MID(A2149,15,2)),VALUE(MID(A2149,18,2))),"")))</f>
        <v/>
      </c>
    </row>
    <row r="2150" customFormat="false" ht="15" hidden="false" customHeight="false" outlineLevel="0" collapsed="false">
      <c r="I2150" s="15" t="str">
        <f aca="false">IF(N2150="","",INT(N2150))</f>
        <v/>
      </c>
      <c r="J2150" s="16" t="str">
        <f aca="false">IF(B2150="","",IF(N2150=_xlfn.MINIFS($N$2:$N$5001,$B$2:$B$5001,B2150),1,0))</f>
        <v/>
      </c>
      <c r="K2150" s="16" t="str">
        <f aca="false">IF(B2150="","",IF(AND(D2150="Formalização",E2150="Concluído"),IF(COUNTIFS($B$2:$B$5001,B2150,$E$2:$E$5001,"Em ajustes",$N$2:$N$5001,"&lt;"&amp;I2150)&gt;0,1,0),0))</f>
        <v/>
      </c>
      <c r="L2150" s="16" t="str">
        <f aca="false">IF(B2150="","",IF(N2150=_xlfn.MAXIFS($N$2:$N$5001,$B$2:$B$5001,B2150,$I$2:$I$5001,I2150),1,0))</f>
        <v/>
      </c>
      <c r="M2150" s="16" t="str">
        <f aca="false">IF(B2150="","",IF(E2150="Em ajustes",IF(N2150=_xlfn.MINIFS($N$2:$N$5001,$B$2:$B$5001,B2150,$E$2:$E$5001,"Em ajustes"),1,0),0))</f>
        <v/>
      </c>
      <c r="N2150" s="17" t="str">
        <f aca="false">IF(A2150="","",IF(ISNUMBER(A2150),A2150,IFERROR(DATE(VALUE(MID(A2150,7,4)),VALUE(MID(A2150,4,2)),VALUE(MID(A2150,1,2)))+TIME(VALUE(MID(A2150,12,2)),VALUE(MID(A2150,15,2)),VALUE(MID(A2150,18,2))),"")))</f>
        <v/>
      </c>
    </row>
    <row r="2151" customFormat="false" ht="15" hidden="false" customHeight="false" outlineLevel="0" collapsed="false">
      <c r="I2151" s="15" t="str">
        <f aca="false">IF(N2151="","",INT(N2151))</f>
        <v/>
      </c>
      <c r="J2151" s="16" t="str">
        <f aca="false">IF(B2151="","",IF(N2151=_xlfn.MINIFS($N$2:$N$5001,$B$2:$B$5001,B2151),1,0))</f>
        <v/>
      </c>
      <c r="K2151" s="16" t="str">
        <f aca="false">IF(B2151="","",IF(AND(D2151="Formalização",E2151="Concluído"),IF(COUNTIFS($B$2:$B$5001,B2151,$E$2:$E$5001,"Em ajustes",$N$2:$N$5001,"&lt;"&amp;I2151)&gt;0,1,0),0))</f>
        <v/>
      </c>
      <c r="L2151" s="16" t="str">
        <f aca="false">IF(B2151="","",IF(N2151=_xlfn.MAXIFS($N$2:$N$5001,$B$2:$B$5001,B2151,$I$2:$I$5001,I2151),1,0))</f>
        <v/>
      </c>
      <c r="M2151" s="16" t="str">
        <f aca="false">IF(B2151="","",IF(E2151="Em ajustes",IF(N2151=_xlfn.MINIFS($N$2:$N$5001,$B$2:$B$5001,B2151,$E$2:$E$5001,"Em ajustes"),1,0),0))</f>
        <v/>
      </c>
      <c r="N2151" s="17" t="str">
        <f aca="false">IF(A2151="","",IF(ISNUMBER(A2151),A2151,IFERROR(DATE(VALUE(MID(A2151,7,4)),VALUE(MID(A2151,4,2)),VALUE(MID(A2151,1,2)))+TIME(VALUE(MID(A2151,12,2)),VALUE(MID(A2151,15,2)),VALUE(MID(A2151,18,2))),"")))</f>
        <v/>
      </c>
    </row>
    <row r="2152" customFormat="false" ht="15" hidden="false" customHeight="false" outlineLevel="0" collapsed="false">
      <c r="I2152" s="15" t="str">
        <f aca="false">IF(N2152="","",INT(N2152))</f>
        <v/>
      </c>
      <c r="J2152" s="16" t="str">
        <f aca="false">IF(B2152="","",IF(N2152=_xlfn.MINIFS($N$2:$N$5001,$B$2:$B$5001,B2152),1,0))</f>
        <v/>
      </c>
      <c r="K2152" s="16" t="str">
        <f aca="false">IF(B2152="","",IF(AND(D2152="Formalização",E2152="Concluído"),IF(COUNTIFS($B$2:$B$5001,B2152,$E$2:$E$5001,"Em ajustes",$N$2:$N$5001,"&lt;"&amp;I2152)&gt;0,1,0),0))</f>
        <v/>
      </c>
      <c r="L2152" s="16" t="str">
        <f aca="false">IF(B2152="","",IF(N2152=_xlfn.MAXIFS($N$2:$N$5001,$B$2:$B$5001,B2152,$I$2:$I$5001,I2152),1,0))</f>
        <v/>
      </c>
      <c r="M2152" s="16" t="str">
        <f aca="false">IF(B2152="","",IF(E2152="Em ajustes",IF(N2152=_xlfn.MINIFS($N$2:$N$5001,$B$2:$B$5001,B2152,$E$2:$E$5001,"Em ajustes"),1,0),0))</f>
        <v/>
      </c>
      <c r="N2152" s="17" t="str">
        <f aca="false">IF(A2152="","",IF(ISNUMBER(A2152),A2152,IFERROR(DATE(VALUE(MID(A2152,7,4)),VALUE(MID(A2152,4,2)),VALUE(MID(A2152,1,2)))+TIME(VALUE(MID(A2152,12,2)),VALUE(MID(A2152,15,2)),VALUE(MID(A2152,18,2))),"")))</f>
        <v/>
      </c>
    </row>
    <row r="2153" customFormat="false" ht="15" hidden="false" customHeight="false" outlineLevel="0" collapsed="false">
      <c r="I2153" s="15" t="str">
        <f aca="false">IF(N2153="","",INT(N2153))</f>
        <v/>
      </c>
      <c r="J2153" s="16" t="str">
        <f aca="false">IF(B2153="","",IF(N2153=_xlfn.MINIFS($N$2:$N$5001,$B$2:$B$5001,B2153),1,0))</f>
        <v/>
      </c>
      <c r="K2153" s="16" t="str">
        <f aca="false">IF(B2153="","",IF(AND(D2153="Formalização",E2153="Concluído"),IF(COUNTIFS($B$2:$B$5001,B2153,$E$2:$E$5001,"Em ajustes",$N$2:$N$5001,"&lt;"&amp;I2153)&gt;0,1,0),0))</f>
        <v/>
      </c>
      <c r="L2153" s="16" t="str">
        <f aca="false">IF(B2153="","",IF(N2153=_xlfn.MAXIFS($N$2:$N$5001,$B$2:$B$5001,B2153,$I$2:$I$5001,I2153),1,0))</f>
        <v/>
      </c>
      <c r="M2153" s="16" t="str">
        <f aca="false">IF(B2153="","",IF(E2153="Em ajustes",IF(N2153=_xlfn.MINIFS($N$2:$N$5001,$B$2:$B$5001,B2153,$E$2:$E$5001,"Em ajustes"),1,0),0))</f>
        <v/>
      </c>
      <c r="N2153" s="17" t="str">
        <f aca="false">IF(A2153="","",IF(ISNUMBER(A2153),A2153,IFERROR(DATE(VALUE(MID(A2153,7,4)),VALUE(MID(A2153,4,2)),VALUE(MID(A2153,1,2)))+TIME(VALUE(MID(A2153,12,2)),VALUE(MID(A2153,15,2)),VALUE(MID(A2153,18,2))),"")))</f>
        <v/>
      </c>
    </row>
    <row r="2154" customFormat="false" ht="15" hidden="false" customHeight="false" outlineLevel="0" collapsed="false">
      <c r="I2154" s="15" t="str">
        <f aca="false">IF(N2154="","",INT(N2154))</f>
        <v/>
      </c>
      <c r="J2154" s="16" t="str">
        <f aca="false">IF(B2154="","",IF(N2154=_xlfn.MINIFS($N$2:$N$5001,$B$2:$B$5001,B2154),1,0))</f>
        <v/>
      </c>
      <c r="K2154" s="16" t="str">
        <f aca="false">IF(B2154="","",IF(AND(D2154="Formalização",E2154="Concluído"),IF(COUNTIFS($B$2:$B$5001,B2154,$E$2:$E$5001,"Em ajustes",$N$2:$N$5001,"&lt;"&amp;I2154)&gt;0,1,0),0))</f>
        <v/>
      </c>
      <c r="L2154" s="16" t="str">
        <f aca="false">IF(B2154="","",IF(N2154=_xlfn.MAXIFS($N$2:$N$5001,$B$2:$B$5001,B2154,$I$2:$I$5001,I2154),1,0))</f>
        <v/>
      </c>
      <c r="M2154" s="16" t="str">
        <f aca="false">IF(B2154="","",IF(E2154="Em ajustes",IF(N2154=_xlfn.MINIFS($N$2:$N$5001,$B$2:$B$5001,B2154,$E$2:$E$5001,"Em ajustes"),1,0),0))</f>
        <v/>
      </c>
      <c r="N2154" s="17" t="str">
        <f aca="false">IF(A2154="","",IF(ISNUMBER(A2154),A2154,IFERROR(DATE(VALUE(MID(A2154,7,4)),VALUE(MID(A2154,4,2)),VALUE(MID(A2154,1,2)))+TIME(VALUE(MID(A2154,12,2)),VALUE(MID(A2154,15,2)),VALUE(MID(A2154,18,2))),"")))</f>
        <v/>
      </c>
    </row>
    <row r="2155" customFormat="false" ht="15" hidden="false" customHeight="false" outlineLevel="0" collapsed="false">
      <c r="I2155" s="15" t="str">
        <f aca="false">IF(N2155="","",INT(N2155))</f>
        <v/>
      </c>
      <c r="J2155" s="16" t="str">
        <f aca="false">IF(B2155="","",IF(N2155=_xlfn.MINIFS($N$2:$N$5001,$B$2:$B$5001,B2155),1,0))</f>
        <v/>
      </c>
      <c r="K2155" s="16" t="str">
        <f aca="false">IF(B2155="","",IF(AND(D2155="Formalização",E2155="Concluído"),IF(COUNTIFS($B$2:$B$5001,B2155,$E$2:$E$5001,"Em ajustes",$N$2:$N$5001,"&lt;"&amp;I2155)&gt;0,1,0),0))</f>
        <v/>
      </c>
      <c r="L2155" s="16" t="str">
        <f aca="false">IF(B2155="","",IF(N2155=_xlfn.MAXIFS($N$2:$N$5001,$B$2:$B$5001,B2155,$I$2:$I$5001,I2155),1,0))</f>
        <v/>
      </c>
      <c r="M2155" s="16" t="str">
        <f aca="false">IF(B2155="","",IF(E2155="Em ajustes",IF(N2155=_xlfn.MINIFS($N$2:$N$5001,$B$2:$B$5001,B2155,$E$2:$E$5001,"Em ajustes"),1,0),0))</f>
        <v/>
      </c>
      <c r="N2155" s="17" t="str">
        <f aca="false">IF(A2155="","",IF(ISNUMBER(A2155),A2155,IFERROR(DATE(VALUE(MID(A2155,7,4)),VALUE(MID(A2155,4,2)),VALUE(MID(A2155,1,2)))+TIME(VALUE(MID(A2155,12,2)),VALUE(MID(A2155,15,2)),VALUE(MID(A2155,18,2))),"")))</f>
        <v/>
      </c>
    </row>
    <row r="2156" customFormat="false" ht="15" hidden="false" customHeight="false" outlineLevel="0" collapsed="false">
      <c r="I2156" s="15" t="str">
        <f aca="false">IF(N2156="","",INT(N2156))</f>
        <v/>
      </c>
      <c r="J2156" s="16" t="str">
        <f aca="false">IF(B2156="","",IF(N2156=_xlfn.MINIFS($N$2:$N$5001,$B$2:$B$5001,B2156),1,0))</f>
        <v/>
      </c>
      <c r="K2156" s="16" t="str">
        <f aca="false">IF(B2156="","",IF(AND(D2156="Formalização",E2156="Concluído"),IF(COUNTIFS($B$2:$B$5001,B2156,$E$2:$E$5001,"Em ajustes",$N$2:$N$5001,"&lt;"&amp;I2156)&gt;0,1,0),0))</f>
        <v/>
      </c>
      <c r="L2156" s="16" t="str">
        <f aca="false">IF(B2156="","",IF(N2156=_xlfn.MAXIFS($N$2:$N$5001,$B$2:$B$5001,B2156,$I$2:$I$5001,I2156),1,0))</f>
        <v/>
      </c>
      <c r="M2156" s="16" t="str">
        <f aca="false">IF(B2156="","",IF(E2156="Em ajustes",IF(N2156=_xlfn.MINIFS($N$2:$N$5001,$B$2:$B$5001,B2156,$E$2:$E$5001,"Em ajustes"),1,0),0))</f>
        <v/>
      </c>
      <c r="N2156" s="17" t="str">
        <f aca="false">IF(A2156="","",IF(ISNUMBER(A2156),A2156,IFERROR(DATE(VALUE(MID(A2156,7,4)),VALUE(MID(A2156,4,2)),VALUE(MID(A2156,1,2)))+TIME(VALUE(MID(A2156,12,2)),VALUE(MID(A2156,15,2)),VALUE(MID(A2156,18,2))),"")))</f>
        <v/>
      </c>
    </row>
    <row r="2157" customFormat="false" ht="15" hidden="false" customHeight="false" outlineLevel="0" collapsed="false">
      <c r="I2157" s="15" t="str">
        <f aca="false">IF(N2157="","",INT(N2157))</f>
        <v/>
      </c>
      <c r="J2157" s="16" t="str">
        <f aca="false">IF(B2157="","",IF(N2157=_xlfn.MINIFS($N$2:$N$5001,$B$2:$B$5001,B2157),1,0))</f>
        <v/>
      </c>
      <c r="K2157" s="16" t="str">
        <f aca="false">IF(B2157="","",IF(AND(D2157="Formalização",E2157="Concluído"),IF(COUNTIFS($B$2:$B$5001,B2157,$E$2:$E$5001,"Em ajustes",$N$2:$N$5001,"&lt;"&amp;I2157)&gt;0,1,0),0))</f>
        <v/>
      </c>
      <c r="L2157" s="16" t="str">
        <f aca="false">IF(B2157="","",IF(N2157=_xlfn.MAXIFS($N$2:$N$5001,$B$2:$B$5001,B2157,$I$2:$I$5001,I2157),1,0))</f>
        <v/>
      </c>
      <c r="M2157" s="16" t="str">
        <f aca="false">IF(B2157="","",IF(E2157="Em ajustes",IF(N2157=_xlfn.MINIFS($N$2:$N$5001,$B$2:$B$5001,B2157,$E$2:$E$5001,"Em ajustes"),1,0),0))</f>
        <v/>
      </c>
      <c r="N2157" s="17" t="str">
        <f aca="false">IF(A2157="","",IF(ISNUMBER(A2157),A2157,IFERROR(DATE(VALUE(MID(A2157,7,4)),VALUE(MID(A2157,4,2)),VALUE(MID(A2157,1,2)))+TIME(VALUE(MID(A2157,12,2)),VALUE(MID(A2157,15,2)),VALUE(MID(A2157,18,2))),"")))</f>
        <v/>
      </c>
    </row>
    <row r="2158" customFormat="false" ht="15" hidden="false" customHeight="false" outlineLevel="0" collapsed="false">
      <c r="I2158" s="15" t="str">
        <f aca="false">IF(N2158="","",INT(N2158))</f>
        <v/>
      </c>
      <c r="J2158" s="16" t="str">
        <f aca="false">IF(B2158="","",IF(N2158=_xlfn.MINIFS($N$2:$N$5001,$B$2:$B$5001,B2158),1,0))</f>
        <v/>
      </c>
      <c r="K2158" s="16" t="str">
        <f aca="false">IF(B2158="","",IF(AND(D2158="Formalização",E2158="Concluído"),IF(COUNTIFS($B$2:$B$5001,B2158,$E$2:$E$5001,"Em ajustes",$N$2:$N$5001,"&lt;"&amp;I2158)&gt;0,1,0),0))</f>
        <v/>
      </c>
      <c r="L2158" s="16" t="str">
        <f aca="false">IF(B2158="","",IF(N2158=_xlfn.MAXIFS($N$2:$N$5001,$B$2:$B$5001,B2158,$I$2:$I$5001,I2158),1,0))</f>
        <v/>
      </c>
      <c r="M2158" s="16" t="str">
        <f aca="false">IF(B2158="","",IF(E2158="Em ajustes",IF(N2158=_xlfn.MINIFS($N$2:$N$5001,$B$2:$B$5001,B2158,$E$2:$E$5001,"Em ajustes"),1,0),0))</f>
        <v/>
      </c>
      <c r="N2158" s="17" t="str">
        <f aca="false">IF(A2158="","",IF(ISNUMBER(A2158),A2158,IFERROR(DATE(VALUE(MID(A2158,7,4)),VALUE(MID(A2158,4,2)),VALUE(MID(A2158,1,2)))+TIME(VALUE(MID(A2158,12,2)),VALUE(MID(A2158,15,2)),VALUE(MID(A2158,18,2))),"")))</f>
        <v/>
      </c>
    </row>
    <row r="2159" customFormat="false" ht="15" hidden="false" customHeight="false" outlineLevel="0" collapsed="false">
      <c r="I2159" s="15" t="str">
        <f aca="false">IF(N2159="","",INT(N2159))</f>
        <v/>
      </c>
      <c r="J2159" s="16" t="str">
        <f aca="false">IF(B2159="","",IF(N2159=_xlfn.MINIFS($N$2:$N$5001,$B$2:$B$5001,B2159),1,0))</f>
        <v/>
      </c>
      <c r="K2159" s="16" t="str">
        <f aca="false">IF(B2159="","",IF(AND(D2159="Formalização",E2159="Concluído"),IF(COUNTIFS($B$2:$B$5001,B2159,$E$2:$E$5001,"Em ajustes",$N$2:$N$5001,"&lt;"&amp;I2159)&gt;0,1,0),0))</f>
        <v/>
      </c>
      <c r="L2159" s="16" t="str">
        <f aca="false">IF(B2159="","",IF(N2159=_xlfn.MAXIFS($N$2:$N$5001,$B$2:$B$5001,B2159,$I$2:$I$5001,I2159),1,0))</f>
        <v/>
      </c>
      <c r="M2159" s="16" t="str">
        <f aca="false">IF(B2159="","",IF(E2159="Em ajustes",IF(N2159=_xlfn.MINIFS($N$2:$N$5001,$B$2:$B$5001,B2159,$E$2:$E$5001,"Em ajustes"),1,0),0))</f>
        <v/>
      </c>
      <c r="N2159" s="17" t="str">
        <f aca="false">IF(A2159="","",IF(ISNUMBER(A2159),A2159,IFERROR(DATE(VALUE(MID(A2159,7,4)),VALUE(MID(A2159,4,2)),VALUE(MID(A2159,1,2)))+TIME(VALUE(MID(A2159,12,2)),VALUE(MID(A2159,15,2)),VALUE(MID(A2159,18,2))),"")))</f>
        <v/>
      </c>
    </row>
    <row r="2160" customFormat="false" ht="15" hidden="false" customHeight="false" outlineLevel="0" collapsed="false">
      <c r="I2160" s="15" t="str">
        <f aca="false">IF(N2160="","",INT(N2160))</f>
        <v/>
      </c>
      <c r="J2160" s="16" t="str">
        <f aca="false">IF(B2160="","",IF(N2160=_xlfn.MINIFS($N$2:$N$5001,$B$2:$B$5001,B2160),1,0))</f>
        <v/>
      </c>
      <c r="K2160" s="16" t="str">
        <f aca="false">IF(B2160="","",IF(AND(D2160="Formalização",E2160="Concluído"),IF(COUNTIFS($B$2:$B$5001,B2160,$E$2:$E$5001,"Em ajustes",$N$2:$N$5001,"&lt;"&amp;I2160)&gt;0,1,0),0))</f>
        <v/>
      </c>
      <c r="L2160" s="16" t="str">
        <f aca="false">IF(B2160="","",IF(N2160=_xlfn.MAXIFS($N$2:$N$5001,$B$2:$B$5001,B2160,$I$2:$I$5001,I2160),1,0))</f>
        <v/>
      </c>
      <c r="M2160" s="16" t="str">
        <f aca="false">IF(B2160="","",IF(E2160="Em ajustes",IF(N2160=_xlfn.MINIFS($N$2:$N$5001,$B$2:$B$5001,B2160,$E$2:$E$5001,"Em ajustes"),1,0),0))</f>
        <v/>
      </c>
      <c r="N2160" s="17" t="str">
        <f aca="false">IF(A2160="","",IF(ISNUMBER(A2160),A2160,IFERROR(DATE(VALUE(MID(A2160,7,4)),VALUE(MID(A2160,4,2)),VALUE(MID(A2160,1,2)))+TIME(VALUE(MID(A2160,12,2)),VALUE(MID(A2160,15,2)),VALUE(MID(A2160,18,2))),"")))</f>
        <v/>
      </c>
    </row>
    <row r="2161" customFormat="false" ht="15" hidden="false" customHeight="false" outlineLevel="0" collapsed="false">
      <c r="I2161" s="15" t="str">
        <f aca="false">IF(N2161="","",INT(N2161))</f>
        <v/>
      </c>
      <c r="J2161" s="16" t="str">
        <f aca="false">IF(B2161="","",IF(N2161=_xlfn.MINIFS($N$2:$N$5001,$B$2:$B$5001,B2161),1,0))</f>
        <v/>
      </c>
      <c r="K2161" s="16" t="str">
        <f aca="false">IF(B2161="","",IF(AND(D2161="Formalização",E2161="Concluído"),IF(COUNTIFS($B$2:$B$5001,B2161,$E$2:$E$5001,"Em ajustes",$N$2:$N$5001,"&lt;"&amp;I2161)&gt;0,1,0),0))</f>
        <v/>
      </c>
      <c r="L2161" s="16" t="str">
        <f aca="false">IF(B2161="","",IF(N2161=_xlfn.MAXIFS($N$2:$N$5001,$B$2:$B$5001,B2161,$I$2:$I$5001,I2161),1,0))</f>
        <v/>
      </c>
      <c r="M2161" s="16" t="str">
        <f aca="false">IF(B2161="","",IF(E2161="Em ajustes",IF(N2161=_xlfn.MINIFS($N$2:$N$5001,$B$2:$B$5001,B2161,$E$2:$E$5001,"Em ajustes"),1,0),0))</f>
        <v/>
      </c>
      <c r="N2161" s="17" t="str">
        <f aca="false">IF(A2161="","",IF(ISNUMBER(A2161),A2161,IFERROR(DATE(VALUE(MID(A2161,7,4)),VALUE(MID(A2161,4,2)),VALUE(MID(A2161,1,2)))+TIME(VALUE(MID(A2161,12,2)),VALUE(MID(A2161,15,2)),VALUE(MID(A2161,18,2))),"")))</f>
        <v/>
      </c>
    </row>
    <row r="2162" customFormat="false" ht="15" hidden="false" customHeight="false" outlineLevel="0" collapsed="false">
      <c r="I2162" s="15" t="str">
        <f aca="false">IF(N2162="","",INT(N2162))</f>
        <v/>
      </c>
      <c r="J2162" s="16" t="str">
        <f aca="false">IF(B2162="","",IF(N2162=_xlfn.MINIFS($N$2:$N$5001,$B$2:$B$5001,B2162),1,0))</f>
        <v/>
      </c>
      <c r="K2162" s="16" t="str">
        <f aca="false">IF(B2162="","",IF(AND(D2162="Formalização",E2162="Concluído"),IF(COUNTIFS($B$2:$B$5001,B2162,$E$2:$E$5001,"Em ajustes",$N$2:$N$5001,"&lt;"&amp;I2162)&gt;0,1,0),0))</f>
        <v/>
      </c>
      <c r="L2162" s="16" t="str">
        <f aca="false">IF(B2162="","",IF(N2162=_xlfn.MAXIFS($N$2:$N$5001,$B$2:$B$5001,B2162,$I$2:$I$5001,I2162),1,0))</f>
        <v/>
      </c>
      <c r="M2162" s="16" t="str">
        <f aca="false">IF(B2162="","",IF(E2162="Em ajustes",IF(N2162=_xlfn.MINIFS($N$2:$N$5001,$B$2:$B$5001,B2162,$E$2:$E$5001,"Em ajustes"),1,0),0))</f>
        <v/>
      </c>
      <c r="N2162" s="17" t="str">
        <f aca="false">IF(A2162="","",IF(ISNUMBER(A2162),A2162,IFERROR(DATE(VALUE(MID(A2162,7,4)),VALUE(MID(A2162,4,2)),VALUE(MID(A2162,1,2)))+TIME(VALUE(MID(A2162,12,2)),VALUE(MID(A2162,15,2)),VALUE(MID(A2162,18,2))),"")))</f>
        <v/>
      </c>
    </row>
    <row r="2163" customFormat="false" ht="15" hidden="false" customHeight="false" outlineLevel="0" collapsed="false">
      <c r="I2163" s="15" t="str">
        <f aca="false">IF(N2163="","",INT(N2163))</f>
        <v/>
      </c>
      <c r="J2163" s="16" t="str">
        <f aca="false">IF(B2163="","",IF(N2163=_xlfn.MINIFS($N$2:$N$5001,$B$2:$B$5001,B2163),1,0))</f>
        <v/>
      </c>
      <c r="K2163" s="16" t="str">
        <f aca="false">IF(B2163="","",IF(AND(D2163="Formalização",E2163="Concluído"),IF(COUNTIFS($B$2:$B$5001,B2163,$E$2:$E$5001,"Em ajustes",$N$2:$N$5001,"&lt;"&amp;I2163)&gt;0,1,0),0))</f>
        <v/>
      </c>
      <c r="L2163" s="16" t="str">
        <f aca="false">IF(B2163="","",IF(N2163=_xlfn.MAXIFS($N$2:$N$5001,$B$2:$B$5001,B2163,$I$2:$I$5001,I2163),1,0))</f>
        <v/>
      </c>
      <c r="M2163" s="16" t="str">
        <f aca="false">IF(B2163="","",IF(E2163="Em ajustes",IF(N2163=_xlfn.MINIFS($N$2:$N$5001,$B$2:$B$5001,B2163,$E$2:$E$5001,"Em ajustes"),1,0),0))</f>
        <v/>
      </c>
      <c r="N2163" s="17" t="str">
        <f aca="false">IF(A2163="","",IF(ISNUMBER(A2163),A2163,IFERROR(DATE(VALUE(MID(A2163,7,4)),VALUE(MID(A2163,4,2)),VALUE(MID(A2163,1,2)))+TIME(VALUE(MID(A2163,12,2)),VALUE(MID(A2163,15,2)),VALUE(MID(A2163,18,2))),"")))</f>
        <v/>
      </c>
    </row>
    <row r="2164" customFormat="false" ht="15" hidden="false" customHeight="false" outlineLevel="0" collapsed="false">
      <c r="I2164" s="15" t="str">
        <f aca="false">IF(N2164="","",INT(N2164))</f>
        <v/>
      </c>
      <c r="J2164" s="16" t="str">
        <f aca="false">IF(B2164="","",IF(N2164=_xlfn.MINIFS($N$2:$N$5001,$B$2:$B$5001,B2164),1,0))</f>
        <v/>
      </c>
      <c r="K2164" s="16" t="str">
        <f aca="false">IF(B2164="","",IF(AND(D2164="Formalização",E2164="Concluído"),IF(COUNTIFS($B$2:$B$5001,B2164,$E$2:$E$5001,"Em ajustes",$N$2:$N$5001,"&lt;"&amp;I2164)&gt;0,1,0),0))</f>
        <v/>
      </c>
      <c r="L2164" s="16" t="str">
        <f aca="false">IF(B2164="","",IF(N2164=_xlfn.MAXIFS($N$2:$N$5001,$B$2:$B$5001,B2164,$I$2:$I$5001,I2164),1,0))</f>
        <v/>
      </c>
      <c r="M2164" s="16" t="str">
        <f aca="false">IF(B2164="","",IF(E2164="Em ajustes",IF(N2164=_xlfn.MINIFS($N$2:$N$5001,$B$2:$B$5001,B2164,$E$2:$E$5001,"Em ajustes"),1,0),0))</f>
        <v/>
      </c>
      <c r="N2164" s="17" t="str">
        <f aca="false">IF(A2164="","",IF(ISNUMBER(A2164),A2164,IFERROR(DATE(VALUE(MID(A2164,7,4)),VALUE(MID(A2164,4,2)),VALUE(MID(A2164,1,2)))+TIME(VALUE(MID(A2164,12,2)),VALUE(MID(A2164,15,2)),VALUE(MID(A2164,18,2))),"")))</f>
        <v/>
      </c>
    </row>
    <row r="2165" customFormat="false" ht="15" hidden="false" customHeight="false" outlineLevel="0" collapsed="false">
      <c r="I2165" s="15" t="str">
        <f aca="false">IF(N2165="","",INT(N2165))</f>
        <v/>
      </c>
      <c r="J2165" s="16" t="str">
        <f aca="false">IF(B2165="","",IF(N2165=_xlfn.MINIFS($N$2:$N$5001,$B$2:$B$5001,B2165),1,0))</f>
        <v/>
      </c>
      <c r="K2165" s="16" t="str">
        <f aca="false">IF(B2165="","",IF(AND(D2165="Formalização",E2165="Concluído"),IF(COUNTIFS($B$2:$B$5001,B2165,$E$2:$E$5001,"Em ajustes",$N$2:$N$5001,"&lt;"&amp;I2165)&gt;0,1,0),0))</f>
        <v/>
      </c>
      <c r="L2165" s="16" t="str">
        <f aca="false">IF(B2165="","",IF(N2165=_xlfn.MAXIFS($N$2:$N$5001,$B$2:$B$5001,B2165,$I$2:$I$5001,I2165),1,0))</f>
        <v/>
      </c>
      <c r="M2165" s="16" t="str">
        <f aca="false">IF(B2165="","",IF(E2165="Em ajustes",IF(N2165=_xlfn.MINIFS($N$2:$N$5001,$B$2:$B$5001,B2165,$E$2:$E$5001,"Em ajustes"),1,0),0))</f>
        <v/>
      </c>
      <c r="N2165" s="17" t="str">
        <f aca="false">IF(A2165="","",IF(ISNUMBER(A2165),A2165,IFERROR(DATE(VALUE(MID(A2165,7,4)),VALUE(MID(A2165,4,2)),VALUE(MID(A2165,1,2)))+TIME(VALUE(MID(A2165,12,2)),VALUE(MID(A2165,15,2)),VALUE(MID(A2165,18,2))),"")))</f>
        <v/>
      </c>
    </row>
    <row r="2166" customFormat="false" ht="15" hidden="false" customHeight="false" outlineLevel="0" collapsed="false">
      <c r="I2166" s="15" t="str">
        <f aca="false">IF(N2166="","",INT(N2166))</f>
        <v/>
      </c>
      <c r="J2166" s="16" t="str">
        <f aca="false">IF(B2166="","",IF(N2166=_xlfn.MINIFS($N$2:$N$5001,$B$2:$B$5001,B2166),1,0))</f>
        <v/>
      </c>
      <c r="K2166" s="16" t="str">
        <f aca="false">IF(B2166="","",IF(AND(D2166="Formalização",E2166="Concluído"),IF(COUNTIFS($B$2:$B$5001,B2166,$E$2:$E$5001,"Em ajustes",$N$2:$N$5001,"&lt;"&amp;I2166)&gt;0,1,0),0))</f>
        <v/>
      </c>
      <c r="L2166" s="16" t="str">
        <f aca="false">IF(B2166="","",IF(N2166=_xlfn.MAXIFS($N$2:$N$5001,$B$2:$B$5001,B2166,$I$2:$I$5001,I2166),1,0))</f>
        <v/>
      </c>
      <c r="M2166" s="16" t="str">
        <f aca="false">IF(B2166="","",IF(E2166="Em ajustes",IF(N2166=_xlfn.MINIFS($N$2:$N$5001,$B$2:$B$5001,B2166,$E$2:$E$5001,"Em ajustes"),1,0),0))</f>
        <v/>
      </c>
      <c r="N2166" s="17" t="str">
        <f aca="false">IF(A2166="","",IF(ISNUMBER(A2166),A2166,IFERROR(DATE(VALUE(MID(A2166,7,4)),VALUE(MID(A2166,4,2)),VALUE(MID(A2166,1,2)))+TIME(VALUE(MID(A2166,12,2)),VALUE(MID(A2166,15,2)),VALUE(MID(A2166,18,2))),"")))</f>
        <v/>
      </c>
    </row>
    <row r="2167" customFormat="false" ht="15" hidden="false" customHeight="false" outlineLevel="0" collapsed="false">
      <c r="I2167" s="15" t="str">
        <f aca="false">IF(N2167="","",INT(N2167))</f>
        <v/>
      </c>
      <c r="J2167" s="16" t="str">
        <f aca="false">IF(B2167="","",IF(N2167=_xlfn.MINIFS($N$2:$N$5001,$B$2:$B$5001,B2167),1,0))</f>
        <v/>
      </c>
      <c r="K2167" s="16" t="str">
        <f aca="false">IF(B2167="","",IF(AND(D2167="Formalização",E2167="Concluído"),IF(COUNTIFS($B$2:$B$5001,B2167,$E$2:$E$5001,"Em ajustes",$N$2:$N$5001,"&lt;"&amp;I2167)&gt;0,1,0),0))</f>
        <v/>
      </c>
      <c r="L2167" s="16" t="str">
        <f aca="false">IF(B2167="","",IF(N2167=_xlfn.MAXIFS($N$2:$N$5001,$B$2:$B$5001,B2167,$I$2:$I$5001,I2167),1,0))</f>
        <v/>
      </c>
      <c r="M2167" s="16" t="str">
        <f aca="false">IF(B2167="","",IF(E2167="Em ajustes",IF(N2167=_xlfn.MINIFS($N$2:$N$5001,$B$2:$B$5001,B2167,$E$2:$E$5001,"Em ajustes"),1,0),0))</f>
        <v/>
      </c>
      <c r="N2167" s="17" t="str">
        <f aca="false">IF(A2167="","",IF(ISNUMBER(A2167),A2167,IFERROR(DATE(VALUE(MID(A2167,7,4)),VALUE(MID(A2167,4,2)),VALUE(MID(A2167,1,2)))+TIME(VALUE(MID(A2167,12,2)),VALUE(MID(A2167,15,2)),VALUE(MID(A2167,18,2))),"")))</f>
        <v/>
      </c>
    </row>
    <row r="2168" customFormat="false" ht="15" hidden="false" customHeight="false" outlineLevel="0" collapsed="false">
      <c r="I2168" s="15" t="str">
        <f aca="false">IF(N2168="","",INT(N2168))</f>
        <v/>
      </c>
      <c r="J2168" s="16" t="str">
        <f aca="false">IF(B2168="","",IF(N2168=_xlfn.MINIFS($N$2:$N$5001,$B$2:$B$5001,B2168),1,0))</f>
        <v/>
      </c>
      <c r="K2168" s="16" t="str">
        <f aca="false">IF(B2168="","",IF(AND(D2168="Formalização",E2168="Concluído"),IF(COUNTIFS($B$2:$B$5001,B2168,$E$2:$E$5001,"Em ajustes",$N$2:$N$5001,"&lt;"&amp;I2168)&gt;0,1,0),0))</f>
        <v/>
      </c>
      <c r="L2168" s="16" t="str">
        <f aca="false">IF(B2168="","",IF(N2168=_xlfn.MAXIFS($N$2:$N$5001,$B$2:$B$5001,B2168,$I$2:$I$5001,I2168),1,0))</f>
        <v/>
      </c>
      <c r="M2168" s="16" t="str">
        <f aca="false">IF(B2168="","",IF(E2168="Em ajustes",IF(N2168=_xlfn.MINIFS($N$2:$N$5001,$B$2:$B$5001,B2168,$E$2:$E$5001,"Em ajustes"),1,0),0))</f>
        <v/>
      </c>
      <c r="N2168" s="17" t="str">
        <f aca="false">IF(A2168="","",IF(ISNUMBER(A2168),A2168,IFERROR(DATE(VALUE(MID(A2168,7,4)),VALUE(MID(A2168,4,2)),VALUE(MID(A2168,1,2)))+TIME(VALUE(MID(A2168,12,2)),VALUE(MID(A2168,15,2)),VALUE(MID(A2168,18,2))),"")))</f>
        <v/>
      </c>
    </row>
    <row r="2169" customFormat="false" ht="15" hidden="false" customHeight="false" outlineLevel="0" collapsed="false">
      <c r="I2169" s="15" t="str">
        <f aca="false">IF(N2169="","",INT(N2169))</f>
        <v/>
      </c>
      <c r="J2169" s="16" t="str">
        <f aca="false">IF(B2169="","",IF(N2169=_xlfn.MINIFS($N$2:$N$5001,$B$2:$B$5001,B2169),1,0))</f>
        <v/>
      </c>
      <c r="K2169" s="16" t="str">
        <f aca="false">IF(B2169="","",IF(AND(D2169="Formalização",E2169="Concluído"),IF(COUNTIFS($B$2:$B$5001,B2169,$E$2:$E$5001,"Em ajustes",$N$2:$N$5001,"&lt;"&amp;I2169)&gt;0,1,0),0))</f>
        <v/>
      </c>
      <c r="L2169" s="16" t="str">
        <f aca="false">IF(B2169="","",IF(N2169=_xlfn.MAXIFS($N$2:$N$5001,$B$2:$B$5001,B2169,$I$2:$I$5001,I2169),1,0))</f>
        <v/>
      </c>
      <c r="M2169" s="16" t="str">
        <f aca="false">IF(B2169="","",IF(E2169="Em ajustes",IF(N2169=_xlfn.MINIFS($N$2:$N$5001,$B$2:$B$5001,B2169,$E$2:$E$5001,"Em ajustes"),1,0),0))</f>
        <v/>
      </c>
      <c r="N2169" s="17" t="str">
        <f aca="false">IF(A2169="","",IF(ISNUMBER(A2169),A2169,IFERROR(DATE(VALUE(MID(A2169,7,4)),VALUE(MID(A2169,4,2)),VALUE(MID(A2169,1,2)))+TIME(VALUE(MID(A2169,12,2)),VALUE(MID(A2169,15,2)),VALUE(MID(A2169,18,2))),"")))</f>
        <v/>
      </c>
    </row>
    <row r="2170" customFormat="false" ht="15" hidden="false" customHeight="false" outlineLevel="0" collapsed="false">
      <c r="I2170" s="15" t="str">
        <f aca="false">IF(N2170="","",INT(N2170))</f>
        <v/>
      </c>
      <c r="J2170" s="16" t="str">
        <f aca="false">IF(B2170="","",IF(N2170=_xlfn.MINIFS($N$2:$N$5001,$B$2:$B$5001,B2170),1,0))</f>
        <v/>
      </c>
      <c r="K2170" s="16" t="str">
        <f aca="false">IF(B2170="","",IF(AND(D2170="Formalização",E2170="Concluído"),IF(COUNTIFS($B$2:$B$5001,B2170,$E$2:$E$5001,"Em ajustes",$N$2:$N$5001,"&lt;"&amp;I2170)&gt;0,1,0),0))</f>
        <v/>
      </c>
      <c r="L2170" s="16" t="str">
        <f aca="false">IF(B2170="","",IF(N2170=_xlfn.MAXIFS($N$2:$N$5001,$B$2:$B$5001,B2170,$I$2:$I$5001,I2170),1,0))</f>
        <v/>
      </c>
      <c r="M2170" s="16" t="str">
        <f aca="false">IF(B2170="","",IF(E2170="Em ajustes",IF(N2170=_xlfn.MINIFS($N$2:$N$5001,$B$2:$B$5001,B2170,$E$2:$E$5001,"Em ajustes"),1,0),0))</f>
        <v/>
      </c>
      <c r="N2170" s="17" t="str">
        <f aca="false">IF(A2170="","",IF(ISNUMBER(A2170),A2170,IFERROR(DATE(VALUE(MID(A2170,7,4)),VALUE(MID(A2170,4,2)),VALUE(MID(A2170,1,2)))+TIME(VALUE(MID(A2170,12,2)),VALUE(MID(A2170,15,2)),VALUE(MID(A2170,18,2))),"")))</f>
        <v/>
      </c>
    </row>
    <row r="2171" customFormat="false" ht="15" hidden="false" customHeight="false" outlineLevel="0" collapsed="false">
      <c r="I2171" s="15" t="str">
        <f aca="false">IF(N2171="","",INT(N2171))</f>
        <v/>
      </c>
      <c r="J2171" s="16" t="str">
        <f aca="false">IF(B2171="","",IF(N2171=_xlfn.MINIFS($N$2:$N$5001,$B$2:$B$5001,B2171),1,0))</f>
        <v/>
      </c>
      <c r="K2171" s="16" t="str">
        <f aca="false">IF(B2171="","",IF(AND(D2171="Formalização",E2171="Concluído"),IF(COUNTIFS($B$2:$B$5001,B2171,$E$2:$E$5001,"Em ajustes",$N$2:$N$5001,"&lt;"&amp;I2171)&gt;0,1,0),0))</f>
        <v/>
      </c>
      <c r="L2171" s="16" t="str">
        <f aca="false">IF(B2171="","",IF(N2171=_xlfn.MAXIFS($N$2:$N$5001,$B$2:$B$5001,B2171,$I$2:$I$5001,I2171),1,0))</f>
        <v/>
      </c>
      <c r="M2171" s="16" t="str">
        <f aca="false">IF(B2171="","",IF(E2171="Em ajustes",IF(N2171=_xlfn.MINIFS($N$2:$N$5001,$B$2:$B$5001,B2171,$E$2:$E$5001,"Em ajustes"),1,0),0))</f>
        <v/>
      </c>
      <c r="N2171" s="17" t="str">
        <f aca="false">IF(A2171="","",IF(ISNUMBER(A2171),A2171,IFERROR(DATE(VALUE(MID(A2171,7,4)),VALUE(MID(A2171,4,2)),VALUE(MID(A2171,1,2)))+TIME(VALUE(MID(A2171,12,2)),VALUE(MID(A2171,15,2)),VALUE(MID(A2171,18,2))),"")))</f>
        <v/>
      </c>
    </row>
    <row r="2172" customFormat="false" ht="15" hidden="false" customHeight="false" outlineLevel="0" collapsed="false">
      <c r="I2172" s="15" t="str">
        <f aca="false">IF(N2172="","",INT(N2172))</f>
        <v/>
      </c>
      <c r="J2172" s="16" t="str">
        <f aca="false">IF(B2172="","",IF(N2172=_xlfn.MINIFS($N$2:$N$5001,$B$2:$B$5001,B2172),1,0))</f>
        <v/>
      </c>
      <c r="K2172" s="16" t="str">
        <f aca="false">IF(B2172="","",IF(AND(D2172="Formalização",E2172="Concluído"),IF(COUNTIFS($B$2:$B$5001,B2172,$E$2:$E$5001,"Em ajustes",$N$2:$N$5001,"&lt;"&amp;I2172)&gt;0,1,0),0))</f>
        <v/>
      </c>
      <c r="L2172" s="16" t="str">
        <f aca="false">IF(B2172="","",IF(N2172=_xlfn.MAXIFS($N$2:$N$5001,$B$2:$B$5001,B2172,$I$2:$I$5001,I2172),1,0))</f>
        <v/>
      </c>
      <c r="M2172" s="16" t="str">
        <f aca="false">IF(B2172="","",IF(E2172="Em ajustes",IF(N2172=_xlfn.MINIFS($N$2:$N$5001,$B$2:$B$5001,B2172,$E$2:$E$5001,"Em ajustes"),1,0),0))</f>
        <v/>
      </c>
      <c r="N2172" s="17" t="str">
        <f aca="false">IF(A2172="","",IF(ISNUMBER(A2172),A2172,IFERROR(DATE(VALUE(MID(A2172,7,4)),VALUE(MID(A2172,4,2)),VALUE(MID(A2172,1,2)))+TIME(VALUE(MID(A2172,12,2)),VALUE(MID(A2172,15,2)),VALUE(MID(A2172,18,2))),"")))</f>
        <v/>
      </c>
    </row>
    <row r="2173" customFormat="false" ht="15" hidden="false" customHeight="false" outlineLevel="0" collapsed="false">
      <c r="I2173" s="15" t="str">
        <f aca="false">IF(N2173="","",INT(N2173))</f>
        <v/>
      </c>
      <c r="J2173" s="16" t="str">
        <f aca="false">IF(B2173="","",IF(N2173=_xlfn.MINIFS($N$2:$N$5001,$B$2:$B$5001,B2173),1,0))</f>
        <v/>
      </c>
      <c r="K2173" s="16" t="str">
        <f aca="false">IF(B2173="","",IF(AND(D2173="Formalização",E2173="Concluído"),IF(COUNTIFS($B$2:$B$5001,B2173,$E$2:$E$5001,"Em ajustes",$N$2:$N$5001,"&lt;"&amp;I2173)&gt;0,1,0),0))</f>
        <v/>
      </c>
      <c r="L2173" s="16" t="str">
        <f aca="false">IF(B2173="","",IF(N2173=_xlfn.MAXIFS($N$2:$N$5001,$B$2:$B$5001,B2173,$I$2:$I$5001,I2173),1,0))</f>
        <v/>
      </c>
      <c r="M2173" s="16" t="str">
        <f aca="false">IF(B2173="","",IF(E2173="Em ajustes",IF(N2173=_xlfn.MINIFS($N$2:$N$5001,$B$2:$B$5001,B2173,$E$2:$E$5001,"Em ajustes"),1,0),0))</f>
        <v/>
      </c>
      <c r="N2173" s="17" t="str">
        <f aca="false">IF(A2173="","",IF(ISNUMBER(A2173),A2173,IFERROR(DATE(VALUE(MID(A2173,7,4)),VALUE(MID(A2173,4,2)),VALUE(MID(A2173,1,2)))+TIME(VALUE(MID(A2173,12,2)),VALUE(MID(A2173,15,2)),VALUE(MID(A2173,18,2))),"")))</f>
        <v/>
      </c>
    </row>
    <row r="2174" customFormat="false" ht="15" hidden="false" customHeight="false" outlineLevel="0" collapsed="false">
      <c r="I2174" s="15" t="str">
        <f aca="false">IF(N2174="","",INT(N2174))</f>
        <v/>
      </c>
      <c r="J2174" s="16" t="str">
        <f aca="false">IF(B2174="","",IF(N2174=_xlfn.MINIFS($N$2:$N$5001,$B$2:$B$5001,B2174),1,0))</f>
        <v/>
      </c>
      <c r="K2174" s="16" t="str">
        <f aca="false">IF(B2174="","",IF(AND(D2174="Formalização",E2174="Concluído"),IF(COUNTIFS($B$2:$B$5001,B2174,$E$2:$E$5001,"Em ajustes",$N$2:$N$5001,"&lt;"&amp;I2174)&gt;0,1,0),0))</f>
        <v/>
      </c>
      <c r="L2174" s="16" t="str">
        <f aca="false">IF(B2174="","",IF(N2174=_xlfn.MAXIFS($N$2:$N$5001,$B$2:$B$5001,B2174,$I$2:$I$5001,I2174),1,0))</f>
        <v/>
      </c>
      <c r="M2174" s="16" t="str">
        <f aca="false">IF(B2174="","",IF(E2174="Em ajustes",IF(N2174=_xlfn.MINIFS($N$2:$N$5001,$B$2:$B$5001,B2174,$E$2:$E$5001,"Em ajustes"),1,0),0))</f>
        <v/>
      </c>
      <c r="N2174" s="17" t="str">
        <f aca="false">IF(A2174="","",IF(ISNUMBER(A2174),A2174,IFERROR(DATE(VALUE(MID(A2174,7,4)),VALUE(MID(A2174,4,2)),VALUE(MID(A2174,1,2)))+TIME(VALUE(MID(A2174,12,2)),VALUE(MID(A2174,15,2)),VALUE(MID(A2174,18,2))),"")))</f>
        <v/>
      </c>
    </row>
    <row r="2175" customFormat="false" ht="15" hidden="false" customHeight="false" outlineLevel="0" collapsed="false">
      <c r="I2175" s="15" t="str">
        <f aca="false">IF(N2175="","",INT(N2175))</f>
        <v/>
      </c>
      <c r="J2175" s="16" t="str">
        <f aca="false">IF(B2175="","",IF(N2175=_xlfn.MINIFS($N$2:$N$5001,$B$2:$B$5001,B2175),1,0))</f>
        <v/>
      </c>
      <c r="K2175" s="16" t="str">
        <f aca="false">IF(B2175="","",IF(AND(D2175="Formalização",E2175="Concluído"),IF(COUNTIFS($B$2:$B$5001,B2175,$E$2:$E$5001,"Em ajustes",$N$2:$N$5001,"&lt;"&amp;I2175)&gt;0,1,0),0))</f>
        <v/>
      </c>
      <c r="L2175" s="16" t="str">
        <f aca="false">IF(B2175="","",IF(N2175=_xlfn.MAXIFS($N$2:$N$5001,$B$2:$B$5001,B2175,$I$2:$I$5001,I2175),1,0))</f>
        <v/>
      </c>
      <c r="M2175" s="16" t="str">
        <f aca="false">IF(B2175="","",IF(E2175="Em ajustes",IF(N2175=_xlfn.MINIFS($N$2:$N$5001,$B$2:$B$5001,B2175,$E$2:$E$5001,"Em ajustes"),1,0),0))</f>
        <v/>
      </c>
      <c r="N2175" s="17" t="str">
        <f aca="false">IF(A2175="","",IF(ISNUMBER(A2175),A2175,IFERROR(DATE(VALUE(MID(A2175,7,4)),VALUE(MID(A2175,4,2)),VALUE(MID(A2175,1,2)))+TIME(VALUE(MID(A2175,12,2)),VALUE(MID(A2175,15,2)),VALUE(MID(A2175,18,2))),"")))</f>
        <v/>
      </c>
    </row>
    <row r="2176" customFormat="false" ht="15" hidden="false" customHeight="false" outlineLevel="0" collapsed="false">
      <c r="I2176" s="15" t="str">
        <f aca="false">IF(N2176="","",INT(N2176))</f>
        <v/>
      </c>
      <c r="J2176" s="16" t="str">
        <f aca="false">IF(B2176="","",IF(N2176=_xlfn.MINIFS($N$2:$N$5001,$B$2:$B$5001,B2176),1,0))</f>
        <v/>
      </c>
      <c r="K2176" s="16" t="str">
        <f aca="false">IF(B2176="","",IF(AND(D2176="Formalização",E2176="Concluído"),IF(COUNTIFS($B$2:$B$5001,B2176,$E$2:$E$5001,"Em ajustes",$N$2:$N$5001,"&lt;"&amp;I2176)&gt;0,1,0),0))</f>
        <v/>
      </c>
      <c r="L2176" s="16" t="str">
        <f aca="false">IF(B2176="","",IF(N2176=_xlfn.MAXIFS($N$2:$N$5001,$B$2:$B$5001,B2176,$I$2:$I$5001,I2176),1,0))</f>
        <v/>
      </c>
      <c r="M2176" s="16" t="str">
        <f aca="false">IF(B2176="","",IF(E2176="Em ajustes",IF(N2176=_xlfn.MINIFS($N$2:$N$5001,$B$2:$B$5001,B2176,$E$2:$E$5001,"Em ajustes"),1,0),0))</f>
        <v/>
      </c>
      <c r="N2176" s="17" t="str">
        <f aca="false">IF(A2176="","",IF(ISNUMBER(A2176),A2176,IFERROR(DATE(VALUE(MID(A2176,7,4)),VALUE(MID(A2176,4,2)),VALUE(MID(A2176,1,2)))+TIME(VALUE(MID(A2176,12,2)),VALUE(MID(A2176,15,2)),VALUE(MID(A2176,18,2))),"")))</f>
        <v/>
      </c>
    </row>
    <row r="2177" customFormat="false" ht="15" hidden="false" customHeight="false" outlineLevel="0" collapsed="false">
      <c r="I2177" s="15" t="str">
        <f aca="false">IF(N2177="","",INT(N2177))</f>
        <v/>
      </c>
      <c r="J2177" s="16" t="str">
        <f aca="false">IF(B2177="","",IF(N2177=_xlfn.MINIFS($N$2:$N$5001,$B$2:$B$5001,B2177),1,0))</f>
        <v/>
      </c>
      <c r="K2177" s="16" t="str">
        <f aca="false">IF(B2177="","",IF(AND(D2177="Formalização",E2177="Concluído"),IF(COUNTIFS($B$2:$B$5001,B2177,$E$2:$E$5001,"Em ajustes",$N$2:$N$5001,"&lt;"&amp;I2177)&gt;0,1,0),0))</f>
        <v/>
      </c>
      <c r="L2177" s="16" t="str">
        <f aca="false">IF(B2177="","",IF(N2177=_xlfn.MAXIFS($N$2:$N$5001,$B$2:$B$5001,B2177,$I$2:$I$5001,I2177),1,0))</f>
        <v/>
      </c>
      <c r="M2177" s="16" t="str">
        <f aca="false">IF(B2177="","",IF(E2177="Em ajustes",IF(N2177=_xlfn.MINIFS($N$2:$N$5001,$B$2:$B$5001,B2177,$E$2:$E$5001,"Em ajustes"),1,0),0))</f>
        <v/>
      </c>
      <c r="N2177" s="17" t="str">
        <f aca="false">IF(A2177="","",IF(ISNUMBER(A2177),A2177,IFERROR(DATE(VALUE(MID(A2177,7,4)),VALUE(MID(A2177,4,2)),VALUE(MID(A2177,1,2)))+TIME(VALUE(MID(A2177,12,2)),VALUE(MID(A2177,15,2)),VALUE(MID(A2177,18,2))),"")))</f>
        <v/>
      </c>
    </row>
    <row r="2178" customFormat="false" ht="15" hidden="false" customHeight="false" outlineLevel="0" collapsed="false">
      <c r="I2178" s="15" t="str">
        <f aca="false">IF(N2178="","",INT(N2178))</f>
        <v/>
      </c>
      <c r="J2178" s="16" t="str">
        <f aca="false">IF(B2178="","",IF(N2178=_xlfn.MINIFS($N$2:$N$5001,$B$2:$B$5001,B2178),1,0))</f>
        <v/>
      </c>
      <c r="K2178" s="16" t="str">
        <f aca="false">IF(B2178="","",IF(AND(D2178="Formalização",E2178="Concluído"),IF(COUNTIFS($B$2:$B$5001,B2178,$E$2:$E$5001,"Em ajustes",$N$2:$N$5001,"&lt;"&amp;I2178)&gt;0,1,0),0))</f>
        <v/>
      </c>
      <c r="L2178" s="16" t="str">
        <f aca="false">IF(B2178="","",IF(N2178=_xlfn.MAXIFS($N$2:$N$5001,$B$2:$B$5001,B2178,$I$2:$I$5001,I2178),1,0))</f>
        <v/>
      </c>
      <c r="M2178" s="16" t="str">
        <f aca="false">IF(B2178="","",IF(E2178="Em ajustes",IF(N2178=_xlfn.MINIFS($N$2:$N$5001,$B$2:$B$5001,B2178,$E$2:$E$5001,"Em ajustes"),1,0),0))</f>
        <v/>
      </c>
      <c r="N2178" s="17" t="str">
        <f aca="false">IF(A2178="","",IF(ISNUMBER(A2178),A2178,IFERROR(DATE(VALUE(MID(A2178,7,4)),VALUE(MID(A2178,4,2)),VALUE(MID(A2178,1,2)))+TIME(VALUE(MID(A2178,12,2)),VALUE(MID(A2178,15,2)),VALUE(MID(A2178,18,2))),"")))</f>
        <v/>
      </c>
    </row>
    <row r="2179" customFormat="false" ht="15" hidden="false" customHeight="false" outlineLevel="0" collapsed="false">
      <c r="I2179" s="15" t="str">
        <f aca="false">IF(N2179="","",INT(N2179))</f>
        <v/>
      </c>
      <c r="J2179" s="16" t="str">
        <f aca="false">IF(B2179="","",IF(N2179=_xlfn.MINIFS($N$2:$N$5001,$B$2:$B$5001,B2179),1,0))</f>
        <v/>
      </c>
      <c r="K2179" s="16" t="str">
        <f aca="false">IF(B2179="","",IF(AND(D2179="Formalização",E2179="Concluído"),IF(COUNTIFS($B$2:$B$5001,B2179,$E$2:$E$5001,"Em ajustes",$N$2:$N$5001,"&lt;"&amp;I2179)&gt;0,1,0),0))</f>
        <v/>
      </c>
      <c r="L2179" s="16" t="str">
        <f aca="false">IF(B2179="","",IF(N2179=_xlfn.MAXIFS($N$2:$N$5001,$B$2:$B$5001,B2179,$I$2:$I$5001,I2179),1,0))</f>
        <v/>
      </c>
      <c r="M2179" s="16" t="str">
        <f aca="false">IF(B2179="","",IF(E2179="Em ajustes",IF(N2179=_xlfn.MINIFS($N$2:$N$5001,$B$2:$B$5001,B2179,$E$2:$E$5001,"Em ajustes"),1,0),0))</f>
        <v/>
      </c>
      <c r="N2179" s="17" t="str">
        <f aca="false">IF(A2179="","",IF(ISNUMBER(A2179),A2179,IFERROR(DATE(VALUE(MID(A2179,7,4)),VALUE(MID(A2179,4,2)),VALUE(MID(A2179,1,2)))+TIME(VALUE(MID(A2179,12,2)),VALUE(MID(A2179,15,2)),VALUE(MID(A2179,18,2))),"")))</f>
        <v/>
      </c>
    </row>
    <row r="2180" customFormat="false" ht="15" hidden="false" customHeight="false" outlineLevel="0" collapsed="false">
      <c r="I2180" s="15" t="str">
        <f aca="false">IF(N2180="","",INT(N2180))</f>
        <v/>
      </c>
      <c r="J2180" s="16" t="str">
        <f aca="false">IF(B2180="","",IF(N2180=_xlfn.MINIFS($N$2:$N$5001,$B$2:$B$5001,B2180),1,0))</f>
        <v/>
      </c>
      <c r="K2180" s="16" t="str">
        <f aca="false">IF(B2180="","",IF(AND(D2180="Formalização",E2180="Concluído"),IF(COUNTIFS($B$2:$B$5001,B2180,$E$2:$E$5001,"Em ajustes",$N$2:$N$5001,"&lt;"&amp;I2180)&gt;0,1,0),0))</f>
        <v/>
      </c>
      <c r="L2180" s="16" t="str">
        <f aca="false">IF(B2180="","",IF(N2180=_xlfn.MAXIFS($N$2:$N$5001,$B$2:$B$5001,B2180,$I$2:$I$5001,I2180),1,0))</f>
        <v/>
      </c>
      <c r="M2180" s="16" t="str">
        <f aca="false">IF(B2180="","",IF(E2180="Em ajustes",IF(N2180=_xlfn.MINIFS($N$2:$N$5001,$B$2:$B$5001,B2180,$E$2:$E$5001,"Em ajustes"),1,0),0))</f>
        <v/>
      </c>
      <c r="N2180" s="17" t="str">
        <f aca="false">IF(A2180="","",IF(ISNUMBER(A2180),A2180,IFERROR(DATE(VALUE(MID(A2180,7,4)),VALUE(MID(A2180,4,2)),VALUE(MID(A2180,1,2)))+TIME(VALUE(MID(A2180,12,2)),VALUE(MID(A2180,15,2)),VALUE(MID(A2180,18,2))),"")))</f>
        <v/>
      </c>
    </row>
    <row r="2181" customFormat="false" ht="15" hidden="false" customHeight="false" outlineLevel="0" collapsed="false">
      <c r="I2181" s="15" t="str">
        <f aca="false">IF(N2181="","",INT(N2181))</f>
        <v/>
      </c>
      <c r="J2181" s="16" t="str">
        <f aca="false">IF(B2181="","",IF(N2181=_xlfn.MINIFS($N$2:$N$5001,$B$2:$B$5001,B2181),1,0))</f>
        <v/>
      </c>
      <c r="K2181" s="16" t="str">
        <f aca="false">IF(B2181="","",IF(AND(D2181="Formalização",E2181="Concluído"),IF(COUNTIFS($B$2:$B$5001,B2181,$E$2:$E$5001,"Em ajustes",$N$2:$N$5001,"&lt;"&amp;I2181)&gt;0,1,0),0))</f>
        <v/>
      </c>
      <c r="L2181" s="16" t="str">
        <f aca="false">IF(B2181="","",IF(N2181=_xlfn.MAXIFS($N$2:$N$5001,$B$2:$B$5001,B2181,$I$2:$I$5001,I2181),1,0))</f>
        <v/>
      </c>
      <c r="M2181" s="16" t="str">
        <f aca="false">IF(B2181="","",IF(E2181="Em ajustes",IF(N2181=_xlfn.MINIFS($N$2:$N$5001,$B$2:$B$5001,B2181,$E$2:$E$5001,"Em ajustes"),1,0),0))</f>
        <v/>
      </c>
      <c r="N2181" s="17" t="str">
        <f aca="false">IF(A2181="","",IF(ISNUMBER(A2181),A2181,IFERROR(DATE(VALUE(MID(A2181,7,4)),VALUE(MID(A2181,4,2)),VALUE(MID(A2181,1,2)))+TIME(VALUE(MID(A2181,12,2)),VALUE(MID(A2181,15,2)),VALUE(MID(A2181,18,2))),"")))</f>
        <v/>
      </c>
    </row>
    <row r="2182" customFormat="false" ht="15" hidden="false" customHeight="false" outlineLevel="0" collapsed="false">
      <c r="I2182" s="15" t="str">
        <f aca="false">IF(N2182="","",INT(N2182))</f>
        <v/>
      </c>
      <c r="J2182" s="16" t="str">
        <f aca="false">IF(B2182="","",IF(N2182=_xlfn.MINIFS($N$2:$N$5001,$B$2:$B$5001,B2182),1,0))</f>
        <v/>
      </c>
      <c r="K2182" s="16" t="str">
        <f aca="false">IF(B2182="","",IF(AND(D2182="Formalização",E2182="Concluído"),IF(COUNTIFS($B$2:$B$5001,B2182,$E$2:$E$5001,"Em ajustes",$N$2:$N$5001,"&lt;"&amp;I2182)&gt;0,1,0),0))</f>
        <v/>
      </c>
      <c r="L2182" s="16" t="str">
        <f aca="false">IF(B2182="","",IF(N2182=_xlfn.MAXIFS($N$2:$N$5001,$B$2:$B$5001,B2182,$I$2:$I$5001,I2182),1,0))</f>
        <v/>
      </c>
      <c r="M2182" s="16" t="str">
        <f aca="false">IF(B2182="","",IF(E2182="Em ajustes",IF(N2182=_xlfn.MINIFS($N$2:$N$5001,$B$2:$B$5001,B2182,$E$2:$E$5001,"Em ajustes"),1,0),0))</f>
        <v/>
      </c>
      <c r="N2182" s="17" t="str">
        <f aca="false">IF(A2182="","",IF(ISNUMBER(A2182),A2182,IFERROR(DATE(VALUE(MID(A2182,7,4)),VALUE(MID(A2182,4,2)),VALUE(MID(A2182,1,2)))+TIME(VALUE(MID(A2182,12,2)),VALUE(MID(A2182,15,2)),VALUE(MID(A2182,18,2))),"")))</f>
        <v/>
      </c>
    </row>
    <row r="2183" customFormat="false" ht="15" hidden="false" customHeight="false" outlineLevel="0" collapsed="false">
      <c r="I2183" s="15" t="str">
        <f aca="false">IF(N2183="","",INT(N2183))</f>
        <v/>
      </c>
      <c r="J2183" s="16" t="str">
        <f aca="false">IF(B2183="","",IF(N2183=_xlfn.MINIFS($N$2:$N$5001,$B$2:$B$5001,B2183),1,0))</f>
        <v/>
      </c>
      <c r="K2183" s="16" t="str">
        <f aca="false">IF(B2183="","",IF(AND(D2183="Formalização",E2183="Concluído"),IF(COUNTIFS($B$2:$B$5001,B2183,$E$2:$E$5001,"Em ajustes",$N$2:$N$5001,"&lt;"&amp;I2183)&gt;0,1,0),0))</f>
        <v/>
      </c>
      <c r="L2183" s="16" t="str">
        <f aca="false">IF(B2183="","",IF(N2183=_xlfn.MAXIFS($N$2:$N$5001,$B$2:$B$5001,B2183,$I$2:$I$5001,I2183),1,0))</f>
        <v/>
      </c>
      <c r="M2183" s="16" t="str">
        <f aca="false">IF(B2183="","",IF(E2183="Em ajustes",IF(N2183=_xlfn.MINIFS($N$2:$N$5001,$B$2:$B$5001,B2183,$E$2:$E$5001,"Em ajustes"),1,0),0))</f>
        <v/>
      </c>
      <c r="N2183" s="17" t="str">
        <f aca="false">IF(A2183="","",IF(ISNUMBER(A2183),A2183,IFERROR(DATE(VALUE(MID(A2183,7,4)),VALUE(MID(A2183,4,2)),VALUE(MID(A2183,1,2)))+TIME(VALUE(MID(A2183,12,2)),VALUE(MID(A2183,15,2)),VALUE(MID(A2183,18,2))),"")))</f>
        <v/>
      </c>
    </row>
    <row r="2184" customFormat="false" ht="15" hidden="false" customHeight="false" outlineLevel="0" collapsed="false">
      <c r="I2184" s="15" t="str">
        <f aca="false">IF(N2184="","",INT(N2184))</f>
        <v/>
      </c>
      <c r="J2184" s="16" t="str">
        <f aca="false">IF(B2184="","",IF(N2184=_xlfn.MINIFS($N$2:$N$5001,$B$2:$B$5001,B2184),1,0))</f>
        <v/>
      </c>
      <c r="K2184" s="16" t="str">
        <f aca="false">IF(B2184="","",IF(AND(D2184="Formalização",E2184="Concluído"),IF(COUNTIFS($B$2:$B$5001,B2184,$E$2:$E$5001,"Em ajustes",$N$2:$N$5001,"&lt;"&amp;I2184)&gt;0,1,0),0))</f>
        <v/>
      </c>
      <c r="L2184" s="16" t="str">
        <f aca="false">IF(B2184="","",IF(N2184=_xlfn.MAXIFS($N$2:$N$5001,$B$2:$B$5001,B2184,$I$2:$I$5001,I2184),1,0))</f>
        <v/>
      </c>
      <c r="M2184" s="16" t="str">
        <f aca="false">IF(B2184="","",IF(E2184="Em ajustes",IF(N2184=_xlfn.MINIFS($N$2:$N$5001,$B$2:$B$5001,B2184,$E$2:$E$5001,"Em ajustes"),1,0),0))</f>
        <v/>
      </c>
      <c r="N2184" s="17" t="str">
        <f aca="false">IF(A2184="","",IF(ISNUMBER(A2184),A2184,IFERROR(DATE(VALUE(MID(A2184,7,4)),VALUE(MID(A2184,4,2)),VALUE(MID(A2184,1,2)))+TIME(VALUE(MID(A2184,12,2)),VALUE(MID(A2184,15,2)),VALUE(MID(A2184,18,2))),"")))</f>
        <v/>
      </c>
    </row>
    <row r="2185" customFormat="false" ht="15" hidden="false" customHeight="false" outlineLevel="0" collapsed="false">
      <c r="I2185" s="15" t="str">
        <f aca="false">IF(N2185="","",INT(N2185))</f>
        <v/>
      </c>
      <c r="J2185" s="16" t="str">
        <f aca="false">IF(B2185="","",IF(N2185=_xlfn.MINIFS($N$2:$N$5001,$B$2:$B$5001,B2185),1,0))</f>
        <v/>
      </c>
      <c r="K2185" s="16" t="str">
        <f aca="false">IF(B2185="","",IF(AND(D2185="Formalização",E2185="Concluído"),IF(COUNTIFS($B$2:$B$5001,B2185,$E$2:$E$5001,"Em ajustes",$N$2:$N$5001,"&lt;"&amp;I2185)&gt;0,1,0),0))</f>
        <v/>
      </c>
      <c r="L2185" s="16" t="str">
        <f aca="false">IF(B2185="","",IF(N2185=_xlfn.MAXIFS($N$2:$N$5001,$B$2:$B$5001,B2185,$I$2:$I$5001,I2185),1,0))</f>
        <v/>
      </c>
      <c r="M2185" s="16" t="str">
        <f aca="false">IF(B2185="","",IF(E2185="Em ajustes",IF(N2185=_xlfn.MINIFS($N$2:$N$5001,$B$2:$B$5001,B2185,$E$2:$E$5001,"Em ajustes"),1,0),0))</f>
        <v/>
      </c>
      <c r="N2185" s="17" t="str">
        <f aca="false">IF(A2185="","",IF(ISNUMBER(A2185),A2185,IFERROR(DATE(VALUE(MID(A2185,7,4)),VALUE(MID(A2185,4,2)),VALUE(MID(A2185,1,2)))+TIME(VALUE(MID(A2185,12,2)),VALUE(MID(A2185,15,2)),VALUE(MID(A2185,18,2))),"")))</f>
        <v/>
      </c>
    </row>
    <row r="2186" customFormat="false" ht="15" hidden="false" customHeight="false" outlineLevel="0" collapsed="false">
      <c r="I2186" s="15" t="str">
        <f aca="false">IF(N2186="","",INT(N2186))</f>
        <v/>
      </c>
      <c r="J2186" s="16" t="str">
        <f aca="false">IF(B2186="","",IF(N2186=_xlfn.MINIFS($N$2:$N$5001,$B$2:$B$5001,B2186),1,0))</f>
        <v/>
      </c>
      <c r="K2186" s="16" t="str">
        <f aca="false">IF(B2186="","",IF(AND(D2186="Formalização",E2186="Concluído"),IF(COUNTIFS($B$2:$B$5001,B2186,$E$2:$E$5001,"Em ajustes",$N$2:$N$5001,"&lt;"&amp;I2186)&gt;0,1,0),0))</f>
        <v/>
      </c>
      <c r="L2186" s="16" t="str">
        <f aca="false">IF(B2186="","",IF(N2186=_xlfn.MAXIFS($N$2:$N$5001,$B$2:$B$5001,B2186,$I$2:$I$5001,I2186),1,0))</f>
        <v/>
      </c>
      <c r="M2186" s="16" t="str">
        <f aca="false">IF(B2186="","",IF(E2186="Em ajustes",IF(N2186=_xlfn.MINIFS($N$2:$N$5001,$B$2:$B$5001,B2186,$E$2:$E$5001,"Em ajustes"),1,0),0))</f>
        <v/>
      </c>
      <c r="N2186" s="17" t="str">
        <f aca="false">IF(A2186="","",IF(ISNUMBER(A2186),A2186,IFERROR(DATE(VALUE(MID(A2186,7,4)),VALUE(MID(A2186,4,2)),VALUE(MID(A2186,1,2)))+TIME(VALUE(MID(A2186,12,2)),VALUE(MID(A2186,15,2)),VALUE(MID(A2186,18,2))),"")))</f>
        <v/>
      </c>
    </row>
    <row r="2187" customFormat="false" ht="15" hidden="false" customHeight="false" outlineLevel="0" collapsed="false">
      <c r="I2187" s="15" t="str">
        <f aca="false">IF(N2187="","",INT(N2187))</f>
        <v/>
      </c>
      <c r="J2187" s="16" t="str">
        <f aca="false">IF(B2187="","",IF(N2187=_xlfn.MINIFS($N$2:$N$5001,$B$2:$B$5001,B2187),1,0))</f>
        <v/>
      </c>
      <c r="K2187" s="16" t="str">
        <f aca="false">IF(B2187="","",IF(AND(D2187="Formalização",E2187="Concluído"),IF(COUNTIFS($B$2:$B$5001,B2187,$E$2:$E$5001,"Em ajustes",$N$2:$N$5001,"&lt;"&amp;I2187)&gt;0,1,0),0))</f>
        <v/>
      </c>
      <c r="L2187" s="16" t="str">
        <f aca="false">IF(B2187="","",IF(N2187=_xlfn.MAXIFS($N$2:$N$5001,$B$2:$B$5001,B2187,$I$2:$I$5001,I2187),1,0))</f>
        <v/>
      </c>
      <c r="M2187" s="16" t="str">
        <f aca="false">IF(B2187="","",IF(E2187="Em ajustes",IF(N2187=_xlfn.MINIFS($N$2:$N$5001,$B$2:$B$5001,B2187,$E$2:$E$5001,"Em ajustes"),1,0),0))</f>
        <v/>
      </c>
      <c r="N2187" s="17" t="str">
        <f aca="false">IF(A2187="","",IF(ISNUMBER(A2187),A2187,IFERROR(DATE(VALUE(MID(A2187,7,4)),VALUE(MID(A2187,4,2)),VALUE(MID(A2187,1,2)))+TIME(VALUE(MID(A2187,12,2)),VALUE(MID(A2187,15,2)),VALUE(MID(A2187,18,2))),"")))</f>
        <v/>
      </c>
    </row>
    <row r="2188" customFormat="false" ht="15" hidden="false" customHeight="false" outlineLevel="0" collapsed="false">
      <c r="I2188" s="15" t="str">
        <f aca="false">IF(N2188="","",INT(N2188))</f>
        <v/>
      </c>
      <c r="J2188" s="16" t="str">
        <f aca="false">IF(B2188="","",IF(N2188=_xlfn.MINIFS($N$2:$N$5001,$B$2:$B$5001,B2188),1,0))</f>
        <v/>
      </c>
      <c r="K2188" s="16" t="str">
        <f aca="false">IF(B2188="","",IF(AND(D2188="Formalização",E2188="Concluído"),IF(COUNTIFS($B$2:$B$5001,B2188,$E$2:$E$5001,"Em ajustes",$N$2:$N$5001,"&lt;"&amp;I2188)&gt;0,1,0),0))</f>
        <v/>
      </c>
      <c r="L2188" s="16" t="str">
        <f aca="false">IF(B2188="","",IF(N2188=_xlfn.MAXIFS($N$2:$N$5001,$B$2:$B$5001,B2188,$I$2:$I$5001,I2188),1,0))</f>
        <v/>
      </c>
      <c r="M2188" s="16" t="str">
        <f aca="false">IF(B2188="","",IF(E2188="Em ajustes",IF(N2188=_xlfn.MINIFS($N$2:$N$5001,$B$2:$B$5001,B2188,$E$2:$E$5001,"Em ajustes"),1,0),0))</f>
        <v/>
      </c>
      <c r="N2188" s="17" t="str">
        <f aca="false">IF(A2188="","",IF(ISNUMBER(A2188),A2188,IFERROR(DATE(VALUE(MID(A2188,7,4)),VALUE(MID(A2188,4,2)),VALUE(MID(A2188,1,2)))+TIME(VALUE(MID(A2188,12,2)),VALUE(MID(A2188,15,2)),VALUE(MID(A2188,18,2))),"")))</f>
        <v/>
      </c>
    </row>
    <row r="2189" customFormat="false" ht="15" hidden="false" customHeight="false" outlineLevel="0" collapsed="false">
      <c r="I2189" s="15" t="str">
        <f aca="false">IF(N2189="","",INT(N2189))</f>
        <v/>
      </c>
      <c r="J2189" s="16" t="str">
        <f aca="false">IF(B2189="","",IF(N2189=_xlfn.MINIFS($N$2:$N$5001,$B$2:$B$5001,B2189),1,0))</f>
        <v/>
      </c>
      <c r="K2189" s="16" t="str">
        <f aca="false">IF(B2189="","",IF(AND(D2189="Formalização",E2189="Concluído"),IF(COUNTIFS($B$2:$B$5001,B2189,$E$2:$E$5001,"Em ajustes",$N$2:$N$5001,"&lt;"&amp;I2189)&gt;0,1,0),0))</f>
        <v/>
      </c>
      <c r="L2189" s="16" t="str">
        <f aca="false">IF(B2189="","",IF(N2189=_xlfn.MAXIFS($N$2:$N$5001,$B$2:$B$5001,B2189,$I$2:$I$5001,I2189),1,0))</f>
        <v/>
      </c>
      <c r="M2189" s="16" t="str">
        <f aca="false">IF(B2189="","",IF(E2189="Em ajustes",IF(N2189=_xlfn.MINIFS($N$2:$N$5001,$B$2:$B$5001,B2189,$E$2:$E$5001,"Em ajustes"),1,0),0))</f>
        <v/>
      </c>
      <c r="N2189" s="17" t="str">
        <f aca="false">IF(A2189="","",IF(ISNUMBER(A2189),A2189,IFERROR(DATE(VALUE(MID(A2189,7,4)),VALUE(MID(A2189,4,2)),VALUE(MID(A2189,1,2)))+TIME(VALUE(MID(A2189,12,2)),VALUE(MID(A2189,15,2)),VALUE(MID(A2189,18,2))),"")))</f>
        <v/>
      </c>
    </row>
    <row r="2190" customFormat="false" ht="15" hidden="false" customHeight="false" outlineLevel="0" collapsed="false">
      <c r="I2190" s="15" t="str">
        <f aca="false">IF(N2190="","",INT(N2190))</f>
        <v/>
      </c>
      <c r="J2190" s="16" t="str">
        <f aca="false">IF(B2190="","",IF(N2190=_xlfn.MINIFS($N$2:$N$5001,$B$2:$B$5001,B2190),1,0))</f>
        <v/>
      </c>
      <c r="K2190" s="16" t="str">
        <f aca="false">IF(B2190="","",IF(AND(D2190="Formalização",E2190="Concluído"),IF(COUNTIFS($B$2:$B$5001,B2190,$E$2:$E$5001,"Em ajustes",$N$2:$N$5001,"&lt;"&amp;I2190)&gt;0,1,0),0))</f>
        <v/>
      </c>
      <c r="L2190" s="16" t="str">
        <f aca="false">IF(B2190="","",IF(N2190=_xlfn.MAXIFS($N$2:$N$5001,$B$2:$B$5001,B2190,$I$2:$I$5001,I2190),1,0))</f>
        <v/>
      </c>
      <c r="M2190" s="16" t="str">
        <f aca="false">IF(B2190="","",IF(E2190="Em ajustes",IF(N2190=_xlfn.MINIFS($N$2:$N$5001,$B$2:$B$5001,B2190,$E$2:$E$5001,"Em ajustes"),1,0),0))</f>
        <v/>
      </c>
      <c r="N2190" s="17" t="str">
        <f aca="false">IF(A2190="","",IF(ISNUMBER(A2190),A2190,IFERROR(DATE(VALUE(MID(A2190,7,4)),VALUE(MID(A2190,4,2)),VALUE(MID(A2190,1,2)))+TIME(VALUE(MID(A2190,12,2)),VALUE(MID(A2190,15,2)),VALUE(MID(A2190,18,2))),"")))</f>
        <v/>
      </c>
    </row>
    <row r="2191" customFormat="false" ht="15" hidden="false" customHeight="false" outlineLevel="0" collapsed="false">
      <c r="I2191" s="15" t="str">
        <f aca="false">IF(N2191="","",INT(N2191))</f>
        <v/>
      </c>
      <c r="J2191" s="16" t="str">
        <f aca="false">IF(B2191="","",IF(N2191=_xlfn.MINIFS($N$2:$N$5001,$B$2:$B$5001,B2191),1,0))</f>
        <v/>
      </c>
      <c r="K2191" s="16" t="str">
        <f aca="false">IF(B2191="","",IF(AND(D2191="Formalização",E2191="Concluído"),IF(COUNTIFS($B$2:$B$5001,B2191,$E$2:$E$5001,"Em ajustes",$N$2:$N$5001,"&lt;"&amp;I2191)&gt;0,1,0),0))</f>
        <v/>
      </c>
      <c r="L2191" s="16" t="str">
        <f aca="false">IF(B2191="","",IF(N2191=_xlfn.MAXIFS($N$2:$N$5001,$B$2:$B$5001,B2191,$I$2:$I$5001,I2191),1,0))</f>
        <v/>
      </c>
      <c r="M2191" s="16" t="str">
        <f aca="false">IF(B2191="","",IF(E2191="Em ajustes",IF(N2191=_xlfn.MINIFS($N$2:$N$5001,$B$2:$B$5001,B2191,$E$2:$E$5001,"Em ajustes"),1,0),0))</f>
        <v/>
      </c>
      <c r="N2191" s="17" t="str">
        <f aca="false">IF(A2191="","",IF(ISNUMBER(A2191),A2191,IFERROR(DATE(VALUE(MID(A2191,7,4)),VALUE(MID(A2191,4,2)),VALUE(MID(A2191,1,2)))+TIME(VALUE(MID(A2191,12,2)),VALUE(MID(A2191,15,2)),VALUE(MID(A2191,18,2))),"")))</f>
        <v/>
      </c>
    </row>
    <row r="2192" customFormat="false" ht="15" hidden="false" customHeight="false" outlineLevel="0" collapsed="false">
      <c r="I2192" s="15" t="str">
        <f aca="false">IF(N2192="","",INT(N2192))</f>
        <v/>
      </c>
      <c r="J2192" s="16" t="str">
        <f aca="false">IF(B2192="","",IF(N2192=_xlfn.MINIFS($N$2:$N$5001,$B$2:$B$5001,B2192),1,0))</f>
        <v/>
      </c>
      <c r="K2192" s="16" t="str">
        <f aca="false">IF(B2192="","",IF(AND(D2192="Formalização",E2192="Concluído"),IF(COUNTIFS($B$2:$B$5001,B2192,$E$2:$E$5001,"Em ajustes",$N$2:$N$5001,"&lt;"&amp;I2192)&gt;0,1,0),0))</f>
        <v/>
      </c>
      <c r="L2192" s="16" t="str">
        <f aca="false">IF(B2192="","",IF(N2192=_xlfn.MAXIFS($N$2:$N$5001,$B$2:$B$5001,B2192,$I$2:$I$5001,I2192),1,0))</f>
        <v/>
      </c>
      <c r="M2192" s="16" t="str">
        <f aca="false">IF(B2192="","",IF(E2192="Em ajustes",IF(N2192=_xlfn.MINIFS($N$2:$N$5001,$B$2:$B$5001,B2192,$E$2:$E$5001,"Em ajustes"),1,0),0))</f>
        <v/>
      </c>
      <c r="N2192" s="17" t="str">
        <f aca="false">IF(A2192="","",IF(ISNUMBER(A2192),A2192,IFERROR(DATE(VALUE(MID(A2192,7,4)),VALUE(MID(A2192,4,2)),VALUE(MID(A2192,1,2)))+TIME(VALUE(MID(A2192,12,2)),VALUE(MID(A2192,15,2)),VALUE(MID(A2192,18,2))),"")))</f>
        <v/>
      </c>
    </row>
    <row r="2193" customFormat="false" ht="15" hidden="false" customHeight="false" outlineLevel="0" collapsed="false">
      <c r="I2193" s="15" t="str">
        <f aca="false">IF(N2193="","",INT(N2193))</f>
        <v/>
      </c>
      <c r="J2193" s="16" t="str">
        <f aca="false">IF(B2193="","",IF(N2193=_xlfn.MINIFS($N$2:$N$5001,$B$2:$B$5001,B2193),1,0))</f>
        <v/>
      </c>
      <c r="K2193" s="16" t="str">
        <f aca="false">IF(B2193="","",IF(AND(D2193="Formalização",E2193="Concluído"),IF(COUNTIFS($B$2:$B$5001,B2193,$E$2:$E$5001,"Em ajustes",$N$2:$N$5001,"&lt;"&amp;I2193)&gt;0,1,0),0))</f>
        <v/>
      </c>
      <c r="L2193" s="16" t="str">
        <f aca="false">IF(B2193="","",IF(N2193=_xlfn.MAXIFS($N$2:$N$5001,$B$2:$B$5001,B2193,$I$2:$I$5001,I2193),1,0))</f>
        <v/>
      </c>
      <c r="M2193" s="16" t="str">
        <f aca="false">IF(B2193="","",IF(E2193="Em ajustes",IF(N2193=_xlfn.MINIFS($N$2:$N$5001,$B$2:$B$5001,B2193,$E$2:$E$5001,"Em ajustes"),1,0),0))</f>
        <v/>
      </c>
      <c r="N2193" s="17" t="str">
        <f aca="false">IF(A2193="","",IF(ISNUMBER(A2193),A2193,IFERROR(DATE(VALUE(MID(A2193,7,4)),VALUE(MID(A2193,4,2)),VALUE(MID(A2193,1,2)))+TIME(VALUE(MID(A2193,12,2)),VALUE(MID(A2193,15,2)),VALUE(MID(A2193,18,2))),"")))</f>
        <v/>
      </c>
    </row>
    <row r="2194" customFormat="false" ht="15" hidden="false" customHeight="false" outlineLevel="0" collapsed="false">
      <c r="I2194" s="15" t="str">
        <f aca="false">IF(N2194="","",INT(N2194))</f>
        <v/>
      </c>
      <c r="J2194" s="16" t="str">
        <f aca="false">IF(B2194="","",IF(N2194=_xlfn.MINIFS($N$2:$N$5001,$B$2:$B$5001,B2194),1,0))</f>
        <v/>
      </c>
      <c r="K2194" s="16" t="str">
        <f aca="false">IF(B2194="","",IF(AND(D2194="Formalização",E2194="Concluído"),IF(COUNTIFS($B$2:$B$5001,B2194,$E$2:$E$5001,"Em ajustes",$N$2:$N$5001,"&lt;"&amp;I2194)&gt;0,1,0),0))</f>
        <v/>
      </c>
      <c r="L2194" s="16" t="str">
        <f aca="false">IF(B2194="","",IF(N2194=_xlfn.MAXIFS($N$2:$N$5001,$B$2:$B$5001,B2194,$I$2:$I$5001,I2194),1,0))</f>
        <v/>
      </c>
      <c r="M2194" s="16" t="str">
        <f aca="false">IF(B2194="","",IF(E2194="Em ajustes",IF(N2194=_xlfn.MINIFS($N$2:$N$5001,$B$2:$B$5001,B2194,$E$2:$E$5001,"Em ajustes"),1,0),0))</f>
        <v/>
      </c>
      <c r="N2194" s="17" t="str">
        <f aca="false">IF(A2194="","",IF(ISNUMBER(A2194),A2194,IFERROR(DATE(VALUE(MID(A2194,7,4)),VALUE(MID(A2194,4,2)),VALUE(MID(A2194,1,2)))+TIME(VALUE(MID(A2194,12,2)),VALUE(MID(A2194,15,2)),VALUE(MID(A2194,18,2))),"")))</f>
        <v/>
      </c>
    </row>
    <row r="2195" customFormat="false" ht="15" hidden="false" customHeight="false" outlineLevel="0" collapsed="false">
      <c r="I2195" s="15" t="str">
        <f aca="false">IF(N2195="","",INT(N2195))</f>
        <v/>
      </c>
      <c r="J2195" s="16" t="str">
        <f aca="false">IF(B2195="","",IF(N2195=_xlfn.MINIFS($N$2:$N$5001,$B$2:$B$5001,B2195),1,0))</f>
        <v/>
      </c>
      <c r="K2195" s="16" t="str">
        <f aca="false">IF(B2195="","",IF(AND(D2195="Formalização",E2195="Concluído"),IF(COUNTIFS($B$2:$B$5001,B2195,$E$2:$E$5001,"Em ajustes",$N$2:$N$5001,"&lt;"&amp;I2195)&gt;0,1,0),0))</f>
        <v/>
      </c>
      <c r="L2195" s="16" t="str">
        <f aca="false">IF(B2195="","",IF(N2195=_xlfn.MAXIFS($N$2:$N$5001,$B$2:$B$5001,B2195,$I$2:$I$5001,I2195),1,0))</f>
        <v/>
      </c>
      <c r="M2195" s="16" t="str">
        <f aca="false">IF(B2195="","",IF(E2195="Em ajustes",IF(N2195=_xlfn.MINIFS($N$2:$N$5001,$B$2:$B$5001,B2195,$E$2:$E$5001,"Em ajustes"),1,0),0))</f>
        <v/>
      </c>
      <c r="N2195" s="17" t="str">
        <f aca="false">IF(A2195="","",IF(ISNUMBER(A2195),A2195,IFERROR(DATE(VALUE(MID(A2195,7,4)),VALUE(MID(A2195,4,2)),VALUE(MID(A2195,1,2)))+TIME(VALUE(MID(A2195,12,2)),VALUE(MID(A2195,15,2)),VALUE(MID(A2195,18,2))),"")))</f>
        <v/>
      </c>
    </row>
    <row r="2196" customFormat="false" ht="15" hidden="false" customHeight="false" outlineLevel="0" collapsed="false">
      <c r="I2196" s="15" t="str">
        <f aca="false">IF(N2196="","",INT(N2196))</f>
        <v/>
      </c>
      <c r="J2196" s="16" t="str">
        <f aca="false">IF(B2196="","",IF(N2196=_xlfn.MINIFS($N$2:$N$5001,$B$2:$B$5001,B2196),1,0))</f>
        <v/>
      </c>
      <c r="K2196" s="16" t="str">
        <f aca="false">IF(B2196="","",IF(AND(D2196="Formalização",E2196="Concluído"),IF(COUNTIFS($B$2:$B$5001,B2196,$E$2:$E$5001,"Em ajustes",$N$2:$N$5001,"&lt;"&amp;I2196)&gt;0,1,0),0))</f>
        <v/>
      </c>
      <c r="L2196" s="16" t="str">
        <f aca="false">IF(B2196="","",IF(N2196=_xlfn.MAXIFS($N$2:$N$5001,$B$2:$B$5001,B2196,$I$2:$I$5001,I2196),1,0))</f>
        <v/>
      </c>
      <c r="M2196" s="16" t="str">
        <f aca="false">IF(B2196="","",IF(E2196="Em ajustes",IF(N2196=_xlfn.MINIFS($N$2:$N$5001,$B$2:$B$5001,B2196,$E$2:$E$5001,"Em ajustes"),1,0),0))</f>
        <v/>
      </c>
      <c r="N2196" s="17" t="str">
        <f aca="false">IF(A2196="","",IF(ISNUMBER(A2196),A2196,IFERROR(DATE(VALUE(MID(A2196,7,4)),VALUE(MID(A2196,4,2)),VALUE(MID(A2196,1,2)))+TIME(VALUE(MID(A2196,12,2)),VALUE(MID(A2196,15,2)),VALUE(MID(A2196,18,2))),"")))</f>
        <v/>
      </c>
    </row>
    <row r="2197" customFormat="false" ht="15" hidden="false" customHeight="false" outlineLevel="0" collapsed="false">
      <c r="I2197" s="15" t="str">
        <f aca="false">IF(N2197="","",INT(N2197))</f>
        <v/>
      </c>
      <c r="J2197" s="16" t="str">
        <f aca="false">IF(B2197="","",IF(N2197=_xlfn.MINIFS($N$2:$N$5001,$B$2:$B$5001,B2197),1,0))</f>
        <v/>
      </c>
      <c r="K2197" s="16" t="str">
        <f aca="false">IF(B2197="","",IF(AND(D2197="Formalização",E2197="Concluído"),IF(COUNTIFS($B$2:$B$5001,B2197,$E$2:$E$5001,"Em ajustes",$N$2:$N$5001,"&lt;"&amp;I2197)&gt;0,1,0),0))</f>
        <v/>
      </c>
      <c r="L2197" s="16" t="str">
        <f aca="false">IF(B2197="","",IF(N2197=_xlfn.MAXIFS($N$2:$N$5001,$B$2:$B$5001,B2197,$I$2:$I$5001,I2197),1,0))</f>
        <v/>
      </c>
      <c r="M2197" s="16" t="str">
        <f aca="false">IF(B2197="","",IF(E2197="Em ajustes",IF(N2197=_xlfn.MINIFS($N$2:$N$5001,$B$2:$B$5001,B2197,$E$2:$E$5001,"Em ajustes"),1,0),0))</f>
        <v/>
      </c>
      <c r="N2197" s="17" t="str">
        <f aca="false">IF(A2197="","",IF(ISNUMBER(A2197),A2197,IFERROR(DATE(VALUE(MID(A2197,7,4)),VALUE(MID(A2197,4,2)),VALUE(MID(A2197,1,2)))+TIME(VALUE(MID(A2197,12,2)),VALUE(MID(A2197,15,2)),VALUE(MID(A2197,18,2))),"")))</f>
        <v/>
      </c>
    </row>
    <row r="2198" customFormat="false" ht="15" hidden="false" customHeight="false" outlineLevel="0" collapsed="false">
      <c r="I2198" s="15" t="str">
        <f aca="false">IF(N2198="","",INT(N2198))</f>
        <v/>
      </c>
      <c r="J2198" s="16" t="str">
        <f aca="false">IF(B2198="","",IF(N2198=_xlfn.MINIFS($N$2:$N$5001,$B$2:$B$5001,B2198),1,0))</f>
        <v/>
      </c>
      <c r="K2198" s="16" t="str">
        <f aca="false">IF(B2198="","",IF(AND(D2198="Formalização",E2198="Concluído"),IF(COUNTIFS($B$2:$B$5001,B2198,$E$2:$E$5001,"Em ajustes",$N$2:$N$5001,"&lt;"&amp;I2198)&gt;0,1,0),0))</f>
        <v/>
      </c>
      <c r="L2198" s="16" t="str">
        <f aca="false">IF(B2198="","",IF(N2198=_xlfn.MAXIFS($N$2:$N$5001,$B$2:$B$5001,B2198,$I$2:$I$5001,I2198),1,0))</f>
        <v/>
      </c>
      <c r="M2198" s="16" t="str">
        <f aca="false">IF(B2198="","",IF(E2198="Em ajustes",IF(N2198=_xlfn.MINIFS($N$2:$N$5001,$B$2:$B$5001,B2198,$E$2:$E$5001,"Em ajustes"),1,0),0))</f>
        <v/>
      </c>
      <c r="N2198" s="17" t="str">
        <f aca="false">IF(A2198="","",IF(ISNUMBER(A2198),A2198,IFERROR(DATE(VALUE(MID(A2198,7,4)),VALUE(MID(A2198,4,2)),VALUE(MID(A2198,1,2)))+TIME(VALUE(MID(A2198,12,2)),VALUE(MID(A2198,15,2)),VALUE(MID(A2198,18,2))),"")))</f>
        <v/>
      </c>
    </row>
    <row r="2199" customFormat="false" ht="15" hidden="false" customHeight="false" outlineLevel="0" collapsed="false">
      <c r="I2199" s="15" t="str">
        <f aca="false">IF(N2199="","",INT(N2199))</f>
        <v/>
      </c>
      <c r="J2199" s="16" t="str">
        <f aca="false">IF(B2199="","",IF(N2199=_xlfn.MINIFS($N$2:$N$5001,$B$2:$B$5001,B2199),1,0))</f>
        <v/>
      </c>
      <c r="K2199" s="16" t="str">
        <f aca="false">IF(B2199="","",IF(AND(D2199="Formalização",E2199="Concluído"),IF(COUNTIFS($B$2:$B$5001,B2199,$E$2:$E$5001,"Em ajustes",$N$2:$N$5001,"&lt;"&amp;I2199)&gt;0,1,0),0))</f>
        <v/>
      </c>
      <c r="L2199" s="16" t="str">
        <f aca="false">IF(B2199="","",IF(N2199=_xlfn.MAXIFS($N$2:$N$5001,$B$2:$B$5001,B2199,$I$2:$I$5001,I2199),1,0))</f>
        <v/>
      </c>
      <c r="M2199" s="16" t="str">
        <f aca="false">IF(B2199="","",IF(E2199="Em ajustes",IF(N2199=_xlfn.MINIFS($N$2:$N$5001,$B$2:$B$5001,B2199,$E$2:$E$5001,"Em ajustes"),1,0),0))</f>
        <v/>
      </c>
      <c r="N2199" s="17" t="str">
        <f aca="false">IF(A2199="","",IF(ISNUMBER(A2199),A2199,IFERROR(DATE(VALUE(MID(A2199,7,4)),VALUE(MID(A2199,4,2)),VALUE(MID(A2199,1,2)))+TIME(VALUE(MID(A2199,12,2)),VALUE(MID(A2199,15,2)),VALUE(MID(A2199,18,2))),"")))</f>
        <v/>
      </c>
    </row>
    <row r="2200" customFormat="false" ht="15" hidden="false" customHeight="false" outlineLevel="0" collapsed="false">
      <c r="I2200" s="15" t="str">
        <f aca="false">IF(N2200="","",INT(N2200))</f>
        <v/>
      </c>
      <c r="J2200" s="16" t="str">
        <f aca="false">IF(B2200="","",IF(N2200=_xlfn.MINIFS($N$2:$N$5001,$B$2:$B$5001,B2200),1,0))</f>
        <v/>
      </c>
      <c r="K2200" s="16" t="str">
        <f aca="false">IF(B2200="","",IF(AND(D2200="Formalização",E2200="Concluído"),IF(COUNTIFS($B$2:$B$5001,B2200,$E$2:$E$5001,"Em ajustes",$N$2:$N$5001,"&lt;"&amp;I2200)&gt;0,1,0),0))</f>
        <v/>
      </c>
      <c r="L2200" s="16" t="str">
        <f aca="false">IF(B2200="","",IF(N2200=_xlfn.MAXIFS($N$2:$N$5001,$B$2:$B$5001,B2200,$I$2:$I$5001,I2200),1,0))</f>
        <v/>
      </c>
      <c r="M2200" s="16" t="str">
        <f aca="false">IF(B2200="","",IF(E2200="Em ajustes",IF(N2200=_xlfn.MINIFS($N$2:$N$5001,$B$2:$B$5001,B2200,$E$2:$E$5001,"Em ajustes"),1,0),0))</f>
        <v/>
      </c>
      <c r="N2200" s="17" t="str">
        <f aca="false">IF(A2200="","",IF(ISNUMBER(A2200),A2200,IFERROR(DATE(VALUE(MID(A2200,7,4)),VALUE(MID(A2200,4,2)),VALUE(MID(A2200,1,2)))+TIME(VALUE(MID(A2200,12,2)),VALUE(MID(A2200,15,2)),VALUE(MID(A2200,18,2))),"")))</f>
        <v/>
      </c>
    </row>
    <row r="2201" customFormat="false" ht="15" hidden="false" customHeight="false" outlineLevel="0" collapsed="false">
      <c r="I2201" s="15" t="str">
        <f aca="false">IF(N2201="","",INT(N2201))</f>
        <v/>
      </c>
      <c r="J2201" s="16" t="str">
        <f aca="false">IF(B2201="","",IF(N2201=_xlfn.MINIFS($N$2:$N$5001,$B$2:$B$5001,B2201),1,0))</f>
        <v/>
      </c>
      <c r="K2201" s="16" t="str">
        <f aca="false">IF(B2201="","",IF(AND(D2201="Formalização",E2201="Concluído"),IF(COUNTIFS($B$2:$B$5001,B2201,$E$2:$E$5001,"Em ajustes",$N$2:$N$5001,"&lt;"&amp;I2201)&gt;0,1,0),0))</f>
        <v/>
      </c>
      <c r="L2201" s="16" t="str">
        <f aca="false">IF(B2201="","",IF(N2201=_xlfn.MAXIFS($N$2:$N$5001,$B$2:$B$5001,B2201,$I$2:$I$5001,I2201),1,0))</f>
        <v/>
      </c>
      <c r="M2201" s="16" t="str">
        <f aca="false">IF(B2201="","",IF(E2201="Em ajustes",IF(N2201=_xlfn.MINIFS($N$2:$N$5001,$B$2:$B$5001,B2201,$E$2:$E$5001,"Em ajustes"),1,0),0))</f>
        <v/>
      </c>
      <c r="N2201" s="17" t="str">
        <f aca="false">IF(A2201="","",IF(ISNUMBER(A2201),A2201,IFERROR(DATE(VALUE(MID(A2201,7,4)),VALUE(MID(A2201,4,2)),VALUE(MID(A2201,1,2)))+TIME(VALUE(MID(A2201,12,2)),VALUE(MID(A2201,15,2)),VALUE(MID(A2201,18,2))),"")))</f>
        <v/>
      </c>
    </row>
    <row r="2202" customFormat="false" ht="15" hidden="false" customHeight="false" outlineLevel="0" collapsed="false">
      <c r="I2202" s="15" t="str">
        <f aca="false">IF(N2202="","",INT(N2202))</f>
        <v/>
      </c>
      <c r="J2202" s="16" t="str">
        <f aca="false">IF(B2202="","",IF(N2202=_xlfn.MINIFS($N$2:$N$5001,$B$2:$B$5001,B2202),1,0))</f>
        <v/>
      </c>
      <c r="K2202" s="16" t="str">
        <f aca="false">IF(B2202="","",IF(AND(D2202="Formalização",E2202="Concluído"),IF(COUNTIFS($B$2:$B$5001,B2202,$E$2:$E$5001,"Em ajustes",$N$2:$N$5001,"&lt;"&amp;I2202)&gt;0,1,0),0))</f>
        <v/>
      </c>
      <c r="L2202" s="16" t="str">
        <f aca="false">IF(B2202="","",IF(N2202=_xlfn.MAXIFS($N$2:$N$5001,$B$2:$B$5001,B2202,$I$2:$I$5001,I2202),1,0))</f>
        <v/>
      </c>
      <c r="M2202" s="16" t="str">
        <f aca="false">IF(B2202="","",IF(E2202="Em ajustes",IF(N2202=_xlfn.MINIFS($N$2:$N$5001,$B$2:$B$5001,B2202,$E$2:$E$5001,"Em ajustes"),1,0),0))</f>
        <v/>
      </c>
      <c r="N2202" s="17" t="str">
        <f aca="false">IF(A2202="","",IF(ISNUMBER(A2202),A2202,IFERROR(DATE(VALUE(MID(A2202,7,4)),VALUE(MID(A2202,4,2)),VALUE(MID(A2202,1,2)))+TIME(VALUE(MID(A2202,12,2)),VALUE(MID(A2202,15,2)),VALUE(MID(A2202,18,2))),"")))</f>
        <v/>
      </c>
    </row>
    <row r="2203" customFormat="false" ht="15" hidden="false" customHeight="false" outlineLevel="0" collapsed="false">
      <c r="I2203" s="15" t="str">
        <f aca="false">IF(N2203="","",INT(N2203))</f>
        <v/>
      </c>
      <c r="J2203" s="16" t="str">
        <f aca="false">IF(B2203="","",IF(N2203=_xlfn.MINIFS($N$2:$N$5001,$B$2:$B$5001,B2203),1,0))</f>
        <v/>
      </c>
      <c r="K2203" s="16" t="str">
        <f aca="false">IF(B2203="","",IF(AND(D2203="Formalização",E2203="Concluído"),IF(COUNTIFS($B$2:$B$5001,B2203,$E$2:$E$5001,"Em ajustes",$N$2:$N$5001,"&lt;"&amp;I2203)&gt;0,1,0),0))</f>
        <v/>
      </c>
      <c r="L2203" s="16" t="str">
        <f aca="false">IF(B2203="","",IF(N2203=_xlfn.MAXIFS($N$2:$N$5001,$B$2:$B$5001,B2203,$I$2:$I$5001,I2203),1,0))</f>
        <v/>
      </c>
      <c r="M2203" s="16" t="str">
        <f aca="false">IF(B2203="","",IF(E2203="Em ajustes",IF(N2203=_xlfn.MINIFS($N$2:$N$5001,$B$2:$B$5001,B2203,$E$2:$E$5001,"Em ajustes"),1,0),0))</f>
        <v/>
      </c>
      <c r="N2203" s="17" t="str">
        <f aca="false">IF(A2203="","",IF(ISNUMBER(A2203),A2203,IFERROR(DATE(VALUE(MID(A2203,7,4)),VALUE(MID(A2203,4,2)),VALUE(MID(A2203,1,2)))+TIME(VALUE(MID(A2203,12,2)),VALUE(MID(A2203,15,2)),VALUE(MID(A2203,18,2))),"")))</f>
        <v/>
      </c>
    </row>
    <row r="2204" customFormat="false" ht="15" hidden="false" customHeight="false" outlineLevel="0" collapsed="false">
      <c r="I2204" s="15" t="str">
        <f aca="false">IF(N2204="","",INT(N2204))</f>
        <v/>
      </c>
      <c r="J2204" s="16" t="str">
        <f aca="false">IF(B2204="","",IF(N2204=_xlfn.MINIFS($N$2:$N$5001,$B$2:$B$5001,B2204),1,0))</f>
        <v/>
      </c>
      <c r="K2204" s="16" t="str">
        <f aca="false">IF(B2204="","",IF(AND(D2204="Formalização",E2204="Concluído"),IF(COUNTIFS($B$2:$B$5001,B2204,$E$2:$E$5001,"Em ajustes",$N$2:$N$5001,"&lt;"&amp;I2204)&gt;0,1,0),0))</f>
        <v/>
      </c>
      <c r="L2204" s="16" t="str">
        <f aca="false">IF(B2204="","",IF(N2204=_xlfn.MAXIFS($N$2:$N$5001,$B$2:$B$5001,B2204,$I$2:$I$5001,I2204),1,0))</f>
        <v/>
      </c>
      <c r="M2204" s="16" t="str">
        <f aca="false">IF(B2204="","",IF(E2204="Em ajustes",IF(N2204=_xlfn.MINIFS($N$2:$N$5001,$B$2:$B$5001,B2204,$E$2:$E$5001,"Em ajustes"),1,0),0))</f>
        <v/>
      </c>
      <c r="N2204" s="17" t="str">
        <f aca="false">IF(A2204="","",IF(ISNUMBER(A2204),A2204,IFERROR(DATE(VALUE(MID(A2204,7,4)),VALUE(MID(A2204,4,2)),VALUE(MID(A2204,1,2)))+TIME(VALUE(MID(A2204,12,2)),VALUE(MID(A2204,15,2)),VALUE(MID(A2204,18,2))),"")))</f>
        <v/>
      </c>
    </row>
    <row r="2205" customFormat="false" ht="15" hidden="false" customHeight="false" outlineLevel="0" collapsed="false">
      <c r="I2205" s="15" t="str">
        <f aca="false">IF(N2205="","",INT(N2205))</f>
        <v/>
      </c>
      <c r="J2205" s="16" t="str">
        <f aca="false">IF(B2205="","",IF(N2205=_xlfn.MINIFS($N$2:$N$5001,$B$2:$B$5001,B2205),1,0))</f>
        <v/>
      </c>
      <c r="K2205" s="16" t="str">
        <f aca="false">IF(B2205="","",IF(AND(D2205="Formalização",E2205="Concluído"),IF(COUNTIFS($B$2:$B$5001,B2205,$E$2:$E$5001,"Em ajustes",$N$2:$N$5001,"&lt;"&amp;I2205)&gt;0,1,0),0))</f>
        <v/>
      </c>
      <c r="L2205" s="16" t="str">
        <f aca="false">IF(B2205="","",IF(N2205=_xlfn.MAXIFS($N$2:$N$5001,$B$2:$B$5001,B2205,$I$2:$I$5001,I2205),1,0))</f>
        <v/>
      </c>
      <c r="M2205" s="16" t="str">
        <f aca="false">IF(B2205="","",IF(E2205="Em ajustes",IF(N2205=_xlfn.MINIFS($N$2:$N$5001,$B$2:$B$5001,B2205,$E$2:$E$5001,"Em ajustes"),1,0),0))</f>
        <v/>
      </c>
      <c r="N2205" s="17" t="str">
        <f aca="false">IF(A2205="","",IF(ISNUMBER(A2205),A2205,IFERROR(DATE(VALUE(MID(A2205,7,4)),VALUE(MID(A2205,4,2)),VALUE(MID(A2205,1,2)))+TIME(VALUE(MID(A2205,12,2)),VALUE(MID(A2205,15,2)),VALUE(MID(A2205,18,2))),"")))</f>
        <v/>
      </c>
    </row>
    <row r="2206" customFormat="false" ht="15" hidden="false" customHeight="false" outlineLevel="0" collapsed="false">
      <c r="I2206" s="15" t="str">
        <f aca="false">IF(N2206="","",INT(N2206))</f>
        <v/>
      </c>
      <c r="J2206" s="16" t="str">
        <f aca="false">IF(B2206="","",IF(N2206=_xlfn.MINIFS($N$2:$N$5001,$B$2:$B$5001,B2206),1,0))</f>
        <v/>
      </c>
      <c r="K2206" s="16" t="str">
        <f aca="false">IF(B2206="","",IF(AND(D2206="Formalização",E2206="Concluído"),IF(COUNTIFS($B$2:$B$5001,B2206,$E$2:$E$5001,"Em ajustes",$N$2:$N$5001,"&lt;"&amp;I2206)&gt;0,1,0),0))</f>
        <v/>
      </c>
      <c r="L2206" s="16" t="str">
        <f aca="false">IF(B2206="","",IF(N2206=_xlfn.MAXIFS($N$2:$N$5001,$B$2:$B$5001,B2206,$I$2:$I$5001,I2206),1,0))</f>
        <v/>
      </c>
      <c r="M2206" s="16" t="str">
        <f aca="false">IF(B2206="","",IF(E2206="Em ajustes",IF(N2206=_xlfn.MINIFS($N$2:$N$5001,$B$2:$B$5001,B2206,$E$2:$E$5001,"Em ajustes"),1,0),0))</f>
        <v/>
      </c>
      <c r="N2206" s="17" t="str">
        <f aca="false">IF(A2206="","",IF(ISNUMBER(A2206),A2206,IFERROR(DATE(VALUE(MID(A2206,7,4)),VALUE(MID(A2206,4,2)),VALUE(MID(A2206,1,2)))+TIME(VALUE(MID(A2206,12,2)),VALUE(MID(A2206,15,2)),VALUE(MID(A2206,18,2))),"")))</f>
        <v/>
      </c>
    </row>
    <row r="2207" customFormat="false" ht="15" hidden="false" customHeight="false" outlineLevel="0" collapsed="false">
      <c r="I2207" s="15" t="str">
        <f aca="false">IF(N2207="","",INT(N2207))</f>
        <v/>
      </c>
      <c r="J2207" s="16" t="str">
        <f aca="false">IF(B2207="","",IF(N2207=_xlfn.MINIFS($N$2:$N$5001,$B$2:$B$5001,B2207),1,0))</f>
        <v/>
      </c>
      <c r="K2207" s="16" t="str">
        <f aca="false">IF(B2207="","",IF(AND(D2207="Formalização",E2207="Concluído"),IF(COUNTIFS($B$2:$B$5001,B2207,$E$2:$E$5001,"Em ajustes",$N$2:$N$5001,"&lt;"&amp;I2207)&gt;0,1,0),0))</f>
        <v/>
      </c>
      <c r="L2207" s="16" t="str">
        <f aca="false">IF(B2207="","",IF(N2207=_xlfn.MAXIFS($N$2:$N$5001,$B$2:$B$5001,B2207,$I$2:$I$5001,I2207),1,0))</f>
        <v/>
      </c>
      <c r="M2207" s="16" t="str">
        <f aca="false">IF(B2207="","",IF(E2207="Em ajustes",IF(N2207=_xlfn.MINIFS($N$2:$N$5001,$B$2:$B$5001,B2207,$E$2:$E$5001,"Em ajustes"),1,0),0))</f>
        <v/>
      </c>
      <c r="N2207" s="17" t="str">
        <f aca="false">IF(A2207="","",IF(ISNUMBER(A2207),A2207,IFERROR(DATE(VALUE(MID(A2207,7,4)),VALUE(MID(A2207,4,2)),VALUE(MID(A2207,1,2)))+TIME(VALUE(MID(A2207,12,2)),VALUE(MID(A2207,15,2)),VALUE(MID(A2207,18,2))),"")))</f>
        <v/>
      </c>
    </row>
    <row r="2208" customFormat="false" ht="15" hidden="false" customHeight="false" outlineLevel="0" collapsed="false">
      <c r="I2208" s="15" t="str">
        <f aca="false">IF(N2208="","",INT(N2208))</f>
        <v/>
      </c>
      <c r="J2208" s="16" t="str">
        <f aca="false">IF(B2208="","",IF(N2208=_xlfn.MINIFS($N$2:$N$5001,$B$2:$B$5001,B2208),1,0))</f>
        <v/>
      </c>
      <c r="K2208" s="16" t="str">
        <f aca="false">IF(B2208="","",IF(AND(D2208="Formalização",E2208="Concluído"),IF(COUNTIFS($B$2:$B$5001,B2208,$E$2:$E$5001,"Em ajustes",$N$2:$N$5001,"&lt;"&amp;I2208)&gt;0,1,0),0))</f>
        <v/>
      </c>
      <c r="L2208" s="16" t="str">
        <f aca="false">IF(B2208="","",IF(N2208=_xlfn.MAXIFS($N$2:$N$5001,$B$2:$B$5001,B2208,$I$2:$I$5001,I2208),1,0))</f>
        <v/>
      </c>
      <c r="M2208" s="16" t="str">
        <f aca="false">IF(B2208="","",IF(E2208="Em ajustes",IF(N2208=_xlfn.MINIFS($N$2:$N$5001,$B$2:$B$5001,B2208,$E$2:$E$5001,"Em ajustes"),1,0),0))</f>
        <v/>
      </c>
      <c r="N2208" s="17" t="str">
        <f aca="false">IF(A2208="","",IF(ISNUMBER(A2208),A2208,IFERROR(DATE(VALUE(MID(A2208,7,4)),VALUE(MID(A2208,4,2)),VALUE(MID(A2208,1,2)))+TIME(VALUE(MID(A2208,12,2)),VALUE(MID(A2208,15,2)),VALUE(MID(A2208,18,2))),"")))</f>
        <v/>
      </c>
    </row>
    <row r="2209" customFormat="false" ht="15" hidden="false" customHeight="false" outlineLevel="0" collapsed="false">
      <c r="I2209" s="15" t="str">
        <f aca="false">IF(N2209="","",INT(N2209))</f>
        <v/>
      </c>
      <c r="J2209" s="16" t="str">
        <f aca="false">IF(B2209="","",IF(N2209=_xlfn.MINIFS($N$2:$N$5001,$B$2:$B$5001,B2209),1,0))</f>
        <v/>
      </c>
      <c r="K2209" s="16" t="str">
        <f aca="false">IF(B2209="","",IF(AND(D2209="Formalização",E2209="Concluído"),IF(COUNTIFS($B$2:$B$5001,B2209,$E$2:$E$5001,"Em ajustes",$N$2:$N$5001,"&lt;"&amp;I2209)&gt;0,1,0),0))</f>
        <v/>
      </c>
      <c r="L2209" s="16" t="str">
        <f aca="false">IF(B2209="","",IF(N2209=_xlfn.MAXIFS($N$2:$N$5001,$B$2:$B$5001,B2209,$I$2:$I$5001,I2209),1,0))</f>
        <v/>
      </c>
      <c r="M2209" s="16" t="str">
        <f aca="false">IF(B2209="","",IF(E2209="Em ajustes",IF(N2209=_xlfn.MINIFS($N$2:$N$5001,$B$2:$B$5001,B2209,$E$2:$E$5001,"Em ajustes"),1,0),0))</f>
        <v/>
      </c>
      <c r="N2209" s="17" t="str">
        <f aca="false">IF(A2209="","",IF(ISNUMBER(A2209),A2209,IFERROR(DATE(VALUE(MID(A2209,7,4)),VALUE(MID(A2209,4,2)),VALUE(MID(A2209,1,2)))+TIME(VALUE(MID(A2209,12,2)),VALUE(MID(A2209,15,2)),VALUE(MID(A2209,18,2))),"")))</f>
        <v/>
      </c>
    </row>
    <row r="2210" customFormat="false" ht="15" hidden="false" customHeight="false" outlineLevel="0" collapsed="false">
      <c r="I2210" s="15" t="str">
        <f aca="false">IF(N2210="","",INT(N2210))</f>
        <v/>
      </c>
      <c r="J2210" s="16" t="str">
        <f aca="false">IF(B2210="","",IF(N2210=_xlfn.MINIFS($N$2:$N$5001,$B$2:$B$5001,B2210),1,0))</f>
        <v/>
      </c>
      <c r="K2210" s="16" t="str">
        <f aca="false">IF(B2210="","",IF(AND(D2210="Formalização",E2210="Concluído"),IF(COUNTIFS($B$2:$B$5001,B2210,$E$2:$E$5001,"Em ajustes",$N$2:$N$5001,"&lt;"&amp;I2210)&gt;0,1,0),0))</f>
        <v/>
      </c>
      <c r="L2210" s="16" t="str">
        <f aca="false">IF(B2210="","",IF(N2210=_xlfn.MAXIFS($N$2:$N$5001,$B$2:$B$5001,B2210,$I$2:$I$5001,I2210),1,0))</f>
        <v/>
      </c>
      <c r="M2210" s="16" t="str">
        <f aca="false">IF(B2210="","",IF(E2210="Em ajustes",IF(N2210=_xlfn.MINIFS($N$2:$N$5001,$B$2:$B$5001,B2210,$E$2:$E$5001,"Em ajustes"),1,0),0))</f>
        <v/>
      </c>
      <c r="N2210" s="17" t="str">
        <f aca="false">IF(A2210="","",IF(ISNUMBER(A2210),A2210,IFERROR(DATE(VALUE(MID(A2210,7,4)),VALUE(MID(A2210,4,2)),VALUE(MID(A2210,1,2)))+TIME(VALUE(MID(A2210,12,2)),VALUE(MID(A2210,15,2)),VALUE(MID(A2210,18,2))),"")))</f>
        <v/>
      </c>
    </row>
    <row r="2211" customFormat="false" ht="15" hidden="false" customHeight="false" outlineLevel="0" collapsed="false">
      <c r="I2211" s="15" t="str">
        <f aca="false">IF(N2211="","",INT(N2211))</f>
        <v/>
      </c>
      <c r="J2211" s="16" t="str">
        <f aca="false">IF(B2211="","",IF(N2211=_xlfn.MINIFS($N$2:$N$5001,$B$2:$B$5001,B2211),1,0))</f>
        <v/>
      </c>
      <c r="K2211" s="16" t="str">
        <f aca="false">IF(B2211="","",IF(AND(D2211="Formalização",E2211="Concluído"),IF(COUNTIFS($B$2:$B$5001,B2211,$E$2:$E$5001,"Em ajustes",$N$2:$N$5001,"&lt;"&amp;I2211)&gt;0,1,0),0))</f>
        <v/>
      </c>
      <c r="L2211" s="16" t="str">
        <f aca="false">IF(B2211="","",IF(N2211=_xlfn.MAXIFS($N$2:$N$5001,$B$2:$B$5001,B2211,$I$2:$I$5001,I2211),1,0))</f>
        <v/>
      </c>
      <c r="M2211" s="16" t="str">
        <f aca="false">IF(B2211="","",IF(E2211="Em ajustes",IF(N2211=_xlfn.MINIFS($N$2:$N$5001,$B$2:$B$5001,B2211,$E$2:$E$5001,"Em ajustes"),1,0),0))</f>
        <v/>
      </c>
      <c r="N2211" s="17" t="str">
        <f aca="false">IF(A2211="","",IF(ISNUMBER(A2211),A2211,IFERROR(DATE(VALUE(MID(A2211,7,4)),VALUE(MID(A2211,4,2)),VALUE(MID(A2211,1,2)))+TIME(VALUE(MID(A2211,12,2)),VALUE(MID(A2211,15,2)),VALUE(MID(A2211,18,2))),"")))</f>
        <v/>
      </c>
    </row>
    <row r="2212" customFormat="false" ht="15" hidden="false" customHeight="false" outlineLevel="0" collapsed="false">
      <c r="I2212" s="15" t="str">
        <f aca="false">IF(N2212="","",INT(N2212))</f>
        <v/>
      </c>
      <c r="J2212" s="16" t="str">
        <f aca="false">IF(B2212="","",IF(N2212=_xlfn.MINIFS($N$2:$N$5001,$B$2:$B$5001,B2212),1,0))</f>
        <v/>
      </c>
      <c r="K2212" s="16" t="str">
        <f aca="false">IF(B2212="","",IF(AND(D2212="Formalização",E2212="Concluído"),IF(COUNTIFS($B$2:$B$5001,B2212,$E$2:$E$5001,"Em ajustes",$N$2:$N$5001,"&lt;"&amp;I2212)&gt;0,1,0),0))</f>
        <v/>
      </c>
      <c r="L2212" s="16" t="str">
        <f aca="false">IF(B2212="","",IF(N2212=_xlfn.MAXIFS($N$2:$N$5001,$B$2:$B$5001,B2212,$I$2:$I$5001,I2212),1,0))</f>
        <v/>
      </c>
      <c r="M2212" s="16" t="str">
        <f aca="false">IF(B2212="","",IF(E2212="Em ajustes",IF(N2212=_xlfn.MINIFS($N$2:$N$5001,$B$2:$B$5001,B2212,$E$2:$E$5001,"Em ajustes"),1,0),0))</f>
        <v/>
      </c>
      <c r="N2212" s="17" t="str">
        <f aca="false">IF(A2212="","",IF(ISNUMBER(A2212),A2212,IFERROR(DATE(VALUE(MID(A2212,7,4)),VALUE(MID(A2212,4,2)),VALUE(MID(A2212,1,2)))+TIME(VALUE(MID(A2212,12,2)),VALUE(MID(A2212,15,2)),VALUE(MID(A2212,18,2))),"")))</f>
        <v/>
      </c>
    </row>
    <row r="2213" customFormat="false" ht="15" hidden="false" customHeight="false" outlineLevel="0" collapsed="false">
      <c r="I2213" s="15" t="str">
        <f aca="false">IF(N2213="","",INT(N2213))</f>
        <v/>
      </c>
      <c r="J2213" s="16" t="str">
        <f aca="false">IF(B2213="","",IF(N2213=_xlfn.MINIFS($N$2:$N$5001,$B$2:$B$5001,B2213),1,0))</f>
        <v/>
      </c>
      <c r="K2213" s="16" t="str">
        <f aca="false">IF(B2213="","",IF(AND(D2213="Formalização",E2213="Concluído"),IF(COUNTIFS($B$2:$B$5001,B2213,$E$2:$E$5001,"Em ajustes",$N$2:$N$5001,"&lt;"&amp;I2213)&gt;0,1,0),0))</f>
        <v/>
      </c>
      <c r="L2213" s="16" t="str">
        <f aca="false">IF(B2213="","",IF(N2213=_xlfn.MAXIFS($N$2:$N$5001,$B$2:$B$5001,B2213,$I$2:$I$5001,I2213),1,0))</f>
        <v/>
      </c>
      <c r="M2213" s="16" t="str">
        <f aca="false">IF(B2213="","",IF(E2213="Em ajustes",IF(N2213=_xlfn.MINIFS($N$2:$N$5001,$B$2:$B$5001,B2213,$E$2:$E$5001,"Em ajustes"),1,0),0))</f>
        <v/>
      </c>
      <c r="N2213" s="17" t="str">
        <f aca="false">IF(A2213="","",IF(ISNUMBER(A2213),A2213,IFERROR(DATE(VALUE(MID(A2213,7,4)),VALUE(MID(A2213,4,2)),VALUE(MID(A2213,1,2)))+TIME(VALUE(MID(A2213,12,2)),VALUE(MID(A2213,15,2)),VALUE(MID(A2213,18,2))),"")))</f>
        <v/>
      </c>
    </row>
    <row r="2214" customFormat="false" ht="15" hidden="false" customHeight="false" outlineLevel="0" collapsed="false">
      <c r="I2214" s="15" t="str">
        <f aca="false">IF(N2214="","",INT(N2214))</f>
        <v/>
      </c>
      <c r="J2214" s="16" t="str">
        <f aca="false">IF(B2214="","",IF(N2214=_xlfn.MINIFS($N$2:$N$5001,$B$2:$B$5001,B2214),1,0))</f>
        <v/>
      </c>
      <c r="K2214" s="16" t="str">
        <f aca="false">IF(B2214="","",IF(AND(D2214="Formalização",E2214="Concluído"),IF(COUNTIFS($B$2:$B$5001,B2214,$E$2:$E$5001,"Em ajustes",$N$2:$N$5001,"&lt;"&amp;I2214)&gt;0,1,0),0))</f>
        <v/>
      </c>
      <c r="L2214" s="16" t="str">
        <f aca="false">IF(B2214="","",IF(N2214=_xlfn.MAXIFS($N$2:$N$5001,$B$2:$B$5001,B2214,$I$2:$I$5001,I2214),1,0))</f>
        <v/>
      </c>
      <c r="M2214" s="16" t="str">
        <f aca="false">IF(B2214="","",IF(E2214="Em ajustes",IF(N2214=_xlfn.MINIFS($N$2:$N$5001,$B$2:$B$5001,B2214,$E$2:$E$5001,"Em ajustes"),1,0),0))</f>
        <v/>
      </c>
      <c r="N2214" s="17" t="str">
        <f aca="false">IF(A2214="","",IF(ISNUMBER(A2214),A2214,IFERROR(DATE(VALUE(MID(A2214,7,4)),VALUE(MID(A2214,4,2)),VALUE(MID(A2214,1,2)))+TIME(VALUE(MID(A2214,12,2)),VALUE(MID(A2214,15,2)),VALUE(MID(A2214,18,2))),"")))</f>
        <v/>
      </c>
    </row>
    <row r="2215" customFormat="false" ht="15" hidden="false" customHeight="false" outlineLevel="0" collapsed="false">
      <c r="I2215" s="15" t="str">
        <f aca="false">IF(N2215="","",INT(N2215))</f>
        <v/>
      </c>
      <c r="J2215" s="16" t="str">
        <f aca="false">IF(B2215="","",IF(N2215=_xlfn.MINIFS($N$2:$N$5001,$B$2:$B$5001,B2215),1,0))</f>
        <v/>
      </c>
      <c r="K2215" s="16" t="str">
        <f aca="false">IF(B2215="","",IF(AND(D2215="Formalização",E2215="Concluído"),IF(COUNTIFS($B$2:$B$5001,B2215,$E$2:$E$5001,"Em ajustes",$N$2:$N$5001,"&lt;"&amp;I2215)&gt;0,1,0),0))</f>
        <v/>
      </c>
      <c r="L2215" s="16" t="str">
        <f aca="false">IF(B2215="","",IF(N2215=_xlfn.MAXIFS($N$2:$N$5001,$B$2:$B$5001,B2215,$I$2:$I$5001,I2215),1,0))</f>
        <v/>
      </c>
      <c r="M2215" s="16" t="str">
        <f aca="false">IF(B2215="","",IF(E2215="Em ajustes",IF(N2215=_xlfn.MINIFS($N$2:$N$5001,$B$2:$B$5001,B2215,$E$2:$E$5001,"Em ajustes"),1,0),0))</f>
        <v/>
      </c>
      <c r="N2215" s="17" t="str">
        <f aca="false">IF(A2215="","",IF(ISNUMBER(A2215),A2215,IFERROR(DATE(VALUE(MID(A2215,7,4)),VALUE(MID(A2215,4,2)),VALUE(MID(A2215,1,2)))+TIME(VALUE(MID(A2215,12,2)),VALUE(MID(A2215,15,2)),VALUE(MID(A2215,18,2))),"")))</f>
        <v/>
      </c>
    </row>
    <row r="2216" customFormat="false" ht="15" hidden="false" customHeight="false" outlineLevel="0" collapsed="false">
      <c r="I2216" s="15" t="str">
        <f aca="false">IF(N2216="","",INT(N2216))</f>
        <v/>
      </c>
      <c r="J2216" s="16" t="str">
        <f aca="false">IF(B2216="","",IF(N2216=_xlfn.MINIFS($N$2:$N$5001,$B$2:$B$5001,B2216),1,0))</f>
        <v/>
      </c>
      <c r="K2216" s="16" t="str">
        <f aca="false">IF(B2216="","",IF(AND(D2216="Formalização",E2216="Concluído"),IF(COUNTIFS($B$2:$B$5001,B2216,$E$2:$E$5001,"Em ajustes",$N$2:$N$5001,"&lt;"&amp;I2216)&gt;0,1,0),0))</f>
        <v/>
      </c>
      <c r="L2216" s="16" t="str">
        <f aca="false">IF(B2216="","",IF(N2216=_xlfn.MAXIFS($N$2:$N$5001,$B$2:$B$5001,B2216,$I$2:$I$5001,I2216),1,0))</f>
        <v/>
      </c>
      <c r="M2216" s="16" t="str">
        <f aca="false">IF(B2216="","",IF(E2216="Em ajustes",IF(N2216=_xlfn.MINIFS($N$2:$N$5001,$B$2:$B$5001,B2216,$E$2:$E$5001,"Em ajustes"),1,0),0))</f>
        <v/>
      </c>
      <c r="N2216" s="17" t="str">
        <f aca="false">IF(A2216="","",IF(ISNUMBER(A2216),A2216,IFERROR(DATE(VALUE(MID(A2216,7,4)),VALUE(MID(A2216,4,2)),VALUE(MID(A2216,1,2)))+TIME(VALUE(MID(A2216,12,2)),VALUE(MID(A2216,15,2)),VALUE(MID(A2216,18,2))),"")))</f>
        <v/>
      </c>
    </row>
    <row r="2217" customFormat="false" ht="15" hidden="false" customHeight="false" outlineLevel="0" collapsed="false">
      <c r="I2217" s="15" t="str">
        <f aca="false">IF(N2217="","",INT(N2217))</f>
        <v/>
      </c>
      <c r="J2217" s="16" t="str">
        <f aca="false">IF(B2217="","",IF(N2217=_xlfn.MINIFS($N$2:$N$5001,$B$2:$B$5001,B2217),1,0))</f>
        <v/>
      </c>
      <c r="K2217" s="16" t="str">
        <f aca="false">IF(B2217="","",IF(AND(D2217="Formalização",E2217="Concluído"),IF(COUNTIFS($B$2:$B$5001,B2217,$E$2:$E$5001,"Em ajustes",$N$2:$N$5001,"&lt;"&amp;I2217)&gt;0,1,0),0))</f>
        <v/>
      </c>
      <c r="L2217" s="16" t="str">
        <f aca="false">IF(B2217="","",IF(N2217=_xlfn.MAXIFS($N$2:$N$5001,$B$2:$B$5001,B2217,$I$2:$I$5001,I2217),1,0))</f>
        <v/>
      </c>
      <c r="M2217" s="16" t="str">
        <f aca="false">IF(B2217="","",IF(E2217="Em ajustes",IF(N2217=_xlfn.MINIFS($N$2:$N$5001,$B$2:$B$5001,B2217,$E$2:$E$5001,"Em ajustes"),1,0),0))</f>
        <v/>
      </c>
      <c r="N2217" s="17" t="str">
        <f aca="false">IF(A2217="","",IF(ISNUMBER(A2217),A2217,IFERROR(DATE(VALUE(MID(A2217,7,4)),VALUE(MID(A2217,4,2)),VALUE(MID(A2217,1,2)))+TIME(VALUE(MID(A2217,12,2)),VALUE(MID(A2217,15,2)),VALUE(MID(A2217,18,2))),"")))</f>
        <v/>
      </c>
    </row>
    <row r="2218" customFormat="false" ht="15" hidden="false" customHeight="false" outlineLevel="0" collapsed="false">
      <c r="I2218" s="15" t="str">
        <f aca="false">IF(N2218="","",INT(N2218))</f>
        <v/>
      </c>
      <c r="J2218" s="16" t="str">
        <f aca="false">IF(B2218="","",IF(N2218=_xlfn.MINIFS($N$2:$N$5001,$B$2:$B$5001,B2218),1,0))</f>
        <v/>
      </c>
      <c r="K2218" s="16" t="str">
        <f aca="false">IF(B2218="","",IF(AND(D2218="Formalização",E2218="Concluído"),IF(COUNTIFS($B$2:$B$5001,B2218,$E$2:$E$5001,"Em ajustes",$N$2:$N$5001,"&lt;"&amp;I2218)&gt;0,1,0),0))</f>
        <v/>
      </c>
      <c r="L2218" s="16" t="str">
        <f aca="false">IF(B2218="","",IF(N2218=_xlfn.MAXIFS($N$2:$N$5001,$B$2:$B$5001,B2218,$I$2:$I$5001,I2218),1,0))</f>
        <v/>
      </c>
      <c r="M2218" s="16" t="str">
        <f aca="false">IF(B2218="","",IF(E2218="Em ajustes",IF(N2218=_xlfn.MINIFS($N$2:$N$5001,$B$2:$B$5001,B2218,$E$2:$E$5001,"Em ajustes"),1,0),0))</f>
        <v/>
      </c>
      <c r="N2218" s="17" t="str">
        <f aca="false">IF(A2218="","",IF(ISNUMBER(A2218),A2218,IFERROR(DATE(VALUE(MID(A2218,7,4)),VALUE(MID(A2218,4,2)),VALUE(MID(A2218,1,2)))+TIME(VALUE(MID(A2218,12,2)),VALUE(MID(A2218,15,2)),VALUE(MID(A2218,18,2))),"")))</f>
        <v/>
      </c>
    </row>
    <row r="2219" customFormat="false" ht="15" hidden="false" customHeight="false" outlineLevel="0" collapsed="false">
      <c r="I2219" s="15" t="str">
        <f aca="false">IF(N2219="","",INT(N2219))</f>
        <v/>
      </c>
      <c r="J2219" s="16" t="str">
        <f aca="false">IF(B2219="","",IF(N2219=_xlfn.MINIFS($N$2:$N$5001,$B$2:$B$5001,B2219),1,0))</f>
        <v/>
      </c>
      <c r="K2219" s="16" t="str">
        <f aca="false">IF(B2219="","",IF(AND(D2219="Formalização",E2219="Concluído"),IF(COUNTIFS($B$2:$B$5001,B2219,$E$2:$E$5001,"Em ajustes",$N$2:$N$5001,"&lt;"&amp;I2219)&gt;0,1,0),0))</f>
        <v/>
      </c>
      <c r="L2219" s="16" t="str">
        <f aca="false">IF(B2219="","",IF(N2219=_xlfn.MAXIFS($N$2:$N$5001,$B$2:$B$5001,B2219,$I$2:$I$5001,I2219),1,0))</f>
        <v/>
      </c>
      <c r="M2219" s="16" t="str">
        <f aca="false">IF(B2219="","",IF(E2219="Em ajustes",IF(N2219=_xlfn.MINIFS($N$2:$N$5001,$B$2:$B$5001,B2219,$E$2:$E$5001,"Em ajustes"),1,0),0))</f>
        <v/>
      </c>
      <c r="N2219" s="17" t="str">
        <f aca="false">IF(A2219="","",IF(ISNUMBER(A2219),A2219,IFERROR(DATE(VALUE(MID(A2219,7,4)),VALUE(MID(A2219,4,2)),VALUE(MID(A2219,1,2)))+TIME(VALUE(MID(A2219,12,2)),VALUE(MID(A2219,15,2)),VALUE(MID(A2219,18,2))),"")))</f>
        <v/>
      </c>
    </row>
    <row r="2220" customFormat="false" ht="15" hidden="false" customHeight="false" outlineLevel="0" collapsed="false">
      <c r="I2220" s="15" t="str">
        <f aca="false">IF(N2220="","",INT(N2220))</f>
        <v/>
      </c>
      <c r="J2220" s="16" t="str">
        <f aca="false">IF(B2220="","",IF(N2220=_xlfn.MINIFS($N$2:$N$5001,$B$2:$B$5001,B2220),1,0))</f>
        <v/>
      </c>
      <c r="K2220" s="16" t="str">
        <f aca="false">IF(B2220="","",IF(AND(D2220="Formalização",E2220="Concluído"),IF(COUNTIFS($B$2:$B$5001,B2220,$E$2:$E$5001,"Em ajustes",$N$2:$N$5001,"&lt;"&amp;I2220)&gt;0,1,0),0))</f>
        <v/>
      </c>
      <c r="L2220" s="16" t="str">
        <f aca="false">IF(B2220="","",IF(N2220=_xlfn.MAXIFS($N$2:$N$5001,$B$2:$B$5001,B2220,$I$2:$I$5001,I2220),1,0))</f>
        <v/>
      </c>
      <c r="M2220" s="16" t="str">
        <f aca="false">IF(B2220="","",IF(E2220="Em ajustes",IF(N2220=_xlfn.MINIFS($N$2:$N$5001,$B$2:$B$5001,B2220,$E$2:$E$5001,"Em ajustes"),1,0),0))</f>
        <v/>
      </c>
      <c r="N2220" s="17" t="str">
        <f aca="false">IF(A2220="","",IF(ISNUMBER(A2220),A2220,IFERROR(DATE(VALUE(MID(A2220,7,4)),VALUE(MID(A2220,4,2)),VALUE(MID(A2220,1,2)))+TIME(VALUE(MID(A2220,12,2)),VALUE(MID(A2220,15,2)),VALUE(MID(A2220,18,2))),"")))</f>
        <v/>
      </c>
    </row>
    <row r="2221" customFormat="false" ht="15" hidden="false" customHeight="false" outlineLevel="0" collapsed="false">
      <c r="I2221" s="15" t="str">
        <f aca="false">IF(N2221="","",INT(N2221))</f>
        <v/>
      </c>
      <c r="J2221" s="16" t="str">
        <f aca="false">IF(B2221="","",IF(N2221=_xlfn.MINIFS($N$2:$N$5001,$B$2:$B$5001,B2221),1,0))</f>
        <v/>
      </c>
      <c r="K2221" s="16" t="str">
        <f aca="false">IF(B2221="","",IF(AND(D2221="Formalização",E2221="Concluído"),IF(COUNTIFS($B$2:$B$5001,B2221,$E$2:$E$5001,"Em ajustes",$N$2:$N$5001,"&lt;"&amp;I2221)&gt;0,1,0),0))</f>
        <v/>
      </c>
      <c r="L2221" s="16" t="str">
        <f aca="false">IF(B2221="","",IF(N2221=_xlfn.MAXIFS($N$2:$N$5001,$B$2:$B$5001,B2221,$I$2:$I$5001,I2221),1,0))</f>
        <v/>
      </c>
      <c r="M2221" s="16" t="str">
        <f aca="false">IF(B2221="","",IF(E2221="Em ajustes",IF(N2221=_xlfn.MINIFS($N$2:$N$5001,$B$2:$B$5001,B2221,$E$2:$E$5001,"Em ajustes"),1,0),0))</f>
        <v/>
      </c>
      <c r="N2221" s="17" t="str">
        <f aca="false">IF(A2221="","",IF(ISNUMBER(A2221),A2221,IFERROR(DATE(VALUE(MID(A2221,7,4)),VALUE(MID(A2221,4,2)),VALUE(MID(A2221,1,2)))+TIME(VALUE(MID(A2221,12,2)),VALUE(MID(A2221,15,2)),VALUE(MID(A2221,18,2))),"")))</f>
        <v/>
      </c>
    </row>
    <row r="2222" customFormat="false" ht="15" hidden="false" customHeight="false" outlineLevel="0" collapsed="false">
      <c r="I2222" s="15" t="str">
        <f aca="false">IF(N2222="","",INT(N2222))</f>
        <v/>
      </c>
      <c r="J2222" s="16" t="str">
        <f aca="false">IF(B2222="","",IF(N2222=_xlfn.MINIFS($N$2:$N$5001,$B$2:$B$5001,B2222),1,0))</f>
        <v/>
      </c>
      <c r="K2222" s="16" t="str">
        <f aca="false">IF(B2222="","",IF(AND(D2222="Formalização",E2222="Concluído"),IF(COUNTIFS($B$2:$B$5001,B2222,$E$2:$E$5001,"Em ajustes",$N$2:$N$5001,"&lt;"&amp;I2222)&gt;0,1,0),0))</f>
        <v/>
      </c>
      <c r="L2222" s="16" t="str">
        <f aca="false">IF(B2222="","",IF(N2222=_xlfn.MAXIFS($N$2:$N$5001,$B$2:$B$5001,B2222,$I$2:$I$5001,I2222),1,0))</f>
        <v/>
      </c>
      <c r="M2222" s="16" t="str">
        <f aca="false">IF(B2222="","",IF(E2222="Em ajustes",IF(N2222=_xlfn.MINIFS($N$2:$N$5001,$B$2:$B$5001,B2222,$E$2:$E$5001,"Em ajustes"),1,0),0))</f>
        <v/>
      </c>
      <c r="N2222" s="17" t="str">
        <f aca="false">IF(A2222="","",IF(ISNUMBER(A2222),A2222,IFERROR(DATE(VALUE(MID(A2222,7,4)),VALUE(MID(A2222,4,2)),VALUE(MID(A2222,1,2)))+TIME(VALUE(MID(A2222,12,2)),VALUE(MID(A2222,15,2)),VALUE(MID(A2222,18,2))),"")))</f>
        <v/>
      </c>
    </row>
    <row r="2223" customFormat="false" ht="15" hidden="false" customHeight="false" outlineLevel="0" collapsed="false">
      <c r="I2223" s="15" t="str">
        <f aca="false">IF(N2223="","",INT(N2223))</f>
        <v/>
      </c>
      <c r="J2223" s="16" t="str">
        <f aca="false">IF(B2223="","",IF(N2223=_xlfn.MINIFS($N$2:$N$5001,$B$2:$B$5001,B2223),1,0))</f>
        <v/>
      </c>
      <c r="K2223" s="16" t="str">
        <f aca="false">IF(B2223="","",IF(AND(D2223="Formalização",E2223="Concluído"),IF(COUNTIFS($B$2:$B$5001,B2223,$E$2:$E$5001,"Em ajustes",$N$2:$N$5001,"&lt;"&amp;I2223)&gt;0,1,0),0))</f>
        <v/>
      </c>
      <c r="L2223" s="16" t="str">
        <f aca="false">IF(B2223="","",IF(N2223=_xlfn.MAXIFS($N$2:$N$5001,$B$2:$B$5001,B2223,$I$2:$I$5001,I2223),1,0))</f>
        <v/>
      </c>
      <c r="M2223" s="16" t="str">
        <f aca="false">IF(B2223="","",IF(E2223="Em ajustes",IF(N2223=_xlfn.MINIFS($N$2:$N$5001,$B$2:$B$5001,B2223,$E$2:$E$5001,"Em ajustes"),1,0),0))</f>
        <v/>
      </c>
      <c r="N2223" s="17" t="str">
        <f aca="false">IF(A2223="","",IF(ISNUMBER(A2223),A2223,IFERROR(DATE(VALUE(MID(A2223,7,4)),VALUE(MID(A2223,4,2)),VALUE(MID(A2223,1,2)))+TIME(VALUE(MID(A2223,12,2)),VALUE(MID(A2223,15,2)),VALUE(MID(A2223,18,2))),"")))</f>
        <v/>
      </c>
    </row>
    <row r="2224" customFormat="false" ht="15" hidden="false" customHeight="false" outlineLevel="0" collapsed="false">
      <c r="I2224" s="15" t="str">
        <f aca="false">IF(N2224="","",INT(N2224))</f>
        <v/>
      </c>
      <c r="J2224" s="16" t="str">
        <f aca="false">IF(B2224="","",IF(N2224=_xlfn.MINIFS($N$2:$N$5001,$B$2:$B$5001,B2224),1,0))</f>
        <v/>
      </c>
      <c r="K2224" s="16" t="str">
        <f aca="false">IF(B2224="","",IF(AND(D2224="Formalização",E2224="Concluído"),IF(COUNTIFS($B$2:$B$5001,B2224,$E$2:$E$5001,"Em ajustes",$N$2:$N$5001,"&lt;"&amp;I2224)&gt;0,1,0),0))</f>
        <v/>
      </c>
      <c r="L2224" s="16" t="str">
        <f aca="false">IF(B2224="","",IF(N2224=_xlfn.MAXIFS($N$2:$N$5001,$B$2:$B$5001,B2224,$I$2:$I$5001,I2224),1,0))</f>
        <v/>
      </c>
      <c r="M2224" s="16" t="str">
        <f aca="false">IF(B2224="","",IF(E2224="Em ajustes",IF(N2224=_xlfn.MINIFS($N$2:$N$5001,$B$2:$B$5001,B2224,$E$2:$E$5001,"Em ajustes"),1,0),0))</f>
        <v/>
      </c>
      <c r="N2224" s="17" t="str">
        <f aca="false">IF(A2224="","",IF(ISNUMBER(A2224),A2224,IFERROR(DATE(VALUE(MID(A2224,7,4)),VALUE(MID(A2224,4,2)),VALUE(MID(A2224,1,2)))+TIME(VALUE(MID(A2224,12,2)),VALUE(MID(A2224,15,2)),VALUE(MID(A2224,18,2))),"")))</f>
        <v/>
      </c>
    </row>
    <row r="2225" customFormat="false" ht="15" hidden="false" customHeight="false" outlineLevel="0" collapsed="false">
      <c r="I2225" s="15" t="str">
        <f aca="false">IF(N2225="","",INT(N2225))</f>
        <v/>
      </c>
      <c r="J2225" s="16" t="str">
        <f aca="false">IF(B2225="","",IF(N2225=_xlfn.MINIFS($N$2:$N$5001,$B$2:$B$5001,B2225),1,0))</f>
        <v/>
      </c>
      <c r="K2225" s="16" t="str">
        <f aca="false">IF(B2225="","",IF(AND(D2225="Formalização",E2225="Concluído"),IF(COUNTIFS($B$2:$B$5001,B2225,$E$2:$E$5001,"Em ajustes",$N$2:$N$5001,"&lt;"&amp;I2225)&gt;0,1,0),0))</f>
        <v/>
      </c>
      <c r="L2225" s="16" t="str">
        <f aca="false">IF(B2225="","",IF(N2225=_xlfn.MAXIFS($N$2:$N$5001,$B$2:$B$5001,B2225,$I$2:$I$5001,I2225),1,0))</f>
        <v/>
      </c>
      <c r="M2225" s="16" t="str">
        <f aca="false">IF(B2225="","",IF(E2225="Em ajustes",IF(N2225=_xlfn.MINIFS($N$2:$N$5001,$B$2:$B$5001,B2225,$E$2:$E$5001,"Em ajustes"),1,0),0))</f>
        <v/>
      </c>
      <c r="N2225" s="17" t="str">
        <f aca="false">IF(A2225="","",IF(ISNUMBER(A2225),A2225,IFERROR(DATE(VALUE(MID(A2225,7,4)),VALUE(MID(A2225,4,2)),VALUE(MID(A2225,1,2)))+TIME(VALUE(MID(A2225,12,2)),VALUE(MID(A2225,15,2)),VALUE(MID(A2225,18,2))),"")))</f>
        <v/>
      </c>
    </row>
    <row r="2226" customFormat="false" ht="15" hidden="false" customHeight="false" outlineLevel="0" collapsed="false">
      <c r="I2226" s="15" t="str">
        <f aca="false">IF(N2226="","",INT(N2226))</f>
        <v/>
      </c>
      <c r="J2226" s="16" t="str">
        <f aca="false">IF(B2226="","",IF(N2226=_xlfn.MINIFS($N$2:$N$5001,$B$2:$B$5001,B2226),1,0))</f>
        <v/>
      </c>
      <c r="K2226" s="16" t="str">
        <f aca="false">IF(B2226="","",IF(AND(D2226="Formalização",E2226="Concluído"),IF(COUNTIFS($B$2:$B$5001,B2226,$E$2:$E$5001,"Em ajustes",$N$2:$N$5001,"&lt;"&amp;I2226)&gt;0,1,0),0))</f>
        <v/>
      </c>
      <c r="L2226" s="16" t="str">
        <f aca="false">IF(B2226="","",IF(N2226=_xlfn.MAXIFS($N$2:$N$5001,$B$2:$B$5001,B2226,$I$2:$I$5001,I2226),1,0))</f>
        <v/>
      </c>
      <c r="M2226" s="16" t="str">
        <f aca="false">IF(B2226="","",IF(E2226="Em ajustes",IF(N2226=_xlfn.MINIFS($N$2:$N$5001,$B$2:$B$5001,B2226,$E$2:$E$5001,"Em ajustes"),1,0),0))</f>
        <v/>
      </c>
      <c r="N2226" s="17" t="str">
        <f aca="false">IF(A2226="","",IF(ISNUMBER(A2226),A2226,IFERROR(DATE(VALUE(MID(A2226,7,4)),VALUE(MID(A2226,4,2)),VALUE(MID(A2226,1,2)))+TIME(VALUE(MID(A2226,12,2)),VALUE(MID(A2226,15,2)),VALUE(MID(A2226,18,2))),"")))</f>
        <v/>
      </c>
    </row>
    <row r="2227" customFormat="false" ht="15" hidden="false" customHeight="false" outlineLevel="0" collapsed="false">
      <c r="I2227" s="15" t="str">
        <f aca="false">IF(N2227="","",INT(N2227))</f>
        <v/>
      </c>
      <c r="J2227" s="16" t="str">
        <f aca="false">IF(B2227="","",IF(N2227=_xlfn.MINIFS($N$2:$N$5001,$B$2:$B$5001,B2227),1,0))</f>
        <v/>
      </c>
      <c r="K2227" s="16" t="str">
        <f aca="false">IF(B2227="","",IF(AND(D2227="Formalização",E2227="Concluído"),IF(COUNTIFS($B$2:$B$5001,B2227,$E$2:$E$5001,"Em ajustes",$N$2:$N$5001,"&lt;"&amp;I2227)&gt;0,1,0),0))</f>
        <v/>
      </c>
      <c r="L2227" s="16" t="str">
        <f aca="false">IF(B2227="","",IF(N2227=_xlfn.MAXIFS($N$2:$N$5001,$B$2:$B$5001,B2227,$I$2:$I$5001,I2227),1,0))</f>
        <v/>
      </c>
      <c r="M2227" s="16" t="str">
        <f aca="false">IF(B2227="","",IF(E2227="Em ajustes",IF(N2227=_xlfn.MINIFS($N$2:$N$5001,$B$2:$B$5001,B2227,$E$2:$E$5001,"Em ajustes"),1,0),0))</f>
        <v/>
      </c>
      <c r="N2227" s="17" t="str">
        <f aca="false">IF(A2227="","",IF(ISNUMBER(A2227),A2227,IFERROR(DATE(VALUE(MID(A2227,7,4)),VALUE(MID(A2227,4,2)),VALUE(MID(A2227,1,2)))+TIME(VALUE(MID(A2227,12,2)),VALUE(MID(A2227,15,2)),VALUE(MID(A2227,18,2))),"")))</f>
        <v/>
      </c>
    </row>
    <row r="2228" customFormat="false" ht="15" hidden="false" customHeight="false" outlineLevel="0" collapsed="false">
      <c r="I2228" s="15" t="str">
        <f aca="false">IF(N2228="","",INT(N2228))</f>
        <v/>
      </c>
      <c r="J2228" s="16" t="str">
        <f aca="false">IF(B2228="","",IF(N2228=_xlfn.MINIFS($N$2:$N$5001,$B$2:$B$5001,B2228),1,0))</f>
        <v/>
      </c>
      <c r="K2228" s="16" t="str">
        <f aca="false">IF(B2228="","",IF(AND(D2228="Formalização",E2228="Concluído"),IF(COUNTIFS($B$2:$B$5001,B2228,$E$2:$E$5001,"Em ajustes",$N$2:$N$5001,"&lt;"&amp;I2228)&gt;0,1,0),0))</f>
        <v/>
      </c>
      <c r="L2228" s="16" t="str">
        <f aca="false">IF(B2228="","",IF(N2228=_xlfn.MAXIFS($N$2:$N$5001,$B$2:$B$5001,B2228,$I$2:$I$5001,I2228),1,0))</f>
        <v/>
      </c>
      <c r="M2228" s="16" t="str">
        <f aca="false">IF(B2228="","",IF(E2228="Em ajustes",IF(N2228=_xlfn.MINIFS($N$2:$N$5001,$B$2:$B$5001,B2228,$E$2:$E$5001,"Em ajustes"),1,0),0))</f>
        <v/>
      </c>
      <c r="N2228" s="17" t="str">
        <f aca="false">IF(A2228="","",IF(ISNUMBER(A2228),A2228,IFERROR(DATE(VALUE(MID(A2228,7,4)),VALUE(MID(A2228,4,2)),VALUE(MID(A2228,1,2)))+TIME(VALUE(MID(A2228,12,2)),VALUE(MID(A2228,15,2)),VALUE(MID(A2228,18,2))),"")))</f>
        <v/>
      </c>
    </row>
    <row r="2229" customFormat="false" ht="15" hidden="false" customHeight="false" outlineLevel="0" collapsed="false">
      <c r="I2229" s="15" t="str">
        <f aca="false">IF(N2229="","",INT(N2229))</f>
        <v/>
      </c>
      <c r="J2229" s="16" t="str">
        <f aca="false">IF(B2229="","",IF(N2229=_xlfn.MINIFS($N$2:$N$5001,$B$2:$B$5001,B2229),1,0))</f>
        <v/>
      </c>
      <c r="K2229" s="16" t="str">
        <f aca="false">IF(B2229="","",IF(AND(D2229="Formalização",E2229="Concluído"),IF(COUNTIFS($B$2:$B$5001,B2229,$E$2:$E$5001,"Em ajustes",$N$2:$N$5001,"&lt;"&amp;I2229)&gt;0,1,0),0))</f>
        <v/>
      </c>
      <c r="L2229" s="16" t="str">
        <f aca="false">IF(B2229="","",IF(N2229=_xlfn.MAXIFS($N$2:$N$5001,$B$2:$B$5001,B2229,$I$2:$I$5001,I2229),1,0))</f>
        <v/>
      </c>
      <c r="M2229" s="16" t="str">
        <f aca="false">IF(B2229="","",IF(E2229="Em ajustes",IF(N2229=_xlfn.MINIFS($N$2:$N$5001,$B$2:$B$5001,B2229,$E$2:$E$5001,"Em ajustes"),1,0),0))</f>
        <v/>
      </c>
      <c r="N2229" s="17" t="str">
        <f aca="false">IF(A2229="","",IF(ISNUMBER(A2229),A2229,IFERROR(DATE(VALUE(MID(A2229,7,4)),VALUE(MID(A2229,4,2)),VALUE(MID(A2229,1,2)))+TIME(VALUE(MID(A2229,12,2)),VALUE(MID(A2229,15,2)),VALUE(MID(A2229,18,2))),"")))</f>
        <v/>
      </c>
    </row>
    <row r="2230" customFormat="false" ht="15" hidden="false" customHeight="false" outlineLevel="0" collapsed="false">
      <c r="I2230" s="15" t="str">
        <f aca="false">IF(N2230="","",INT(N2230))</f>
        <v/>
      </c>
      <c r="J2230" s="16" t="str">
        <f aca="false">IF(B2230="","",IF(N2230=_xlfn.MINIFS($N$2:$N$5001,$B$2:$B$5001,B2230),1,0))</f>
        <v/>
      </c>
      <c r="K2230" s="16" t="str">
        <f aca="false">IF(B2230="","",IF(AND(D2230="Formalização",E2230="Concluído"),IF(COUNTIFS($B$2:$B$5001,B2230,$E$2:$E$5001,"Em ajustes",$N$2:$N$5001,"&lt;"&amp;I2230)&gt;0,1,0),0))</f>
        <v/>
      </c>
      <c r="L2230" s="16" t="str">
        <f aca="false">IF(B2230="","",IF(N2230=_xlfn.MAXIFS($N$2:$N$5001,$B$2:$B$5001,B2230,$I$2:$I$5001,I2230),1,0))</f>
        <v/>
      </c>
      <c r="M2230" s="16" t="str">
        <f aca="false">IF(B2230="","",IF(E2230="Em ajustes",IF(N2230=_xlfn.MINIFS($N$2:$N$5001,$B$2:$B$5001,B2230,$E$2:$E$5001,"Em ajustes"),1,0),0))</f>
        <v/>
      </c>
      <c r="N2230" s="17" t="str">
        <f aca="false">IF(A2230="","",IF(ISNUMBER(A2230),A2230,IFERROR(DATE(VALUE(MID(A2230,7,4)),VALUE(MID(A2230,4,2)),VALUE(MID(A2230,1,2)))+TIME(VALUE(MID(A2230,12,2)),VALUE(MID(A2230,15,2)),VALUE(MID(A2230,18,2))),"")))</f>
        <v/>
      </c>
    </row>
    <row r="2231" customFormat="false" ht="15" hidden="false" customHeight="false" outlineLevel="0" collapsed="false">
      <c r="I2231" s="15" t="str">
        <f aca="false">IF(N2231="","",INT(N2231))</f>
        <v/>
      </c>
      <c r="J2231" s="16" t="str">
        <f aca="false">IF(B2231="","",IF(N2231=_xlfn.MINIFS($N$2:$N$5001,$B$2:$B$5001,B2231),1,0))</f>
        <v/>
      </c>
      <c r="K2231" s="16" t="str">
        <f aca="false">IF(B2231="","",IF(AND(D2231="Formalização",E2231="Concluído"),IF(COUNTIFS($B$2:$B$5001,B2231,$E$2:$E$5001,"Em ajustes",$N$2:$N$5001,"&lt;"&amp;I2231)&gt;0,1,0),0))</f>
        <v/>
      </c>
      <c r="L2231" s="16" t="str">
        <f aca="false">IF(B2231="","",IF(N2231=_xlfn.MAXIFS($N$2:$N$5001,$B$2:$B$5001,B2231,$I$2:$I$5001,I2231),1,0))</f>
        <v/>
      </c>
      <c r="M2231" s="16" t="str">
        <f aca="false">IF(B2231="","",IF(E2231="Em ajustes",IF(N2231=_xlfn.MINIFS($N$2:$N$5001,$B$2:$B$5001,B2231,$E$2:$E$5001,"Em ajustes"),1,0),0))</f>
        <v/>
      </c>
      <c r="N2231" s="17" t="str">
        <f aca="false">IF(A2231="","",IF(ISNUMBER(A2231),A2231,IFERROR(DATE(VALUE(MID(A2231,7,4)),VALUE(MID(A2231,4,2)),VALUE(MID(A2231,1,2)))+TIME(VALUE(MID(A2231,12,2)),VALUE(MID(A2231,15,2)),VALUE(MID(A2231,18,2))),"")))</f>
        <v/>
      </c>
    </row>
    <row r="2232" customFormat="false" ht="15" hidden="false" customHeight="false" outlineLevel="0" collapsed="false">
      <c r="I2232" s="15" t="str">
        <f aca="false">IF(N2232="","",INT(N2232))</f>
        <v/>
      </c>
      <c r="J2232" s="16" t="str">
        <f aca="false">IF(B2232="","",IF(N2232=_xlfn.MINIFS($N$2:$N$5001,$B$2:$B$5001,B2232),1,0))</f>
        <v/>
      </c>
      <c r="K2232" s="16" t="str">
        <f aca="false">IF(B2232="","",IF(AND(D2232="Formalização",E2232="Concluído"),IF(COUNTIFS($B$2:$B$5001,B2232,$E$2:$E$5001,"Em ajustes",$N$2:$N$5001,"&lt;"&amp;I2232)&gt;0,1,0),0))</f>
        <v/>
      </c>
      <c r="L2232" s="16" t="str">
        <f aca="false">IF(B2232="","",IF(N2232=_xlfn.MAXIFS($N$2:$N$5001,$B$2:$B$5001,B2232,$I$2:$I$5001,I2232),1,0))</f>
        <v/>
      </c>
      <c r="M2232" s="16" t="str">
        <f aca="false">IF(B2232="","",IF(E2232="Em ajustes",IF(N2232=_xlfn.MINIFS($N$2:$N$5001,$B$2:$B$5001,B2232,$E$2:$E$5001,"Em ajustes"),1,0),0))</f>
        <v/>
      </c>
      <c r="N2232" s="17" t="str">
        <f aca="false">IF(A2232="","",IF(ISNUMBER(A2232),A2232,IFERROR(DATE(VALUE(MID(A2232,7,4)),VALUE(MID(A2232,4,2)),VALUE(MID(A2232,1,2)))+TIME(VALUE(MID(A2232,12,2)),VALUE(MID(A2232,15,2)),VALUE(MID(A2232,18,2))),"")))</f>
        <v/>
      </c>
    </row>
    <row r="2233" customFormat="false" ht="15" hidden="false" customHeight="false" outlineLevel="0" collapsed="false">
      <c r="I2233" s="15" t="str">
        <f aca="false">IF(N2233="","",INT(N2233))</f>
        <v/>
      </c>
      <c r="J2233" s="16" t="str">
        <f aca="false">IF(B2233="","",IF(N2233=_xlfn.MINIFS($N$2:$N$5001,$B$2:$B$5001,B2233),1,0))</f>
        <v/>
      </c>
      <c r="K2233" s="16" t="str">
        <f aca="false">IF(B2233="","",IF(AND(D2233="Formalização",E2233="Concluído"),IF(COUNTIFS($B$2:$B$5001,B2233,$E$2:$E$5001,"Em ajustes",$N$2:$N$5001,"&lt;"&amp;I2233)&gt;0,1,0),0))</f>
        <v/>
      </c>
      <c r="L2233" s="16" t="str">
        <f aca="false">IF(B2233="","",IF(N2233=_xlfn.MAXIFS($N$2:$N$5001,$B$2:$B$5001,B2233,$I$2:$I$5001,I2233),1,0))</f>
        <v/>
      </c>
      <c r="M2233" s="16" t="str">
        <f aca="false">IF(B2233="","",IF(E2233="Em ajustes",IF(N2233=_xlfn.MINIFS($N$2:$N$5001,$B$2:$B$5001,B2233,$E$2:$E$5001,"Em ajustes"),1,0),0))</f>
        <v/>
      </c>
      <c r="N2233" s="17" t="str">
        <f aca="false">IF(A2233="","",IF(ISNUMBER(A2233),A2233,IFERROR(DATE(VALUE(MID(A2233,7,4)),VALUE(MID(A2233,4,2)),VALUE(MID(A2233,1,2)))+TIME(VALUE(MID(A2233,12,2)),VALUE(MID(A2233,15,2)),VALUE(MID(A2233,18,2))),"")))</f>
        <v/>
      </c>
    </row>
    <row r="2234" customFormat="false" ht="15" hidden="false" customHeight="false" outlineLevel="0" collapsed="false">
      <c r="I2234" s="15" t="str">
        <f aca="false">IF(N2234="","",INT(N2234))</f>
        <v/>
      </c>
      <c r="J2234" s="16" t="str">
        <f aca="false">IF(B2234="","",IF(N2234=_xlfn.MINIFS($N$2:$N$5001,$B$2:$B$5001,B2234),1,0))</f>
        <v/>
      </c>
      <c r="K2234" s="16" t="str">
        <f aca="false">IF(B2234="","",IF(AND(D2234="Formalização",E2234="Concluído"),IF(COUNTIFS($B$2:$B$5001,B2234,$E$2:$E$5001,"Em ajustes",$N$2:$N$5001,"&lt;"&amp;I2234)&gt;0,1,0),0))</f>
        <v/>
      </c>
      <c r="L2234" s="16" t="str">
        <f aca="false">IF(B2234="","",IF(N2234=_xlfn.MAXIFS($N$2:$N$5001,$B$2:$B$5001,B2234,$I$2:$I$5001,I2234),1,0))</f>
        <v/>
      </c>
      <c r="M2234" s="16" t="str">
        <f aca="false">IF(B2234="","",IF(E2234="Em ajustes",IF(N2234=_xlfn.MINIFS($N$2:$N$5001,$B$2:$B$5001,B2234,$E$2:$E$5001,"Em ajustes"),1,0),0))</f>
        <v/>
      </c>
      <c r="N2234" s="17" t="str">
        <f aca="false">IF(A2234="","",IF(ISNUMBER(A2234),A2234,IFERROR(DATE(VALUE(MID(A2234,7,4)),VALUE(MID(A2234,4,2)),VALUE(MID(A2234,1,2)))+TIME(VALUE(MID(A2234,12,2)),VALUE(MID(A2234,15,2)),VALUE(MID(A2234,18,2))),"")))</f>
        <v/>
      </c>
    </row>
    <row r="2235" customFormat="false" ht="15" hidden="false" customHeight="false" outlineLevel="0" collapsed="false">
      <c r="I2235" s="15" t="str">
        <f aca="false">IF(N2235="","",INT(N2235))</f>
        <v/>
      </c>
      <c r="J2235" s="16" t="str">
        <f aca="false">IF(B2235="","",IF(N2235=_xlfn.MINIFS($N$2:$N$5001,$B$2:$B$5001,B2235),1,0))</f>
        <v/>
      </c>
      <c r="K2235" s="16" t="str">
        <f aca="false">IF(B2235="","",IF(AND(D2235="Formalização",E2235="Concluído"),IF(COUNTIFS($B$2:$B$5001,B2235,$E$2:$E$5001,"Em ajustes",$N$2:$N$5001,"&lt;"&amp;I2235)&gt;0,1,0),0))</f>
        <v/>
      </c>
      <c r="L2235" s="16" t="str">
        <f aca="false">IF(B2235="","",IF(N2235=_xlfn.MAXIFS($N$2:$N$5001,$B$2:$B$5001,B2235,$I$2:$I$5001,I2235),1,0))</f>
        <v/>
      </c>
      <c r="M2235" s="16" t="str">
        <f aca="false">IF(B2235="","",IF(E2235="Em ajustes",IF(N2235=_xlfn.MINIFS($N$2:$N$5001,$B$2:$B$5001,B2235,$E$2:$E$5001,"Em ajustes"),1,0),0))</f>
        <v/>
      </c>
      <c r="N2235" s="17" t="str">
        <f aca="false">IF(A2235="","",IF(ISNUMBER(A2235),A2235,IFERROR(DATE(VALUE(MID(A2235,7,4)),VALUE(MID(A2235,4,2)),VALUE(MID(A2235,1,2)))+TIME(VALUE(MID(A2235,12,2)),VALUE(MID(A2235,15,2)),VALUE(MID(A2235,18,2))),"")))</f>
        <v/>
      </c>
    </row>
    <row r="2236" customFormat="false" ht="15" hidden="false" customHeight="false" outlineLevel="0" collapsed="false">
      <c r="I2236" s="15" t="str">
        <f aca="false">IF(N2236="","",INT(N2236))</f>
        <v/>
      </c>
      <c r="J2236" s="16" t="str">
        <f aca="false">IF(B2236="","",IF(N2236=_xlfn.MINIFS($N$2:$N$5001,$B$2:$B$5001,B2236),1,0))</f>
        <v/>
      </c>
      <c r="K2236" s="16" t="str">
        <f aca="false">IF(B2236="","",IF(AND(D2236="Formalização",E2236="Concluído"),IF(COUNTIFS($B$2:$B$5001,B2236,$E$2:$E$5001,"Em ajustes",$N$2:$N$5001,"&lt;"&amp;I2236)&gt;0,1,0),0))</f>
        <v/>
      </c>
      <c r="L2236" s="16" t="str">
        <f aca="false">IF(B2236="","",IF(N2236=_xlfn.MAXIFS($N$2:$N$5001,$B$2:$B$5001,B2236,$I$2:$I$5001,I2236),1,0))</f>
        <v/>
      </c>
      <c r="M2236" s="16" t="str">
        <f aca="false">IF(B2236="","",IF(E2236="Em ajustes",IF(N2236=_xlfn.MINIFS($N$2:$N$5001,$B$2:$B$5001,B2236,$E$2:$E$5001,"Em ajustes"),1,0),0))</f>
        <v/>
      </c>
      <c r="N2236" s="17" t="str">
        <f aca="false">IF(A2236="","",IF(ISNUMBER(A2236),A2236,IFERROR(DATE(VALUE(MID(A2236,7,4)),VALUE(MID(A2236,4,2)),VALUE(MID(A2236,1,2)))+TIME(VALUE(MID(A2236,12,2)),VALUE(MID(A2236,15,2)),VALUE(MID(A2236,18,2))),"")))</f>
        <v/>
      </c>
    </row>
    <row r="2237" customFormat="false" ht="15" hidden="false" customHeight="false" outlineLevel="0" collapsed="false">
      <c r="I2237" s="15" t="str">
        <f aca="false">IF(N2237="","",INT(N2237))</f>
        <v/>
      </c>
      <c r="J2237" s="16" t="str">
        <f aca="false">IF(B2237="","",IF(N2237=_xlfn.MINIFS($N$2:$N$5001,$B$2:$B$5001,B2237),1,0))</f>
        <v/>
      </c>
      <c r="K2237" s="16" t="str">
        <f aca="false">IF(B2237="","",IF(AND(D2237="Formalização",E2237="Concluído"),IF(COUNTIFS($B$2:$B$5001,B2237,$E$2:$E$5001,"Em ajustes",$N$2:$N$5001,"&lt;"&amp;I2237)&gt;0,1,0),0))</f>
        <v/>
      </c>
      <c r="L2237" s="16" t="str">
        <f aca="false">IF(B2237="","",IF(N2237=_xlfn.MAXIFS($N$2:$N$5001,$B$2:$B$5001,B2237,$I$2:$I$5001,I2237),1,0))</f>
        <v/>
      </c>
      <c r="M2237" s="16" t="str">
        <f aca="false">IF(B2237="","",IF(E2237="Em ajustes",IF(N2237=_xlfn.MINIFS($N$2:$N$5001,$B$2:$B$5001,B2237,$E$2:$E$5001,"Em ajustes"),1,0),0))</f>
        <v/>
      </c>
      <c r="N2237" s="17" t="str">
        <f aca="false">IF(A2237="","",IF(ISNUMBER(A2237),A2237,IFERROR(DATE(VALUE(MID(A2237,7,4)),VALUE(MID(A2237,4,2)),VALUE(MID(A2237,1,2)))+TIME(VALUE(MID(A2237,12,2)),VALUE(MID(A2237,15,2)),VALUE(MID(A2237,18,2))),"")))</f>
        <v/>
      </c>
    </row>
    <row r="2238" customFormat="false" ht="15" hidden="false" customHeight="false" outlineLevel="0" collapsed="false">
      <c r="I2238" s="15" t="str">
        <f aca="false">IF(N2238="","",INT(N2238))</f>
        <v/>
      </c>
      <c r="J2238" s="16" t="str">
        <f aca="false">IF(B2238="","",IF(N2238=_xlfn.MINIFS($N$2:$N$5001,$B$2:$B$5001,B2238),1,0))</f>
        <v/>
      </c>
      <c r="K2238" s="16" t="str">
        <f aca="false">IF(B2238="","",IF(AND(D2238="Formalização",E2238="Concluído"),IF(COUNTIFS($B$2:$B$5001,B2238,$E$2:$E$5001,"Em ajustes",$N$2:$N$5001,"&lt;"&amp;I2238)&gt;0,1,0),0))</f>
        <v/>
      </c>
      <c r="L2238" s="16" t="str">
        <f aca="false">IF(B2238="","",IF(N2238=_xlfn.MAXIFS($N$2:$N$5001,$B$2:$B$5001,B2238,$I$2:$I$5001,I2238),1,0))</f>
        <v/>
      </c>
      <c r="M2238" s="16" t="str">
        <f aca="false">IF(B2238="","",IF(E2238="Em ajustes",IF(N2238=_xlfn.MINIFS($N$2:$N$5001,$B$2:$B$5001,B2238,$E$2:$E$5001,"Em ajustes"),1,0),0))</f>
        <v/>
      </c>
      <c r="N2238" s="17" t="str">
        <f aca="false">IF(A2238="","",IF(ISNUMBER(A2238),A2238,IFERROR(DATE(VALUE(MID(A2238,7,4)),VALUE(MID(A2238,4,2)),VALUE(MID(A2238,1,2)))+TIME(VALUE(MID(A2238,12,2)),VALUE(MID(A2238,15,2)),VALUE(MID(A2238,18,2))),"")))</f>
        <v/>
      </c>
    </row>
    <row r="2239" customFormat="false" ht="15" hidden="false" customHeight="false" outlineLevel="0" collapsed="false">
      <c r="I2239" s="15" t="str">
        <f aca="false">IF(N2239="","",INT(N2239))</f>
        <v/>
      </c>
      <c r="J2239" s="16" t="str">
        <f aca="false">IF(B2239="","",IF(N2239=_xlfn.MINIFS($N$2:$N$5001,$B$2:$B$5001,B2239),1,0))</f>
        <v/>
      </c>
      <c r="K2239" s="16" t="str">
        <f aca="false">IF(B2239="","",IF(AND(D2239="Formalização",E2239="Concluído"),IF(COUNTIFS($B$2:$B$5001,B2239,$E$2:$E$5001,"Em ajustes",$N$2:$N$5001,"&lt;"&amp;I2239)&gt;0,1,0),0))</f>
        <v/>
      </c>
      <c r="L2239" s="16" t="str">
        <f aca="false">IF(B2239="","",IF(N2239=_xlfn.MAXIFS($N$2:$N$5001,$B$2:$B$5001,B2239,$I$2:$I$5001,I2239),1,0))</f>
        <v/>
      </c>
      <c r="M2239" s="16" t="str">
        <f aca="false">IF(B2239="","",IF(E2239="Em ajustes",IF(N2239=_xlfn.MINIFS($N$2:$N$5001,$B$2:$B$5001,B2239,$E$2:$E$5001,"Em ajustes"),1,0),0))</f>
        <v/>
      </c>
      <c r="N2239" s="17" t="str">
        <f aca="false">IF(A2239="","",IF(ISNUMBER(A2239),A2239,IFERROR(DATE(VALUE(MID(A2239,7,4)),VALUE(MID(A2239,4,2)),VALUE(MID(A2239,1,2)))+TIME(VALUE(MID(A2239,12,2)),VALUE(MID(A2239,15,2)),VALUE(MID(A2239,18,2))),"")))</f>
        <v/>
      </c>
    </row>
    <row r="2240" customFormat="false" ht="15" hidden="false" customHeight="false" outlineLevel="0" collapsed="false">
      <c r="I2240" s="15" t="str">
        <f aca="false">IF(N2240="","",INT(N2240))</f>
        <v/>
      </c>
      <c r="J2240" s="16" t="str">
        <f aca="false">IF(B2240="","",IF(N2240=_xlfn.MINIFS($N$2:$N$5001,$B$2:$B$5001,B2240),1,0))</f>
        <v/>
      </c>
      <c r="K2240" s="16" t="str">
        <f aca="false">IF(B2240="","",IF(AND(D2240="Formalização",E2240="Concluído"),IF(COUNTIFS($B$2:$B$5001,B2240,$E$2:$E$5001,"Em ajustes",$N$2:$N$5001,"&lt;"&amp;I2240)&gt;0,1,0),0))</f>
        <v/>
      </c>
      <c r="L2240" s="16" t="str">
        <f aca="false">IF(B2240="","",IF(N2240=_xlfn.MAXIFS($N$2:$N$5001,$B$2:$B$5001,B2240,$I$2:$I$5001,I2240),1,0))</f>
        <v/>
      </c>
      <c r="M2240" s="16" t="str">
        <f aca="false">IF(B2240="","",IF(E2240="Em ajustes",IF(N2240=_xlfn.MINIFS($N$2:$N$5001,$B$2:$B$5001,B2240,$E$2:$E$5001,"Em ajustes"),1,0),0))</f>
        <v/>
      </c>
      <c r="N2240" s="17" t="str">
        <f aca="false">IF(A2240="","",IF(ISNUMBER(A2240),A2240,IFERROR(DATE(VALUE(MID(A2240,7,4)),VALUE(MID(A2240,4,2)),VALUE(MID(A2240,1,2)))+TIME(VALUE(MID(A2240,12,2)),VALUE(MID(A2240,15,2)),VALUE(MID(A2240,18,2))),"")))</f>
        <v/>
      </c>
    </row>
    <row r="2241" customFormat="false" ht="15" hidden="false" customHeight="false" outlineLevel="0" collapsed="false">
      <c r="I2241" s="15" t="str">
        <f aca="false">IF(N2241="","",INT(N2241))</f>
        <v/>
      </c>
      <c r="J2241" s="16" t="str">
        <f aca="false">IF(B2241="","",IF(N2241=_xlfn.MINIFS($N$2:$N$5001,$B$2:$B$5001,B2241),1,0))</f>
        <v/>
      </c>
      <c r="K2241" s="16" t="str">
        <f aca="false">IF(B2241="","",IF(AND(D2241="Formalização",E2241="Concluído"),IF(COUNTIFS($B$2:$B$5001,B2241,$E$2:$E$5001,"Em ajustes",$N$2:$N$5001,"&lt;"&amp;I2241)&gt;0,1,0),0))</f>
        <v/>
      </c>
      <c r="L2241" s="16" t="str">
        <f aca="false">IF(B2241="","",IF(N2241=_xlfn.MAXIFS($N$2:$N$5001,$B$2:$B$5001,B2241,$I$2:$I$5001,I2241),1,0))</f>
        <v/>
      </c>
      <c r="M2241" s="16" t="str">
        <f aca="false">IF(B2241="","",IF(E2241="Em ajustes",IF(N2241=_xlfn.MINIFS($N$2:$N$5001,$B$2:$B$5001,B2241,$E$2:$E$5001,"Em ajustes"),1,0),0))</f>
        <v/>
      </c>
      <c r="N2241" s="17" t="str">
        <f aca="false">IF(A2241="","",IF(ISNUMBER(A2241),A2241,IFERROR(DATE(VALUE(MID(A2241,7,4)),VALUE(MID(A2241,4,2)),VALUE(MID(A2241,1,2)))+TIME(VALUE(MID(A2241,12,2)),VALUE(MID(A2241,15,2)),VALUE(MID(A2241,18,2))),"")))</f>
        <v/>
      </c>
    </row>
    <row r="2242" customFormat="false" ht="15" hidden="false" customHeight="false" outlineLevel="0" collapsed="false">
      <c r="I2242" s="15" t="str">
        <f aca="false">IF(N2242="","",INT(N2242))</f>
        <v/>
      </c>
      <c r="J2242" s="16" t="str">
        <f aca="false">IF(B2242="","",IF(N2242=_xlfn.MINIFS($N$2:$N$5001,$B$2:$B$5001,B2242),1,0))</f>
        <v/>
      </c>
      <c r="K2242" s="16" t="str">
        <f aca="false">IF(B2242="","",IF(AND(D2242="Formalização",E2242="Concluído"),IF(COUNTIFS($B$2:$B$5001,B2242,$E$2:$E$5001,"Em ajustes",$N$2:$N$5001,"&lt;"&amp;I2242)&gt;0,1,0),0))</f>
        <v/>
      </c>
      <c r="L2242" s="16" t="str">
        <f aca="false">IF(B2242="","",IF(N2242=_xlfn.MAXIFS($N$2:$N$5001,$B$2:$B$5001,B2242,$I$2:$I$5001,I2242),1,0))</f>
        <v/>
      </c>
      <c r="M2242" s="16" t="str">
        <f aca="false">IF(B2242="","",IF(E2242="Em ajustes",IF(N2242=_xlfn.MINIFS($N$2:$N$5001,$B$2:$B$5001,B2242,$E$2:$E$5001,"Em ajustes"),1,0),0))</f>
        <v/>
      </c>
      <c r="N2242" s="17" t="str">
        <f aca="false">IF(A2242="","",IF(ISNUMBER(A2242),A2242,IFERROR(DATE(VALUE(MID(A2242,7,4)),VALUE(MID(A2242,4,2)),VALUE(MID(A2242,1,2)))+TIME(VALUE(MID(A2242,12,2)),VALUE(MID(A2242,15,2)),VALUE(MID(A2242,18,2))),"")))</f>
        <v/>
      </c>
    </row>
    <row r="2243" customFormat="false" ht="15" hidden="false" customHeight="false" outlineLevel="0" collapsed="false">
      <c r="I2243" s="15" t="str">
        <f aca="false">IF(N2243="","",INT(N2243))</f>
        <v/>
      </c>
      <c r="J2243" s="16" t="str">
        <f aca="false">IF(B2243="","",IF(N2243=_xlfn.MINIFS($N$2:$N$5001,$B$2:$B$5001,B2243),1,0))</f>
        <v/>
      </c>
      <c r="K2243" s="16" t="str">
        <f aca="false">IF(B2243="","",IF(AND(D2243="Formalização",E2243="Concluído"),IF(COUNTIFS($B$2:$B$5001,B2243,$E$2:$E$5001,"Em ajustes",$N$2:$N$5001,"&lt;"&amp;I2243)&gt;0,1,0),0))</f>
        <v/>
      </c>
      <c r="L2243" s="16" t="str">
        <f aca="false">IF(B2243="","",IF(N2243=_xlfn.MAXIFS($N$2:$N$5001,$B$2:$B$5001,B2243,$I$2:$I$5001,I2243),1,0))</f>
        <v/>
      </c>
      <c r="M2243" s="16" t="str">
        <f aca="false">IF(B2243="","",IF(E2243="Em ajustes",IF(N2243=_xlfn.MINIFS($N$2:$N$5001,$B$2:$B$5001,B2243,$E$2:$E$5001,"Em ajustes"),1,0),0))</f>
        <v/>
      </c>
      <c r="N2243" s="17" t="str">
        <f aca="false">IF(A2243="","",IF(ISNUMBER(A2243),A2243,IFERROR(DATE(VALUE(MID(A2243,7,4)),VALUE(MID(A2243,4,2)),VALUE(MID(A2243,1,2)))+TIME(VALUE(MID(A2243,12,2)),VALUE(MID(A2243,15,2)),VALUE(MID(A2243,18,2))),"")))</f>
        <v/>
      </c>
    </row>
    <row r="2244" customFormat="false" ht="15" hidden="false" customHeight="false" outlineLevel="0" collapsed="false">
      <c r="I2244" s="15" t="str">
        <f aca="false">IF(N2244="","",INT(N2244))</f>
        <v/>
      </c>
      <c r="J2244" s="16" t="str">
        <f aca="false">IF(B2244="","",IF(N2244=_xlfn.MINIFS($N$2:$N$5001,$B$2:$B$5001,B2244),1,0))</f>
        <v/>
      </c>
      <c r="K2244" s="16" t="str">
        <f aca="false">IF(B2244="","",IF(AND(D2244="Formalização",E2244="Concluído"),IF(COUNTIFS($B$2:$B$5001,B2244,$E$2:$E$5001,"Em ajustes",$N$2:$N$5001,"&lt;"&amp;I2244)&gt;0,1,0),0))</f>
        <v/>
      </c>
      <c r="L2244" s="16" t="str">
        <f aca="false">IF(B2244="","",IF(N2244=_xlfn.MAXIFS($N$2:$N$5001,$B$2:$B$5001,B2244,$I$2:$I$5001,I2244),1,0))</f>
        <v/>
      </c>
      <c r="M2244" s="16" t="str">
        <f aca="false">IF(B2244="","",IF(E2244="Em ajustes",IF(N2244=_xlfn.MINIFS($N$2:$N$5001,$B$2:$B$5001,B2244,$E$2:$E$5001,"Em ajustes"),1,0),0))</f>
        <v/>
      </c>
      <c r="N2244" s="17" t="str">
        <f aca="false">IF(A2244="","",IF(ISNUMBER(A2244),A2244,IFERROR(DATE(VALUE(MID(A2244,7,4)),VALUE(MID(A2244,4,2)),VALUE(MID(A2244,1,2)))+TIME(VALUE(MID(A2244,12,2)),VALUE(MID(A2244,15,2)),VALUE(MID(A2244,18,2))),"")))</f>
        <v/>
      </c>
    </row>
    <row r="2245" customFormat="false" ht="15" hidden="false" customHeight="false" outlineLevel="0" collapsed="false">
      <c r="I2245" s="15" t="str">
        <f aca="false">IF(N2245="","",INT(N2245))</f>
        <v/>
      </c>
      <c r="J2245" s="16" t="str">
        <f aca="false">IF(B2245="","",IF(N2245=_xlfn.MINIFS($N$2:$N$5001,$B$2:$B$5001,B2245),1,0))</f>
        <v/>
      </c>
      <c r="K2245" s="16" t="str">
        <f aca="false">IF(B2245="","",IF(AND(D2245="Formalização",E2245="Concluído"),IF(COUNTIFS($B$2:$B$5001,B2245,$E$2:$E$5001,"Em ajustes",$N$2:$N$5001,"&lt;"&amp;I2245)&gt;0,1,0),0))</f>
        <v/>
      </c>
      <c r="L2245" s="16" t="str">
        <f aca="false">IF(B2245="","",IF(N2245=_xlfn.MAXIFS($N$2:$N$5001,$B$2:$B$5001,B2245,$I$2:$I$5001,I2245),1,0))</f>
        <v/>
      </c>
      <c r="M2245" s="16" t="str">
        <f aca="false">IF(B2245="","",IF(E2245="Em ajustes",IF(N2245=_xlfn.MINIFS($N$2:$N$5001,$B$2:$B$5001,B2245,$E$2:$E$5001,"Em ajustes"),1,0),0))</f>
        <v/>
      </c>
      <c r="N2245" s="17" t="str">
        <f aca="false">IF(A2245="","",IF(ISNUMBER(A2245),A2245,IFERROR(DATE(VALUE(MID(A2245,7,4)),VALUE(MID(A2245,4,2)),VALUE(MID(A2245,1,2)))+TIME(VALUE(MID(A2245,12,2)),VALUE(MID(A2245,15,2)),VALUE(MID(A2245,18,2))),"")))</f>
        <v/>
      </c>
    </row>
    <row r="2246" customFormat="false" ht="15" hidden="false" customHeight="false" outlineLevel="0" collapsed="false">
      <c r="I2246" s="15" t="str">
        <f aca="false">IF(N2246="","",INT(N2246))</f>
        <v/>
      </c>
      <c r="J2246" s="16" t="str">
        <f aca="false">IF(B2246="","",IF(N2246=_xlfn.MINIFS($N$2:$N$5001,$B$2:$B$5001,B2246),1,0))</f>
        <v/>
      </c>
      <c r="K2246" s="16" t="str">
        <f aca="false">IF(B2246="","",IF(AND(D2246="Formalização",E2246="Concluído"),IF(COUNTIFS($B$2:$B$5001,B2246,$E$2:$E$5001,"Em ajustes",$N$2:$N$5001,"&lt;"&amp;I2246)&gt;0,1,0),0))</f>
        <v/>
      </c>
      <c r="L2246" s="16" t="str">
        <f aca="false">IF(B2246="","",IF(N2246=_xlfn.MAXIFS($N$2:$N$5001,$B$2:$B$5001,B2246,$I$2:$I$5001,I2246),1,0))</f>
        <v/>
      </c>
      <c r="M2246" s="16" t="str">
        <f aca="false">IF(B2246="","",IF(E2246="Em ajustes",IF(N2246=_xlfn.MINIFS($N$2:$N$5001,$B$2:$B$5001,B2246,$E$2:$E$5001,"Em ajustes"),1,0),0))</f>
        <v/>
      </c>
      <c r="N2246" s="17" t="str">
        <f aca="false">IF(A2246="","",IF(ISNUMBER(A2246),A2246,IFERROR(DATE(VALUE(MID(A2246,7,4)),VALUE(MID(A2246,4,2)),VALUE(MID(A2246,1,2)))+TIME(VALUE(MID(A2246,12,2)),VALUE(MID(A2246,15,2)),VALUE(MID(A2246,18,2))),"")))</f>
        <v/>
      </c>
    </row>
    <row r="2247" customFormat="false" ht="15" hidden="false" customHeight="false" outlineLevel="0" collapsed="false">
      <c r="I2247" s="15" t="str">
        <f aca="false">IF(N2247="","",INT(N2247))</f>
        <v/>
      </c>
      <c r="J2247" s="16" t="str">
        <f aca="false">IF(B2247="","",IF(N2247=_xlfn.MINIFS($N$2:$N$5001,$B$2:$B$5001,B2247),1,0))</f>
        <v/>
      </c>
      <c r="K2247" s="16" t="str">
        <f aca="false">IF(B2247="","",IF(AND(D2247="Formalização",E2247="Concluído"),IF(COUNTIFS($B$2:$B$5001,B2247,$E$2:$E$5001,"Em ajustes",$N$2:$N$5001,"&lt;"&amp;I2247)&gt;0,1,0),0))</f>
        <v/>
      </c>
      <c r="L2247" s="16" t="str">
        <f aca="false">IF(B2247="","",IF(N2247=_xlfn.MAXIFS($N$2:$N$5001,$B$2:$B$5001,B2247,$I$2:$I$5001,I2247),1,0))</f>
        <v/>
      </c>
      <c r="M2247" s="16" t="str">
        <f aca="false">IF(B2247="","",IF(E2247="Em ajustes",IF(N2247=_xlfn.MINIFS($N$2:$N$5001,$B$2:$B$5001,B2247,$E$2:$E$5001,"Em ajustes"),1,0),0))</f>
        <v/>
      </c>
      <c r="N2247" s="17" t="str">
        <f aca="false">IF(A2247="","",IF(ISNUMBER(A2247),A2247,IFERROR(DATE(VALUE(MID(A2247,7,4)),VALUE(MID(A2247,4,2)),VALUE(MID(A2247,1,2)))+TIME(VALUE(MID(A2247,12,2)),VALUE(MID(A2247,15,2)),VALUE(MID(A2247,18,2))),"")))</f>
        <v/>
      </c>
    </row>
    <row r="2248" customFormat="false" ht="15" hidden="false" customHeight="false" outlineLevel="0" collapsed="false">
      <c r="I2248" s="15" t="str">
        <f aca="false">IF(N2248="","",INT(N2248))</f>
        <v/>
      </c>
      <c r="J2248" s="16" t="str">
        <f aca="false">IF(B2248="","",IF(N2248=_xlfn.MINIFS($N$2:$N$5001,$B$2:$B$5001,B2248),1,0))</f>
        <v/>
      </c>
      <c r="K2248" s="16" t="str">
        <f aca="false">IF(B2248="","",IF(AND(D2248="Formalização",E2248="Concluído"),IF(COUNTIFS($B$2:$B$5001,B2248,$E$2:$E$5001,"Em ajustes",$N$2:$N$5001,"&lt;"&amp;I2248)&gt;0,1,0),0))</f>
        <v/>
      </c>
      <c r="L2248" s="16" t="str">
        <f aca="false">IF(B2248="","",IF(N2248=_xlfn.MAXIFS($N$2:$N$5001,$B$2:$B$5001,B2248,$I$2:$I$5001,I2248),1,0))</f>
        <v/>
      </c>
      <c r="M2248" s="16" t="str">
        <f aca="false">IF(B2248="","",IF(E2248="Em ajustes",IF(N2248=_xlfn.MINIFS($N$2:$N$5001,$B$2:$B$5001,B2248,$E$2:$E$5001,"Em ajustes"),1,0),0))</f>
        <v/>
      </c>
      <c r="N2248" s="17" t="str">
        <f aca="false">IF(A2248="","",IF(ISNUMBER(A2248),A2248,IFERROR(DATE(VALUE(MID(A2248,7,4)),VALUE(MID(A2248,4,2)),VALUE(MID(A2248,1,2)))+TIME(VALUE(MID(A2248,12,2)),VALUE(MID(A2248,15,2)),VALUE(MID(A2248,18,2))),"")))</f>
        <v/>
      </c>
    </row>
    <row r="2249" customFormat="false" ht="15" hidden="false" customHeight="false" outlineLevel="0" collapsed="false">
      <c r="I2249" s="15" t="str">
        <f aca="false">IF(N2249="","",INT(N2249))</f>
        <v/>
      </c>
      <c r="J2249" s="16" t="str">
        <f aca="false">IF(B2249="","",IF(N2249=_xlfn.MINIFS($N$2:$N$5001,$B$2:$B$5001,B2249),1,0))</f>
        <v/>
      </c>
      <c r="K2249" s="16" t="str">
        <f aca="false">IF(B2249="","",IF(AND(D2249="Formalização",E2249="Concluído"),IF(COUNTIFS($B$2:$B$5001,B2249,$E$2:$E$5001,"Em ajustes",$N$2:$N$5001,"&lt;"&amp;I2249)&gt;0,1,0),0))</f>
        <v/>
      </c>
      <c r="L2249" s="16" t="str">
        <f aca="false">IF(B2249="","",IF(N2249=_xlfn.MAXIFS($N$2:$N$5001,$B$2:$B$5001,B2249,$I$2:$I$5001,I2249),1,0))</f>
        <v/>
      </c>
      <c r="M2249" s="16" t="str">
        <f aca="false">IF(B2249="","",IF(E2249="Em ajustes",IF(N2249=_xlfn.MINIFS($N$2:$N$5001,$B$2:$B$5001,B2249,$E$2:$E$5001,"Em ajustes"),1,0),0))</f>
        <v/>
      </c>
      <c r="N2249" s="17" t="str">
        <f aca="false">IF(A2249="","",IF(ISNUMBER(A2249),A2249,IFERROR(DATE(VALUE(MID(A2249,7,4)),VALUE(MID(A2249,4,2)),VALUE(MID(A2249,1,2)))+TIME(VALUE(MID(A2249,12,2)),VALUE(MID(A2249,15,2)),VALUE(MID(A2249,18,2))),"")))</f>
        <v/>
      </c>
    </row>
    <row r="2250" customFormat="false" ht="15" hidden="false" customHeight="false" outlineLevel="0" collapsed="false">
      <c r="I2250" s="15" t="str">
        <f aca="false">IF(N2250="","",INT(N2250))</f>
        <v/>
      </c>
      <c r="J2250" s="16" t="str">
        <f aca="false">IF(B2250="","",IF(N2250=_xlfn.MINIFS($N$2:$N$5001,$B$2:$B$5001,B2250),1,0))</f>
        <v/>
      </c>
      <c r="K2250" s="16" t="str">
        <f aca="false">IF(B2250="","",IF(AND(D2250="Formalização",E2250="Concluído"),IF(COUNTIFS($B$2:$B$5001,B2250,$E$2:$E$5001,"Em ajustes",$N$2:$N$5001,"&lt;"&amp;I2250)&gt;0,1,0),0))</f>
        <v/>
      </c>
      <c r="L2250" s="16" t="str">
        <f aca="false">IF(B2250="","",IF(N2250=_xlfn.MAXIFS($N$2:$N$5001,$B$2:$B$5001,B2250,$I$2:$I$5001,I2250),1,0))</f>
        <v/>
      </c>
      <c r="M2250" s="16" t="str">
        <f aca="false">IF(B2250="","",IF(E2250="Em ajustes",IF(N2250=_xlfn.MINIFS($N$2:$N$5001,$B$2:$B$5001,B2250,$E$2:$E$5001,"Em ajustes"),1,0),0))</f>
        <v/>
      </c>
      <c r="N2250" s="17" t="str">
        <f aca="false">IF(A2250="","",IF(ISNUMBER(A2250),A2250,IFERROR(DATE(VALUE(MID(A2250,7,4)),VALUE(MID(A2250,4,2)),VALUE(MID(A2250,1,2)))+TIME(VALUE(MID(A2250,12,2)),VALUE(MID(A2250,15,2)),VALUE(MID(A2250,18,2))),"")))</f>
        <v/>
      </c>
    </row>
    <row r="2251" customFormat="false" ht="15" hidden="false" customHeight="false" outlineLevel="0" collapsed="false">
      <c r="I2251" s="15" t="str">
        <f aca="false">IF(N2251="","",INT(N2251))</f>
        <v/>
      </c>
      <c r="J2251" s="16" t="str">
        <f aca="false">IF(B2251="","",IF(N2251=_xlfn.MINIFS($N$2:$N$5001,$B$2:$B$5001,B2251),1,0))</f>
        <v/>
      </c>
      <c r="K2251" s="16" t="str">
        <f aca="false">IF(B2251="","",IF(AND(D2251="Formalização",E2251="Concluído"),IF(COUNTIFS($B$2:$B$5001,B2251,$E$2:$E$5001,"Em ajustes",$N$2:$N$5001,"&lt;"&amp;I2251)&gt;0,1,0),0))</f>
        <v/>
      </c>
      <c r="L2251" s="16" t="str">
        <f aca="false">IF(B2251="","",IF(N2251=_xlfn.MAXIFS($N$2:$N$5001,$B$2:$B$5001,B2251,$I$2:$I$5001,I2251),1,0))</f>
        <v/>
      </c>
      <c r="M2251" s="16" t="str">
        <f aca="false">IF(B2251="","",IF(E2251="Em ajustes",IF(N2251=_xlfn.MINIFS($N$2:$N$5001,$B$2:$B$5001,B2251,$E$2:$E$5001,"Em ajustes"),1,0),0))</f>
        <v/>
      </c>
      <c r="N2251" s="17" t="str">
        <f aca="false">IF(A2251="","",IF(ISNUMBER(A2251),A2251,IFERROR(DATE(VALUE(MID(A2251,7,4)),VALUE(MID(A2251,4,2)),VALUE(MID(A2251,1,2)))+TIME(VALUE(MID(A2251,12,2)),VALUE(MID(A2251,15,2)),VALUE(MID(A2251,18,2))),"")))</f>
        <v/>
      </c>
    </row>
    <row r="2252" customFormat="false" ht="15" hidden="false" customHeight="false" outlineLevel="0" collapsed="false">
      <c r="I2252" s="15" t="str">
        <f aca="false">IF(N2252="","",INT(N2252))</f>
        <v/>
      </c>
      <c r="J2252" s="16" t="str">
        <f aca="false">IF(B2252="","",IF(N2252=_xlfn.MINIFS($N$2:$N$5001,$B$2:$B$5001,B2252),1,0))</f>
        <v/>
      </c>
      <c r="K2252" s="16" t="str">
        <f aca="false">IF(B2252="","",IF(AND(D2252="Formalização",E2252="Concluído"),IF(COUNTIFS($B$2:$B$5001,B2252,$E$2:$E$5001,"Em ajustes",$N$2:$N$5001,"&lt;"&amp;I2252)&gt;0,1,0),0))</f>
        <v/>
      </c>
      <c r="L2252" s="16" t="str">
        <f aca="false">IF(B2252="","",IF(N2252=_xlfn.MAXIFS($N$2:$N$5001,$B$2:$B$5001,B2252,$I$2:$I$5001,I2252),1,0))</f>
        <v/>
      </c>
      <c r="M2252" s="16" t="str">
        <f aca="false">IF(B2252="","",IF(E2252="Em ajustes",IF(N2252=_xlfn.MINIFS($N$2:$N$5001,$B$2:$B$5001,B2252,$E$2:$E$5001,"Em ajustes"),1,0),0))</f>
        <v/>
      </c>
      <c r="N2252" s="17" t="str">
        <f aca="false">IF(A2252="","",IF(ISNUMBER(A2252),A2252,IFERROR(DATE(VALUE(MID(A2252,7,4)),VALUE(MID(A2252,4,2)),VALUE(MID(A2252,1,2)))+TIME(VALUE(MID(A2252,12,2)),VALUE(MID(A2252,15,2)),VALUE(MID(A2252,18,2))),"")))</f>
        <v/>
      </c>
    </row>
    <row r="2253" customFormat="false" ht="15" hidden="false" customHeight="false" outlineLevel="0" collapsed="false">
      <c r="I2253" s="15" t="str">
        <f aca="false">IF(N2253="","",INT(N2253))</f>
        <v/>
      </c>
      <c r="J2253" s="16" t="str">
        <f aca="false">IF(B2253="","",IF(N2253=_xlfn.MINIFS($N$2:$N$5001,$B$2:$B$5001,B2253),1,0))</f>
        <v/>
      </c>
      <c r="K2253" s="16" t="str">
        <f aca="false">IF(B2253="","",IF(AND(D2253="Formalização",E2253="Concluído"),IF(COUNTIFS($B$2:$B$5001,B2253,$E$2:$E$5001,"Em ajustes",$N$2:$N$5001,"&lt;"&amp;I2253)&gt;0,1,0),0))</f>
        <v/>
      </c>
      <c r="L2253" s="16" t="str">
        <f aca="false">IF(B2253="","",IF(N2253=_xlfn.MAXIFS($N$2:$N$5001,$B$2:$B$5001,B2253,$I$2:$I$5001,I2253),1,0))</f>
        <v/>
      </c>
      <c r="M2253" s="16" t="str">
        <f aca="false">IF(B2253="","",IF(E2253="Em ajustes",IF(N2253=_xlfn.MINIFS($N$2:$N$5001,$B$2:$B$5001,B2253,$E$2:$E$5001,"Em ajustes"),1,0),0))</f>
        <v/>
      </c>
      <c r="N2253" s="17" t="str">
        <f aca="false">IF(A2253="","",IF(ISNUMBER(A2253),A2253,IFERROR(DATE(VALUE(MID(A2253,7,4)),VALUE(MID(A2253,4,2)),VALUE(MID(A2253,1,2)))+TIME(VALUE(MID(A2253,12,2)),VALUE(MID(A2253,15,2)),VALUE(MID(A2253,18,2))),"")))</f>
        <v/>
      </c>
    </row>
    <row r="2254" customFormat="false" ht="15" hidden="false" customHeight="false" outlineLevel="0" collapsed="false">
      <c r="I2254" s="15" t="str">
        <f aca="false">IF(N2254="","",INT(N2254))</f>
        <v/>
      </c>
      <c r="J2254" s="16" t="str">
        <f aca="false">IF(B2254="","",IF(N2254=_xlfn.MINIFS($N$2:$N$5001,$B$2:$B$5001,B2254),1,0))</f>
        <v/>
      </c>
      <c r="K2254" s="16" t="str">
        <f aca="false">IF(B2254="","",IF(AND(D2254="Formalização",E2254="Concluído"),IF(COUNTIFS($B$2:$B$5001,B2254,$E$2:$E$5001,"Em ajustes",$N$2:$N$5001,"&lt;"&amp;I2254)&gt;0,1,0),0))</f>
        <v/>
      </c>
      <c r="L2254" s="16" t="str">
        <f aca="false">IF(B2254="","",IF(N2254=_xlfn.MAXIFS($N$2:$N$5001,$B$2:$B$5001,B2254,$I$2:$I$5001,I2254),1,0))</f>
        <v/>
      </c>
      <c r="M2254" s="16" t="str">
        <f aca="false">IF(B2254="","",IF(E2254="Em ajustes",IF(N2254=_xlfn.MINIFS($N$2:$N$5001,$B$2:$B$5001,B2254,$E$2:$E$5001,"Em ajustes"),1,0),0))</f>
        <v/>
      </c>
      <c r="N2254" s="17" t="str">
        <f aca="false">IF(A2254="","",IF(ISNUMBER(A2254),A2254,IFERROR(DATE(VALUE(MID(A2254,7,4)),VALUE(MID(A2254,4,2)),VALUE(MID(A2254,1,2)))+TIME(VALUE(MID(A2254,12,2)),VALUE(MID(A2254,15,2)),VALUE(MID(A2254,18,2))),"")))</f>
        <v/>
      </c>
    </row>
    <row r="2255" customFormat="false" ht="15" hidden="false" customHeight="false" outlineLevel="0" collapsed="false">
      <c r="I2255" s="15" t="str">
        <f aca="false">IF(N2255="","",INT(N2255))</f>
        <v/>
      </c>
      <c r="J2255" s="16" t="str">
        <f aca="false">IF(B2255="","",IF(N2255=_xlfn.MINIFS($N$2:$N$5001,$B$2:$B$5001,B2255),1,0))</f>
        <v/>
      </c>
      <c r="K2255" s="16" t="str">
        <f aca="false">IF(B2255="","",IF(AND(D2255="Formalização",E2255="Concluído"),IF(COUNTIFS($B$2:$B$5001,B2255,$E$2:$E$5001,"Em ajustes",$N$2:$N$5001,"&lt;"&amp;I2255)&gt;0,1,0),0))</f>
        <v/>
      </c>
      <c r="L2255" s="16" t="str">
        <f aca="false">IF(B2255="","",IF(N2255=_xlfn.MAXIFS($N$2:$N$5001,$B$2:$B$5001,B2255,$I$2:$I$5001,I2255),1,0))</f>
        <v/>
      </c>
      <c r="M2255" s="16" t="str">
        <f aca="false">IF(B2255="","",IF(E2255="Em ajustes",IF(N2255=_xlfn.MINIFS($N$2:$N$5001,$B$2:$B$5001,B2255,$E$2:$E$5001,"Em ajustes"),1,0),0))</f>
        <v/>
      </c>
      <c r="N2255" s="17" t="str">
        <f aca="false">IF(A2255="","",IF(ISNUMBER(A2255),A2255,IFERROR(DATE(VALUE(MID(A2255,7,4)),VALUE(MID(A2255,4,2)),VALUE(MID(A2255,1,2)))+TIME(VALUE(MID(A2255,12,2)),VALUE(MID(A2255,15,2)),VALUE(MID(A2255,18,2))),"")))</f>
        <v/>
      </c>
    </row>
    <row r="2256" customFormat="false" ht="15" hidden="false" customHeight="false" outlineLevel="0" collapsed="false">
      <c r="I2256" s="15" t="str">
        <f aca="false">IF(N2256="","",INT(N2256))</f>
        <v/>
      </c>
      <c r="J2256" s="16" t="str">
        <f aca="false">IF(B2256="","",IF(N2256=_xlfn.MINIFS($N$2:$N$5001,$B$2:$B$5001,B2256),1,0))</f>
        <v/>
      </c>
      <c r="K2256" s="16" t="str">
        <f aca="false">IF(B2256="","",IF(AND(D2256="Formalização",E2256="Concluído"),IF(COUNTIFS($B$2:$B$5001,B2256,$E$2:$E$5001,"Em ajustes",$N$2:$N$5001,"&lt;"&amp;I2256)&gt;0,1,0),0))</f>
        <v/>
      </c>
      <c r="L2256" s="16" t="str">
        <f aca="false">IF(B2256="","",IF(N2256=_xlfn.MAXIFS($N$2:$N$5001,$B$2:$B$5001,B2256,$I$2:$I$5001,I2256),1,0))</f>
        <v/>
      </c>
      <c r="M2256" s="16" t="str">
        <f aca="false">IF(B2256="","",IF(E2256="Em ajustes",IF(N2256=_xlfn.MINIFS($N$2:$N$5001,$B$2:$B$5001,B2256,$E$2:$E$5001,"Em ajustes"),1,0),0))</f>
        <v/>
      </c>
      <c r="N2256" s="17" t="str">
        <f aca="false">IF(A2256="","",IF(ISNUMBER(A2256),A2256,IFERROR(DATE(VALUE(MID(A2256,7,4)),VALUE(MID(A2256,4,2)),VALUE(MID(A2256,1,2)))+TIME(VALUE(MID(A2256,12,2)),VALUE(MID(A2256,15,2)),VALUE(MID(A2256,18,2))),"")))</f>
        <v/>
      </c>
    </row>
    <row r="2257" customFormat="false" ht="15" hidden="false" customHeight="false" outlineLevel="0" collapsed="false">
      <c r="I2257" s="15" t="str">
        <f aca="false">IF(N2257="","",INT(N2257))</f>
        <v/>
      </c>
      <c r="J2257" s="16" t="str">
        <f aca="false">IF(B2257="","",IF(N2257=_xlfn.MINIFS($N$2:$N$5001,$B$2:$B$5001,B2257),1,0))</f>
        <v/>
      </c>
      <c r="K2257" s="16" t="str">
        <f aca="false">IF(B2257="","",IF(AND(D2257="Formalização",E2257="Concluído"),IF(COUNTIFS($B$2:$B$5001,B2257,$E$2:$E$5001,"Em ajustes",$N$2:$N$5001,"&lt;"&amp;I2257)&gt;0,1,0),0))</f>
        <v/>
      </c>
      <c r="L2257" s="16" t="str">
        <f aca="false">IF(B2257="","",IF(N2257=_xlfn.MAXIFS($N$2:$N$5001,$B$2:$B$5001,B2257,$I$2:$I$5001,I2257),1,0))</f>
        <v/>
      </c>
      <c r="M2257" s="16" t="str">
        <f aca="false">IF(B2257="","",IF(E2257="Em ajustes",IF(N2257=_xlfn.MINIFS($N$2:$N$5001,$B$2:$B$5001,B2257,$E$2:$E$5001,"Em ajustes"),1,0),0))</f>
        <v/>
      </c>
      <c r="N2257" s="17" t="str">
        <f aca="false">IF(A2257="","",IF(ISNUMBER(A2257),A2257,IFERROR(DATE(VALUE(MID(A2257,7,4)),VALUE(MID(A2257,4,2)),VALUE(MID(A2257,1,2)))+TIME(VALUE(MID(A2257,12,2)),VALUE(MID(A2257,15,2)),VALUE(MID(A2257,18,2))),"")))</f>
        <v/>
      </c>
    </row>
    <row r="2258" customFormat="false" ht="15" hidden="false" customHeight="false" outlineLevel="0" collapsed="false">
      <c r="I2258" s="15" t="str">
        <f aca="false">IF(N2258="","",INT(N2258))</f>
        <v/>
      </c>
      <c r="J2258" s="16" t="str">
        <f aca="false">IF(B2258="","",IF(N2258=_xlfn.MINIFS($N$2:$N$5001,$B$2:$B$5001,B2258),1,0))</f>
        <v/>
      </c>
      <c r="K2258" s="16" t="str">
        <f aca="false">IF(B2258="","",IF(AND(D2258="Formalização",E2258="Concluído"),IF(COUNTIFS($B$2:$B$5001,B2258,$E$2:$E$5001,"Em ajustes",$N$2:$N$5001,"&lt;"&amp;I2258)&gt;0,1,0),0))</f>
        <v/>
      </c>
      <c r="L2258" s="16" t="str">
        <f aca="false">IF(B2258="","",IF(N2258=_xlfn.MAXIFS($N$2:$N$5001,$B$2:$B$5001,B2258,$I$2:$I$5001,I2258),1,0))</f>
        <v/>
      </c>
      <c r="M2258" s="16" t="str">
        <f aca="false">IF(B2258="","",IF(E2258="Em ajustes",IF(N2258=_xlfn.MINIFS($N$2:$N$5001,$B$2:$B$5001,B2258,$E$2:$E$5001,"Em ajustes"),1,0),0))</f>
        <v/>
      </c>
      <c r="N2258" s="17" t="str">
        <f aca="false">IF(A2258="","",IF(ISNUMBER(A2258),A2258,IFERROR(DATE(VALUE(MID(A2258,7,4)),VALUE(MID(A2258,4,2)),VALUE(MID(A2258,1,2)))+TIME(VALUE(MID(A2258,12,2)),VALUE(MID(A2258,15,2)),VALUE(MID(A2258,18,2))),"")))</f>
        <v/>
      </c>
    </row>
    <row r="2259" customFormat="false" ht="15" hidden="false" customHeight="false" outlineLevel="0" collapsed="false">
      <c r="I2259" s="15" t="str">
        <f aca="false">IF(N2259="","",INT(N2259))</f>
        <v/>
      </c>
      <c r="J2259" s="16" t="str">
        <f aca="false">IF(B2259="","",IF(N2259=_xlfn.MINIFS($N$2:$N$5001,$B$2:$B$5001,B2259),1,0))</f>
        <v/>
      </c>
      <c r="K2259" s="16" t="str">
        <f aca="false">IF(B2259="","",IF(AND(D2259="Formalização",E2259="Concluído"),IF(COUNTIFS($B$2:$B$5001,B2259,$E$2:$E$5001,"Em ajustes",$N$2:$N$5001,"&lt;"&amp;I2259)&gt;0,1,0),0))</f>
        <v/>
      </c>
      <c r="L2259" s="16" t="str">
        <f aca="false">IF(B2259="","",IF(N2259=_xlfn.MAXIFS($N$2:$N$5001,$B$2:$B$5001,B2259,$I$2:$I$5001,I2259),1,0))</f>
        <v/>
      </c>
      <c r="M2259" s="16" t="str">
        <f aca="false">IF(B2259="","",IF(E2259="Em ajustes",IF(N2259=_xlfn.MINIFS($N$2:$N$5001,$B$2:$B$5001,B2259,$E$2:$E$5001,"Em ajustes"),1,0),0))</f>
        <v/>
      </c>
      <c r="N2259" s="17" t="str">
        <f aca="false">IF(A2259="","",IF(ISNUMBER(A2259),A2259,IFERROR(DATE(VALUE(MID(A2259,7,4)),VALUE(MID(A2259,4,2)),VALUE(MID(A2259,1,2)))+TIME(VALUE(MID(A2259,12,2)),VALUE(MID(A2259,15,2)),VALUE(MID(A2259,18,2))),"")))</f>
        <v/>
      </c>
    </row>
    <row r="2260" customFormat="false" ht="15" hidden="false" customHeight="false" outlineLevel="0" collapsed="false">
      <c r="I2260" s="15" t="str">
        <f aca="false">IF(N2260="","",INT(N2260))</f>
        <v/>
      </c>
      <c r="J2260" s="16" t="str">
        <f aca="false">IF(B2260="","",IF(N2260=_xlfn.MINIFS($N$2:$N$5001,$B$2:$B$5001,B2260),1,0))</f>
        <v/>
      </c>
      <c r="K2260" s="16" t="str">
        <f aca="false">IF(B2260="","",IF(AND(D2260="Formalização",E2260="Concluído"),IF(COUNTIFS($B$2:$B$5001,B2260,$E$2:$E$5001,"Em ajustes",$N$2:$N$5001,"&lt;"&amp;I2260)&gt;0,1,0),0))</f>
        <v/>
      </c>
      <c r="L2260" s="16" t="str">
        <f aca="false">IF(B2260="","",IF(N2260=_xlfn.MAXIFS($N$2:$N$5001,$B$2:$B$5001,B2260,$I$2:$I$5001,I2260),1,0))</f>
        <v/>
      </c>
      <c r="M2260" s="16" t="str">
        <f aca="false">IF(B2260="","",IF(E2260="Em ajustes",IF(N2260=_xlfn.MINIFS($N$2:$N$5001,$B$2:$B$5001,B2260,$E$2:$E$5001,"Em ajustes"),1,0),0))</f>
        <v/>
      </c>
      <c r="N2260" s="17" t="str">
        <f aca="false">IF(A2260="","",IF(ISNUMBER(A2260),A2260,IFERROR(DATE(VALUE(MID(A2260,7,4)),VALUE(MID(A2260,4,2)),VALUE(MID(A2260,1,2)))+TIME(VALUE(MID(A2260,12,2)),VALUE(MID(A2260,15,2)),VALUE(MID(A2260,18,2))),"")))</f>
        <v/>
      </c>
    </row>
    <row r="2261" customFormat="false" ht="15" hidden="false" customHeight="false" outlineLevel="0" collapsed="false">
      <c r="I2261" s="15" t="str">
        <f aca="false">IF(N2261="","",INT(N2261))</f>
        <v/>
      </c>
      <c r="J2261" s="16" t="str">
        <f aca="false">IF(B2261="","",IF(N2261=_xlfn.MINIFS($N$2:$N$5001,$B$2:$B$5001,B2261),1,0))</f>
        <v/>
      </c>
      <c r="K2261" s="16" t="str">
        <f aca="false">IF(B2261="","",IF(AND(D2261="Formalização",E2261="Concluído"),IF(COUNTIFS($B$2:$B$5001,B2261,$E$2:$E$5001,"Em ajustes",$N$2:$N$5001,"&lt;"&amp;I2261)&gt;0,1,0),0))</f>
        <v/>
      </c>
      <c r="L2261" s="16" t="str">
        <f aca="false">IF(B2261="","",IF(N2261=_xlfn.MAXIFS($N$2:$N$5001,$B$2:$B$5001,B2261,$I$2:$I$5001,I2261),1,0))</f>
        <v/>
      </c>
      <c r="M2261" s="16" t="str">
        <f aca="false">IF(B2261="","",IF(E2261="Em ajustes",IF(N2261=_xlfn.MINIFS($N$2:$N$5001,$B$2:$B$5001,B2261,$E$2:$E$5001,"Em ajustes"),1,0),0))</f>
        <v/>
      </c>
      <c r="N2261" s="17" t="str">
        <f aca="false">IF(A2261="","",IF(ISNUMBER(A2261),A2261,IFERROR(DATE(VALUE(MID(A2261,7,4)),VALUE(MID(A2261,4,2)),VALUE(MID(A2261,1,2)))+TIME(VALUE(MID(A2261,12,2)),VALUE(MID(A2261,15,2)),VALUE(MID(A2261,18,2))),"")))</f>
        <v/>
      </c>
    </row>
    <row r="2262" customFormat="false" ht="15" hidden="false" customHeight="false" outlineLevel="0" collapsed="false">
      <c r="I2262" s="15" t="str">
        <f aca="false">IF(N2262="","",INT(N2262))</f>
        <v/>
      </c>
      <c r="J2262" s="16" t="str">
        <f aca="false">IF(B2262="","",IF(N2262=_xlfn.MINIFS($N$2:$N$5001,$B$2:$B$5001,B2262),1,0))</f>
        <v/>
      </c>
      <c r="K2262" s="16" t="str">
        <f aca="false">IF(B2262="","",IF(AND(D2262="Formalização",E2262="Concluído"),IF(COUNTIFS($B$2:$B$5001,B2262,$E$2:$E$5001,"Em ajustes",$N$2:$N$5001,"&lt;"&amp;I2262)&gt;0,1,0),0))</f>
        <v/>
      </c>
      <c r="L2262" s="16" t="str">
        <f aca="false">IF(B2262="","",IF(N2262=_xlfn.MAXIFS($N$2:$N$5001,$B$2:$B$5001,B2262,$I$2:$I$5001,I2262),1,0))</f>
        <v/>
      </c>
      <c r="M2262" s="16" t="str">
        <f aca="false">IF(B2262="","",IF(E2262="Em ajustes",IF(N2262=_xlfn.MINIFS($N$2:$N$5001,$B$2:$B$5001,B2262,$E$2:$E$5001,"Em ajustes"),1,0),0))</f>
        <v/>
      </c>
      <c r="N2262" s="17" t="str">
        <f aca="false">IF(A2262="","",IF(ISNUMBER(A2262),A2262,IFERROR(DATE(VALUE(MID(A2262,7,4)),VALUE(MID(A2262,4,2)),VALUE(MID(A2262,1,2)))+TIME(VALUE(MID(A2262,12,2)),VALUE(MID(A2262,15,2)),VALUE(MID(A2262,18,2))),"")))</f>
        <v/>
      </c>
    </row>
    <row r="2263" customFormat="false" ht="15" hidden="false" customHeight="false" outlineLevel="0" collapsed="false">
      <c r="I2263" s="15" t="str">
        <f aca="false">IF(N2263="","",INT(N2263))</f>
        <v/>
      </c>
      <c r="J2263" s="16" t="str">
        <f aca="false">IF(B2263="","",IF(N2263=_xlfn.MINIFS($N$2:$N$5001,$B$2:$B$5001,B2263),1,0))</f>
        <v/>
      </c>
      <c r="K2263" s="16" t="str">
        <f aca="false">IF(B2263="","",IF(AND(D2263="Formalização",E2263="Concluído"),IF(COUNTIFS($B$2:$B$5001,B2263,$E$2:$E$5001,"Em ajustes",$N$2:$N$5001,"&lt;"&amp;I2263)&gt;0,1,0),0))</f>
        <v/>
      </c>
      <c r="L2263" s="16" t="str">
        <f aca="false">IF(B2263="","",IF(N2263=_xlfn.MAXIFS($N$2:$N$5001,$B$2:$B$5001,B2263,$I$2:$I$5001,I2263),1,0))</f>
        <v/>
      </c>
      <c r="M2263" s="16" t="str">
        <f aca="false">IF(B2263="","",IF(E2263="Em ajustes",IF(N2263=_xlfn.MINIFS($N$2:$N$5001,$B$2:$B$5001,B2263,$E$2:$E$5001,"Em ajustes"),1,0),0))</f>
        <v/>
      </c>
      <c r="N2263" s="17" t="str">
        <f aca="false">IF(A2263="","",IF(ISNUMBER(A2263),A2263,IFERROR(DATE(VALUE(MID(A2263,7,4)),VALUE(MID(A2263,4,2)),VALUE(MID(A2263,1,2)))+TIME(VALUE(MID(A2263,12,2)),VALUE(MID(A2263,15,2)),VALUE(MID(A2263,18,2))),"")))</f>
        <v/>
      </c>
    </row>
    <row r="2264" customFormat="false" ht="15" hidden="false" customHeight="false" outlineLevel="0" collapsed="false">
      <c r="I2264" s="15" t="str">
        <f aca="false">IF(N2264="","",INT(N2264))</f>
        <v/>
      </c>
      <c r="J2264" s="16" t="str">
        <f aca="false">IF(B2264="","",IF(N2264=_xlfn.MINIFS($N$2:$N$5001,$B$2:$B$5001,B2264),1,0))</f>
        <v/>
      </c>
      <c r="K2264" s="16" t="str">
        <f aca="false">IF(B2264="","",IF(AND(D2264="Formalização",E2264="Concluído"),IF(COUNTIFS($B$2:$B$5001,B2264,$E$2:$E$5001,"Em ajustes",$N$2:$N$5001,"&lt;"&amp;I2264)&gt;0,1,0),0))</f>
        <v/>
      </c>
      <c r="L2264" s="16" t="str">
        <f aca="false">IF(B2264="","",IF(N2264=_xlfn.MAXIFS($N$2:$N$5001,$B$2:$B$5001,B2264,$I$2:$I$5001,I2264),1,0))</f>
        <v/>
      </c>
      <c r="M2264" s="16" t="str">
        <f aca="false">IF(B2264="","",IF(E2264="Em ajustes",IF(N2264=_xlfn.MINIFS($N$2:$N$5001,$B$2:$B$5001,B2264,$E$2:$E$5001,"Em ajustes"),1,0),0))</f>
        <v/>
      </c>
      <c r="N2264" s="17" t="str">
        <f aca="false">IF(A2264="","",IF(ISNUMBER(A2264),A2264,IFERROR(DATE(VALUE(MID(A2264,7,4)),VALUE(MID(A2264,4,2)),VALUE(MID(A2264,1,2)))+TIME(VALUE(MID(A2264,12,2)),VALUE(MID(A2264,15,2)),VALUE(MID(A2264,18,2))),"")))</f>
        <v/>
      </c>
    </row>
    <row r="2265" customFormat="false" ht="15" hidden="false" customHeight="false" outlineLevel="0" collapsed="false">
      <c r="I2265" s="15" t="str">
        <f aca="false">IF(N2265="","",INT(N2265))</f>
        <v/>
      </c>
      <c r="J2265" s="16" t="str">
        <f aca="false">IF(B2265="","",IF(N2265=_xlfn.MINIFS($N$2:$N$5001,$B$2:$B$5001,B2265),1,0))</f>
        <v/>
      </c>
      <c r="K2265" s="16" t="str">
        <f aca="false">IF(B2265="","",IF(AND(D2265="Formalização",E2265="Concluído"),IF(COUNTIFS($B$2:$B$5001,B2265,$E$2:$E$5001,"Em ajustes",$N$2:$N$5001,"&lt;"&amp;I2265)&gt;0,1,0),0))</f>
        <v/>
      </c>
      <c r="L2265" s="16" t="str">
        <f aca="false">IF(B2265="","",IF(N2265=_xlfn.MAXIFS($N$2:$N$5001,$B$2:$B$5001,B2265,$I$2:$I$5001,I2265),1,0))</f>
        <v/>
      </c>
      <c r="M2265" s="16" t="str">
        <f aca="false">IF(B2265="","",IF(E2265="Em ajustes",IF(N2265=_xlfn.MINIFS($N$2:$N$5001,$B$2:$B$5001,B2265,$E$2:$E$5001,"Em ajustes"),1,0),0))</f>
        <v/>
      </c>
      <c r="N2265" s="17" t="str">
        <f aca="false">IF(A2265="","",IF(ISNUMBER(A2265),A2265,IFERROR(DATE(VALUE(MID(A2265,7,4)),VALUE(MID(A2265,4,2)),VALUE(MID(A2265,1,2)))+TIME(VALUE(MID(A2265,12,2)),VALUE(MID(A2265,15,2)),VALUE(MID(A2265,18,2))),"")))</f>
        <v/>
      </c>
    </row>
    <row r="2266" customFormat="false" ht="15" hidden="false" customHeight="false" outlineLevel="0" collapsed="false">
      <c r="I2266" s="15" t="str">
        <f aca="false">IF(N2266="","",INT(N2266))</f>
        <v/>
      </c>
      <c r="J2266" s="16" t="str">
        <f aca="false">IF(B2266="","",IF(N2266=_xlfn.MINIFS($N$2:$N$5001,$B$2:$B$5001,B2266),1,0))</f>
        <v/>
      </c>
      <c r="K2266" s="16" t="str">
        <f aca="false">IF(B2266="","",IF(AND(D2266="Formalização",E2266="Concluído"),IF(COUNTIFS($B$2:$B$5001,B2266,$E$2:$E$5001,"Em ajustes",$N$2:$N$5001,"&lt;"&amp;I2266)&gt;0,1,0),0))</f>
        <v/>
      </c>
      <c r="L2266" s="16" t="str">
        <f aca="false">IF(B2266="","",IF(N2266=_xlfn.MAXIFS($N$2:$N$5001,$B$2:$B$5001,B2266,$I$2:$I$5001,I2266),1,0))</f>
        <v/>
      </c>
      <c r="M2266" s="16" t="str">
        <f aca="false">IF(B2266="","",IF(E2266="Em ajustes",IF(N2266=_xlfn.MINIFS($N$2:$N$5001,$B$2:$B$5001,B2266,$E$2:$E$5001,"Em ajustes"),1,0),0))</f>
        <v/>
      </c>
      <c r="N2266" s="17" t="str">
        <f aca="false">IF(A2266="","",IF(ISNUMBER(A2266),A2266,IFERROR(DATE(VALUE(MID(A2266,7,4)),VALUE(MID(A2266,4,2)),VALUE(MID(A2266,1,2)))+TIME(VALUE(MID(A2266,12,2)),VALUE(MID(A2266,15,2)),VALUE(MID(A2266,18,2))),"")))</f>
        <v/>
      </c>
    </row>
    <row r="2267" customFormat="false" ht="15" hidden="false" customHeight="false" outlineLevel="0" collapsed="false">
      <c r="I2267" s="15" t="str">
        <f aca="false">IF(N2267="","",INT(N2267))</f>
        <v/>
      </c>
      <c r="J2267" s="16" t="str">
        <f aca="false">IF(B2267="","",IF(N2267=_xlfn.MINIFS($N$2:$N$5001,$B$2:$B$5001,B2267),1,0))</f>
        <v/>
      </c>
      <c r="K2267" s="16" t="str">
        <f aca="false">IF(B2267="","",IF(AND(D2267="Formalização",E2267="Concluído"),IF(COUNTIFS($B$2:$B$5001,B2267,$E$2:$E$5001,"Em ajustes",$N$2:$N$5001,"&lt;"&amp;I2267)&gt;0,1,0),0))</f>
        <v/>
      </c>
      <c r="L2267" s="16" t="str">
        <f aca="false">IF(B2267="","",IF(N2267=_xlfn.MAXIFS($N$2:$N$5001,$B$2:$B$5001,B2267,$I$2:$I$5001,I2267),1,0))</f>
        <v/>
      </c>
      <c r="M2267" s="16" t="str">
        <f aca="false">IF(B2267="","",IF(E2267="Em ajustes",IF(N2267=_xlfn.MINIFS($N$2:$N$5001,$B$2:$B$5001,B2267,$E$2:$E$5001,"Em ajustes"),1,0),0))</f>
        <v/>
      </c>
      <c r="N2267" s="17" t="str">
        <f aca="false">IF(A2267="","",IF(ISNUMBER(A2267),A2267,IFERROR(DATE(VALUE(MID(A2267,7,4)),VALUE(MID(A2267,4,2)),VALUE(MID(A2267,1,2)))+TIME(VALUE(MID(A2267,12,2)),VALUE(MID(A2267,15,2)),VALUE(MID(A2267,18,2))),"")))</f>
        <v/>
      </c>
    </row>
    <row r="2268" customFormat="false" ht="15" hidden="false" customHeight="false" outlineLevel="0" collapsed="false">
      <c r="I2268" s="15" t="str">
        <f aca="false">IF(N2268="","",INT(N2268))</f>
        <v/>
      </c>
      <c r="J2268" s="16" t="str">
        <f aca="false">IF(B2268="","",IF(N2268=_xlfn.MINIFS($N$2:$N$5001,$B$2:$B$5001,B2268),1,0))</f>
        <v/>
      </c>
      <c r="K2268" s="16" t="str">
        <f aca="false">IF(B2268="","",IF(AND(D2268="Formalização",E2268="Concluído"),IF(COUNTIFS($B$2:$B$5001,B2268,$E$2:$E$5001,"Em ajustes",$N$2:$N$5001,"&lt;"&amp;I2268)&gt;0,1,0),0))</f>
        <v/>
      </c>
      <c r="L2268" s="16" t="str">
        <f aca="false">IF(B2268="","",IF(N2268=_xlfn.MAXIFS($N$2:$N$5001,$B$2:$B$5001,B2268,$I$2:$I$5001,I2268),1,0))</f>
        <v/>
      </c>
      <c r="M2268" s="16" t="str">
        <f aca="false">IF(B2268="","",IF(E2268="Em ajustes",IF(N2268=_xlfn.MINIFS($N$2:$N$5001,$B$2:$B$5001,B2268,$E$2:$E$5001,"Em ajustes"),1,0),0))</f>
        <v/>
      </c>
      <c r="N2268" s="17" t="str">
        <f aca="false">IF(A2268="","",IF(ISNUMBER(A2268),A2268,IFERROR(DATE(VALUE(MID(A2268,7,4)),VALUE(MID(A2268,4,2)),VALUE(MID(A2268,1,2)))+TIME(VALUE(MID(A2268,12,2)),VALUE(MID(A2268,15,2)),VALUE(MID(A2268,18,2))),"")))</f>
        <v/>
      </c>
    </row>
    <row r="2269" customFormat="false" ht="15" hidden="false" customHeight="false" outlineLevel="0" collapsed="false">
      <c r="I2269" s="15" t="str">
        <f aca="false">IF(N2269="","",INT(N2269))</f>
        <v/>
      </c>
      <c r="J2269" s="16" t="str">
        <f aca="false">IF(B2269="","",IF(N2269=_xlfn.MINIFS($N$2:$N$5001,$B$2:$B$5001,B2269),1,0))</f>
        <v/>
      </c>
      <c r="K2269" s="16" t="str">
        <f aca="false">IF(B2269="","",IF(AND(D2269="Formalização",E2269="Concluído"),IF(COUNTIFS($B$2:$B$5001,B2269,$E$2:$E$5001,"Em ajustes",$N$2:$N$5001,"&lt;"&amp;I2269)&gt;0,1,0),0))</f>
        <v/>
      </c>
      <c r="L2269" s="16" t="str">
        <f aca="false">IF(B2269="","",IF(N2269=_xlfn.MAXIFS($N$2:$N$5001,$B$2:$B$5001,B2269,$I$2:$I$5001,I2269),1,0))</f>
        <v/>
      </c>
      <c r="M2269" s="16" t="str">
        <f aca="false">IF(B2269="","",IF(E2269="Em ajustes",IF(N2269=_xlfn.MINIFS($N$2:$N$5001,$B$2:$B$5001,B2269,$E$2:$E$5001,"Em ajustes"),1,0),0))</f>
        <v/>
      </c>
      <c r="N2269" s="17" t="str">
        <f aca="false">IF(A2269="","",IF(ISNUMBER(A2269),A2269,IFERROR(DATE(VALUE(MID(A2269,7,4)),VALUE(MID(A2269,4,2)),VALUE(MID(A2269,1,2)))+TIME(VALUE(MID(A2269,12,2)),VALUE(MID(A2269,15,2)),VALUE(MID(A2269,18,2))),"")))</f>
        <v/>
      </c>
    </row>
    <row r="2270" customFormat="false" ht="15" hidden="false" customHeight="false" outlineLevel="0" collapsed="false">
      <c r="I2270" s="15" t="str">
        <f aca="false">IF(N2270="","",INT(N2270))</f>
        <v/>
      </c>
      <c r="J2270" s="16" t="str">
        <f aca="false">IF(B2270="","",IF(N2270=_xlfn.MINIFS($N$2:$N$5001,$B$2:$B$5001,B2270),1,0))</f>
        <v/>
      </c>
      <c r="K2270" s="16" t="str">
        <f aca="false">IF(B2270="","",IF(AND(D2270="Formalização",E2270="Concluído"),IF(COUNTIFS($B$2:$B$5001,B2270,$E$2:$E$5001,"Em ajustes",$N$2:$N$5001,"&lt;"&amp;I2270)&gt;0,1,0),0))</f>
        <v/>
      </c>
      <c r="L2270" s="16" t="str">
        <f aca="false">IF(B2270="","",IF(N2270=_xlfn.MAXIFS($N$2:$N$5001,$B$2:$B$5001,B2270,$I$2:$I$5001,I2270),1,0))</f>
        <v/>
      </c>
      <c r="M2270" s="16" t="str">
        <f aca="false">IF(B2270="","",IF(E2270="Em ajustes",IF(N2270=_xlfn.MINIFS($N$2:$N$5001,$B$2:$B$5001,B2270,$E$2:$E$5001,"Em ajustes"),1,0),0))</f>
        <v/>
      </c>
      <c r="N2270" s="17" t="str">
        <f aca="false">IF(A2270="","",IF(ISNUMBER(A2270),A2270,IFERROR(DATE(VALUE(MID(A2270,7,4)),VALUE(MID(A2270,4,2)),VALUE(MID(A2270,1,2)))+TIME(VALUE(MID(A2270,12,2)),VALUE(MID(A2270,15,2)),VALUE(MID(A2270,18,2))),"")))</f>
        <v/>
      </c>
    </row>
    <row r="2271" customFormat="false" ht="15" hidden="false" customHeight="false" outlineLevel="0" collapsed="false">
      <c r="I2271" s="15" t="str">
        <f aca="false">IF(N2271="","",INT(N2271))</f>
        <v/>
      </c>
      <c r="J2271" s="16" t="str">
        <f aca="false">IF(B2271="","",IF(N2271=_xlfn.MINIFS($N$2:$N$5001,$B$2:$B$5001,B2271),1,0))</f>
        <v/>
      </c>
      <c r="K2271" s="16" t="str">
        <f aca="false">IF(B2271="","",IF(AND(D2271="Formalização",E2271="Concluído"),IF(COUNTIFS($B$2:$B$5001,B2271,$E$2:$E$5001,"Em ajustes",$N$2:$N$5001,"&lt;"&amp;I2271)&gt;0,1,0),0))</f>
        <v/>
      </c>
      <c r="L2271" s="16" t="str">
        <f aca="false">IF(B2271="","",IF(N2271=_xlfn.MAXIFS($N$2:$N$5001,$B$2:$B$5001,B2271,$I$2:$I$5001,I2271),1,0))</f>
        <v/>
      </c>
      <c r="M2271" s="16" t="str">
        <f aca="false">IF(B2271="","",IF(E2271="Em ajustes",IF(N2271=_xlfn.MINIFS($N$2:$N$5001,$B$2:$B$5001,B2271,$E$2:$E$5001,"Em ajustes"),1,0),0))</f>
        <v/>
      </c>
      <c r="N2271" s="17" t="str">
        <f aca="false">IF(A2271="","",IF(ISNUMBER(A2271),A2271,IFERROR(DATE(VALUE(MID(A2271,7,4)),VALUE(MID(A2271,4,2)),VALUE(MID(A2271,1,2)))+TIME(VALUE(MID(A2271,12,2)),VALUE(MID(A2271,15,2)),VALUE(MID(A2271,18,2))),"")))</f>
        <v/>
      </c>
    </row>
    <row r="2272" customFormat="false" ht="15" hidden="false" customHeight="false" outlineLevel="0" collapsed="false">
      <c r="I2272" s="15" t="str">
        <f aca="false">IF(N2272="","",INT(N2272))</f>
        <v/>
      </c>
      <c r="J2272" s="16" t="str">
        <f aca="false">IF(B2272="","",IF(N2272=_xlfn.MINIFS($N$2:$N$5001,$B$2:$B$5001,B2272),1,0))</f>
        <v/>
      </c>
      <c r="K2272" s="16" t="str">
        <f aca="false">IF(B2272="","",IF(AND(D2272="Formalização",E2272="Concluído"),IF(COUNTIFS($B$2:$B$5001,B2272,$E$2:$E$5001,"Em ajustes",$N$2:$N$5001,"&lt;"&amp;I2272)&gt;0,1,0),0))</f>
        <v/>
      </c>
      <c r="L2272" s="16" t="str">
        <f aca="false">IF(B2272="","",IF(N2272=_xlfn.MAXIFS($N$2:$N$5001,$B$2:$B$5001,B2272,$I$2:$I$5001,I2272),1,0))</f>
        <v/>
      </c>
      <c r="M2272" s="16" t="str">
        <f aca="false">IF(B2272="","",IF(E2272="Em ajustes",IF(N2272=_xlfn.MINIFS($N$2:$N$5001,$B$2:$B$5001,B2272,$E$2:$E$5001,"Em ajustes"),1,0),0))</f>
        <v/>
      </c>
      <c r="N2272" s="17" t="str">
        <f aca="false">IF(A2272="","",IF(ISNUMBER(A2272),A2272,IFERROR(DATE(VALUE(MID(A2272,7,4)),VALUE(MID(A2272,4,2)),VALUE(MID(A2272,1,2)))+TIME(VALUE(MID(A2272,12,2)),VALUE(MID(A2272,15,2)),VALUE(MID(A2272,18,2))),"")))</f>
        <v/>
      </c>
    </row>
    <row r="2273" customFormat="false" ht="15" hidden="false" customHeight="false" outlineLevel="0" collapsed="false">
      <c r="I2273" s="15" t="str">
        <f aca="false">IF(N2273="","",INT(N2273))</f>
        <v/>
      </c>
      <c r="J2273" s="16" t="str">
        <f aca="false">IF(B2273="","",IF(N2273=_xlfn.MINIFS($N$2:$N$5001,$B$2:$B$5001,B2273),1,0))</f>
        <v/>
      </c>
      <c r="K2273" s="16" t="str">
        <f aca="false">IF(B2273="","",IF(AND(D2273="Formalização",E2273="Concluído"),IF(COUNTIFS($B$2:$B$5001,B2273,$E$2:$E$5001,"Em ajustes",$N$2:$N$5001,"&lt;"&amp;I2273)&gt;0,1,0),0))</f>
        <v/>
      </c>
      <c r="L2273" s="16" t="str">
        <f aca="false">IF(B2273="","",IF(N2273=_xlfn.MAXIFS($N$2:$N$5001,$B$2:$B$5001,B2273,$I$2:$I$5001,I2273),1,0))</f>
        <v/>
      </c>
      <c r="M2273" s="16" t="str">
        <f aca="false">IF(B2273="","",IF(E2273="Em ajustes",IF(N2273=_xlfn.MINIFS($N$2:$N$5001,$B$2:$B$5001,B2273,$E$2:$E$5001,"Em ajustes"),1,0),0))</f>
        <v/>
      </c>
      <c r="N2273" s="17" t="str">
        <f aca="false">IF(A2273="","",IF(ISNUMBER(A2273),A2273,IFERROR(DATE(VALUE(MID(A2273,7,4)),VALUE(MID(A2273,4,2)),VALUE(MID(A2273,1,2)))+TIME(VALUE(MID(A2273,12,2)),VALUE(MID(A2273,15,2)),VALUE(MID(A2273,18,2))),"")))</f>
        <v/>
      </c>
    </row>
    <row r="2274" customFormat="false" ht="15" hidden="false" customHeight="false" outlineLevel="0" collapsed="false">
      <c r="I2274" s="15" t="str">
        <f aca="false">IF(N2274="","",INT(N2274))</f>
        <v/>
      </c>
      <c r="J2274" s="16" t="str">
        <f aca="false">IF(B2274="","",IF(N2274=_xlfn.MINIFS($N$2:$N$5001,$B$2:$B$5001,B2274),1,0))</f>
        <v/>
      </c>
      <c r="K2274" s="16" t="str">
        <f aca="false">IF(B2274="","",IF(AND(D2274="Formalização",E2274="Concluído"),IF(COUNTIFS($B$2:$B$5001,B2274,$E$2:$E$5001,"Em ajustes",$N$2:$N$5001,"&lt;"&amp;I2274)&gt;0,1,0),0))</f>
        <v/>
      </c>
      <c r="L2274" s="16" t="str">
        <f aca="false">IF(B2274="","",IF(N2274=_xlfn.MAXIFS($N$2:$N$5001,$B$2:$B$5001,B2274,$I$2:$I$5001,I2274),1,0))</f>
        <v/>
      </c>
      <c r="M2274" s="16" t="str">
        <f aca="false">IF(B2274="","",IF(E2274="Em ajustes",IF(N2274=_xlfn.MINIFS($N$2:$N$5001,$B$2:$B$5001,B2274,$E$2:$E$5001,"Em ajustes"),1,0),0))</f>
        <v/>
      </c>
      <c r="N2274" s="17" t="str">
        <f aca="false">IF(A2274="","",IF(ISNUMBER(A2274),A2274,IFERROR(DATE(VALUE(MID(A2274,7,4)),VALUE(MID(A2274,4,2)),VALUE(MID(A2274,1,2)))+TIME(VALUE(MID(A2274,12,2)),VALUE(MID(A2274,15,2)),VALUE(MID(A2274,18,2))),"")))</f>
        <v/>
      </c>
    </row>
    <row r="2275" customFormat="false" ht="15" hidden="false" customHeight="false" outlineLevel="0" collapsed="false">
      <c r="I2275" s="15" t="str">
        <f aca="false">IF(N2275="","",INT(N2275))</f>
        <v/>
      </c>
      <c r="J2275" s="16" t="str">
        <f aca="false">IF(B2275="","",IF(N2275=_xlfn.MINIFS($N$2:$N$5001,$B$2:$B$5001,B2275),1,0))</f>
        <v/>
      </c>
      <c r="K2275" s="16" t="str">
        <f aca="false">IF(B2275="","",IF(AND(D2275="Formalização",E2275="Concluído"),IF(COUNTIFS($B$2:$B$5001,B2275,$E$2:$E$5001,"Em ajustes",$N$2:$N$5001,"&lt;"&amp;I2275)&gt;0,1,0),0))</f>
        <v/>
      </c>
      <c r="L2275" s="16" t="str">
        <f aca="false">IF(B2275="","",IF(N2275=_xlfn.MAXIFS($N$2:$N$5001,$B$2:$B$5001,B2275,$I$2:$I$5001,I2275),1,0))</f>
        <v/>
      </c>
      <c r="M2275" s="16" t="str">
        <f aca="false">IF(B2275="","",IF(E2275="Em ajustes",IF(N2275=_xlfn.MINIFS($N$2:$N$5001,$B$2:$B$5001,B2275,$E$2:$E$5001,"Em ajustes"),1,0),0))</f>
        <v/>
      </c>
      <c r="N2275" s="17" t="str">
        <f aca="false">IF(A2275="","",IF(ISNUMBER(A2275),A2275,IFERROR(DATE(VALUE(MID(A2275,7,4)),VALUE(MID(A2275,4,2)),VALUE(MID(A2275,1,2)))+TIME(VALUE(MID(A2275,12,2)),VALUE(MID(A2275,15,2)),VALUE(MID(A2275,18,2))),"")))</f>
        <v/>
      </c>
    </row>
    <row r="2276" customFormat="false" ht="15" hidden="false" customHeight="false" outlineLevel="0" collapsed="false">
      <c r="I2276" s="15" t="str">
        <f aca="false">IF(N2276="","",INT(N2276))</f>
        <v/>
      </c>
      <c r="J2276" s="16" t="str">
        <f aca="false">IF(B2276="","",IF(N2276=_xlfn.MINIFS($N$2:$N$5001,$B$2:$B$5001,B2276),1,0))</f>
        <v/>
      </c>
      <c r="K2276" s="16" t="str">
        <f aca="false">IF(B2276="","",IF(AND(D2276="Formalização",E2276="Concluído"),IF(COUNTIFS($B$2:$B$5001,B2276,$E$2:$E$5001,"Em ajustes",$N$2:$N$5001,"&lt;"&amp;I2276)&gt;0,1,0),0))</f>
        <v/>
      </c>
      <c r="L2276" s="16" t="str">
        <f aca="false">IF(B2276="","",IF(N2276=_xlfn.MAXIFS($N$2:$N$5001,$B$2:$B$5001,B2276,$I$2:$I$5001,I2276),1,0))</f>
        <v/>
      </c>
      <c r="M2276" s="16" t="str">
        <f aca="false">IF(B2276="","",IF(E2276="Em ajustes",IF(N2276=_xlfn.MINIFS($N$2:$N$5001,$B$2:$B$5001,B2276,$E$2:$E$5001,"Em ajustes"),1,0),0))</f>
        <v/>
      </c>
      <c r="N2276" s="17" t="str">
        <f aca="false">IF(A2276="","",IF(ISNUMBER(A2276),A2276,IFERROR(DATE(VALUE(MID(A2276,7,4)),VALUE(MID(A2276,4,2)),VALUE(MID(A2276,1,2)))+TIME(VALUE(MID(A2276,12,2)),VALUE(MID(A2276,15,2)),VALUE(MID(A2276,18,2))),"")))</f>
        <v/>
      </c>
    </row>
    <row r="2277" customFormat="false" ht="15" hidden="false" customHeight="false" outlineLevel="0" collapsed="false">
      <c r="I2277" s="15" t="str">
        <f aca="false">IF(N2277="","",INT(N2277))</f>
        <v/>
      </c>
      <c r="J2277" s="16" t="str">
        <f aca="false">IF(B2277="","",IF(N2277=_xlfn.MINIFS($N$2:$N$5001,$B$2:$B$5001,B2277),1,0))</f>
        <v/>
      </c>
      <c r="K2277" s="16" t="str">
        <f aca="false">IF(B2277="","",IF(AND(D2277="Formalização",E2277="Concluído"),IF(COUNTIFS($B$2:$B$5001,B2277,$E$2:$E$5001,"Em ajustes",$N$2:$N$5001,"&lt;"&amp;I2277)&gt;0,1,0),0))</f>
        <v/>
      </c>
      <c r="L2277" s="16" t="str">
        <f aca="false">IF(B2277="","",IF(N2277=_xlfn.MAXIFS($N$2:$N$5001,$B$2:$B$5001,B2277,$I$2:$I$5001,I2277),1,0))</f>
        <v/>
      </c>
      <c r="M2277" s="16" t="str">
        <f aca="false">IF(B2277="","",IF(E2277="Em ajustes",IF(N2277=_xlfn.MINIFS($N$2:$N$5001,$B$2:$B$5001,B2277,$E$2:$E$5001,"Em ajustes"),1,0),0))</f>
        <v/>
      </c>
      <c r="N2277" s="17" t="str">
        <f aca="false">IF(A2277="","",IF(ISNUMBER(A2277),A2277,IFERROR(DATE(VALUE(MID(A2277,7,4)),VALUE(MID(A2277,4,2)),VALUE(MID(A2277,1,2)))+TIME(VALUE(MID(A2277,12,2)),VALUE(MID(A2277,15,2)),VALUE(MID(A2277,18,2))),"")))</f>
        <v/>
      </c>
    </row>
    <row r="2278" customFormat="false" ht="15" hidden="false" customHeight="false" outlineLevel="0" collapsed="false">
      <c r="I2278" s="15" t="str">
        <f aca="false">IF(N2278="","",INT(N2278))</f>
        <v/>
      </c>
      <c r="J2278" s="16" t="str">
        <f aca="false">IF(B2278="","",IF(N2278=_xlfn.MINIFS($N$2:$N$5001,$B$2:$B$5001,B2278),1,0))</f>
        <v/>
      </c>
      <c r="K2278" s="16" t="str">
        <f aca="false">IF(B2278="","",IF(AND(D2278="Formalização",E2278="Concluído"),IF(COUNTIFS($B$2:$B$5001,B2278,$E$2:$E$5001,"Em ajustes",$N$2:$N$5001,"&lt;"&amp;I2278)&gt;0,1,0),0))</f>
        <v/>
      </c>
      <c r="L2278" s="16" t="str">
        <f aca="false">IF(B2278="","",IF(N2278=_xlfn.MAXIFS($N$2:$N$5001,$B$2:$B$5001,B2278,$I$2:$I$5001,I2278),1,0))</f>
        <v/>
      </c>
      <c r="M2278" s="16" t="str">
        <f aca="false">IF(B2278="","",IF(E2278="Em ajustes",IF(N2278=_xlfn.MINIFS($N$2:$N$5001,$B$2:$B$5001,B2278,$E$2:$E$5001,"Em ajustes"),1,0),0))</f>
        <v/>
      </c>
      <c r="N2278" s="17" t="str">
        <f aca="false">IF(A2278="","",IF(ISNUMBER(A2278),A2278,IFERROR(DATE(VALUE(MID(A2278,7,4)),VALUE(MID(A2278,4,2)),VALUE(MID(A2278,1,2)))+TIME(VALUE(MID(A2278,12,2)),VALUE(MID(A2278,15,2)),VALUE(MID(A2278,18,2))),"")))</f>
        <v/>
      </c>
    </row>
    <row r="2279" customFormat="false" ht="15" hidden="false" customHeight="false" outlineLevel="0" collapsed="false">
      <c r="I2279" s="15" t="str">
        <f aca="false">IF(N2279="","",INT(N2279))</f>
        <v/>
      </c>
      <c r="J2279" s="16" t="str">
        <f aca="false">IF(B2279="","",IF(N2279=_xlfn.MINIFS($N$2:$N$5001,$B$2:$B$5001,B2279),1,0))</f>
        <v/>
      </c>
      <c r="K2279" s="16" t="str">
        <f aca="false">IF(B2279="","",IF(AND(D2279="Formalização",E2279="Concluído"),IF(COUNTIFS($B$2:$B$5001,B2279,$E$2:$E$5001,"Em ajustes",$N$2:$N$5001,"&lt;"&amp;I2279)&gt;0,1,0),0))</f>
        <v/>
      </c>
      <c r="L2279" s="16" t="str">
        <f aca="false">IF(B2279="","",IF(N2279=_xlfn.MAXIFS($N$2:$N$5001,$B$2:$B$5001,B2279,$I$2:$I$5001,I2279),1,0))</f>
        <v/>
      </c>
      <c r="M2279" s="16" t="str">
        <f aca="false">IF(B2279="","",IF(E2279="Em ajustes",IF(N2279=_xlfn.MINIFS($N$2:$N$5001,$B$2:$B$5001,B2279,$E$2:$E$5001,"Em ajustes"),1,0),0))</f>
        <v/>
      </c>
      <c r="N2279" s="17" t="str">
        <f aca="false">IF(A2279="","",IF(ISNUMBER(A2279),A2279,IFERROR(DATE(VALUE(MID(A2279,7,4)),VALUE(MID(A2279,4,2)),VALUE(MID(A2279,1,2)))+TIME(VALUE(MID(A2279,12,2)),VALUE(MID(A2279,15,2)),VALUE(MID(A2279,18,2))),"")))</f>
        <v/>
      </c>
    </row>
    <row r="2280" customFormat="false" ht="15" hidden="false" customHeight="false" outlineLevel="0" collapsed="false">
      <c r="I2280" s="15" t="str">
        <f aca="false">IF(N2280="","",INT(N2280))</f>
        <v/>
      </c>
      <c r="J2280" s="16" t="str">
        <f aca="false">IF(B2280="","",IF(N2280=_xlfn.MINIFS($N$2:$N$5001,$B$2:$B$5001,B2280),1,0))</f>
        <v/>
      </c>
      <c r="K2280" s="16" t="str">
        <f aca="false">IF(B2280="","",IF(AND(D2280="Formalização",E2280="Concluído"),IF(COUNTIFS($B$2:$B$5001,B2280,$E$2:$E$5001,"Em ajustes",$N$2:$N$5001,"&lt;"&amp;I2280)&gt;0,1,0),0))</f>
        <v/>
      </c>
      <c r="L2280" s="16" t="str">
        <f aca="false">IF(B2280="","",IF(N2280=_xlfn.MAXIFS($N$2:$N$5001,$B$2:$B$5001,B2280,$I$2:$I$5001,I2280),1,0))</f>
        <v/>
      </c>
      <c r="M2280" s="16" t="str">
        <f aca="false">IF(B2280="","",IF(E2280="Em ajustes",IF(N2280=_xlfn.MINIFS($N$2:$N$5001,$B$2:$B$5001,B2280,$E$2:$E$5001,"Em ajustes"),1,0),0))</f>
        <v/>
      </c>
      <c r="N2280" s="17" t="str">
        <f aca="false">IF(A2280="","",IF(ISNUMBER(A2280),A2280,IFERROR(DATE(VALUE(MID(A2280,7,4)),VALUE(MID(A2280,4,2)),VALUE(MID(A2280,1,2)))+TIME(VALUE(MID(A2280,12,2)),VALUE(MID(A2280,15,2)),VALUE(MID(A2280,18,2))),"")))</f>
        <v/>
      </c>
    </row>
    <row r="2281" customFormat="false" ht="15" hidden="false" customHeight="false" outlineLevel="0" collapsed="false">
      <c r="I2281" s="15" t="str">
        <f aca="false">IF(N2281="","",INT(N2281))</f>
        <v/>
      </c>
      <c r="J2281" s="16" t="str">
        <f aca="false">IF(B2281="","",IF(N2281=_xlfn.MINIFS($N$2:$N$5001,$B$2:$B$5001,B2281),1,0))</f>
        <v/>
      </c>
      <c r="K2281" s="16" t="str">
        <f aca="false">IF(B2281="","",IF(AND(D2281="Formalização",E2281="Concluído"),IF(COUNTIFS($B$2:$B$5001,B2281,$E$2:$E$5001,"Em ajustes",$N$2:$N$5001,"&lt;"&amp;I2281)&gt;0,1,0),0))</f>
        <v/>
      </c>
      <c r="L2281" s="16" t="str">
        <f aca="false">IF(B2281="","",IF(N2281=_xlfn.MAXIFS($N$2:$N$5001,$B$2:$B$5001,B2281,$I$2:$I$5001,I2281),1,0))</f>
        <v/>
      </c>
      <c r="M2281" s="16" t="str">
        <f aca="false">IF(B2281="","",IF(E2281="Em ajustes",IF(N2281=_xlfn.MINIFS($N$2:$N$5001,$B$2:$B$5001,B2281,$E$2:$E$5001,"Em ajustes"),1,0),0))</f>
        <v/>
      </c>
      <c r="N2281" s="17" t="str">
        <f aca="false">IF(A2281="","",IF(ISNUMBER(A2281),A2281,IFERROR(DATE(VALUE(MID(A2281,7,4)),VALUE(MID(A2281,4,2)),VALUE(MID(A2281,1,2)))+TIME(VALUE(MID(A2281,12,2)),VALUE(MID(A2281,15,2)),VALUE(MID(A2281,18,2))),"")))</f>
        <v/>
      </c>
    </row>
    <row r="2282" customFormat="false" ht="15" hidden="false" customHeight="false" outlineLevel="0" collapsed="false">
      <c r="I2282" s="15" t="str">
        <f aca="false">IF(N2282="","",INT(N2282))</f>
        <v/>
      </c>
      <c r="J2282" s="16" t="str">
        <f aca="false">IF(B2282="","",IF(N2282=_xlfn.MINIFS($N$2:$N$5001,$B$2:$B$5001,B2282),1,0))</f>
        <v/>
      </c>
      <c r="K2282" s="16" t="str">
        <f aca="false">IF(B2282="","",IF(AND(D2282="Formalização",E2282="Concluído"),IF(COUNTIFS($B$2:$B$5001,B2282,$E$2:$E$5001,"Em ajustes",$N$2:$N$5001,"&lt;"&amp;I2282)&gt;0,1,0),0))</f>
        <v/>
      </c>
      <c r="L2282" s="16" t="str">
        <f aca="false">IF(B2282="","",IF(N2282=_xlfn.MAXIFS($N$2:$N$5001,$B$2:$B$5001,B2282,$I$2:$I$5001,I2282),1,0))</f>
        <v/>
      </c>
      <c r="M2282" s="16" t="str">
        <f aca="false">IF(B2282="","",IF(E2282="Em ajustes",IF(N2282=_xlfn.MINIFS($N$2:$N$5001,$B$2:$B$5001,B2282,$E$2:$E$5001,"Em ajustes"),1,0),0))</f>
        <v/>
      </c>
      <c r="N2282" s="17" t="str">
        <f aca="false">IF(A2282="","",IF(ISNUMBER(A2282),A2282,IFERROR(DATE(VALUE(MID(A2282,7,4)),VALUE(MID(A2282,4,2)),VALUE(MID(A2282,1,2)))+TIME(VALUE(MID(A2282,12,2)),VALUE(MID(A2282,15,2)),VALUE(MID(A2282,18,2))),"")))</f>
        <v/>
      </c>
    </row>
    <row r="2283" customFormat="false" ht="15" hidden="false" customHeight="false" outlineLevel="0" collapsed="false">
      <c r="I2283" s="15" t="str">
        <f aca="false">IF(N2283="","",INT(N2283))</f>
        <v/>
      </c>
      <c r="J2283" s="16" t="str">
        <f aca="false">IF(B2283="","",IF(N2283=_xlfn.MINIFS($N$2:$N$5001,$B$2:$B$5001,B2283),1,0))</f>
        <v/>
      </c>
      <c r="K2283" s="16" t="str">
        <f aca="false">IF(B2283="","",IF(AND(D2283="Formalização",E2283="Concluído"),IF(COUNTIFS($B$2:$B$5001,B2283,$E$2:$E$5001,"Em ajustes",$N$2:$N$5001,"&lt;"&amp;I2283)&gt;0,1,0),0))</f>
        <v/>
      </c>
      <c r="L2283" s="16" t="str">
        <f aca="false">IF(B2283="","",IF(N2283=_xlfn.MAXIFS($N$2:$N$5001,$B$2:$B$5001,B2283,$I$2:$I$5001,I2283),1,0))</f>
        <v/>
      </c>
      <c r="M2283" s="16" t="str">
        <f aca="false">IF(B2283="","",IF(E2283="Em ajustes",IF(N2283=_xlfn.MINIFS($N$2:$N$5001,$B$2:$B$5001,B2283,$E$2:$E$5001,"Em ajustes"),1,0),0))</f>
        <v/>
      </c>
      <c r="N2283" s="17" t="str">
        <f aca="false">IF(A2283="","",IF(ISNUMBER(A2283),A2283,IFERROR(DATE(VALUE(MID(A2283,7,4)),VALUE(MID(A2283,4,2)),VALUE(MID(A2283,1,2)))+TIME(VALUE(MID(A2283,12,2)),VALUE(MID(A2283,15,2)),VALUE(MID(A2283,18,2))),"")))</f>
        <v/>
      </c>
    </row>
    <row r="2284" customFormat="false" ht="15" hidden="false" customHeight="false" outlineLevel="0" collapsed="false">
      <c r="I2284" s="15" t="str">
        <f aca="false">IF(N2284="","",INT(N2284))</f>
        <v/>
      </c>
      <c r="J2284" s="16" t="str">
        <f aca="false">IF(B2284="","",IF(N2284=_xlfn.MINIFS($N$2:$N$5001,$B$2:$B$5001,B2284),1,0))</f>
        <v/>
      </c>
      <c r="K2284" s="16" t="str">
        <f aca="false">IF(B2284="","",IF(AND(D2284="Formalização",E2284="Concluído"),IF(COUNTIFS($B$2:$B$5001,B2284,$E$2:$E$5001,"Em ajustes",$N$2:$N$5001,"&lt;"&amp;I2284)&gt;0,1,0),0))</f>
        <v/>
      </c>
      <c r="L2284" s="16" t="str">
        <f aca="false">IF(B2284="","",IF(N2284=_xlfn.MAXIFS($N$2:$N$5001,$B$2:$B$5001,B2284,$I$2:$I$5001,I2284),1,0))</f>
        <v/>
      </c>
      <c r="M2284" s="16" t="str">
        <f aca="false">IF(B2284="","",IF(E2284="Em ajustes",IF(N2284=_xlfn.MINIFS($N$2:$N$5001,$B$2:$B$5001,B2284,$E$2:$E$5001,"Em ajustes"),1,0),0))</f>
        <v/>
      </c>
      <c r="N2284" s="17" t="str">
        <f aca="false">IF(A2284="","",IF(ISNUMBER(A2284),A2284,IFERROR(DATE(VALUE(MID(A2284,7,4)),VALUE(MID(A2284,4,2)),VALUE(MID(A2284,1,2)))+TIME(VALUE(MID(A2284,12,2)),VALUE(MID(A2284,15,2)),VALUE(MID(A2284,18,2))),"")))</f>
        <v/>
      </c>
    </row>
    <row r="2285" customFormat="false" ht="15" hidden="false" customHeight="false" outlineLevel="0" collapsed="false">
      <c r="I2285" s="15" t="str">
        <f aca="false">IF(N2285="","",INT(N2285))</f>
        <v/>
      </c>
      <c r="J2285" s="16" t="str">
        <f aca="false">IF(B2285="","",IF(N2285=_xlfn.MINIFS($N$2:$N$5001,$B$2:$B$5001,B2285),1,0))</f>
        <v/>
      </c>
      <c r="K2285" s="16" t="str">
        <f aca="false">IF(B2285="","",IF(AND(D2285="Formalização",E2285="Concluído"),IF(COUNTIFS($B$2:$B$5001,B2285,$E$2:$E$5001,"Em ajustes",$N$2:$N$5001,"&lt;"&amp;I2285)&gt;0,1,0),0))</f>
        <v/>
      </c>
      <c r="L2285" s="16" t="str">
        <f aca="false">IF(B2285="","",IF(N2285=_xlfn.MAXIFS($N$2:$N$5001,$B$2:$B$5001,B2285,$I$2:$I$5001,I2285),1,0))</f>
        <v/>
      </c>
      <c r="M2285" s="16" t="str">
        <f aca="false">IF(B2285="","",IF(E2285="Em ajustes",IF(N2285=_xlfn.MINIFS($N$2:$N$5001,$B$2:$B$5001,B2285,$E$2:$E$5001,"Em ajustes"),1,0),0))</f>
        <v/>
      </c>
      <c r="N2285" s="17" t="str">
        <f aca="false">IF(A2285="","",IF(ISNUMBER(A2285),A2285,IFERROR(DATE(VALUE(MID(A2285,7,4)),VALUE(MID(A2285,4,2)),VALUE(MID(A2285,1,2)))+TIME(VALUE(MID(A2285,12,2)),VALUE(MID(A2285,15,2)),VALUE(MID(A2285,18,2))),"")))</f>
        <v/>
      </c>
    </row>
    <row r="2286" customFormat="false" ht="15" hidden="false" customHeight="false" outlineLevel="0" collapsed="false">
      <c r="I2286" s="15" t="str">
        <f aca="false">IF(N2286="","",INT(N2286))</f>
        <v/>
      </c>
      <c r="J2286" s="16" t="str">
        <f aca="false">IF(B2286="","",IF(N2286=_xlfn.MINIFS($N$2:$N$5001,$B$2:$B$5001,B2286),1,0))</f>
        <v/>
      </c>
      <c r="K2286" s="16" t="str">
        <f aca="false">IF(B2286="","",IF(AND(D2286="Formalização",E2286="Concluído"),IF(COUNTIFS($B$2:$B$5001,B2286,$E$2:$E$5001,"Em ajustes",$N$2:$N$5001,"&lt;"&amp;I2286)&gt;0,1,0),0))</f>
        <v/>
      </c>
      <c r="L2286" s="16" t="str">
        <f aca="false">IF(B2286="","",IF(N2286=_xlfn.MAXIFS($N$2:$N$5001,$B$2:$B$5001,B2286,$I$2:$I$5001,I2286),1,0))</f>
        <v/>
      </c>
      <c r="M2286" s="16" t="str">
        <f aca="false">IF(B2286="","",IF(E2286="Em ajustes",IF(N2286=_xlfn.MINIFS($N$2:$N$5001,$B$2:$B$5001,B2286,$E$2:$E$5001,"Em ajustes"),1,0),0))</f>
        <v/>
      </c>
      <c r="N2286" s="17" t="str">
        <f aca="false">IF(A2286="","",IF(ISNUMBER(A2286),A2286,IFERROR(DATE(VALUE(MID(A2286,7,4)),VALUE(MID(A2286,4,2)),VALUE(MID(A2286,1,2)))+TIME(VALUE(MID(A2286,12,2)),VALUE(MID(A2286,15,2)),VALUE(MID(A2286,18,2))),"")))</f>
        <v/>
      </c>
    </row>
    <row r="2287" customFormat="false" ht="15" hidden="false" customHeight="false" outlineLevel="0" collapsed="false">
      <c r="I2287" s="15" t="str">
        <f aca="false">IF(N2287="","",INT(N2287))</f>
        <v/>
      </c>
      <c r="J2287" s="16" t="str">
        <f aca="false">IF(B2287="","",IF(N2287=_xlfn.MINIFS($N$2:$N$5001,$B$2:$B$5001,B2287),1,0))</f>
        <v/>
      </c>
      <c r="K2287" s="16" t="str">
        <f aca="false">IF(B2287="","",IF(AND(D2287="Formalização",E2287="Concluído"),IF(COUNTIFS($B$2:$B$5001,B2287,$E$2:$E$5001,"Em ajustes",$N$2:$N$5001,"&lt;"&amp;I2287)&gt;0,1,0),0))</f>
        <v/>
      </c>
      <c r="L2287" s="16" t="str">
        <f aca="false">IF(B2287="","",IF(N2287=_xlfn.MAXIFS($N$2:$N$5001,$B$2:$B$5001,B2287,$I$2:$I$5001,I2287),1,0))</f>
        <v/>
      </c>
      <c r="M2287" s="16" t="str">
        <f aca="false">IF(B2287="","",IF(E2287="Em ajustes",IF(N2287=_xlfn.MINIFS($N$2:$N$5001,$B$2:$B$5001,B2287,$E$2:$E$5001,"Em ajustes"),1,0),0))</f>
        <v/>
      </c>
      <c r="N2287" s="17" t="str">
        <f aca="false">IF(A2287="","",IF(ISNUMBER(A2287),A2287,IFERROR(DATE(VALUE(MID(A2287,7,4)),VALUE(MID(A2287,4,2)),VALUE(MID(A2287,1,2)))+TIME(VALUE(MID(A2287,12,2)),VALUE(MID(A2287,15,2)),VALUE(MID(A2287,18,2))),"")))</f>
        <v/>
      </c>
    </row>
    <row r="2288" customFormat="false" ht="15" hidden="false" customHeight="false" outlineLevel="0" collapsed="false">
      <c r="I2288" s="15" t="str">
        <f aca="false">IF(N2288="","",INT(N2288))</f>
        <v/>
      </c>
      <c r="J2288" s="16" t="str">
        <f aca="false">IF(B2288="","",IF(N2288=_xlfn.MINIFS($N$2:$N$5001,$B$2:$B$5001,B2288),1,0))</f>
        <v/>
      </c>
      <c r="K2288" s="16" t="str">
        <f aca="false">IF(B2288="","",IF(AND(D2288="Formalização",E2288="Concluído"),IF(COUNTIFS($B$2:$B$5001,B2288,$E$2:$E$5001,"Em ajustes",$N$2:$N$5001,"&lt;"&amp;I2288)&gt;0,1,0),0))</f>
        <v/>
      </c>
      <c r="L2288" s="16" t="str">
        <f aca="false">IF(B2288="","",IF(N2288=_xlfn.MAXIFS($N$2:$N$5001,$B$2:$B$5001,B2288,$I$2:$I$5001,I2288),1,0))</f>
        <v/>
      </c>
      <c r="M2288" s="16" t="str">
        <f aca="false">IF(B2288="","",IF(E2288="Em ajustes",IF(N2288=_xlfn.MINIFS($N$2:$N$5001,$B$2:$B$5001,B2288,$E$2:$E$5001,"Em ajustes"),1,0),0))</f>
        <v/>
      </c>
      <c r="N2288" s="17" t="str">
        <f aca="false">IF(A2288="","",IF(ISNUMBER(A2288),A2288,IFERROR(DATE(VALUE(MID(A2288,7,4)),VALUE(MID(A2288,4,2)),VALUE(MID(A2288,1,2)))+TIME(VALUE(MID(A2288,12,2)),VALUE(MID(A2288,15,2)),VALUE(MID(A2288,18,2))),"")))</f>
        <v/>
      </c>
    </row>
    <row r="2289" customFormat="false" ht="15" hidden="false" customHeight="false" outlineLevel="0" collapsed="false">
      <c r="I2289" s="15" t="str">
        <f aca="false">IF(N2289="","",INT(N2289))</f>
        <v/>
      </c>
      <c r="J2289" s="16" t="str">
        <f aca="false">IF(B2289="","",IF(N2289=_xlfn.MINIFS($N$2:$N$5001,$B$2:$B$5001,B2289),1,0))</f>
        <v/>
      </c>
      <c r="K2289" s="16" t="str">
        <f aca="false">IF(B2289="","",IF(AND(D2289="Formalização",E2289="Concluído"),IF(COUNTIFS($B$2:$B$5001,B2289,$E$2:$E$5001,"Em ajustes",$N$2:$N$5001,"&lt;"&amp;I2289)&gt;0,1,0),0))</f>
        <v/>
      </c>
      <c r="L2289" s="16" t="str">
        <f aca="false">IF(B2289="","",IF(N2289=_xlfn.MAXIFS($N$2:$N$5001,$B$2:$B$5001,B2289,$I$2:$I$5001,I2289),1,0))</f>
        <v/>
      </c>
      <c r="M2289" s="16" t="str">
        <f aca="false">IF(B2289="","",IF(E2289="Em ajustes",IF(N2289=_xlfn.MINIFS($N$2:$N$5001,$B$2:$B$5001,B2289,$E$2:$E$5001,"Em ajustes"),1,0),0))</f>
        <v/>
      </c>
      <c r="N2289" s="17" t="str">
        <f aca="false">IF(A2289="","",IF(ISNUMBER(A2289),A2289,IFERROR(DATE(VALUE(MID(A2289,7,4)),VALUE(MID(A2289,4,2)),VALUE(MID(A2289,1,2)))+TIME(VALUE(MID(A2289,12,2)),VALUE(MID(A2289,15,2)),VALUE(MID(A2289,18,2))),"")))</f>
        <v/>
      </c>
    </row>
    <row r="2290" customFormat="false" ht="15" hidden="false" customHeight="false" outlineLevel="0" collapsed="false">
      <c r="I2290" s="15" t="str">
        <f aca="false">IF(N2290="","",INT(N2290))</f>
        <v/>
      </c>
      <c r="J2290" s="16" t="str">
        <f aca="false">IF(B2290="","",IF(N2290=_xlfn.MINIFS($N$2:$N$5001,$B$2:$B$5001,B2290),1,0))</f>
        <v/>
      </c>
      <c r="K2290" s="16" t="str">
        <f aca="false">IF(B2290="","",IF(AND(D2290="Formalização",E2290="Concluído"),IF(COUNTIFS($B$2:$B$5001,B2290,$E$2:$E$5001,"Em ajustes",$N$2:$N$5001,"&lt;"&amp;I2290)&gt;0,1,0),0))</f>
        <v/>
      </c>
      <c r="L2290" s="16" t="str">
        <f aca="false">IF(B2290="","",IF(N2290=_xlfn.MAXIFS($N$2:$N$5001,$B$2:$B$5001,B2290,$I$2:$I$5001,I2290),1,0))</f>
        <v/>
      </c>
      <c r="M2290" s="16" t="str">
        <f aca="false">IF(B2290="","",IF(E2290="Em ajustes",IF(N2290=_xlfn.MINIFS($N$2:$N$5001,$B$2:$B$5001,B2290,$E$2:$E$5001,"Em ajustes"),1,0),0))</f>
        <v/>
      </c>
      <c r="N2290" s="17" t="str">
        <f aca="false">IF(A2290="","",IF(ISNUMBER(A2290),A2290,IFERROR(DATE(VALUE(MID(A2290,7,4)),VALUE(MID(A2290,4,2)),VALUE(MID(A2290,1,2)))+TIME(VALUE(MID(A2290,12,2)),VALUE(MID(A2290,15,2)),VALUE(MID(A2290,18,2))),"")))</f>
        <v/>
      </c>
    </row>
    <row r="2291" customFormat="false" ht="15" hidden="false" customHeight="false" outlineLevel="0" collapsed="false">
      <c r="I2291" s="15" t="str">
        <f aca="false">IF(N2291="","",INT(N2291))</f>
        <v/>
      </c>
      <c r="J2291" s="16" t="str">
        <f aca="false">IF(B2291="","",IF(N2291=_xlfn.MINIFS($N$2:$N$5001,$B$2:$B$5001,B2291),1,0))</f>
        <v/>
      </c>
      <c r="K2291" s="16" t="str">
        <f aca="false">IF(B2291="","",IF(AND(D2291="Formalização",E2291="Concluído"),IF(COUNTIFS($B$2:$B$5001,B2291,$E$2:$E$5001,"Em ajustes",$N$2:$N$5001,"&lt;"&amp;I2291)&gt;0,1,0),0))</f>
        <v/>
      </c>
      <c r="L2291" s="16" t="str">
        <f aca="false">IF(B2291="","",IF(N2291=_xlfn.MAXIFS($N$2:$N$5001,$B$2:$B$5001,B2291,$I$2:$I$5001,I2291),1,0))</f>
        <v/>
      </c>
      <c r="M2291" s="16" t="str">
        <f aca="false">IF(B2291="","",IF(E2291="Em ajustes",IF(N2291=_xlfn.MINIFS($N$2:$N$5001,$B$2:$B$5001,B2291,$E$2:$E$5001,"Em ajustes"),1,0),0))</f>
        <v/>
      </c>
      <c r="N2291" s="17" t="str">
        <f aca="false">IF(A2291="","",IF(ISNUMBER(A2291),A2291,IFERROR(DATE(VALUE(MID(A2291,7,4)),VALUE(MID(A2291,4,2)),VALUE(MID(A2291,1,2)))+TIME(VALUE(MID(A2291,12,2)),VALUE(MID(A2291,15,2)),VALUE(MID(A2291,18,2))),"")))</f>
        <v/>
      </c>
    </row>
    <row r="2292" customFormat="false" ht="15" hidden="false" customHeight="false" outlineLevel="0" collapsed="false">
      <c r="I2292" s="15" t="str">
        <f aca="false">IF(N2292="","",INT(N2292))</f>
        <v/>
      </c>
      <c r="J2292" s="16" t="str">
        <f aca="false">IF(B2292="","",IF(N2292=_xlfn.MINIFS($N$2:$N$5001,$B$2:$B$5001,B2292),1,0))</f>
        <v/>
      </c>
      <c r="K2292" s="16" t="str">
        <f aca="false">IF(B2292="","",IF(AND(D2292="Formalização",E2292="Concluído"),IF(COUNTIFS($B$2:$B$5001,B2292,$E$2:$E$5001,"Em ajustes",$N$2:$N$5001,"&lt;"&amp;I2292)&gt;0,1,0),0))</f>
        <v/>
      </c>
      <c r="L2292" s="16" t="str">
        <f aca="false">IF(B2292="","",IF(N2292=_xlfn.MAXIFS($N$2:$N$5001,$B$2:$B$5001,B2292,$I$2:$I$5001,I2292),1,0))</f>
        <v/>
      </c>
      <c r="M2292" s="16" t="str">
        <f aca="false">IF(B2292="","",IF(E2292="Em ajustes",IF(N2292=_xlfn.MINIFS($N$2:$N$5001,$B$2:$B$5001,B2292,$E$2:$E$5001,"Em ajustes"),1,0),0))</f>
        <v/>
      </c>
      <c r="N2292" s="17" t="str">
        <f aca="false">IF(A2292="","",IF(ISNUMBER(A2292),A2292,IFERROR(DATE(VALUE(MID(A2292,7,4)),VALUE(MID(A2292,4,2)),VALUE(MID(A2292,1,2)))+TIME(VALUE(MID(A2292,12,2)),VALUE(MID(A2292,15,2)),VALUE(MID(A2292,18,2))),"")))</f>
        <v/>
      </c>
    </row>
    <row r="2293" customFormat="false" ht="15" hidden="false" customHeight="false" outlineLevel="0" collapsed="false">
      <c r="I2293" s="15" t="str">
        <f aca="false">IF(N2293="","",INT(N2293))</f>
        <v/>
      </c>
      <c r="J2293" s="16" t="str">
        <f aca="false">IF(B2293="","",IF(N2293=_xlfn.MINIFS($N$2:$N$5001,$B$2:$B$5001,B2293),1,0))</f>
        <v/>
      </c>
      <c r="K2293" s="16" t="str">
        <f aca="false">IF(B2293="","",IF(AND(D2293="Formalização",E2293="Concluído"),IF(COUNTIFS($B$2:$B$5001,B2293,$E$2:$E$5001,"Em ajustes",$N$2:$N$5001,"&lt;"&amp;I2293)&gt;0,1,0),0))</f>
        <v/>
      </c>
      <c r="L2293" s="16" t="str">
        <f aca="false">IF(B2293="","",IF(N2293=_xlfn.MAXIFS($N$2:$N$5001,$B$2:$B$5001,B2293,$I$2:$I$5001,I2293),1,0))</f>
        <v/>
      </c>
      <c r="M2293" s="16" t="str">
        <f aca="false">IF(B2293="","",IF(E2293="Em ajustes",IF(N2293=_xlfn.MINIFS($N$2:$N$5001,$B$2:$B$5001,B2293,$E$2:$E$5001,"Em ajustes"),1,0),0))</f>
        <v/>
      </c>
      <c r="N2293" s="17" t="str">
        <f aca="false">IF(A2293="","",IF(ISNUMBER(A2293),A2293,IFERROR(DATE(VALUE(MID(A2293,7,4)),VALUE(MID(A2293,4,2)),VALUE(MID(A2293,1,2)))+TIME(VALUE(MID(A2293,12,2)),VALUE(MID(A2293,15,2)),VALUE(MID(A2293,18,2))),"")))</f>
        <v/>
      </c>
    </row>
    <row r="2294" customFormat="false" ht="15" hidden="false" customHeight="false" outlineLevel="0" collapsed="false">
      <c r="I2294" s="15" t="str">
        <f aca="false">IF(N2294="","",INT(N2294))</f>
        <v/>
      </c>
      <c r="J2294" s="16" t="str">
        <f aca="false">IF(B2294="","",IF(N2294=_xlfn.MINIFS($N$2:$N$5001,$B$2:$B$5001,B2294),1,0))</f>
        <v/>
      </c>
      <c r="K2294" s="16" t="str">
        <f aca="false">IF(B2294="","",IF(AND(D2294="Formalização",E2294="Concluído"),IF(COUNTIFS($B$2:$B$5001,B2294,$E$2:$E$5001,"Em ajustes",$N$2:$N$5001,"&lt;"&amp;I2294)&gt;0,1,0),0))</f>
        <v/>
      </c>
      <c r="L2294" s="16" t="str">
        <f aca="false">IF(B2294="","",IF(N2294=_xlfn.MAXIFS($N$2:$N$5001,$B$2:$B$5001,B2294,$I$2:$I$5001,I2294),1,0))</f>
        <v/>
      </c>
      <c r="M2294" s="16" t="str">
        <f aca="false">IF(B2294="","",IF(E2294="Em ajustes",IF(N2294=_xlfn.MINIFS($N$2:$N$5001,$B$2:$B$5001,B2294,$E$2:$E$5001,"Em ajustes"),1,0),0))</f>
        <v/>
      </c>
      <c r="N2294" s="17" t="str">
        <f aca="false">IF(A2294="","",IF(ISNUMBER(A2294),A2294,IFERROR(DATE(VALUE(MID(A2294,7,4)),VALUE(MID(A2294,4,2)),VALUE(MID(A2294,1,2)))+TIME(VALUE(MID(A2294,12,2)),VALUE(MID(A2294,15,2)),VALUE(MID(A2294,18,2))),"")))</f>
        <v/>
      </c>
    </row>
    <row r="2295" customFormat="false" ht="15" hidden="false" customHeight="false" outlineLevel="0" collapsed="false">
      <c r="I2295" s="15" t="str">
        <f aca="false">IF(N2295="","",INT(N2295))</f>
        <v/>
      </c>
      <c r="J2295" s="16" t="str">
        <f aca="false">IF(B2295="","",IF(N2295=_xlfn.MINIFS($N$2:$N$5001,$B$2:$B$5001,B2295),1,0))</f>
        <v/>
      </c>
      <c r="K2295" s="16" t="str">
        <f aca="false">IF(B2295="","",IF(AND(D2295="Formalização",E2295="Concluído"),IF(COUNTIFS($B$2:$B$5001,B2295,$E$2:$E$5001,"Em ajustes",$N$2:$N$5001,"&lt;"&amp;I2295)&gt;0,1,0),0))</f>
        <v/>
      </c>
      <c r="L2295" s="16" t="str">
        <f aca="false">IF(B2295="","",IF(N2295=_xlfn.MAXIFS($N$2:$N$5001,$B$2:$B$5001,B2295,$I$2:$I$5001,I2295),1,0))</f>
        <v/>
      </c>
      <c r="M2295" s="16" t="str">
        <f aca="false">IF(B2295="","",IF(E2295="Em ajustes",IF(N2295=_xlfn.MINIFS($N$2:$N$5001,$B$2:$B$5001,B2295,$E$2:$E$5001,"Em ajustes"),1,0),0))</f>
        <v/>
      </c>
      <c r="N2295" s="17" t="str">
        <f aca="false">IF(A2295="","",IF(ISNUMBER(A2295),A2295,IFERROR(DATE(VALUE(MID(A2295,7,4)),VALUE(MID(A2295,4,2)),VALUE(MID(A2295,1,2)))+TIME(VALUE(MID(A2295,12,2)),VALUE(MID(A2295,15,2)),VALUE(MID(A2295,18,2))),"")))</f>
        <v/>
      </c>
    </row>
    <row r="2296" customFormat="false" ht="15" hidden="false" customHeight="false" outlineLevel="0" collapsed="false">
      <c r="I2296" s="15" t="str">
        <f aca="false">IF(N2296="","",INT(N2296))</f>
        <v/>
      </c>
      <c r="J2296" s="16" t="str">
        <f aca="false">IF(B2296="","",IF(N2296=_xlfn.MINIFS($N$2:$N$5001,$B$2:$B$5001,B2296),1,0))</f>
        <v/>
      </c>
      <c r="K2296" s="16" t="str">
        <f aca="false">IF(B2296="","",IF(AND(D2296="Formalização",E2296="Concluído"),IF(COUNTIFS($B$2:$B$5001,B2296,$E$2:$E$5001,"Em ajustes",$N$2:$N$5001,"&lt;"&amp;I2296)&gt;0,1,0),0))</f>
        <v/>
      </c>
      <c r="L2296" s="16" t="str">
        <f aca="false">IF(B2296="","",IF(N2296=_xlfn.MAXIFS($N$2:$N$5001,$B$2:$B$5001,B2296,$I$2:$I$5001,I2296),1,0))</f>
        <v/>
      </c>
      <c r="M2296" s="16" t="str">
        <f aca="false">IF(B2296="","",IF(E2296="Em ajustes",IF(N2296=_xlfn.MINIFS($N$2:$N$5001,$B$2:$B$5001,B2296,$E$2:$E$5001,"Em ajustes"),1,0),0))</f>
        <v/>
      </c>
      <c r="N2296" s="17" t="str">
        <f aca="false">IF(A2296="","",IF(ISNUMBER(A2296),A2296,IFERROR(DATE(VALUE(MID(A2296,7,4)),VALUE(MID(A2296,4,2)),VALUE(MID(A2296,1,2)))+TIME(VALUE(MID(A2296,12,2)),VALUE(MID(A2296,15,2)),VALUE(MID(A2296,18,2))),"")))</f>
        <v/>
      </c>
    </row>
    <row r="2297" customFormat="false" ht="15" hidden="false" customHeight="false" outlineLevel="0" collapsed="false">
      <c r="I2297" s="15" t="str">
        <f aca="false">IF(N2297="","",INT(N2297))</f>
        <v/>
      </c>
      <c r="J2297" s="16" t="str">
        <f aca="false">IF(B2297="","",IF(N2297=_xlfn.MINIFS($N$2:$N$5001,$B$2:$B$5001,B2297),1,0))</f>
        <v/>
      </c>
      <c r="K2297" s="16" t="str">
        <f aca="false">IF(B2297="","",IF(AND(D2297="Formalização",E2297="Concluído"),IF(COUNTIFS($B$2:$B$5001,B2297,$E$2:$E$5001,"Em ajustes",$N$2:$N$5001,"&lt;"&amp;I2297)&gt;0,1,0),0))</f>
        <v/>
      </c>
      <c r="L2297" s="16" t="str">
        <f aca="false">IF(B2297="","",IF(N2297=_xlfn.MAXIFS($N$2:$N$5001,$B$2:$B$5001,B2297,$I$2:$I$5001,I2297),1,0))</f>
        <v/>
      </c>
      <c r="M2297" s="16" t="str">
        <f aca="false">IF(B2297="","",IF(E2297="Em ajustes",IF(N2297=_xlfn.MINIFS($N$2:$N$5001,$B$2:$B$5001,B2297,$E$2:$E$5001,"Em ajustes"),1,0),0))</f>
        <v/>
      </c>
      <c r="N2297" s="17" t="str">
        <f aca="false">IF(A2297="","",IF(ISNUMBER(A2297),A2297,IFERROR(DATE(VALUE(MID(A2297,7,4)),VALUE(MID(A2297,4,2)),VALUE(MID(A2297,1,2)))+TIME(VALUE(MID(A2297,12,2)),VALUE(MID(A2297,15,2)),VALUE(MID(A2297,18,2))),"")))</f>
        <v/>
      </c>
    </row>
    <row r="2298" customFormat="false" ht="15" hidden="false" customHeight="false" outlineLevel="0" collapsed="false">
      <c r="I2298" s="15" t="str">
        <f aca="false">IF(N2298="","",INT(N2298))</f>
        <v/>
      </c>
      <c r="J2298" s="16" t="str">
        <f aca="false">IF(B2298="","",IF(N2298=_xlfn.MINIFS($N$2:$N$5001,$B$2:$B$5001,B2298),1,0))</f>
        <v/>
      </c>
      <c r="K2298" s="16" t="str">
        <f aca="false">IF(B2298="","",IF(AND(D2298="Formalização",E2298="Concluído"),IF(COUNTIFS($B$2:$B$5001,B2298,$E$2:$E$5001,"Em ajustes",$N$2:$N$5001,"&lt;"&amp;I2298)&gt;0,1,0),0))</f>
        <v/>
      </c>
      <c r="L2298" s="16" t="str">
        <f aca="false">IF(B2298="","",IF(N2298=_xlfn.MAXIFS($N$2:$N$5001,$B$2:$B$5001,B2298,$I$2:$I$5001,I2298),1,0))</f>
        <v/>
      </c>
      <c r="M2298" s="16" t="str">
        <f aca="false">IF(B2298="","",IF(E2298="Em ajustes",IF(N2298=_xlfn.MINIFS($N$2:$N$5001,$B$2:$B$5001,B2298,$E$2:$E$5001,"Em ajustes"),1,0),0))</f>
        <v/>
      </c>
      <c r="N2298" s="17" t="str">
        <f aca="false">IF(A2298="","",IF(ISNUMBER(A2298),A2298,IFERROR(DATE(VALUE(MID(A2298,7,4)),VALUE(MID(A2298,4,2)),VALUE(MID(A2298,1,2)))+TIME(VALUE(MID(A2298,12,2)),VALUE(MID(A2298,15,2)),VALUE(MID(A2298,18,2))),"")))</f>
        <v/>
      </c>
    </row>
    <row r="2299" customFormat="false" ht="15" hidden="false" customHeight="false" outlineLevel="0" collapsed="false">
      <c r="I2299" s="15" t="str">
        <f aca="false">IF(N2299="","",INT(N2299))</f>
        <v/>
      </c>
      <c r="J2299" s="16" t="str">
        <f aca="false">IF(B2299="","",IF(N2299=_xlfn.MINIFS($N$2:$N$5001,$B$2:$B$5001,B2299),1,0))</f>
        <v/>
      </c>
      <c r="K2299" s="16" t="str">
        <f aca="false">IF(B2299="","",IF(AND(D2299="Formalização",E2299="Concluído"),IF(COUNTIFS($B$2:$B$5001,B2299,$E$2:$E$5001,"Em ajustes",$N$2:$N$5001,"&lt;"&amp;I2299)&gt;0,1,0),0))</f>
        <v/>
      </c>
      <c r="L2299" s="16" t="str">
        <f aca="false">IF(B2299="","",IF(N2299=_xlfn.MAXIFS($N$2:$N$5001,$B$2:$B$5001,B2299,$I$2:$I$5001,I2299),1,0))</f>
        <v/>
      </c>
      <c r="M2299" s="16" t="str">
        <f aca="false">IF(B2299="","",IF(E2299="Em ajustes",IF(N2299=_xlfn.MINIFS($N$2:$N$5001,$B$2:$B$5001,B2299,$E$2:$E$5001,"Em ajustes"),1,0),0))</f>
        <v/>
      </c>
      <c r="N2299" s="17" t="str">
        <f aca="false">IF(A2299="","",IF(ISNUMBER(A2299),A2299,IFERROR(DATE(VALUE(MID(A2299,7,4)),VALUE(MID(A2299,4,2)),VALUE(MID(A2299,1,2)))+TIME(VALUE(MID(A2299,12,2)),VALUE(MID(A2299,15,2)),VALUE(MID(A2299,18,2))),"")))</f>
        <v/>
      </c>
    </row>
    <row r="2300" customFormat="false" ht="15" hidden="false" customHeight="false" outlineLevel="0" collapsed="false">
      <c r="I2300" s="15" t="str">
        <f aca="false">IF(N2300="","",INT(N2300))</f>
        <v/>
      </c>
      <c r="J2300" s="16" t="str">
        <f aca="false">IF(B2300="","",IF(N2300=_xlfn.MINIFS($N$2:$N$5001,$B$2:$B$5001,B2300),1,0))</f>
        <v/>
      </c>
      <c r="K2300" s="16" t="str">
        <f aca="false">IF(B2300="","",IF(AND(D2300="Formalização",E2300="Concluído"),IF(COUNTIFS($B$2:$B$5001,B2300,$E$2:$E$5001,"Em ajustes",$N$2:$N$5001,"&lt;"&amp;I2300)&gt;0,1,0),0))</f>
        <v/>
      </c>
      <c r="L2300" s="16" t="str">
        <f aca="false">IF(B2300="","",IF(N2300=_xlfn.MAXIFS($N$2:$N$5001,$B$2:$B$5001,B2300,$I$2:$I$5001,I2300),1,0))</f>
        <v/>
      </c>
      <c r="M2300" s="16" t="str">
        <f aca="false">IF(B2300="","",IF(E2300="Em ajustes",IF(N2300=_xlfn.MINIFS($N$2:$N$5001,$B$2:$B$5001,B2300,$E$2:$E$5001,"Em ajustes"),1,0),0))</f>
        <v/>
      </c>
      <c r="N2300" s="17" t="str">
        <f aca="false">IF(A2300="","",IF(ISNUMBER(A2300),A2300,IFERROR(DATE(VALUE(MID(A2300,7,4)),VALUE(MID(A2300,4,2)),VALUE(MID(A2300,1,2)))+TIME(VALUE(MID(A2300,12,2)),VALUE(MID(A2300,15,2)),VALUE(MID(A2300,18,2))),"")))</f>
        <v/>
      </c>
    </row>
    <row r="2301" customFormat="false" ht="15" hidden="false" customHeight="false" outlineLevel="0" collapsed="false">
      <c r="I2301" s="15" t="str">
        <f aca="false">IF(N2301="","",INT(N2301))</f>
        <v/>
      </c>
      <c r="J2301" s="16" t="str">
        <f aca="false">IF(B2301="","",IF(N2301=_xlfn.MINIFS($N$2:$N$5001,$B$2:$B$5001,B2301),1,0))</f>
        <v/>
      </c>
      <c r="K2301" s="16" t="str">
        <f aca="false">IF(B2301="","",IF(AND(D2301="Formalização",E2301="Concluído"),IF(COUNTIFS($B$2:$B$5001,B2301,$E$2:$E$5001,"Em ajustes",$N$2:$N$5001,"&lt;"&amp;I2301)&gt;0,1,0),0))</f>
        <v/>
      </c>
      <c r="L2301" s="16" t="str">
        <f aca="false">IF(B2301="","",IF(N2301=_xlfn.MAXIFS($N$2:$N$5001,$B$2:$B$5001,B2301,$I$2:$I$5001,I2301),1,0))</f>
        <v/>
      </c>
      <c r="M2301" s="16" t="str">
        <f aca="false">IF(B2301="","",IF(E2301="Em ajustes",IF(N2301=_xlfn.MINIFS($N$2:$N$5001,$B$2:$B$5001,B2301,$E$2:$E$5001,"Em ajustes"),1,0),0))</f>
        <v/>
      </c>
      <c r="N2301" s="17" t="str">
        <f aca="false">IF(A2301="","",IF(ISNUMBER(A2301),A2301,IFERROR(DATE(VALUE(MID(A2301,7,4)),VALUE(MID(A2301,4,2)),VALUE(MID(A2301,1,2)))+TIME(VALUE(MID(A2301,12,2)),VALUE(MID(A2301,15,2)),VALUE(MID(A2301,18,2))),"")))</f>
        <v/>
      </c>
    </row>
    <row r="2302" customFormat="false" ht="15" hidden="false" customHeight="false" outlineLevel="0" collapsed="false">
      <c r="I2302" s="15" t="str">
        <f aca="false">IF(N2302="","",INT(N2302))</f>
        <v/>
      </c>
      <c r="J2302" s="16" t="str">
        <f aca="false">IF(B2302="","",IF(N2302=_xlfn.MINIFS($N$2:$N$5001,$B$2:$B$5001,B2302),1,0))</f>
        <v/>
      </c>
      <c r="K2302" s="16" t="str">
        <f aca="false">IF(B2302="","",IF(AND(D2302="Formalização",E2302="Concluído"),IF(COUNTIFS($B$2:$B$5001,B2302,$E$2:$E$5001,"Em ajustes",$N$2:$N$5001,"&lt;"&amp;I2302)&gt;0,1,0),0))</f>
        <v/>
      </c>
      <c r="L2302" s="16" t="str">
        <f aca="false">IF(B2302="","",IF(N2302=_xlfn.MAXIFS($N$2:$N$5001,$B$2:$B$5001,B2302,$I$2:$I$5001,I2302),1,0))</f>
        <v/>
      </c>
      <c r="M2302" s="16" t="str">
        <f aca="false">IF(B2302="","",IF(E2302="Em ajustes",IF(N2302=_xlfn.MINIFS($N$2:$N$5001,$B$2:$B$5001,B2302,$E$2:$E$5001,"Em ajustes"),1,0),0))</f>
        <v/>
      </c>
      <c r="N2302" s="17" t="str">
        <f aca="false">IF(A2302="","",IF(ISNUMBER(A2302),A2302,IFERROR(DATE(VALUE(MID(A2302,7,4)),VALUE(MID(A2302,4,2)),VALUE(MID(A2302,1,2)))+TIME(VALUE(MID(A2302,12,2)),VALUE(MID(A2302,15,2)),VALUE(MID(A2302,18,2))),"")))</f>
        <v/>
      </c>
    </row>
    <row r="2303" customFormat="false" ht="15" hidden="false" customHeight="false" outlineLevel="0" collapsed="false">
      <c r="I2303" s="15" t="str">
        <f aca="false">IF(N2303="","",INT(N2303))</f>
        <v/>
      </c>
      <c r="J2303" s="16" t="str">
        <f aca="false">IF(B2303="","",IF(N2303=_xlfn.MINIFS($N$2:$N$5001,$B$2:$B$5001,B2303),1,0))</f>
        <v/>
      </c>
      <c r="K2303" s="16" t="str">
        <f aca="false">IF(B2303="","",IF(AND(D2303="Formalização",E2303="Concluído"),IF(COUNTIFS($B$2:$B$5001,B2303,$E$2:$E$5001,"Em ajustes",$N$2:$N$5001,"&lt;"&amp;I2303)&gt;0,1,0),0))</f>
        <v/>
      </c>
      <c r="L2303" s="16" t="str">
        <f aca="false">IF(B2303="","",IF(N2303=_xlfn.MAXIFS($N$2:$N$5001,$B$2:$B$5001,B2303,$I$2:$I$5001,I2303),1,0))</f>
        <v/>
      </c>
      <c r="M2303" s="16" t="str">
        <f aca="false">IF(B2303="","",IF(E2303="Em ajustes",IF(N2303=_xlfn.MINIFS($N$2:$N$5001,$B$2:$B$5001,B2303,$E$2:$E$5001,"Em ajustes"),1,0),0))</f>
        <v/>
      </c>
      <c r="N2303" s="17" t="str">
        <f aca="false">IF(A2303="","",IF(ISNUMBER(A2303),A2303,IFERROR(DATE(VALUE(MID(A2303,7,4)),VALUE(MID(A2303,4,2)),VALUE(MID(A2303,1,2)))+TIME(VALUE(MID(A2303,12,2)),VALUE(MID(A2303,15,2)),VALUE(MID(A2303,18,2))),"")))</f>
        <v/>
      </c>
    </row>
    <row r="2304" customFormat="false" ht="15" hidden="false" customHeight="false" outlineLevel="0" collapsed="false">
      <c r="I2304" s="15" t="str">
        <f aca="false">IF(N2304="","",INT(N2304))</f>
        <v/>
      </c>
      <c r="J2304" s="16" t="str">
        <f aca="false">IF(B2304="","",IF(N2304=_xlfn.MINIFS($N$2:$N$5001,$B$2:$B$5001,B2304),1,0))</f>
        <v/>
      </c>
      <c r="K2304" s="16" t="str">
        <f aca="false">IF(B2304="","",IF(AND(D2304="Formalização",E2304="Concluído"),IF(COUNTIFS($B$2:$B$5001,B2304,$E$2:$E$5001,"Em ajustes",$N$2:$N$5001,"&lt;"&amp;I2304)&gt;0,1,0),0))</f>
        <v/>
      </c>
      <c r="L2304" s="16" t="str">
        <f aca="false">IF(B2304="","",IF(N2304=_xlfn.MAXIFS($N$2:$N$5001,$B$2:$B$5001,B2304,$I$2:$I$5001,I2304),1,0))</f>
        <v/>
      </c>
      <c r="M2304" s="16" t="str">
        <f aca="false">IF(B2304="","",IF(E2304="Em ajustes",IF(N2304=_xlfn.MINIFS($N$2:$N$5001,$B$2:$B$5001,B2304,$E$2:$E$5001,"Em ajustes"),1,0),0))</f>
        <v/>
      </c>
      <c r="N2304" s="17" t="str">
        <f aca="false">IF(A2304="","",IF(ISNUMBER(A2304),A2304,IFERROR(DATE(VALUE(MID(A2304,7,4)),VALUE(MID(A2304,4,2)),VALUE(MID(A2304,1,2)))+TIME(VALUE(MID(A2304,12,2)),VALUE(MID(A2304,15,2)),VALUE(MID(A2304,18,2))),"")))</f>
        <v/>
      </c>
    </row>
    <row r="2305" customFormat="false" ht="15" hidden="false" customHeight="false" outlineLevel="0" collapsed="false">
      <c r="I2305" s="15" t="str">
        <f aca="false">IF(N2305="","",INT(N2305))</f>
        <v/>
      </c>
      <c r="J2305" s="16" t="str">
        <f aca="false">IF(B2305="","",IF(N2305=_xlfn.MINIFS($N$2:$N$5001,$B$2:$B$5001,B2305),1,0))</f>
        <v/>
      </c>
      <c r="K2305" s="16" t="str">
        <f aca="false">IF(B2305="","",IF(AND(D2305="Formalização",E2305="Concluído"),IF(COUNTIFS($B$2:$B$5001,B2305,$E$2:$E$5001,"Em ajustes",$N$2:$N$5001,"&lt;"&amp;I2305)&gt;0,1,0),0))</f>
        <v/>
      </c>
      <c r="L2305" s="16" t="str">
        <f aca="false">IF(B2305="","",IF(N2305=_xlfn.MAXIFS($N$2:$N$5001,$B$2:$B$5001,B2305,$I$2:$I$5001,I2305),1,0))</f>
        <v/>
      </c>
      <c r="M2305" s="16" t="str">
        <f aca="false">IF(B2305="","",IF(E2305="Em ajustes",IF(N2305=_xlfn.MINIFS($N$2:$N$5001,$B$2:$B$5001,B2305,$E$2:$E$5001,"Em ajustes"),1,0),0))</f>
        <v/>
      </c>
      <c r="N2305" s="17" t="str">
        <f aca="false">IF(A2305="","",IF(ISNUMBER(A2305),A2305,IFERROR(DATE(VALUE(MID(A2305,7,4)),VALUE(MID(A2305,4,2)),VALUE(MID(A2305,1,2)))+TIME(VALUE(MID(A2305,12,2)),VALUE(MID(A2305,15,2)),VALUE(MID(A2305,18,2))),"")))</f>
        <v/>
      </c>
    </row>
    <row r="2306" customFormat="false" ht="15" hidden="false" customHeight="false" outlineLevel="0" collapsed="false">
      <c r="I2306" s="15" t="str">
        <f aca="false">IF(N2306="","",INT(N2306))</f>
        <v/>
      </c>
      <c r="J2306" s="16" t="str">
        <f aca="false">IF(B2306="","",IF(N2306=_xlfn.MINIFS($N$2:$N$5001,$B$2:$B$5001,B2306),1,0))</f>
        <v/>
      </c>
      <c r="K2306" s="16" t="str">
        <f aca="false">IF(B2306="","",IF(AND(D2306="Formalização",E2306="Concluído"),IF(COUNTIFS($B$2:$B$5001,B2306,$E$2:$E$5001,"Em ajustes",$N$2:$N$5001,"&lt;"&amp;I2306)&gt;0,1,0),0))</f>
        <v/>
      </c>
      <c r="L2306" s="16" t="str">
        <f aca="false">IF(B2306="","",IF(N2306=_xlfn.MAXIFS($N$2:$N$5001,$B$2:$B$5001,B2306,$I$2:$I$5001,I2306),1,0))</f>
        <v/>
      </c>
      <c r="M2306" s="16" t="str">
        <f aca="false">IF(B2306="","",IF(E2306="Em ajustes",IF(N2306=_xlfn.MINIFS($N$2:$N$5001,$B$2:$B$5001,B2306,$E$2:$E$5001,"Em ajustes"),1,0),0))</f>
        <v/>
      </c>
      <c r="N2306" s="17" t="str">
        <f aca="false">IF(A2306="","",IF(ISNUMBER(A2306),A2306,IFERROR(DATE(VALUE(MID(A2306,7,4)),VALUE(MID(A2306,4,2)),VALUE(MID(A2306,1,2)))+TIME(VALUE(MID(A2306,12,2)),VALUE(MID(A2306,15,2)),VALUE(MID(A2306,18,2))),"")))</f>
        <v/>
      </c>
    </row>
    <row r="2307" customFormat="false" ht="15" hidden="false" customHeight="false" outlineLevel="0" collapsed="false">
      <c r="I2307" s="15" t="str">
        <f aca="false">IF(N2307="","",INT(N2307))</f>
        <v/>
      </c>
      <c r="J2307" s="16" t="str">
        <f aca="false">IF(B2307="","",IF(N2307=_xlfn.MINIFS($N$2:$N$5001,$B$2:$B$5001,B2307),1,0))</f>
        <v/>
      </c>
      <c r="K2307" s="16" t="str">
        <f aca="false">IF(B2307="","",IF(AND(D2307="Formalização",E2307="Concluído"),IF(COUNTIFS($B$2:$B$5001,B2307,$E$2:$E$5001,"Em ajustes",$N$2:$N$5001,"&lt;"&amp;I2307)&gt;0,1,0),0))</f>
        <v/>
      </c>
      <c r="L2307" s="16" t="str">
        <f aca="false">IF(B2307="","",IF(N2307=_xlfn.MAXIFS($N$2:$N$5001,$B$2:$B$5001,B2307,$I$2:$I$5001,I2307),1,0))</f>
        <v/>
      </c>
      <c r="M2307" s="16" t="str">
        <f aca="false">IF(B2307="","",IF(E2307="Em ajustes",IF(N2307=_xlfn.MINIFS($N$2:$N$5001,$B$2:$B$5001,B2307,$E$2:$E$5001,"Em ajustes"),1,0),0))</f>
        <v/>
      </c>
      <c r="N2307" s="17" t="str">
        <f aca="false">IF(A2307="","",IF(ISNUMBER(A2307),A2307,IFERROR(DATE(VALUE(MID(A2307,7,4)),VALUE(MID(A2307,4,2)),VALUE(MID(A2307,1,2)))+TIME(VALUE(MID(A2307,12,2)),VALUE(MID(A2307,15,2)),VALUE(MID(A2307,18,2))),"")))</f>
        <v/>
      </c>
    </row>
    <row r="2308" customFormat="false" ht="15" hidden="false" customHeight="false" outlineLevel="0" collapsed="false">
      <c r="I2308" s="15" t="str">
        <f aca="false">IF(N2308="","",INT(N2308))</f>
        <v/>
      </c>
      <c r="J2308" s="16" t="str">
        <f aca="false">IF(B2308="","",IF(N2308=_xlfn.MINIFS($N$2:$N$5001,$B$2:$B$5001,B2308),1,0))</f>
        <v/>
      </c>
      <c r="K2308" s="16" t="str">
        <f aca="false">IF(B2308="","",IF(AND(D2308="Formalização",E2308="Concluído"),IF(COUNTIFS($B$2:$B$5001,B2308,$E$2:$E$5001,"Em ajustes",$N$2:$N$5001,"&lt;"&amp;I2308)&gt;0,1,0),0))</f>
        <v/>
      </c>
      <c r="L2308" s="16" t="str">
        <f aca="false">IF(B2308="","",IF(N2308=_xlfn.MAXIFS($N$2:$N$5001,$B$2:$B$5001,B2308,$I$2:$I$5001,I2308),1,0))</f>
        <v/>
      </c>
      <c r="M2308" s="16" t="str">
        <f aca="false">IF(B2308="","",IF(E2308="Em ajustes",IF(N2308=_xlfn.MINIFS($N$2:$N$5001,$B$2:$B$5001,B2308,$E$2:$E$5001,"Em ajustes"),1,0),0))</f>
        <v/>
      </c>
      <c r="N2308" s="17" t="str">
        <f aca="false">IF(A2308="","",IF(ISNUMBER(A2308),A2308,IFERROR(DATE(VALUE(MID(A2308,7,4)),VALUE(MID(A2308,4,2)),VALUE(MID(A2308,1,2)))+TIME(VALUE(MID(A2308,12,2)),VALUE(MID(A2308,15,2)),VALUE(MID(A2308,18,2))),"")))</f>
        <v/>
      </c>
    </row>
    <row r="2309" customFormat="false" ht="15" hidden="false" customHeight="false" outlineLevel="0" collapsed="false">
      <c r="I2309" s="15" t="str">
        <f aca="false">IF(N2309="","",INT(N2309))</f>
        <v/>
      </c>
      <c r="J2309" s="16" t="str">
        <f aca="false">IF(B2309="","",IF(N2309=_xlfn.MINIFS($N$2:$N$5001,$B$2:$B$5001,B2309),1,0))</f>
        <v/>
      </c>
      <c r="K2309" s="16" t="str">
        <f aca="false">IF(B2309="","",IF(AND(D2309="Formalização",E2309="Concluído"),IF(COUNTIFS($B$2:$B$5001,B2309,$E$2:$E$5001,"Em ajustes",$N$2:$N$5001,"&lt;"&amp;I2309)&gt;0,1,0),0))</f>
        <v/>
      </c>
      <c r="L2309" s="16" t="str">
        <f aca="false">IF(B2309="","",IF(N2309=_xlfn.MAXIFS($N$2:$N$5001,$B$2:$B$5001,B2309,$I$2:$I$5001,I2309),1,0))</f>
        <v/>
      </c>
      <c r="M2309" s="16" t="str">
        <f aca="false">IF(B2309="","",IF(E2309="Em ajustes",IF(N2309=_xlfn.MINIFS($N$2:$N$5001,$B$2:$B$5001,B2309,$E$2:$E$5001,"Em ajustes"),1,0),0))</f>
        <v/>
      </c>
      <c r="N2309" s="17" t="str">
        <f aca="false">IF(A2309="","",IF(ISNUMBER(A2309),A2309,IFERROR(DATE(VALUE(MID(A2309,7,4)),VALUE(MID(A2309,4,2)),VALUE(MID(A2309,1,2)))+TIME(VALUE(MID(A2309,12,2)),VALUE(MID(A2309,15,2)),VALUE(MID(A2309,18,2))),"")))</f>
        <v/>
      </c>
    </row>
    <row r="2310" customFormat="false" ht="15" hidden="false" customHeight="false" outlineLevel="0" collapsed="false">
      <c r="I2310" s="15" t="str">
        <f aca="false">IF(N2310="","",INT(N2310))</f>
        <v/>
      </c>
      <c r="J2310" s="16" t="str">
        <f aca="false">IF(B2310="","",IF(N2310=_xlfn.MINIFS($N$2:$N$5001,$B$2:$B$5001,B2310),1,0))</f>
        <v/>
      </c>
      <c r="K2310" s="16" t="str">
        <f aca="false">IF(B2310="","",IF(AND(D2310="Formalização",E2310="Concluído"),IF(COUNTIFS($B$2:$B$5001,B2310,$E$2:$E$5001,"Em ajustes",$N$2:$N$5001,"&lt;"&amp;I2310)&gt;0,1,0),0))</f>
        <v/>
      </c>
      <c r="L2310" s="16" t="str">
        <f aca="false">IF(B2310="","",IF(N2310=_xlfn.MAXIFS($N$2:$N$5001,$B$2:$B$5001,B2310,$I$2:$I$5001,I2310),1,0))</f>
        <v/>
      </c>
      <c r="M2310" s="16" t="str">
        <f aca="false">IF(B2310="","",IF(E2310="Em ajustes",IF(N2310=_xlfn.MINIFS($N$2:$N$5001,$B$2:$B$5001,B2310,$E$2:$E$5001,"Em ajustes"),1,0),0))</f>
        <v/>
      </c>
      <c r="N2310" s="17" t="str">
        <f aca="false">IF(A2310="","",IF(ISNUMBER(A2310),A2310,IFERROR(DATE(VALUE(MID(A2310,7,4)),VALUE(MID(A2310,4,2)),VALUE(MID(A2310,1,2)))+TIME(VALUE(MID(A2310,12,2)),VALUE(MID(A2310,15,2)),VALUE(MID(A2310,18,2))),"")))</f>
        <v/>
      </c>
    </row>
    <row r="2311" customFormat="false" ht="15" hidden="false" customHeight="false" outlineLevel="0" collapsed="false">
      <c r="I2311" s="15" t="str">
        <f aca="false">IF(N2311="","",INT(N2311))</f>
        <v/>
      </c>
      <c r="J2311" s="16" t="str">
        <f aca="false">IF(B2311="","",IF(N2311=_xlfn.MINIFS($N$2:$N$5001,$B$2:$B$5001,B2311),1,0))</f>
        <v/>
      </c>
      <c r="K2311" s="16" t="str">
        <f aca="false">IF(B2311="","",IF(AND(D2311="Formalização",E2311="Concluído"),IF(COUNTIFS($B$2:$B$5001,B2311,$E$2:$E$5001,"Em ajustes",$N$2:$N$5001,"&lt;"&amp;I2311)&gt;0,1,0),0))</f>
        <v/>
      </c>
      <c r="L2311" s="16" t="str">
        <f aca="false">IF(B2311="","",IF(N2311=_xlfn.MAXIFS($N$2:$N$5001,$B$2:$B$5001,B2311,$I$2:$I$5001,I2311),1,0))</f>
        <v/>
      </c>
      <c r="M2311" s="16" t="str">
        <f aca="false">IF(B2311="","",IF(E2311="Em ajustes",IF(N2311=_xlfn.MINIFS($N$2:$N$5001,$B$2:$B$5001,B2311,$E$2:$E$5001,"Em ajustes"),1,0),0))</f>
        <v/>
      </c>
      <c r="N2311" s="17" t="str">
        <f aca="false">IF(A2311="","",IF(ISNUMBER(A2311),A2311,IFERROR(DATE(VALUE(MID(A2311,7,4)),VALUE(MID(A2311,4,2)),VALUE(MID(A2311,1,2)))+TIME(VALUE(MID(A2311,12,2)),VALUE(MID(A2311,15,2)),VALUE(MID(A2311,18,2))),"")))</f>
        <v/>
      </c>
    </row>
    <row r="2312" customFormat="false" ht="15" hidden="false" customHeight="false" outlineLevel="0" collapsed="false">
      <c r="I2312" s="15" t="str">
        <f aca="false">IF(N2312="","",INT(N2312))</f>
        <v/>
      </c>
      <c r="J2312" s="16" t="str">
        <f aca="false">IF(B2312="","",IF(N2312=_xlfn.MINIFS($N$2:$N$5001,$B$2:$B$5001,B2312),1,0))</f>
        <v/>
      </c>
      <c r="K2312" s="16" t="str">
        <f aca="false">IF(B2312="","",IF(AND(D2312="Formalização",E2312="Concluído"),IF(COUNTIFS($B$2:$B$5001,B2312,$E$2:$E$5001,"Em ajustes",$N$2:$N$5001,"&lt;"&amp;I2312)&gt;0,1,0),0))</f>
        <v/>
      </c>
      <c r="L2312" s="16" t="str">
        <f aca="false">IF(B2312="","",IF(N2312=_xlfn.MAXIFS($N$2:$N$5001,$B$2:$B$5001,B2312,$I$2:$I$5001,I2312),1,0))</f>
        <v/>
      </c>
      <c r="M2312" s="16" t="str">
        <f aca="false">IF(B2312="","",IF(E2312="Em ajustes",IF(N2312=_xlfn.MINIFS($N$2:$N$5001,$B$2:$B$5001,B2312,$E$2:$E$5001,"Em ajustes"),1,0),0))</f>
        <v/>
      </c>
      <c r="N2312" s="17" t="str">
        <f aca="false">IF(A2312="","",IF(ISNUMBER(A2312),A2312,IFERROR(DATE(VALUE(MID(A2312,7,4)),VALUE(MID(A2312,4,2)),VALUE(MID(A2312,1,2)))+TIME(VALUE(MID(A2312,12,2)),VALUE(MID(A2312,15,2)),VALUE(MID(A2312,18,2))),"")))</f>
        <v/>
      </c>
    </row>
    <row r="2313" customFormat="false" ht="15" hidden="false" customHeight="false" outlineLevel="0" collapsed="false">
      <c r="I2313" s="15" t="str">
        <f aca="false">IF(N2313="","",INT(N2313))</f>
        <v/>
      </c>
      <c r="J2313" s="16" t="str">
        <f aca="false">IF(B2313="","",IF(N2313=_xlfn.MINIFS($N$2:$N$5001,$B$2:$B$5001,B2313),1,0))</f>
        <v/>
      </c>
      <c r="K2313" s="16" t="str">
        <f aca="false">IF(B2313="","",IF(AND(D2313="Formalização",E2313="Concluído"),IF(COUNTIFS($B$2:$B$5001,B2313,$E$2:$E$5001,"Em ajustes",$N$2:$N$5001,"&lt;"&amp;I2313)&gt;0,1,0),0))</f>
        <v/>
      </c>
      <c r="L2313" s="16" t="str">
        <f aca="false">IF(B2313="","",IF(N2313=_xlfn.MAXIFS($N$2:$N$5001,$B$2:$B$5001,B2313,$I$2:$I$5001,I2313),1,0))</f>
        <v/>
      </c>
      <c r="M2313" s="16" t="str">
        <f aca="false">IF(B2313="","",IF(E2313="Em ajustes",IF(N2313=_xlfn.MINIFS($N$2:$N$5001,$B$2:$B$5001,B2313,$E$2:$E$5001,"Em ajustes"),1,0),0))</f>
        <v/>
      </c>
      <c r="N2313" s="17" t="str">
        <f aca="false">IF(A2313="","",IF(ISNUMBER(A2313),A2313,IFERROR(DATE(VALUE(MID(A2313,7,4)),VALUE(MID(A2313,4,2)),VALUE(MID(A2313,1,2)))+TIME(VALUE(MID(A2313,12,2)),VALUE(MID(A2313,15,2)),VALUE(MID(A2313,18,2))),"")))</f>
        <v/>
      </c>
    </row>
    <row r="2314" customFormat="false" ht="15" hidden="false" customHeight="false" outlineLevel="0" collapsed="false">
      <c r="I2314" s="15" t="str">
        <f aca="false">IF(N2314="","",INT(N2314))</f>
        <v/>
      </c>
      <c r="J2314" s="16" t="str">
        <f aca="false">IF(B2314="","",IF(N2314=_xlfn.MINIFS($N$2:$N$5001,$B$2:$B$5001,B2314),1,0))</f>
        <v/>
      </c>
      <c r="K2314" s="16" t="str">
        <f aca="false">IF(B2314="","",IF(AND(D2314="Formalização",E2314="Concluído"),IF(COUNTIFS($B$2:$B$5001,B2314,$E$2:$E$5001,"Em ajustes",$N$2:$N$5001,"&lt;"&amp;I2314)&gt;0,1,0),0))</f>
        <v/>
      </c>
      <c r="L2314" s="16" t="str">
        <f aca="false">IF(B2314="","",IF(N2314=_xlfn.MAXIFS($N$2:$N$5001,$B$2:$B$5001,B2314,$I$2:$I$5001,I2314),1,0))</f>
        <v/>
      </c>
      <c r="M2314" s="16" t="str">
        <f aca="false">IF(B2314="","",IF(E2314="Em ajustes",IF(N2314=_xlfn.MINIFS($N$2:$N$5001,$B$2:$B$5001,B2314,$E$2:$E$5001,"Em ajustes"),1,0),0))</f>
        <v/>
      </c>
      <c r="N2314" s="17" t="str">
        <f aca="false">IF(A2314="","",IF(ISNUMBER(A2314),A2314,IFERROR(DATE(VALUE(MID(A2314,7,4)),VALUE(MID(A2314,4,2)),VALUE(MID(A2314,1,2)))+TIME(VALUE(MID(A2314,12,2)),VALUE(MID(A2314,15,2)),VALUE(MID(A2314,18,2))),"")))</f>
        <v/>
      </c>
    </row>
    <row r="2315" customFormat="false" ht="15" hidden="false" customHeight="false" outlineLevel="0" collapsed="false">
      <c r="I2315" s="15" t="str">
        <f aca="false">IF(N2315="","",INT(N2315))</f>
        <v/>
      </c>
      <c r="J2315" s="16" t="str">
        <f aca="false">IF(B2315="","",IF(N2315=_xlfn.MINIFS($N$2:$N$5001,$B$2:$B$5001,B2315),1,0))</f>
        <v/>
      </c>
      <c r="K2315" s="16" t="str">
        <f aca="false">IF(B2315="","",IF(AND(D2315="Formalização",E2315="Concluído"),IF(COUNTIFS($B$2:$B$5001,B2315,$E$2:$E$5001,"Em ajustes",$N$2:$N$5001,"&lt;"&amp;I2315)&gt;0,1,0),0))</f>
        <v/>
      </c>
      <c r="L2315" s="16" t="str">
        <f aca="false">IF(B2315="","",IF(N2315=_xlfn.MAXIFS($N$2:$N$5001,$B$2:$B$5001,B2315,$I$2:$I$5001,I2315),1,0))</f>
        <v/>
      </c>
      <c r="M2315" s="16" t="str">
        <f aca="false">IF(B2315="","",IF(E2315="Em ajustes",IF(N2315=_xlfn.MINIFS($N$2:$N$5001,$B$2:$B$5001,B2315,$E$2:$E$5001,"Em ajustes"),1,0),0))</f>
        <v/>
      </c>
      <c r="N2315" s="17" t="str">
        <f aca="false">IF(A2315="","",IF(ISNUMBER(A2315),A2315,IFERROR(DATE(VALUE(MID(A2315,7,4)),VALUE(MID(A2315,4,2)),VALUE(MID(A2315,1,2)))+TIME(VALUE(MID(A2315,12,2)),VALUE(MID(A2315,15,2)),VALUE(MID(A2315,18,2))),"")))</f>
        <v/>
      </c>
    </row>
    <row r="2316" customFormat="false" ht="15" hidden="false" customHeight="false" outlineLevel="0" collapsed="false">
      <c r="I2316" s="15" t="str">
        <f aca="false">IF(N2316="","",INT(N2316))</f>
        <v/>
      </c>
      <c r="J2316" s="16" t="str">
        <f aca="false">IF(B2316="","",IF(N2316=_xlfn.MINIFS($N$2:$N$5001,$B$2:$B$5001,B2316),1,0))</f>
        <v/>
      </c>
      <c r="K2316" s="16" t="str">
        <f aca="false">IF(B2316="","",IF(AND(D2316="Formalização",E2316="Concluído"),IF(COUNTIFS($B$2:$B$5001,B2316,$E$2:$E$5001,"Em ajustes",$N$2:$N$5001,"&lt;"&amp;I2316)&gt;0,1,0),0))</f>
        <v/>
      </c>
      <c r="L2316" s="16" t="str">
        <f aca="false">IF(B2316="","",IF(N2316=_xlfn.MAXIFS($N$2:$N$5001,$B$2:$B$5001,B2316,$I$2:$I$5001,I2316),1,0))</f>
        <v/>
      </c>
      <c r="M2316" s="16" t="str">
        <f aca="false">IF(B2316="","",IF(E2316="Em ajustes",IF(N2316=_xlfn.MINIFS($N$2:$N$5001,$B$2:$B$5001,B2316,$E$2:$E$5001,"Em ajustes"),1,0),0))</f>
        <v/>
      </c>
      <c r="N2316" s="17" t="str">
        <f aca="false">IF(A2316="","",IF(ISNUMBER(A2316),A2316,IFERROR(DATE(VALUE(MID(A2316,7,4)),VALUE(MID(A2316,4,2)),VALUE(MID(A2316,1,2)))+TIME(VALUE(MID(A2316,12,2)),VALUE(MID(A2316,15,2)),VALUE(MID(A2316,18,2))),"")))</f>
        <v/>
      </c>
    </row>
    <row r="2317" customFormat="false" ht="15" hidden="false" customHeight="false" outlineLevel="0" collapsed="false">
      <c r="I2317" s="15" t="str">
        <f aca="false">IF(N2317="","",INT(N2317))</f>
        <v/>
      </c>
      <c r="J2317" s="16" t="str">
        <f aca="false">IF(B2317="","",IF(N2317=_xlfn.MINIFS($N$2:$N$5001,$B$2:$B$5001,B2317),1,0))</f>
        <v/>
      </c>
      <c r="K2317" s="16" t="str">
        <f aca="false">IF(B2317="","",IF(AND(D2317="Formalização",E2317="Concluído"),IF(COUNTIFS($B$2:$B$5001,B2317,$E$2:$E$5001,"Em ajustes",$N$2:$N$5001,"&lt;"&amp;I2317)&gt;0,1,0),0))</f>
        <v/>
      </c>
      <c r="L2317" s="16" t="str">
        <f aca="false">IF(B2317="","",IF(N2317=_xlfn.MAXIFS($N$2:$N$5001,$B$2:$B$5001,B2317,$I$2:$I$5001,I2317),1,0))</f>
        <v/>
      </c>
      <c r="M2317" s="16" t="str">
        <f aca="false">IF(B2317="","",IF(E2317="Em ajustes",IF(N2317=_xlfn.MINIFS($N$2:$N$5001,$B$2:$B$5001,B2317,$E$2:$E$5001,"Em ajustes"),1,0),0))</f>
        <v/>
      </c>
      <c r="N2317" s="17" t="str">
        <f aca="false">IF(A2317="","",IF(ISNUMBER(A2317),A2317,IFERROR(DATE(VALUE(MID(A2317,7,4)),VALUE(MID(A2317,4,2)),VALUE(MID(A2317,1,2)))+TIME(VALUE(MID(A2317,12,2)),VALUE(MID(A2317,15,2)),VALUE(MID(A2317,18,2))),"")))</f>
        <v/>
      </c>
    </row>
    <row r="2318" customFormat="false" ht="15" hidden="false" customHeight="false" outlineLevel="0" collapsed="false">
      <c r="I2318" s="15" t="str">
        <f aca="false">IF(N2318="","",INT(N2318))</f>
        <v/>
      </c>
      <c r="J2318" s="16" t="str">
        <f aca="false">IF(B2318="","",IF(N2318=_xlfn.MINIFS($N$2:$N$5001,$B$2:$B$5001,B2318),1,0))</f>
        <v/>
      </c>
      <c r="K2318" s="16" t="str">
        <f aca="false">IF(B2318="","",IF(AND(D2318="Formalização",E2318="Concluído"),IF(COUNTIFS($B$2:$B$5001,B2318,$E$2:$E$5001,"Em ajustes",$N$2:$N$5001,"&lt;"&amp;I2318)&gt;0,1,0),0))</f>
        <v/>
      </c>
      <c r="L2318" s="16" t="str">
        <f aca="false">IF(B2318="","",IF(N2318=_xlfn.MAXIFS($N$2:$N$5001,$B$2:$B$5001,B2318,$I$2:$I$5001,I2318),1,0))</f>
        <v/>
      </c>
      <c r="M2318" s="16" t="str">
        <f aca="false">IF(B2318="","",IF(E2318="Em ajustes",IF(N2318=_xlfn.MINIFS($N$2:$N$5001,$B$2:$B$5001,B2318,$E$2:$E$5001,"Em ajustes"),1,0),0))</f>
        <v/>
      </c>
      <c r="N2318" s="17" t="str">
        <f aca="false">IF(A2318="","",IF(ISNUMBER(A2318),A2318,IFERROR(DATE(VALUE(MID(A2318,7,4)),VALUE(MID(A2318,4,2)),VALUE(MID(A2318,1,2)))+TIME(VALUE(MID(A2318,12,2)),VALUE(MID(A2318,15,2)),VALUE(MID(A2318,18,2))),"")))</f>
        <v/>
      </c>
    </row>
    <row r="2319" customFormat="false" ht="15" hidden="false" customHeight="false" outlineLevel="0" collapsed="false">
      <c r="I2319" s="15" t="str">
        <f aca="false">IF(N2319="","",INT(N2319))</f>
        <v/>
      </c>
      <c r="J2319" s="16" t="str">
        <f aca="false">IF(B2319="","",IF(N2319=_xlfn.MINIFS($N$2:$N$5001,$B$2:$B$5001,B2319),1,0))</f>
        <v/>
      </c>
      <c r="K2319" s="16" t="str">
        <f aca="false">IF(B2319="","",IF(AND(D2319="Formalização",E2319="Concluído"),IF(COUNTIFS($B$2:$B$5001,B2319,$E$2:$E$5001,"Em ajustes",$N$2:$N$5001,"&lt;"&amp;I2319)&gt;0,1,0),0))</f>
        <v/>
      </c>
      <c r="L2319" s="16" t="str">
        <f aca="false">IF(B2319="","",IF(N2319=_xlfn.MAXIFS($N$2:$N$5001,$B$2:$B$5001,B2319,$I$2:$I$5001,I2319),1,0))</f>
        <v/>
      </c>
      <c r="M2319" s="16" t="str">
        <f aca="false">IF(B2319="","",IF(E2319="Em ajustes",IF(N2319=_xlfn.MINIFS($N$2:$N$5001,$B$2:$B$5001,B2319,$E$2:$E$5001,"Em ajustes"),1,0),0))</f>
        <v/>
      </c>
      <c r="N2319" s="17" t="str">
        <f aca="false">IF(A2319="","",IF(ISNUMBER(A2319),A2319,IFERROR(DATE(VALUE(MID(A2319,7,4)),VALUE(MID(A2319,4,2)),VALUE(MID(A2319,1,2)))+TIME(VALUE(MID(A2319,12,2)),VALUE(MID(A2319,15,2)),VALUE(MID(A2319,18,2))),"")))</f>
        <v/>
      </c>
    </row>
    <row r="2320" customFormat="false" ht="15" hidden="false" customHeight="false" outlineLevel="0" collapsed="false">
      <c r="I2320" s="15" t="str">
        <f aca="false">IF(N2320="","",INT(N2320))</f>
        <v/>
      </c>
      <c r="J2320" s="16" t="str">
        <f aca="false">IF(B2320="","",IF(N2320=_xlfn.MINIFS($N$2:$N$5001,$B$2:$B$5001,B2320),1,0))</f>
        <v/>
      </c>
      <c r="K2320" s="16" t="str">
        <f aca="false">IF(B2320="","",IF(AND(D2320="Formalização",E2320="Concluído"),IF(COUNTIFS($B$2:$B$5001,B2320,$E$2:$E$5001,"Em ajustes",$N$2:$N$5001,"&lt;"&amp;I2320)&gt;0,1,0),0))</f>
        <v/>
      </c>
      <c r="L2320" s="16" t="str">
        <f aca="false">IF(B2320="","",IF(N2320=_xlfn.MAXIFS($N$2:$N$5001,$B$2:$B$5001,B2320,$I$2:$I$5001,I2320),1,0))</f>
        <v/>
      </c>
      <c r="M2320" s="16" t="str">
        <f aca="false">IF(B2320="","",IF(E2320="Em ajustes",IF(N2320=_xlfn.MINIFS($N$2:$N$5001,$B$2:$B$5001,B2320,$E$2:$E$5001,"Em ajustes"),1,0),0))</f>
        <v/>
      </c>
      <c r="N2320" s="17" t="str">
        <f aca="false">IF(A2320="","",IF(ISNUMBER(A2320),A2320,IFERROR(DATE(VALUE(MID(A2320,7,4)),VALUE(MID(A2320,4,2)),VALUE(MID(A2320,1,2)))+TIME(VALUE(MID(A2320,12,2)),VALUE(MID(A2320,15,2)),VALUE(MID(A2320,18,2))),"")))</f>
        <v/>
      </c>
    </row>
    <row r="2321" customFormat="false" ht="15" hidden="false" customHeight="false" outlineLevel="0" collapsed="false">
      <c r="I2321" s="15" t="str">
        <f aca="false">IF(N2321="","",INT(N2321))</f>
        <v/>
      </c>
      <c r="J2321" s="16" t="str">
        <f aca="false">IF(B2321="","",IF(N2321=_xlfn.MINIFS($N$2:$N$5001,$B$2:$B$5001,B2321),1,0))</f>
        <v/>
      </c>
      <c r="K2321" s="16" t="str">
        <f aca="false">IF(B2321="","",IF(AND(D2321="Formalização",E2321="Concluído"),IF(COUNTIFS($B$2:$B$5001,B2321,$E$2:$E$5001,"Em ajustes",$N$2:$N$5001,"&lt;"&amp;I2321)&gt;0,1,0),0))</f>
        <v/>
      </c>
      <c r="L2321" s="16" t="str">
        <f aca="false">IF(B2321="","",IF(N2321=_xlfn.MAXIFS($N$2:$N$5001,$B$2:$B$5001,B2321,$I$2:$I$5001,I2321),1,0))</f>
        <v/>
      </c>
      <c r="M2321" s="16" t="str">
        <f aca="false">IF(B2321="","",IF(E2321="Em ajustes",IF(N2321=_xlfn.MINIFS($N$2:$N$5001,$B$2:$B$5001,B2321,$E$2:$E$5001,"Em ajustes"),1,0),0))</f>
        <v/>
      </c>
      <c r="N2321" s="17" t="str">
        <f aca="false">IF(A2321="","",IF(ISNUMBER(A2321),A2321,IFERROR(DATE(VALUE(MID(A2321,7,4)),VALUE(MID(A2321,4,2)),VALUE(MID(A2321,1,2)))+TIME(VALUE(MID(A2321,12,2)),VALUE(MID(A2321,15,2)),VALUE(MID(A2321,18,2))),"")))</f>
        <v/>
      </c>
    </row>
    <row r="2322" customFormat="false" ht="15" hidden="false" customHeight="false" outlineLevel="0" collapsed="false">
      <c r="I2322" s="15" t="str">
        <f aca="false">IF(N2322="","",INT(N2322))</f>
        <v/>
      </c>
      <c r="J2322" s="16" t="str">
        <f aca="false">IF(B2322="","",IF(N2322=_xlfn.MINIFS($N$2:$N$5001,$B$2:$B$5001,B2322),1,0))</f>
        <v/>
      </c>
      <c r="K2322" s="16" t="str">
        <f aca="false">IF(B2322="","",IF(AND(D2322="Formalização",E2322="Concluído"),IF(COUNTIFS($B$2:$B$5001,B2322,$E$2:$E$5001,"Em ajustes",$N$2:$N$5001,"&lt;"&amp;I2322)&gt;0,1,0),0))</f>
        <v/>
      </c>
      <c r="L2322" s="16" t="str">
        <f aca="false">IF(B2322="","",IF(N2322=_xlfn.MAXIFS($N$2:$N$5001,$B$2:$B$5001,B2322,$I$2:$I$5001,I2322),1,0))</f>
        <v/>
      </c>
      <c r="M2322" s="16" t="str">
        <f aca="false">IF(B2322="","",IF(E2322="Em ajustes",IF(N2322=_xlfn.MINIFS($N$2:$N$5001,$B$2:$B$5001,B2322,$E$2:$E$5001,"Em ajustes"),1,0),0))</f>
        <v/>
      </c>
      <c r="N2322" s="17" t="str">
        <f aca="false">IF(A2322="","",IF(ISNUMBER(A2322),A2322,IFERROR(DATE(VALUE(MID(A2322,7,4)),VALUE(MID(A2322,4,2)),VALUE(MID(A2322,1,2)))+TIME(VALUE(MID(A2322,12,2)),VALUE(MID(A2322,15,2)),VALUE(MID(A2322,18,2))),"")))</f>
        <v/>
      </c>
    </row>
    <row r="2323" customFormat="false" ht="15" hidden="false" customHeight="false" outlineLevel="0" collapsed="false">
      <c r="I2323" s="15" t="str">
        <f aca="false">IF(N2323="","",INT(N2323))</f>
        <v/>
      </c>
      <c r="J2323" s="16" t="str">
        <f aca="false">IF(B2323="","",IF(N2323=_xlfn.MINIFS($N$2:$N$5001,$B$2:$B$5001,B2323),1,0))</f>
        <v/>
      </c>
      <c r="K2323" s="16" t="str">
        <f aca="false">IF(B2323="","",IF(AND(D2323="Formalização",E2323="Concluído"),IF(COUNTIFS($B$2:$B$5001,B2323,$E$2:$E$5001,"Em ajustes",$N$2:$N$5001,"&lt;"&amp;I2323)&gt;0,1,0),0))</f>
        <v/>
      </c>
      <c r="L2323" s="16" t="str">
        <f aca="false">IF(B2323="","",IF(N2323=_xlfn.MAXIFS($N$2:$N$5001,$B$2:$B$5001,B2323,$I$2:$I$5001,I2323),1,0))</f>
        <v/>
      </c>
      <c r="M2323" s="16" t="str">
        <f aca="false">IF(B2323="","",IF(E2323="Em ajustes",IF(N2323=_xlfn.MINIFS($N$2:$N$5001,$B$2:$B$5001,B2323,$E$2:$E$5001,"Em ajustes"),1,0),0))</f>
        <v/>
      </c>
      <c r="N2323" s="17" t="str">
        <f aca="false">IF(A2323="","",IF(ISNUMBER(A2323),A2323,IFERROR(DATE(VALUE(MID(A2323,7,4)),VALUE(MID(A2323,4,2)),VALUE(MID(A2323,1,2)))+TIME(VALUE(MID(A2323,12,2)),VALUE(MID(A2323,15,2)),VALUE(MID(A2323,18,2))),"")))</f>
        <v/>
      </c>
    </row>
    <row r="2324" customFormat="false" ht="15" hidden="false" customHeight="false" outlineLevel="0" collapsed="false">
      <c r="I2324" s="15" t="str">
        <f aca="false">IF(N2324="","",INT(N2324))</f>
        <v/>
      </c>
      <c r="J2324" s="16" t="str">
        <f aca="false">IF(B2324="","",IF(N2324=_xlfn.MINIFS($N$2:$N$5001,$B$2:$B$5001,B2324),1,0))</f>
        <v/>
      </c>
      <c r="K2324" s="16" t="str">
        <f aca="false">IF(B2324="","",IF(AND(D2324="Formalização",E2324="Concluído"),IF(COUNTIFS($B$2:$B$5001,B2324,$E$2:$E$5001,"Em ajustes",$N$2:$N$5001,"&lt;"&amp;I2324)&gt;0,1,0),0))</f>
        <v/>
      </c>
      <c r="L2324" s="16" t="str">
        <f aca="false">IF(B2324="","",IF(N2324=_xlfn.MAXIFS($N$2:$N$5001,$B$2:$B$5001,B2324,$I$2:$I$5001,I2324),1,0))</f>
        <v/>
      </c>
      <c r="M2324" s="16" t="str">
        <f aca="false">IF(B2324="","",IF(E2324="Em ajustes",IF(N2324=_xlfn.MINIFS($N$2:$N$5001,$B$2:$B$5001,B2324,$E$2:$E$5001,"Em ajustes"),1,0),0))</f>
        <v/>
      </c>
      <c r="N2324" s="17" t="str">
        <f aca="false">IF(A2324="","",IF(ISNUMBER(A2324),A2324,IFERROR(DATE(VALUE(MID(A2324,7,4)),VALUE(MID(A2324,4,2)),VALUE(MID(A2324,1,2)))+TIME(VALUE(MID(A2324,12,2)),VALUE(MID(A2324,15,2)),VALUE(MID(A2324,18,2))),"")))</f>
        <v/>
      </c>
    </row>
    <row r="2325" customFormat="false" ht="15" hidden="false" customHeight="false" outlineLevel="0" collapsed="false">
      <c r="I2325" s="15" t="str">
        <f aca="false">IF(N2325="","",INT(N2325))</f>
        <v/>
      </c>
      <c r="J2325" s="16" t="str">
        <f aca="false">IF(B2325="","",IF(N2325=_xlfn.MINIFS($N$2:$N$5001,$B$2:$B$5001,B2325),1,0))</f>
        <v/>
      </c>
      <c r="K2325" s="16" t="str">
        <f aca="false">IF(B2325="","",IF(AND(D2325="Formalização",E2325="Concluído"),IF(COUNTIFS($B$2:$B$5001,B2325,$E$2:$E$5001,"Em ajustes",$N$2:$N$5001,"&lt;"&amp;I2325)&gt;0,1,0),0))</f>
        <v/>
      </c>
      <c r="L2325" s="16" t="str">
        <f aca="false">IF(B2325="","",IF(N2325=_xlfn.MAXIFS($N$2:$N$5001,$B$2:$B$5001,B2325,$I$2:$I$5001,I2325),1,0))</f>
        <v/>
      </c>
      <c r="M2325" s="16" t="str">
        <f aca="false">IF(B2325="","",IF(E2325="Em ajustes",IF(N2325=_xlfn.MINIFS($N$2:$N$5001,$B$2:$B$5001,B2325,$E$2:$E$5001,"Em ajustes"),1,0),0))</f>
        <v/>
      </c>
      <c r="N2325" s="17" t="str">
        <f aca="false">IF(A2325="","",IF(ISNUMBER(A2325),A2325,IFERROR(DATE(VALUE(MID(A2325,7,4)),VALUE(MID(A2325,4,2)),VALUE(MID(A2325,1,2)))+TIME(VALUE(MID(A2325,12,2)),VALUE(MID(A2325,15,2)),VALUE(MID(A2325,18,2))),"")))</f>
        <v/>
      </c>
    </row>
    <row r="2326" customFormat="false" ht="15" hidden="false" customHeight="false" outlineLevel="0" collapsed="false">
      <c r="I2326" s="15" t="str">
        <f aca="false">IF(N2326="","",INT(N2326))</f>
        <v/>
      </c>
      <c r="J2326" s="16" t="str">
        <f aca="false">IF(B2326="","",IF(N2326=_xlfn.MINIFS($N$2:$N$5001,$B$2:$B$5001,B2326),1,0))</f>
        <v/>
      </c>
      <c r="K2326" s="16" t="str">
        <f aca="false">IF(B2326="","",IF(AND(D2326="Formalização",E2326="Concluído"),IF(COUNTIFS($B$2:$B$5001,B2326,$E$2:$E$5001,"Em ajustes",$N$2:$N$5001,"&lt;"&amp;I2326)&gt;0,1,0),0))</f>
        <v/>
      </c>
      <c r="L2326" s="16" t="str">
        <f aca="false">IF(B2326="","",IF(N2326=_xlfn.MAXIFS($N$2:$N$5001,$B$2:$B$5001,B2326,$I$2:$I$5001,I2326),1,0))</f>
        <v/>
      </c>
      <c r="M2326" s="16" t="str">
        <f aca="false">IF(B2326="","",IF(E2326="Em ajustes",IF(N2326=_xlfn.MINIFS($N$2:$N$5001,$B$2:$B$5001,B2326,$E$2:$E$5001,"Em ajustes"),1,0),0))</f>
        <v/>
      </c>
      <c r="N2326" s="17" t="str">
        <f aca="false">IF(A2326="","",IF(ISNUMBER(A2326),A2326,IFERROR(DATE(VALUE(MID(A2326,7,4)),VALUE(MID(A2326,4,2)),VALUE(MID(A2326,1,2)))+TIME(VALUE(MID(A2326,12,2)),VALUE(MID(A2326,15,2)),VALUE(MID(A2326,18,2))),"")))</f>
        <v/>
      </c>
    </row>
    <row r="2327" customFormat="false" ht="15" hidden="false" customHeight="false" outlineLevel="0" collapsed="false">
      <c r="I2327" s="15" t="str">
        <f aca="false">IF(N2327="","",INT(N2327))</f>
        <v/>
      </c>
      <c r="J2327" s="16" t="str">
        <f aca="false">IF(B2327="","",IF(N2327=_xlfn.MINIFS($N$2:$N$5001,$B$2:$B$5001,B2327),1,0))</f>
        <v/>
      </c>
      <c r="K2327" s="16" t="str">
        <f aca="false">IF(B2327="","",IF(AND(D2327="Formalização",E2327="Concluído"),IF(COUNTIFS($B$2:$B$5001,B2327,$E$2:$E$5001,"Em ajustes",$N$2:$N$5001,"&lt;"&amp;I2327)&gt;0,1,0),0))</f>
        <v/>
      </c>
      <c r="L2327" s="16" t="str">
        <f aca="false">IF(B2327="","",IF(N2327=_xlfn.MAXIFS($N$2:$N$5001,$B$2:$B$5001,B2327,$I$2:$I$5001,I2327),1,0))</f>
        <v/>
      </c>
      <c r="M2327" s="16" t="str">
        <f aca="false">IF(B2327="","",IF(E2327="Em ajustes",IF(N2327=_xlfn.MINIFS($N$2:$N$5001,$B$2:$B$5001,B2327,$E$2:$E$5001,"Em ajustes"),1,0),0))</f>
        <v/>
      </c>
      <c r="N2327" s="17" t="str">
        <f aca="false">IF(A2327="","",IF(ISNUMBER(A2327),A2327,IFERROR(DATE(VALUE(MID(A2327,7,4)),VALUE(MID(A2327,4,2)),VALUE(MID(A2327,1,2)))+TIME(VALUE(MID(A2327,12,2)),VALUE(MID(A2327,15,2)),VALUE(MID(A2327,18,2))),"")))</f>
        <v/>
      </c>
    </row>
    <row r="2328" customFormat="false" ht="15" hidden="false" customHeight="false" outlineLevel="0" collapsed="false">
      <c r="I2328" s="15" t="str">
        <f aca="false">IF(N2328="","",INT(N2328))</f>
        <v/>
      </c>
      <c r="J2328" s="16" t="str">
        <f aca="false">IF(B2328="","",IF(N2328=_xlfn.MINIFS($N$2:$N$5001,$B$2:$B$5001,B2328),1,0))</f>
        <v/>
      </c>
      <c r="K2328" s="16" t="str">
        <f aca="false">IF(B2328="","",IF(AND(D2328="Formalização",E2328="Concluído"),IF(COUNTIFS($B$2:$B$5001,B2328,$E$2:$E$5001,"Em ajustes",$N$2:$N$5001,"&lt;"&amp;I2328)&gt;0,1,0),0))</f>
        <v/>
      </c>
      <c r="L2328" s="16" t="str">
        <f aca="false">IF(B2328="","",IF(N2328=_xlfn.MAXIFS($N$2:$N$5001,$B$2:$B$5001,B2328,$I$2:$I$5001,I2328),1,0))</f>
        <v/>
      </c>
      <c r="M2328" s="16" t="str">
        <f aca="false">IF(B2328="","",IF(E2328="Em ajustes",IF(N2328=_xlfn.MINIFS($N$2:$N$5001,$B$2:$B$5001,B2328,$E$2:$E$5001,"Em ajustes"),1,0),0))</f>
        <v/>
      </c>
      <c r="N2328" s="17" t="str">
        <f aca="false">IF(A2328="","",IF(ISNUMBER(A2328),A2328,IFERROR(DATE(VALUE(MID(A2328,7,4)),VALUE(MID(A2328,4,2)),VALUE(MID(A2328,1,2)))+TIME(VALUE(MID(A2328,12,2)),VALUE(MID(A2328,15,2)),VALUE(MID(A2328,18,2))),"")))</f>
        <v/>
      </c>
    </row>
    <row r="2329" customFormat="false" ht="15" hidden="false" customHeight="false" outlineLevel="0" collapsed="false">
      <c r="I2329" s="15" t="str">
        <f aca="false">IF(N2329="","",INT(N2329))</f>
        <v/>
      </c>
      <c r="J2329" s="16" t="str">
        <f aca="false">IF(B2329="","",IF(N2329=_xlfn.MINIFS($N$2:$N$5001,$B$2:$B$5001,B2329),1,0))</f>
        <v/>
      </c>
      <c r="K2329" s="16" t="str">
        <f aca="false">IF(B2329="","",IF(AND(D2329="Formalização",E2329="Concluído"),IF(COUNTIFS($B$2:$B$5001,B2329,$E$2:$E$5001,"Em ajustes",$N$2:$N$5001,"&lt;"&amp;I2329)&gt;0,1,0),0))</f>
        <v/>
      </c>
      <c r="L2329" s="16" t="str">
        <f aca="false">IF(B2329="","",IF(N2329=_xlfn.MAXIFS($N$2:$N$5001,$B$2:$B$5001,B2329,$I$2:$I$5001,I2329),1,0))</f>
        <v/>
      </c>
      <c r="M2329" s="16" t="str">
        <f aca="false">IF(B2329="","",IF(E2329="Em ajustes",IF(N2329=_xlfn.MINIFS($N$2:$N$5001,$B$2:$B$5001,B2329,$E$2:$E$5001,"Em ajustes"),1,0),0))</f>
        <v/>
      </c>
      <c r="N2329" s="17" t="str">
        <f aca="false">IF(A2329="","",IF(ISNUMBER(A2329),A2329,IFERROR(DATE(VALUE(MID(A2329,7,4)),VALUE(MID(A2329,4,2)),VALUE(MID(A2329,1,2)))+TIME(VALUE(MID(A2329,12,2)),VALUE(MID(A2329,15,2)),VALUE(MID(A2329,18,2))),"")))</f>
        <v/>
      </c>
    </row>
    <row r="2330" customFormat="false" ht="15" hidden="false" customHeight="false" outlineLevel="0" collapsed="false">
      <c r="I2330" s="15" t="str">
        <f aca="false">IF(N2330="","",INT(N2330))</f>
        <v/>
      </c>
      <c r="J2330" s="16" t="str">
        <f aca="false">IF(B2330="","",IF(N2330=_xlfn.MINIFS($N$2:$N$5001,$B$2:$B$5001,B2330),1,0))</f>
        <v/>
      </c>
      <c r="K2330" s="16" t="str">
        <f aca="false">IF(B2330="","",IF(AND(D2330="Formalização",E2330="Concluído"),IF(COUNTIFS($B$2:$B$5001,B2330,$E$2:$E$5001,"Em ajustes",$N$2:$N$5001,"&lt;"&amp;I2330)&gt;0,1,0),0))</f>
        <v/>
      </c>
      <c r="L2330" s="16" t="str">
        <f aca="false">IF(B2330="","",IF(N2330=_xlfn.MAXIFS($N$2:$N$5001,$B$2:$B$5001,B2330,$I$2:$I$5001,I2330),1,0))</f>
        <v/>
      </c>
      <c r="M2330" s="16" t="str">
        <f aca="false">IF(B2330="","",IF(E2330="Em ajustes",IF(N2330=_xlfn.MINIFS($N$2:$N$5001,$B$2:$B$5001,B2330,$E$2:$E$5001,"Em ajustes"),1,0),0))</f>
        <v/>
      </c>
      <c r="N2330" s="17" t="str">
        <f aca="false">IF(A2330="","",IF(ISNUMBER(A2330),A2330,IFERROR(DATE(VALUE(MID(A2330,7,4)),VALUE(MID(A2330,4,2)),VALUE(MID(A2330,1,2)))+TIME(VALUE(MID(A2330,12,2)),VALUE(MID(A2330,15,2)),VALUE(MID(A2330,18,2))),"")))</f>
        <v/>
      </c>
    </row>
    <row r="2331" customFormat="false" ht="15" hidden="false" customHeight="false" outlineLevel="0" collapsed="false">
      <c r="I2331" s="15" t="str">
        <f aca="false">IF(N2331="","",INT(N2331))</f>
        <v/>
      </c>
      <c r="J2331" s="16" t="str">
        <f aca="false">IF(B2331="","",IF(N2331=_xlfn.MINIFS($N$2:$N$5001,$B$2:$B$5001,B2331),1,0))</f>
        <v/>
      </c>
      <c r="K2331" s="16" t="str">
        <f aca="false">IF(B2331="","",IF(AND(D2331="Formalização",E2331="Concluído"),IF(COUNTIFS($B$2:$B$5001,B2331,$E$2:$E$5001,"Em ajustes",$N$2:$N$5001,"&lt;"&amp;I2331)&gt;0,1,0),0))</f>
        <v/>
      </c>
      <c r="L2331" s="16" t="str">
        <f aca="false">IF(B2331="","",IF(N2331=_xlfn.MAXIFS($N$2:$N$5001,$B$2:$B$5001,B2331,$I$2:$I$5001,I2331),1,0))</f>
        <v/>
      </c>
      <c r="M2331" s="16" t="str">
        <f aca="false">IF(B2331="","",IF(E2331="Em ajustes",IF(N2331=_xlfn.MINIFS($N$2:$N$5001,$B$2:$B$5001,B2331,$E$2:$E$5001,"Em ajustes"),1,0),0))</f>
        <v/>
      </c>
      <c r="N2331" s="17" t="str">
        <f aca="false">IF(A2331="","",IF(ISNUMBER(A2331),A2331,IFERROR(DATE(VALUE(MID(A2331,7,4)),VALUE(MID(A2331,4,2)),VALUE(MID(A2331,1,2)))+TIME(VALUE(MID(A2331,12,2)),VALUE(MID(A2331,15,2)),VALUE(MID(A2331,18,2))),"")))</f>
        <v/>
      </c>
    </row>
    <row r="2332" customFormat="false" ht="15" hidden="false" customHeight="false" outlineLevel="0" collapsed="false">
      <c r="I2332" s="15" t="str">
        <f aca="false">IF(N2332="","",INT(N2332))</f>
        <v/>
      </c>
      <c r="J2332" s="16" t="str">
        <f aca="false">IF(B2332="","",IF(N2332=_xlfn.MINIFS($N$2:$N$5001,$B$2:$B$5001,B2332),1,0))</f>
        <v/>
      </c>
      <c r="K2332" s="16" t="str">
        <f aca="false">IF(B2332="","",IF(AND(D2332="Formalização",E2332="Concluído"),IF(COUNTIFS($B$2:$B$5001,B2332,$E$2:$E$5001,"Em ajustes",$N$2:$N$5001,"&lt;"&amp;I2332)&gt;0,1,0),0))</f>
        <v/>
      </c>
      <c r="L2332" s="16" t="str">
        <f aca="false">IF(B2332="","",IF(N2332=_xlfn.MAXIFS($N$2:$N$5001,$B$2:$B$5001,B2332,$I$2:$I$5001,I2332),1,0))</f>
        <v/>
      </c>
      <c r="M2332" s="16" t="str">
        <f aca="false">IF(B2332="","",IF(E2332="Em ajustes",IF(N2332=_xlfn.MINIFS($N$2:$N$5001,$B$2:$B$5001,B2332,$E$2:$E$5001,"Em ajustes"),1,0),0))</f>
        <v/>
      </c>
      <c r="N2332" s="17" t="str">
        <f aca="false">IF(A2332="","",IF(ISNUMBER(A2332),A2332,IFERROR(DATE(VALUE(MID(A2332,7,4)),VALUE(MID(A2332,4,2)),VALUE(MID(A2332,1,2)))+TIME(VALUE(MID(A2332,12,2)),VALUE(MID(A2332,15,2)),VALUE(MID(A2332,18,2))),"")))</f>
        <v/>
      </c>
    </row>
    <row r="2333" customFormat="false" ht="15" hidden="false" customHeight="false" outlineLevel="0" collapsed="false">
      <c r="I2333" s="15" t="str">
        <f aca="false">IF(N2333="","",INT(N2333))</f>
        <v/>
      </c>
      <c r="J2333" s="16" t="str">
        <f aca="false">IF(B2333="","",IF(N2333=_xlfn.MINIFS($N$2:$N$5001,$B$2:$B$5001,B2333),1,0))</f>
        <v/>
      </c>
      <c r="K2333" s="16" t="str">
        <f aca="false">IF(B2333="","",IF(AND(D2333="Formalização",E2333="Concluído"),IF(COUNTIFS($B$2:$B$5001,B2333,$E$2:$E$5001,"Em ajustes",$N$2:$N$5001,"&lt;"&amp;I2333)&gt;0,1,0),0))</f>
        <v/>
      </c>
      <c r="L2333" s="16" t="str">
        <f aca="false">IF(B2333="","",IF(N2333=_xlfn.MAXIFS($N$2:$N$5001,$B$2:$B$5001,B2333,$I$2:$I$5001,I2333),1,0))</f>
        <v/>
      </c>
      <c r="M2333" s="16" t="str">
        <f aca="false">IF(B2333="","",IF(E2333="Em ajustes",IF(N2333=_xlfn.MINIFS($N$2:$N$5001,$B$2:$B$5001,B2333,$E$2:$E$5001,"Em ajustes"),1,0),0))</f>
        <v/>
      </c>
      <c r="N2333" s="17" t="str">
        <f aca="false">IF(A2333="","",IF(ISNUMBER(A2333),A2333,IFERROR(DATE(VALUE(MID(A2333,7,4)),VALUE(MID(A2333,4,2)),VALUE(MID(A2333,1,2)))+TIME(VALUE(MID(A2333,12,2)),VALUE(MID(A2333,15,2)),VALUE(MID(A2333,18,2))),"")))</f>
        <v/>
      </c>
    </row>
    <row r="2334" customFormat="false" ht="15" hidden="false" customHeight="false" outlineLevel="0" collapsed="false">
      <c r="I2334" s="15" t="str">
        <f aca="false">IF(N2334="","",INT(N2334))</f>
        <v/>
      </c>
      <c r="J2334" s="16" t="str">
        <f aca="false">IF(B2334="","",IF(N2334=_xlfn.MINIFS($N$2:$N$5001,$B$2:$B$5001,B2334),1,0))</f>
        <v/>
      </c>
      <c r="K2334" s="16" t="str">
        <f aca="false">IF(B2334="","",IF(AND(D2334="Formalização",E2334="Concluído"),IF(COUNTIFS($B$2:$B$5001,B2334,$E$2:$E$5001,"Em ajustes",$N$2:$N$5001,"&lt;"&amp;I2334)&gt;0,1,0),0))</f>
        <v/>
      </c>
      <c r="L2334" s="16" t="str">
        <f aca="false">IF(B2334="","",IF(N2334=_xlfn.MAXIFS($N$2:$N$5001,$B$2:$B$5001,B2334,$I$2:$I$5001,I2334),1,0))</f>
        <v/>
      </c>
      <c r="M2334" s="16" t="str">
        <f aca="false">IF(B2334="","",IF(E2334="Em ajustes",IF(N2334=_xlfn.MINIFS($N$2:$N$5001,$B$2:$B$5001,B2334,$E$2:$E$5001,"Em ajustes"),1,0),0))</f>
        <v/>
      </c>
      <c r="N2334" s="17" t="str">
        <f aca="false">IF(A2334="","",IF(ISNUMBER(A2334),A2334,IFERROR(DATE(VALUE(MID(A2334,7,4)),VALUE(MID(A2334,4,2)),VALUE(MID(A2334,1,2)))+TIME(VALUE(MID(A2334,12,2)),VALUE(MID(A2334,15,2)),VALUE(MID(A2334,18,2))),"")))</f>
        <v/>
      </c>
    </row>
    <row r="2335" customFormat="false" ht="15" hidden="false" customHeight="false" outlineLevel="0" collapsed="false">
      <c r="I2335" s="15" t="str">
        <f aca="false">IF(N2335="","",INT(N2335))</f>
        <v/>
      </c>
      <c r="J2335" s="16" t="str">
        <f aca="false">IF(B2335="","",IF(N2335=_xlfn.MINIFS($N$2:$N$5001,$B$2:$B$5001,B2335),1,0))</f>
        <v/>
      </c>
      <c r="K2335" s="16" t="str">
        <f aca="false">IF(B2335="","",IF(AND(D2335="Formalização",E2335="Concluído"),IF(COUNTIFS($B$2:$B$5001,B2335,$E$2:$E$5001,"Em ajustes",$N$2:$N$5001,"&lt;"&amp;I2335)&gt;0,1,0),0))</f>
        <v/>
      </c>
      <c r="L2335" s="16" t="str">
        <f aca="false">IF(B2335="","",IF(N2335=_xlfn.MAXIFS($N$2:$N$5001,$B$2:$B$5001,B2335,$I$2:$I$5001,I2335),1,0))</f>
        <v/>
      </c>
      <c r="M2335" s="16" t="str">
        <f aca="false">IF(B2335="","",IF(E2335="Em ajustes",IF(N2335=_xlfn.MINIFS($N$2:$N$5001,$B$2:$B$5001,B2335,$E$2:$E$5001,"Em ajustes"),1,0),0))</f>
        <v/>
      </c>
      <c r="N2335" s="17" t="str">
        <f aca="false">IF(A2335="","",IF(ISNUMBER(A2335),A2335,IFERROR(DATE(VALUE(MID(A2335,7,4)),VALUE(MID(A2335,4,2)),VALUE(MID(A2335,1,2)))+TIME(VALUE(MID(A2335,12,2)),VALUE(MID(A2335,15,2)),VALUE(MID(A2335,18,2))),"")))</f>
        <v/>
      </c>
    </row>
    <row r="2336" customFormat="false" ht="15" hidden="false" customHeight="false" outlineLevel="0" collapsed="false">
      <c r="I2336" s="15" t="str">
        <f aca="false">IF(N2336="","",INT(N2336))</f>
        <v/>
      </c>
      <c r="J2336" s="16" t="str">
        <f aca="false">IF(B2336="","",IF(N2336=_xlfn.MINIFS($N$2:$N$5001,$B$2:$B$5001,B2336),1,0))</f>
        <v/>
      </c>
      <c r="K2336" s="16" t="str">
        <f aca="false">IF(B2336="","",IF(AND(D2336="Formalização",E2336="Concluído"),IF(COUNTIFS($B$2:$B$5001,B2336,$E$2:$E$5001,"Em ajustes",$N$2:$N$5001,"&lt;"&amp;I2336)&gt;0,1,0),0))</f>
        <v/>
      </c>
      <c r="L2336" s="16" t="str">
        <f aca="false">IF(B2336="","",IF(N2336=_xlfn.MAXIFS($N$2:$N$5001,$B$2:$B$5001,B2336,$I$2:$I$5001,I2336),1,0))</f>
        <v/>
      </c>
      <c r="M2336" s="16" t="str">
        <f aca="false">IF(B2336="","",IF(E2336="Em ajustes",IF(N2336=_xlfn.MINIFS($N$2:$N$5001,$B$2:$B$5001,B2336,$E$2:$E$5001,"Em ajustes"),1,0),0))</f>
        <v/>
      </c>
      <c r="N2336" s="17" t="str">
        <f aca="false">IF(A2336="","",IF(ISNUMBER(A2336),A2336,IFERROR(DATE(VALUE(MID(A2336,7,4)),VALUE(MID(A2336,4,2)),VALUE(MID(A2336,1,2)))+TIME(VALUE(MID(A2336,12,2)),VALUE(MID(A2336,15,2)),VALUE(MID(A2336,18,2))),"")))</f>
        <v/>
      </c>
    </row>
    <row r="2337" customFormat="false" ht="15" hidden="false" customHeight="false" outlineLevel="0" collapsed="false">
      <c r="I2337" s="15" t="str">
        <f aca="false">IF(N2337="","",INT(N2337))</f>
        <v/>
      </c>
      <c r="J2337" s="16" t="str">
        <f aca="false">IF(B2337="","",IF(N2337=_xlfn.MINIFS($N$2:$N$5001,$B$2:$B$5001,B2337),1,0))</f>
        <v/>
      </c>
      <c r="K2337" s="16" t="str">
        <f aca="false">IF(B2337="","",IF(AND(D2337="Formalização",E2337="Concluído"),IF(COUNTIFS($B$2:$B$5001,B2337,$E$2:$E$5001,"Em ajustes",$N$2:$N$5001,"&lt;"&amp;I2337)&gt;0,1,0),0))</f>
        <v/>
      </c>
      <c r="L2337" s="16" t="str">
        <f aca="false">IF(B2337="","",IF(N2337=_xlfn.MAXIFS($N$2:$N$5001,$B$2:$B$5001,B2337,$I$2:$I$5001,I2337),1,0))</f>
        <v/>
      </c>
      <c r="M2337" s="16" t="str">
        <f aca="false">IF(B2337="","",IF(E2337="Em ajustes",IF(N2337=_xlfn.MINIFS($N$2:$N$5001,$B$2:$B$5001,B2337,$E$2:$E$5001,"Em ajustes"),1,0),0))</f>
        <v/>
      </c>
      <c r="N2337" s="17" t="str">
        <f aca="false">IF(A2337="","",IF(ISNUMBER(A2337),A2337,IFERROR(DATE(VALUE(MID(A2337,7,4)),VALUE(MID(A2337,4,2)),VALUE(MID(A2337,1,2)))+TIME(VALUE(MID(A2337,12,2)),VALUE(MID(A2337,15,2)),VALUE(MID(A2337,18,2))),"")))</f>
        <v/>
      </c>
    </row>
    <row r="2338" customFormat="false" ht="15" hidden="false" customHeight="false" outlineLevel="0" collapsed="false">
      <c r="I2338" s="15" t="str">
        <f aca="false">IF(N2338="","",INT(N2338))</f>
        <v/>
      </c>
      <c r="J2338" s="16" t="str">
        <f aca="false">IF(B2338="","",IF(N2338=_xlfn.MINIFS($N$2:$N$5001,$B$2:$B$5001,B2338),1,0))</f>
        <v/>
      </c>
      <c r="K2338" s="16" t="str">
        <f aca="false">IF(B2338="","",IF(AND(D2338="Formalização",E2338="Concluído"),IF(COUNTIFS($B$2:$B$5001,B2338,$E$2:$E$5001,"Em ajustes",$N$2:$N$5001,"&lt;"&amp;I2338)&gt;0,1,0),0))</f>
        <v/>
      </c>
      <c r="L2338" s="16" t="str">
        <f aca="false">IF(B2338="","",IF(N2338=_xlfn.MAXIFS($N$2:$N$5001,$B$2:$B$5001,B2338,$I$2:$I$5001,I2338),1,0))</f>
        <v/>
      </c>
      <c r="M2338" s="16" t="str">
        <f aca="false">IF(B2338="","",IF(E2338="Em ajustes",IF(N2338=_xlfn.MINIFS($N$2:$N$5001,$B$2:$B$5001,B2338,$E$2:$E$5001,"Em ajustes"),1,0),0))</f>
        <v/>
      </c>
      <c r="N2338" s="17" t="str">
        <f aca="false">IF(A2338="","",IF(ISNUMBER(A2338),A2338,IFERROR(DATE(VALUE(MID(A2338,7,4)),VALUE(MID(A2338,4,2)),VALUE(MID(A2338,1,2)))+TIME(VALUE(MID(A2338,12,2)),VALUE(MID(A2338,15,2)),VALUE(MID(A2338,18,2))),"")))</f>
        <v/>
      </c>
    </row>
    <row r="2339" customFormat="false" ht="15" hidden="false" customHeight="false" outlineLevel="0" collapsed="false">
      <c r="I2339" s="15" t="str">
        <f aca="false">IF(N2339="","",INT(N2339))</f>
        <v/>
      </c>
      <c r="J2339" s="16" t="str">
        <f aca="false">IF(B2339="","",IF(N2339=_xlfn.MINIFS($N$2:$N$5001,$B$2:$B$5001,B2339),1,0))</f>
        <v/>
      </c>
      <c r="K2339" s="16" t="str">
        <f aca="false">IF(B2339="","",IF(AND(D2339="Formalização",E2339="Concluído"),IF(COUNTIFS($B$2:$B$5001,B2339,$E$2:$E$5001,"Em ajustes",$N$2:$N$5001,"&lt;"&amp;I2339)&gt;0,1,0),0))</f>
        <v/>
      </c>
      <c r="L2339" s="16" t="str">
        <f aca="false">IF(B2339="","",IF(N2339=_xlfn.MAXIFS($N$2:$N$5001,$B$2:$B$5001,B2339,$I$2:$I$5001,I2339),1,0))</f>
        <v/>
      </c>
      <c r="M2339" s="16" t="str">
        <f aca="false">IF(B2339="","",IF(E2339="Em ajustes",IF(N2339=_xlfn.MINIFS($N$2:$N$5001,$B$2:$B$5001,B2339,$E$2:$E$5001,"Em ajustes"),1,0),0))</f>
        <v/>
      </c>
      <c r="N2339" s="17" t="str">
        <f aca="false">IF(A2339="","",IF(ISNUMBER(A2339),A2339,IFERROR(DATE(VALUE(MID(A2339,7,4)),VALUE(MID(A2339,4,2)),VALUE(MID(A2339,1,2)))+TIME(VALUE(MID(A2339,12,2)),VALUE(MID(A2339,15,2)),VALUE(MID(A2339,18,2))),"")))</f>
        <v/>
      </c>
    </row>
    <row r="2340" customFormat="false" ht="15" hidden="false" customHeight="false" outlineLevel="0" collapsed="false">
      <c r="I2340" s="15" t="str">
        <f aca="false">IF(N2340="","",INT(N2340))</f>
        <v/>
      </c>
      <c r="J2340" s="16" t="str">
        <f aca="false">IF(B2340="","",IF(N2340=_xlfn.MINIFS($N$2:$N$5001,$B$2:$B$5001,B2340),1,0))</f>
        <v/>
      </c>
      <c r="K2340" s="16" t="str">
        <f aca="false">IF(B2340="","",IF(AND(D2340="Formalização",E2340="Concluído"),IF(COUNTIFS($B$2:$B$5001,B2340,$E$2:$E$5001,"Em ajustes",$N$2:$N$5001,"&lt;"&amp;I2340)&gt;0,1,0),0))</f>
        <v/>
      </c>
      <c r="L2340" s="16" t="str">
        <f aca="false">IF(B2340="","",IF(N2340=_xlfn.MAXIFS($N$2:$N$5001,$B$2:$B$5001,B2340,$I$2:$I$5001,I2340),1,0))</f>
        <v/>
      </c>
      <c r="M2340" s="16" t="str">
        <f aca="false">IF(B2340="","",IF(E2340="Em ajustes",IF(N2340=_xlfn.MINIFS($N$2:$N$5001,$B$2:$B$5001,B2340,$E$2:$E$5001,"Em ajustes"),1,0),0))</f>
        <v/>
      </c>
      <c r="N2340" s="17" t="str">
        <f aca="false">IF(A2340="","",IF(ISNUMBER(A2340),A2340,IFERROR(DATE(VALUE(MID(A2340,7,4)),VALUE(MID(A2340,4,2)),VALUE(MID(A2340,1,2)))+TIME(VALUE(MID(A2340,12,2)),VALUE(MID(A2340,15,2)),VALUE(MID(A2340,18,2))),"")))</f>
        <v/>
      </c>
    </row>
    <row r="2341" customFormat="false" ht="15" hidden="false" customHeight="false" outlineLevel="0" collapsed="false">
      <c r="I2341" s="15" t="str">
        <f aca="false">IF(N2341="","",INT(N2341))</f>
        <v/>
      </c>
      <c r="J2341" s="16" t="str">
        <f aca="false">IF(B2341="","",IF(N2341=_xlfn.MINIFS($N$2:$N$5001,$B$2:$B$5001,B2341),1,0))</f>
        <v/>
      </c>
      <c r="K2341" s="16" t="str">
        <f aca="false">IF(B2341="","",IF(AND(D2341="Formalização",E2341="Concluído"),IF(COUNTIFS($B$2:$B$5001,B2341,$E$2:$E$5001,"Em ajustes",$N$2:$N$5001,"&lt;"&amp;I2341)&gt;0,1,0),0))</f>
        <v/>
      </c>
      <c r="L2341" s="16" t="str">
        <f aca="false">IF(B2341="","",IF(N2341=_xlfn.MAXIFS($N$2:$N$5001,$B$2:$B$5001,B2341,$I$2:$I$5001,I2341),1,0))</f>
        <v/>
      </c>
      <c r="M2341" s="16" t="str">
        <f aca="false">IF(B2341="","",IF(E2341="Em ajustes",IF(N2341=_xlfn.MINIFS($N$2:$N$5001,$B$2:$B$5001,B2341,$E$2:$E$5001,"Em ajustes"),1,0),0))</f>
        <v/>
      </c>
      <c r="N2341" s="17" t="str">
        <f aca="false">IF(A2341="","",IF(ISNUMBER(A2341),A2341,IFERROR(DATE(VALUE(MID(A2341,7,4)),VALUE(MID(A2341,4,2)),VALUE(MID(A2341,1,2)))+TIME(VALUE(MID(A2341,12,2)),VALUE(MID(A2341,15,2)),VALUE(MID(A2341,18,2))),"")))</f>
        <v/>
      </c>
    </row>
    <row r="2342" customFormat="false" ht="15" hidden="false" customHeight="false" outlineLevel="0" collapsed="false">
      <c r="I2342" s="15" t="str">
        <f aca="false">IF(N2342="","",INT(N2342))</f>
        <v/>
      </c>
      <c r="J2342" s="16" t="str">
        <f aca="false">IF(B2342="","",IF(N2342=_xlfn.MINIFS($N$2:$N$5001,$B$2:$B$5001,B2342),1,0))</f>
        <v/>
      </c>
      <c r="K2342" s="16" t="str">
        <f aca="false">IF(B2342="","",IF(AND(D2342="Formalização",E2342="Concluído"),IF(COUNTIFS($B$2:$B$5001,B2342,$E$2:$E$5001,"Em ajustes",$N$2:$N$5001,"&lt;"&amp;I2342)&gt;0,1,0),0))</f>
        <v/>
      </c>
      <c r="L2342" s="16" t="str">
        <f aca="false">IF(B2342="","",IF(N2342=_xlfn.MAXIFS($N$2:$N$5001,$B$2:$B$5001,B2342,$I$2:$I$5001,I2342),1,0))</f>
        <v/>
      </c>
      <c r="M2342" s="16" t="str">
        <f aca="false">IF(B2342="","",IF(E2342="Em ajustes",IF(N2342=_xlfn.MINIFS($N$2:$N$5001,$B$2:$B$5001,B2342,$E$2:$E$5001,"Em ajustes"),1,0),0))</f>
        <v/>
      </c>
      <c r="N2342" s="17" t="str">
        <f aca="false">IF(A2342="","",IF(ISNUMBER(A2342),A2342,IFERROR(DATE(VALUE(MID(A2342,7,4)),VALUE(MID(A2342,4,2)),VALUE(MID(A2342,1,2)))+TIME(VALUE(MID(A2342,12,2)),VALUE(MID(A2342,15,2)),VALUE(MID(A2342,18,2))),"")))</f>
        <v/>
      </c>
    </row>
    <row r="2343" customFormat="false" ht="15" hidden="false" customHeight="false" outlineLevel="0" collapsed="false">
      <c r="I2343" s="15" t="str">
        <f aca="false">IF(N2343="","",INT(N2343))</f>
        <v/>
      </c>
      <c r="J2343" s="16" t="str">
        <f aca="false">IF(B2343="","",IF(N2343=_xlfn.MINIFS($N$2:$N$5001,$B$2:$B$5001,B2343),1,0))</f>
        <v/>
      </c>
      <c r="K2343" s="16" t="str">
        <f aca="false">IF(B2343="","",IF(AND(D2343="Formalização",E2343="Concluído"),IF(COUNTIFS($B$2:$B$5001,B2343,$E$2:$E$5001,"Em ajustes",$N$2:$N$5001,"&lt;"&amp;I2343)&gt;0,1,0),0))</f>
        <v/>
      </c>
      <c r="L2343" s="16" t="str">
        <f aca="false">IF(B2343="","",IF(N2343=_xlfn.MAXIFS($N$2:$N$5001,$B$2:$B$5001,B2343,$I$2:$I$5001,I2343),1,0))</f>
        <v/>
      </c>
      <c r="M2343" s="16" t="str">
        <f aca="false">IF(B2343="","",IF(E2343="Em ajustes",IF(N2343=_xlfn.MINIFS($N$2:$N$5001,$B$2:$B$5001,B2343,$E$2:$E$5001,"Em ajustes"),1,0),0))</f>
        <v/>
      </c>
      <c r="N2343" s="17" t="str">
        <f aca="false">IF(A2343="","",IF(ISNUMBER(A2343),A2343,IFERROR(DATE(VALUE(MID(A2343,7,4)),VALUE(MID(A2343,4,2)),VALUE(MID(A2343,1,2)))+TIME(VALUE(MID(A2343,12,2)),VALUE(MID(A2343,15,2)),VALUE(MID(A2343,18,2))),"")))</f>
        <v/>
      </c>
    </row>
    <row r="2344" customFormat="false" ht="15" hidden="false" customHeight="false" outlineLevel="0" collapsed="false">
      <c r="I2344" s="15" t="str">
        <f aca="false">IF(N2344="","",INT(N2344))</f>
        <v/>
      </c>
      <c r="J2344" s="16" t="str">
        <f aca="false">IF(B2344="","",IF(N2344=_xlfn.MINIFS($N$2:$N$5001,$B$2:$B$5001,B2344),1,0))</f>
        <v/>
      </c>
      <c r="K2344" s="16" t="str">
        <f aca="false">IF(B2344="","",IF(AND(D2344="Formalização",E2344="Concluído"),IF(COUNTIFS($B$2:$B$5001,B2344,$E$2:$E$5001,"Em ajustes",$N$2:$N$5001,"&lt;"&amp;I2344)&gt;0,1,0),0))</f>
        <v/>
      </c>
      <c r="L2344" s="16" t="str">
        <f aca="false">IF(B2344="","",IF(N2344=_xlfn.MAXIFS($N$2:$N$5001,$B$2:$B$5001,B2344,$I$2:$I$5001,I2344),1,0))</f>
        <v/>
      </c>
      <c r="M2344" s="16" t="str">
        <f aca="false">IF(B2344="","",IF(E2344="Em ajustes",IF(N2344=_xlfn.MINIFS($N$2:$N$5001,$B$2:$B$5001,B2344,$E$2:$E$5001,"Em ajustes"),1,0),0))</f>
        <v/>
      </c>
      <c r="N2344" s="17" t="str">
        <f aca="false">IF(A2344="","",IF(ISNUMBER(A2344),A2344,IFERROR(DATE(VALUE(MID(A2344,7,4)),VALUE(MID(A2344,4,2)),VALUE(MID(A2344,1,2)))+TIME(VALUE(MID(A2344,12,2)),VALUE(MID(A2344,15,2)),VALUE(MID(A2344,18,2))),"")))</f>
        <v/>
      </c>
    </row>
    <row r="2345" customFormat="false" ht="15" hidden="false" customHeight="false" outlineLevel="0" collapsed="false">
      <c r="I2345" s="15" t="str">
        <f aca="false">IF(N2345="","",INT(N2345))</f>
        <v/>
      </c>
      <c r="J2345" s="16" t="str">
        <f aca="false">IF(B2345="","",IF(N2345=_xlfn.MINIFS($N$2:$N$5001,$B$2:$B$5001,B2345),1,0))</f>
        <v/>
      </c>
      <c r="K2345" s="16" t="str">
        <f aca="false">IF(B2345="","",IF(AND(D2345="Formalização",E2345="Concluído"),IF(COUNTIFS($B$2:$B$5001,B2345,$E$2:$E$5001,"Em ajustes",$N$2:$N$5001,"&lt;"&amp;I2345)&gt;0,1,0),0))</f>
        <v/>
      </c>
      <c r="L2345" s="16" t="str">
        <f aca="false">IF(B2345="","",IF(N2345=_xlfn.MAXIFS($N$2:$N$5001,$B$2:$B$5001,B2345,$I$2:$I$5001,I2345),1,0))</f>
        <v/>
      </c>
      <c r="M2345" s="16" t="str">
        <f aca="false">IF(B2345="","",IF(E2345="Em ajustes",IF(N2345=_xlfn.MINIFS($N$2:$N$5001,$B$2:$B$5001,B2345,$E$2:$E$5001,"Em ajustes"),1,0),0))</f>
        <v/>
      </c>
      <c r="N2345" s="17" t="str">
        <f aca="false">IF(A2345="","",IF(ISNUMBER(A2345),A2345,IFERROR(DATE(VALUE(MID(A2345,7,4)),VALUE(MID(A2345,4,2)),VALUE(MID(A2345,1,2)))+TIME(VALUE(MID(A2345,12,2)),VALUE(MID(A2345,15,2)),VALUE(MID(A2345,18,2))),"")))</f>
        <v/>
      </c>
    </row>
    <row r="2346" customFormat="false" ht="15" hidden="false" customHeight="false" outlineLevel="0" collapsed="false">
      <c r="I2346" s="15" t="str">
        <f aca="false">IF(N2346="","",INT(N2346))</f>
        <v/>
      </c>
      <c r="J2346" s="16" t="str">
        <f aca="false">IF(B2346="","",IF(N2346=_xlfn.MINIFS($N$2:$N$5001,$B$2:$B$5001,B2346),1,0))</f>
        <v/>
      </c>
      <c r="K2346" s="16" t="str">
        <f aca="false">IF(B2346="","",IF(AND(D2346="Formalização",E2346="Concluído"),IF(COUNTIFS($B$2:$B$5001,B2346,$E$2:$E$5001,"Em ajustes",$N$2:$N$5001,"&lt;"&amp;I2346)&gt;0,1,0),0))</f>
        <v/>
      </c>
      <c r="L2346" s="16" t="str">
        <f aca="false">IF(B2346="","",IF(N2346=_xlfn.MAXIFS($N$2:$N$5001,$B$2:$B$5001,B2346,$I$2:$I$5001,I2346),1,0))</f>
        <v/>
      </c>
      <c r="M2346" s="16" t="str">
        <f aca="false">IF(B2346="","",IF(E2346="Em ajustes",IF(N2346=_xlfn.MINIFS($N$2:$N$5001,$B$2:$B$5001,B2346,$E$2:$E$5001,"Em ajustes"),1,0),0))</f>
        <v/>
      </c>
      <c r="N2346" s="17" t="str">
        <f aca="false">IF(A2346="","",IF(ISNUMBER(A2346),A2346,IFERROR(DATE(VALUE(MID(A2346,7,4)),VALUE(MID(A2346,4,2)),VALUE(MID(A2346,1,2)))+TIME(VALUE(MID(A2346,12,2)),VALUE(MID(A2346,15,2)),VALUE(MID(A2346,18,2))),"")))</f>
        <v/>
      </c>
    </row>
    <row r="2347" customFormat="false" ht="15" hidden="false" customHeight="false" outlineLevel="0" collapsed="false">
      <c r="I2347" s="15" t="str">
        <f aca="false">IF(N2347="","",INT(N2347))</f>
        <v/>
      </c>
      <c r="J2347" s="16" t="str">
        <f aca="false">IF(B2347="","",IF(N2347=_xlfn.MINIFS($N$2:$N$5001,$B$2:$B$5001,B2347),1,0))</f>
        <v/>
      </c>
      <c r="K2347" s="16" t="str">
        <f aca="false">IF(B2347="","",IF(AND(D2347="Formalização",E2347="Concluído"),IF(COUNTIFS($B$2:$B$5001,B2347,$E$2:$E$5001,"Em ajustes",$N$2:$N$5001,"&lt;"&amp;I2347)&gt;0,1,0),0))</f>
        <v/>
      </c>
      <c r="L2347" s="16" t="str">
        <f aca="false">IF(B2347="","",IF(N2347=_xlfn.MAXIFS($N$2:$N$5001,$B$2:$B$5001,B2347,$I$2:$I$5001,I2347),1,0))</f>
        <v/>
      </c>
      <c r="M2347" s="16" t="str">
        <f aca="false">IF(B2347="","",IF(E2347="Em ajustes",IF(N2347=_xlfn.MINIFS($N$2:$N$5001,$B$2:$B$5001,B2347,$E$2:$E$5001,"Em ajustes"),1,0),0))</f>
        <v/>
      </c>
      <c r="N2347" s="17" t="str">
        <f aca="false">IF(A2347="","",IF(ISNUMBER(A2347),A2347,IFERROR(DATE(VALUE(MID(A2347,7,4)),VALUE(MID(A2347,4,2)),VALUE(MID(A2347,1,2)))+TIME(VALUE(MID(A2347,12,2)),VALUE(MID(A2347,15,2)),VALUE(MID(A2347,18,2))),"")))</f>
        <v/>
      </c>
    </row>
    <row r="2348" customFormat="false" ht="15" hidden="false" customHeight="false" outlineLevel="0" collapsed="false">
      <c r="I2348" s="15" t="str">
        <f aca="false">IF(N2348="","",INT(N2348))</f>
        <v/>
      </c>
      <c r="J2348" s="16" t="str">
        <f aca="false">IF(B2348="","",IF(N2348=_xlfn.MINIFS($N$2:$N$5001,$B$2:$B$5001,B2348),1,0))</f>
        <v/>
      </c>
      <c r="K2348" s="16" t="str">
        <f aca="false">IF(B2348="","",IF(AND(D2348="Formalização",E2348="Concluído"),IF(COUNTIFS($B$2:$B$5001,B2348,$E$2:$E$5001,"Em ajustes",$N$2:$N$5001,"&lt;"&amp;I2348)&gt;0,1,0),0))</f>
        <v/>
      </c>
      <c r="L2348" s="16" t="str">
        <f aca="false">IF(B2348="","",IF(N2348=_xlfn.MAXIFS($N$2:$N$5001,$B$2:$B$5001,B2348,$I$2:$I$5001,I2348),1,0))</f>
        <v/>
      </c>
      <c r="M2348" s="16" t="str">
        <f aca="false">IF(B2348="","",IF(E2348="Em ajustes",IF(N2348=_xlfn.MINIFS($N$2:$N$5001,$B$2:$B$5001,B2348,$E$2:$E$5001,"Em ajustes"),1,0),0))</f>
        <v/>
      </c>
      <c r="N2348" s="17" t="str">
        <f aca="false">IF(A2348="","",IF(ISNUMBER(A2348),A2348,IFERROR(DATE(VALUE(MID(A2348,7,4)),VALUE(MID(A2348,4,2)),VALUE(MID(A2348,1,2)))+TIME(VALUE(MID(A2348,12,2)),VALUE(MID(A2348,15,2)),VALUE(MID(A2348,18,2))),"")))</f>
        <v/>
      </c>
    </row>
    <row r="2349" customFormat="false" ht="15" hidden="false" customHeight="false" outlineLevel="0" collapsed="false">
      <c r="I2349" s="15" t="str">
        <f aca="false">IF(N2349="","",INT(N2349))</f>
        <v/>
      </c>
      <c r="J2349" s="16" t="str">
        <f aca="false">IF(B2349="","",IF(N2349=_xlfn.MINIFS($N$2:$N$5001,$B$2:$B$5001,B2349),1,0))</f>
        <v/>
      </c>
      <c r="K2349" s="16" t="str">
        <f aca="false">IF(B2349="","",IF(AND(D2349="Formalização",E2349="Concluído"),IF(COUNTIFS($B$2:$B$5001,B2349,$E$2:$E$5001,"Em ajustes",$N$2:$N$5001,"&lt;"&amp;I2349)&gt;0,1,0),0))</f>
        <v/>
      </c>
      <c r="L2349" s="16" t="str">
        <f aca="false">IF(B2349="","",IF(N2349=_xlfn.MAXIFS($N$2:$N$5001,$B$2:$B$5001,B2349,$I$2:$I$5001,I2349),1,0))</f>
        <v/>
      </c>
      <c r="M2349" s="16" t="str">
        <f aca="false">IF(B2349="","",IF(E2349="Em ajustes",IF(N2349=_xlfn.MINIFS($N$2:$N$5001,$B$2:$B$5001,B2349,$E$2:$E$5001,"Em ajustes"),1,0),0))</f>
        <v/>
      </c>
      <c r="N2349" s="17" t="str">
        <f aca="false">IF(A2349="","",IF(ISNUMBER(A2349),A2349,IFERROR(DATE(VALUE(MID(A2349,7,4)),VALUE(MID(A2349,4,2)),VALUE(MID(A2349,1,2)))+TIME(VALUE(MID(A2349,12,2)),VALUE(MID(A2349,15,2)),VALUE(MID(A2349,18,2))),"")))</f>
        <v/>
      </c>
    </row>
    <row r="2350" customFormat="false" ht="15" hidden="false" customHeight="false" outlineLevel="0" collapsed="false">
      <c r="I2350" s="15" t="str">
        <f aca="false">IF(N2350="","",INT(N2350))</f>
        <v/>
      </c>
      <c r="J2350" s="16" t="str">
        <f aca="false">IF(B2350="","",IF(N2350=_xlfn.MINIFS($N$2:$N$5001,$B$2:$B$5001,B2350),1,0))</f>
        <v/>
      </c>
      <c r="K2350" s="16" t="str">
        <f aca="false">IF(B2350="","",IF(AND(D2350="Formalização",E2350="Concluído"),IF(COUNTIFS($B$2:$B$5001,B2350,$E$2:$E$5001,"Em ajustes",$N$2:$N$5001,"&lt;"&amp;I2350)&gt;0,1,0),0))</f>
        <v/>
      </c>
      <c r="L2350" s="16" t="str">
        <f aca="false">IF(B2350="","",IF(N2350=_xlfn.MAXIFS($N$2:$N$5001,$B$2:$B$5001,B2350,$I$2:$I$5001,I2350),1,0))</f>
        <v/>
      </c>
      <c r="M2350" s="16" t="str">
        <f aca="false">IF(B2350="","",IF(E2350="Em ajustes",IF(N2350=_xlfn.MINIFS($N$2:$N$5001,$B$2:$B$5001,B2350,$E$2:$E$5001,"Em ajustes"),1,0),0))</f>
        <v/>
      </c>
      <c r="N2350" s="17" t="str">
        <f aca="false">IF(A2350="","",IF(ISNUMBER(A2350),A2350,IFERROR(DATE(VALUE(MID(A2350,7,4)),VALUE(MID(A2350,4,2)),VALUE(MID(A2350,1,2)))+TIME(VALUE(MID(A2350,12,2)),VALUE(MID(A2350,15,2)),VALUE(MID(A2350,18,2))),"")))</f>
        <v/>
      </c>
    </row>
    <row r="2351" customFormat="false" ht="15" hidden="false" customHeight="false" outlineLevel="0" collapsed="false">
      <c r="I2351" s="15" t="str">
        <f aca="false">IF(N2351="","",INT(N2351))</f>
        <v/>
      </c>
      <c r="J2351" s="16" t="str">
        <f aca="false">IF(B2351="","",IF(N2351=_xlfn.MINIFS($N$2:$N$5001,$B$2:$B$5001,B2351),1,0))</f>
        <v/>
      </c>
      <c r="K2351" s="16" t="str">
        <f aca="false">IF(B2351="","",IF(AND(D2351="Formalização",E2351="Concluído"),IF(COUNTIFS($B$2:$B$5001,B2351,$E$2:$E$5001,"Em ajustes",$N$2:$N$5001,"&lt;"&amp;I2351)&gt;0,1,0),0))</f>
        <v/>
      </c>
      <c r="L2351" s="16" t="str">
        <f aca="false">IF(B2351="","",IF(N2351=_xlfn.MAXIFS($N$2:$N$5001,$B$2:$B$5001,B2351,$I$2:$I$5001,I2351),1,0))</f>
        <v/>
      </c>
      <c r="M2351" s="16" t="str">
        <f aca="false">IF(B2351="","",IF(E2351="Em ajustes",IF(N2351=_xlfn.MINIFS($N$2:$N$5001,$B$2:$B$5001,B2351,$E$2:$E$5001,"Em ajustes"),1,0),0))</f>
        <v/>
      </c>
      <c r="N2351" s="17" t="str">
        <f aca="false">IF(A2351="","",IF(ISNUMBER(A2351),A2351,IFERROR(DATE(VALUE(MID(A2351,7,4)),VALUE(MID(A2351,4,2)),VALUE(MID(A2351,1,2)))+TIME(VALUE(MID(A2351,12,2)),VALUE(MID(A2351,15,2)),VALUE(MID(A2351,18,2))),"")))</f>
        <v/>
      </c>
    </row>
    <row r="2352" customFormat="false" ht="15" hidden="false" customHeight="false" outlineLevel="0" collapsed="false">
      <c r="I2352" s="15" t="str">
        <f aca="false">IF(N2352="","",INT(N2352))</f>
        <v/>
      </c>
      <c r="J2352" s="16" t="str">
        <f aca="false">IF(B2352="","",IF(N2352=_xlfn.MINIFS($N$2:$N$5001,$B$2:$B$5001,B2352),1,0))</f>
        <v/>
      </c>
      <c r="K2352" s="16" t="str">
        <f aca="false">IF(B2352="","",IF(AND(D2352="Formalização",E2352="Concluído"),IF(COUNTIFS($B$2:$B$5001,B2352,$E$2:$E$5001,"Em ajustes",$N$2:$N$5001,"&lt;"&amp;I2352)&gt;0,1,0),0))</f>
        <v/>
      </c>
      <c r="L2352" s="16" t="str">
        <f aca="false">IF(B2352="","",IF(N2352=_xlfn.MAXIFS($N$2:$N$5001,$B$2:$B$5001,B2352,$I$2:$I$5001,I2352),1,0))</f>
        <v/>
      </c>
      <c r="M2352" s="16" t="str">
        <f aca="false">IF(B2352="","",IF(E2352="Em ajustes",IF(N2352=_xlfn.MINIFS($N$2:$N$5001,$B$2:$B$5001,B2352,$E$2:$E$5001,"Em ajustes"),1,0),0))</f>
        <v/>
      </c>
      <c r="N2352" s="17" t="str">
        <f aca="false">IF(A2352="","",IF(ISNUMBER(A2352),A2352,IFERROR(DATE(VALUE(MID(A2352,7,4)),VALUE(MID(A2352,4,2)),VALUE(MID(A2352,1,2)))+TIME(VALUE(MID(A2352,12,2)),VALUE(MID(A2352,15,2)),VALUE(MID(A2352,18,2))),"")))</f>
        <v/>
      </c>
    </row>
    <row r="2353" customFormat="false" ht="15" hidden="false" customHeight="false" outlineLevel="0" collapsed="false">
      <c r="I2353" s="15" t="str">
        <f aca="false">IF(N2353="","",INT(N2353))</f>
        <v/>
      </c>
      <c r="J2353" s="16" t="str">
        <f aca="false">IF(B2353="","",IF(N2353=_xlfn.MINIFS($N$2:$N$5001,$B$2:$B$5001,B2353),1,0))</f>
        <v/>
      </c>
      <c r="K2353" s="16" t="str">
        <f aca="false">IF(B2353="","",IF(AND(D2353="Formalização",E2353="Concluído"),IF(COUNTIFS($B$2:$B$5001,B2353,$E$2:$E$5001,"Em ajustes",$N$2:$N$5001,"&lt;"&amp;I2353)&gt;0,1,0),0))</f>
        <v/>
      </c>
      <c r="L2353" s="16" t="str">
        <f aca="false">IF(B2353="","",IF(N2353=_xlfn.MAXIFS($N$2:$N$5001,$B$2:$B$5001,B2353,$I$2:$I$5001,I2353),1,0))</f>
        <v/>
      </c>
      <c r="M2353" s="16" t="str">
        <f aca="false">IF(B2353="","",IF(E2353="Em ajustes",IF(N2353=_xlfn.MINIFS($N$2:$N$5001,$B$2:$B$5001,B2353,$E$2:$E$5001,"Em ajustes"),1,0),0))</f>
        <v/>
      </c>
      <c r="N2353" s="17" t="str">
        <f aca="false">IF(A2353="","",IF(ISNUMBER(A2353),A2353,IFERROR(DATE(VALUE(MID(A2353,7,4)),VALUE(MID(A2353,4,2)),VALUE(MID(A2353,1,2)))+TIME(VALUE(MID(A2353,12,2)),VALUE(MID(A2353,15,2)),VALUE(MID(A2353,18,2))),"")))</f>
        <v/>
      </c>
    </row>
    <row r="2354" customFormat="false" ht="15" hidden="false" customHeight="false" outlineLevel="0" collapsed="false">
      <c r="I2354" s="15" t="str">
        <f aca="false">IF(N2354="","",INT(N2354))</f>
        <v/>
      </c>
      <c r="J2354" s="16" t="str">
        <f aca="false">IF(B2354="","",IF(N2354=_xlfn.MINIFS($N$2:$N$5001,$B$2:$B$5001,B2354),1,0))</f>
        <v/>
      </c>
      <c r="K2354" s="16" t="str">
        <f aca="false">IF(B2354="","",IF(AND(D2354="Formalização",E2354="Concluído"),IF(COUNTIFS($B$2:$B$5001,B2354,$E$2:$E$5001,"Em ajustes",$N$2:$N$5001,"&lt;"&amp;I2354)&gt;0,1,0),0))</f>
        <v/>
      </c>
      <c r="L2354" s="16" t="str">
        <f aca="false">IF(B2354="","",IF(N2354=_xlfn.MAXIFS($N$2:$N$5001,$B$2:$B$5001,B2354,$I$2:$I$5001,I2354),1,0))</f>
        <v/>
      </c>
      <c r="M2354" s="16" t="str">
        <f aca="false">IF(B2354="","",IF(E2354="Em ajustes",IF(N2354=_xlfn.MINIFS($N$2:$N$5001,$B$2:$B$5001,B2354,$E$2:$E$5001,"Em ajustes"),1,0),0))</f>
        <v/>
      </c>
      <c r="N2354" s="17" t="str">
        <f aca="false">IF(A2354="","",IF(ISNUMBER(A2354),A2354,IFERROR(DATE(VALUE(MID(A2354,7,4)),VALUE(MID(A2354,4,2)),VALUE(MID(A2354,1,2)))+TIME(VALUE(MID(A2354,12,2)),VALUE(MID(A2354,15,2)),VALUE(MID(A2354,18,2))),"")))</f>
        <v/>
      </c>
    </row>
    <row r="2355" customFormat="false" ht="15" hidden="false" customHeight="false" outlineLevel="0" collapsed="false">
      <c r="I2355" s="15" t="str">
        <f aca="false">IF(N2355="","",INT(N2355))</f>
        <v/>
      </c>
      <c r="J2355" s="16" t="str">
        <f aca="false">IF(B2355="","",IF(N2355=_xlfn.MINIFS($N$2:$N$5001,$B$2:$B$5001,B2355),1,0))</f>
        <v/>
      </c>
      <c r="K2355" s="16" t="str">
        <f aca="false">IF(B2355="","",IF(AND(D2355="Formalização",E2355="Concluído"),IF(COUNTIFS($B$2:$B$5001,B2355,$E$2:$E$5001,"Em ajustes",$N$2:$N$5001,"&lt;"&amp;I2355)&gt;0,1,0),0))</f>
        <v/>
      </c>
      <c r="L2355" s="16" t="str">
        <f aca="false">IF(B2355="","",IF(N2355=_xlfn.MAXIFS($N$2:$N$5001,$B$2:$B$5001,B2355,$I$2:$I$5001,I2355),1,0))</f>
        <v/>
      </c>
      <c r="M2355" s="16" t="str">
        <f aca="false">IF(B2355="","",IF(E2355="Em ajustes",IF(N2355=_xlfn.MINIFS($N$2:$N$5001,$B$2:$B$5001,B2355,$E$2:$E$5001,"Em ajustes"),1,0),0))</f>
        <v/>
      </c>
      <c r="N2355" s="17" t="str">
        <f aca="false">IF(A2355="","",IF(ISNUMBER(A2355),A2355,IFERROR(DATE(VALUE(MID(A2355,7,4)),VALUE(MID(A2355,4,2)),VALUE(MID(A2355,1,2)))+TIME(VALUE(MID(A2355,12,2)),VALUE(MID(A2355,15,2)),VALUE(MID(A2355,18,2))),"")))</f>
        <v/>
      </c>
    </row>
    <row r="2356" customFormat="false" ht="15" hidden="false" customHeight="false" outlineLevel="0" collapsed="false">
      <c r="I2356" s="15" t="str">
        <f aca="false">IF(N2356="","",INT(N2356))</f>
        <v/>
      </c>
      <c r="J2356" s="16" t="str">
        <f aca="false">IF(B2356="","",IF(N2356=_xlfn.MINIFS($N$2:$N$5001,$B$2:$B$5001,B2356),1,0))</f>
        <v/>
      </c>
      <c r="K2356" s="16" t="str">
        <f aca="false">IF(B2356="","",IF(AND(D2356="Formalização",E2356="Concluído"),IF(COUNTIFS($B$2:$B$5001,B2356,$E$2:$E$5001,"Em ajustes",$N$2:$N$5001,"&lt;"&amp;I2356)&gt;0,1,0),0))</f>
        <v/>
      </c>
      <c r="L2356" s="16" t="str">
        <f aca="false">IF(B2356="","",IF(N2356=_xlfn.MAXIFS($N$2:$N$5001,$B$2:$B$5001,B2356,$I$2:$I$5001,I2356),1,0))</f>
        <v/>
      </c>
      <c r="M2356" s="16" t="str">
        <f aca="false">IF(B2356="","",IF(E2356="Em ajustes",IF(N2356=_xlfn.MINIFS($N$2:$N$5001,$B$2:$B$5001,B2356,$E$2:$E$5001,"Em ajustes"),1,0),0))</f>
        <v/>
      </c>
      <c r="N2356" s="17" t="str">
        <f aca="false">IF(A2356="","",IF(ISNUMBER(A2356),A2356,IFERROR(DATE(VALUE(MID(A2356,7,4)),VALUE(MID(A2356,4,2)),VALUE(MID(A2356,1,2)))+TIME(VALUE(MID(A2356,12,2)),VALUE(MID(A2356,15,2)),VALUE(MID(A2356,18,2))),"")))</f>
        <v/>
      </c>
    </row>
    <row r="2357" customFormat="false" ht="15" hidden="false" customHeight="false" outlineLevel="0" collapsed="false">
      <c r="I2357" s="15" t="str">
        <f aca="false">IF(N2357="","",INT(N2357))</f>
        <v/>
      </c>
      <c r="J2357" s="16" t="str">
        <f aca="false">IF(B2357="","",IF(N2357=_xlfn.MINIFS($N$2:$N$5001,$B$2:$B$5001,B2357),1,0))</f>
        <v/>
      </c>
      <c r="K2357" s="16" t="str">
        <f aca="false">IF(B2357="","",IF(AND(D2357="Formalização",E2357="Concluído"),IF(COUNTIFS($B$2:$B$5001,B2357,$E$2:$E$5001,"Em ajustes",$N$2:$N$5001,"&lt;"&amp;I2357)&gt;0,1,0),0))</f>
        <v/>
      </c>
      <c r="L2357" s="16" t="str">
        <f aca="false">IF(B2357="","",IF(N2357=_xlfn.MAXIFS($N$2:$N$5001,$B$2:$B$5001,B2357,$I$2:$I$5001,I2357),1,0))</f>
        <v/>
      </c>
      <c r="M2357" s="16" t="str">
        <f aca="false">IF(B2357="","",IF(E2357="Em ajustes",IF(N2357=_xlfn.MINIFS($N$2:$N$5001,$B$2:$B$5001,B2357,$E$2:$E$5001,"Em ajustes"),1,0),0))</f>
        <v/>
      </c>
      <c r="N2357" s="17" t="str">
        <f aca="false">IF(A2357="","",IF(ISNUMBER(A2357),A2357,IFERROR(DATE(VALUE(MID(A2357,7,4)),VALUE(MID(A2357,4,2)),VALUE(MID(A2357,1,2)))+TIME(VALUE(MID(A2357,12,2)),VALUE(MID(A2357,15,2)),VALUE(MID(A2357,18,2))),"")))</f>
        <v/>
      </c>
    </row>
    <row r="2358" customFormat="false" ht="15" hidden="false" customHeight="false" outlineLevel="0" collapsed="false">
      <c r="I2358" s="15" t="str">
        <f aca="false">IF(N2358="","",INT(N2358))</f>
        <v/>
      </c>
      <c r="J2358" s="16" t="str">
        <f aca="false">IF(B2358="","",IF(N2358=_xlfn.MINIFS($N$2:$N$5001,$B$2:$B$5001,B2358),1,0))</f>
        <v/>
      </c>
      <c r="K2358" s="16" t="str">
        <f aca="false">IF(B2358="","",IF(AND(D2358="Formalização",E2358="Concluído"),IF(COUNTIFS($B$2:$B$5001,B2358,$E$2:$E$5001,"Em ajustes",$N$2:$N$5001,"&lt;"&amp;I2358)&gt;0,1,0),0))</f>
        <v/>
      </c>
      <c r="L2358" s="16" t="str">
        <f aca="false">IF(B2358="","",IF(N2358=_xlfn.MAXIFS($N$2:$N$5001,$B$2:$B$5001,B2358,$I$2:$I$5001,I2358),1,0))</f>
        <v/>
      </c>
      <c r="M2358" s="16" t="str">
        <f aca="false">IF(B2358="","",IF(E2358="Em ajustes",IF(N2358=_xlfn.MINIFS($N$2:$N$5001,$B$2:$B$5001,B2358,$E$2:$E$5001,"Em ajustes"),1,0),0))</f>
        <v/>
      </c>
      <c r="N2358" s="17" t="str">
        <f aca="false">IF(A2358="","",IF(ISNUMBER(A2358),A2358,IFERROR(DATE(VALUE(MID(A2358,7,4)),VALUE(MID(A2358,4,2)),VALUE(MID(A2358,1,2)))+TIME(VALUE(MID(A2358,12,2)),VALUE(MID(A2358,15,2)),VALUE(MID(A2358,18,2))),"")))</f>
        <v/>
      </c>
    </row>
    <row r="2359" customFormat="false" ht="15" hidden="false" customHeight="false" outlineLevel="0" collapsed="false">
      <c r="I2359" s="15" t="str">
        <f aca="false">IF(N2359="","",INT(N2359))</f>
        <v/>
      </c>
      <c r="J2359" s="16" t="str">
        <f aca="false">IF(B2359="","",IF(N2359=_xlfn.MINIFS($N$2:$N$5001,$B$2:$B$5001,B2359),1,0))</f>
        <v/>
      </c>
      <c r="K2359" s="16" t="str">
        <f aca="false">IF(B2359="","",IF(AND(D2359="Formalização",E2359="Concluído"),IF(COUNTIFS($B$2:$B$5001,B2359,$E$2:$E$5001,"Em ajustes",$N$2:$N$5001,"&lt;"&amp;I2359)&gt;0,1,0),0))</f>
        <v/>
      </c>
      <c r="L2359" s="16" t="str">
        <f aca="false">IF(B2359="","",IF(N2359=_xlfn.MAXIFS($N$2:$N$5001,$B$2:$B$5001,B2359,$I$2:$I$5001,I2359),1,0))</f>
        <v/>
      </c>
      <c r="M2359" s="16" t="str">
        <f aca="false">IF(B2359="","",IF(E2359="Em ajustes",IF(N2359=_xlfn.MINIFS($N$2:$N$5001,$B$2:$B$5001,B2359,$E$2:$E$5001,"Em ajustes"),1,0),0))</f>
        <v/>
      </c>
      <c r="N2359" s="17" t="str">
        <f aca="false">IF(A2359="","",IF(ISNUMBER(A2359),A2359,IFERROR(DATE(VALUE(MID(A2359,7,4)),VALUE(MID(A2359,4,2)),VALUE(MID(A2359,1,2)))+TIME(VALUE(MID(A2359,12,2)),VALUE(MID(A2359,15,2)),VALUE(MID(A2359,18,2))),"")))</f>
        <v/>
      </c>
    </row>
    <row r="2360" customFormat="false" ht="15" hidden="false" customHeight="false" outlineLevel="0" collapsed="false">
      <c r="I2360" s="15" t="str">
        <f aca="false">IF(N2360="","",INT(N2360))</f>
        <v/>
      </c>
      <c r="J2360" s="16" t="str">
        <f aca="false">IF(B2360="","",IF(N2360=_xlfn.MINIFS($N$2:$N$5001,$B$2:$B$5001,B2360),1,0))</f>
        <v/>
      </c>
      <c r="K2360" s="16" t="str">
        <f aca="false">IF(B2360="","",IF(AND(D2360="Formalização",E2360="Concluído"),IF(COUNTIFS($B$2:$B$5001,B2360,$E$2:$E$5001,"Em ajustes",$N$2:$N$5001,"&lt;"&amp;I2360)&gt;0,1,0),0))</f>
        <v/>
      </c>
      <c r="L2360" s="16" t="str">
        <f aca="false">IF(B2360="","",IF(N2360=_xlfn.MAXIFS($N$2:$N$5001,$B$2:$B$5001,B2360,$I$2:$I$5001,I2360),1,0))</f>
        <v/>
      </c>
      <c r="M2360" s="16" t="str">
        <f aca="false">IF(B2360="","",IF(E2360="Em ajustes",IF(N2360=_xlfn.MINIFS($N$2:$N$5001,$B$2:$B$5001,B2360,$E$2:$E$5001,"Em ajustes"),1,0),0))</f>
        <v/>
      </c>
      <c r="N2360" s="17" t="str">
        <f aca="false">IF(A2360="","",IF(ISNUMBER(A2360),A2360,IFERROR(DATE(VALUE(MID(A2360,7,4)),VALUE(MID(A2360,4,2)),VALUE(MID(A2360,1,2)))+TIME(VALUE(MID(A2360,12,2)),VALUE(MID(A2360,15,2)),VALUE(MID(A2360,18,2))),"")))</f>
        <v/>
      </c>
    </row>
    <row r="2361" customFormat="false" ht="15" hidden="false" customHeight="false" outlineLevel="0" collapsed="false">
      <c r="I2361" s="15" t="str">
        <f aca="false">IF(N2361="","",INT(N2361))</f>
        <v/>
      </c>
      <c r="J2361" s="16" t="str">
        <f aca="false">IF(B2361="","",IF(N2361=_xlfn.MINIFS($N$2:$N$5001,$B$2:$B$5001,B2361),1,0))</f>
        <v/>
      </c>
      <c r="K2361" s="16" t="str">
        <f aca="false">IF(B2361="","",IF(AND(D2361="Formalização",E2361="Concluído"),IF(COUNTIFS($B$2:$B$5001,B2361,$E$2:$E$5001,"Em ajustes",$N$2:$N$5001,"&lt;"&amp;I2361)&gt;0,1,0),0))</f>
        <v/>
      </c>
      <c r="L2361" s="16" t="str">
        <f aca="false">IF(B2361="","",IF(N2361=_xlfn.MAXIFS($N$2:$N$5001,$B$2:$B$5001,B2361,$I$2:$I$5001,I2361),1,0))</f>
        <v/>
      </c>
      <c r="M2361" s="16" t="str">
        <f aca="false">IF(B2361="","",IF(E2361="Em ajustes",IF(N2361=_xlfn.MINIFS($N$2:$N$5001,$B$2:$B$5001,B2361,$E$2:$E$5001,"Em ajustes"),1,0),0))</f>
        <v/>
      </c>
      <c r="N2361" s="17" t="str">
        <f aca="false">IF(A2361="","",IF(ISNUMBER(A2361),A2361,IFERROR(DATE(VALUE(MID(A2361,7,4)),VALUE(MID(A2361,4,2)),VALUE(MID(A2361,1,2)))+TIME(VALUE(MID(A2361,12,2)),VALUE(MID(A2361,15,2)),VALUE(MID(A2361,18,2))),"")))</f>
        <v/>
      </c>
    </row>
    <row r="2362" customFormat="false" ht="15" hidden="false" customHeight="false" outlineLevel="0" collapsed="false">
      <c r="I2362" s="15" t="str">
        <f aca="false">IF(N2362="","",INT(N2362))</f>
        <v/>
      </c>
      <c r="J2362" s="16" t="str">
        <f aca="false">IF(B2362="","",IF(N2362=_xlfn.MINIFS($N$2:$N$5001,$B$2:$B$5001,B2362),1,0))</f>
        <v/>
      </c>
      <c r="K2362" s="16" t="str">
        <f aca="false">IF(B2362="","",IF(AND(D2362="Formalização",E2362="Concluído"),IF(COUNTIFS($B$2:$B$5001,B2362,$E$2:$E$5001,"Em ajustes",$N$2:$N$5001,"&lt;"&amp;I2362)&gt;0,1,0),0))</f>
        <v/>
      </c>
      <c r="L2362" s="16" t="str">
        <f aca="false">IF(B2362="","",IF(N2362=_xlfn.MAXIFS($N$2:$N$5001,$B$2:$B$5001,B2362,$I$2:$I$5001,I2362),1,0))</f>
        <v/>
      </c>
      <c r="M2362" s="16" t="str">
        <f aca="false">IF(B2362="","",IF(E2362="Em ajustes",IF(N2362=_xlfn.MINIFS($N$2:$N$5001,$B$2:$B$5001,B2362,$E$2:$E$5001,"Em ajustes"),1,0),0))</f>
        <v/>
      </c>
      <c r="N2362" s="17" t="str">
        <f aca="false">IF(A2362="","",IF(ISNUMBER(A2362),A2362,IFERROR(DATE(VALUE(MID(A2362,7,4)),VALUE(MID(A2362,4,2)),VALUE(MID(A2362,1,2)))+TIME(VALUE(MID(A2362,12,2)),VALUE(MID(A2362,15,2)),VALUE(MID(A2362,18,2))),"")))</f>
        <v/>
      </c>
    </row>
    <row r="2363" customFormat="false" ht="15" hidden="false" customHeight="false" outlineLevel="0" collapsed="false">
      <c r="I2363" s="15" t="str">
        <f aca="false">IF(N2363="","",INT(N2363))</f>
        <v/>
      </c>
      <c r="J2363" s="16" t="str">
        <f aca="false">IF(B2363="","",IF(N2363=_xlfn.MINIFS($N$2:$N$5001,$B$2:$B$5001,B2363),1,0))</f>
        <v/>
      </c>
      <c r="K2363" s="16" t="str">
        <f aca="false">IF(B2363="","",IF(AND(D2363="Formalização",E2363="Concluído"),IF(COUNTIFS($B$2:$B$5001,B2363,$E$2:$E$5001,"Em ajustes",$N$2:$N$5001,"&lt;"&amp;I2363)&gt;0,1,0),0))</f>
        <v/>
      </c>
      <c r="L2363" s="16" t="str">
        <f aca="false">IF(B2363="","",IF(N2363=_xlfn.MAXIFS($N$2:$N$5001,$B$2:$B$5001,B2363,$I$2:$I$5001,I2363),1,0))</f>
        <v/>
      </c>
      <c r="M2363" s="16" t="str">
        <f aca="false">IF(B2363="","",IF(E2363="Em ajustes",IF(N2363=_xlfn.MINIFS($N$2:$N$5001,$B$2:$B$5001,B2363,$E$2:$E$5001,"Em ajustes"),1,0),0))</f>
        <v/>
      </c>
      <c r="N2363" s="17" t="str">
        <f aca="false">IF(A2363="","",IF(ISNUMBER(A2363),A2363,IFERROR(DATE(VALUE(MID(A2363,7,4)),VALUE(MID(A2363,4,2)),VALUE(MID(A2363,1,2)))+TIME(VALUE(MID(A2363,12,2)),VALUE(MID(A2363,15,2)),VALUE(MID(A2363,18,2))),"")))</f>
        <v/>
      </c>
    </row>
    <row r="2364" customFormat="false" ht="15" hidden="false" customHeight="false" outlineLevel="0" collapsed="false">
      <c r="I2364" s="15" t="str">
        <f aca="false">IF(N2364="","",INT(N2364))</f>
        <v/>
      </c>
      <c r="J2364" s="16" t="str">
        <f aca="false">IF(B2364="","",IF(N2364=_xlfn.MINIFS($N$2:$N$5001,$B$2:$B$5001,B2364),1,0))</f>
        <v/>
      </c>
      <c r="K2364" s="16" t="str">
        <f aca="false">IF(B2364="","",IF(AND(D2364="Formalização",E2364="Concluído"),IF(COUNTIFS($B$2:$B$5001,B2364,$E$2:$E$5001,"Em ajustes",$N$2:$N$5001,"&lt;"&amp;I2364)&gt;0,1,0),0))</f>
        <v/>
      </c>
      <c r="L2364" s="16" t="str">
        <f aca="false">IF(B2364="","",IF(N2364=_xlfn.MAXIFS($N$2:$N$5001,$B$2:$B$5001,B2364,$I$2:$I$5001,I2364),1,0))</f>
        <v/>
      </c>
      <c r="M2364" s="16" t="str">
        <f aca="false">IF(B2364="","",IF(E2364="Em ajustes",IF(N2364=_xlfn.MINIFS($N$2:$N$5001,$B$2:$B$5001,B2364,$E$2:$E$5001,"Em ajustes"),1,0),0))</f>
        <v/>
      </c>
      <c r="N2364" s="17" t="str">
        <f aca="false">IF(A2364="","",IF(ISNUMBER(A2364),A2364,IFERROR(DATE(VALUE(MID(A2364,7,4)),VALUE(MID(A2364,4,2)),VALUE(MID(A2364,1,2)))+TIME(VALUE(MID(A2364,12,2)),VALUE(MID(A2364,15,2)),VALUE(MID(A2364,18,2))),"")))</f>
        <v/>
      </c>
    </row>
    <row r="2365" customFormat="false" ht="15" hidden="false" customHeight="false" outlineLevel="0" collapsed="false">
      <c r="I2365" s="15" t="str">
        <f aca="false">IF(N2365="","",INT(N2365))</f>
        <v/>
      </c>
      <c r="J2365" s="16" t="str">
        <f aca="false">IF(B2365="","",IF(N2365=_xlfn.MINIFS($N$2:$N$5001,$B$2:$B$5001,B2365),1,0))</f>
        <v/>
      </c>
      <c r="K2365" s="16" t="str">
        <f aca="false">IF(B2365="","",IF(AND(D2365="Formalização",E2365="Concluído"),IF(COUNTIFS($B$2:$B$5001,B2365,$E$2:$E$5001,"Em ajustes",$N$2:$N$5001,"&lt;"&amp;I2365)&gt;0,1,0),0))</f>
        <v/>
      </c>
      <c r="L2365" s="16" t="str">
        <f aca="false">IF(B2365="","",IF(N2365=_xlfn.MAXIFS($N$2:$N$5001,$B$2:$B$5001,B2365,$I$2:$I$5001,I2365),1,0))</f>
        <v/>
      </c>
      <c r="M2365" s="16" t="str">
        <f aca="false">IF(B2365="","",IF(E2365="Em ajustes",IF(N2365=_xlfn.MINIFS($N$2:$N$5001,$B$2:$B$5001,B2365,$E$2:$E$5001,"Em ajustes"),1,0),0))</f>
        <v/>
      </c>
      <c r="N2365" s="17" t="str">
        <f aca="false">IF(A2365="","",IF(ISNUMBER(A2365),A2365,IFERROR(DATE(VALUE(MID(A2365,7,4)),VALUE(MID(A2365,4,2)),VALUE(MID(A2365,1,2)))+TIME(VALUE(MID(A2365,12,2)),VALUE(MID(A2365,15,2)),VALUE(MID(A2365,18,2))),"")))</f>
        <v/>
      </c>
    </row>
    <row r="2366" customFormat="false" ht="15" hidden="false" customHeight="false" outlineLevel="0" collapsed="false">
      <c r="I2366" s="15" t="str">
        <f aca="false">IF(N2366="","",INT(N2366))</f>
        <v/>
      </c>
      <c r="J2366" s="16" t="str">
        <f aca="false">IF(B2366="","",IF(N2366=_xlfn.MINIFS($N$2:$N$5001,$B$2:$B$5001,B2366),1,0))</f>
        <v/>
      </c>
      <c r="K2366" s="16" t="str">
        <f aca="false">IF(B2366="","",IF(AND(D2366="Formalização",E2366="Concluído"),IF(COUNTIFS($B$2:$B$5001,B2366,$E$2:$E$5001,"Em ajustes",$N$2:$N$5001,"&lt;"&amp;I2366)&gt;0,1,0),0))</f>
        <v/>
      </c>
      <c r="L2366" s="16" t="str">
        <f aca="false">IF(B2366="","",IF(N2366=_xlfn.MAXIFS($N$2:$N$5001,$B$2:$B$5001,B2366,$I$2:$I$5001,I2366),1,0))</f>
        <v/>
      </c>
      <c r="M2366" s="16" t="str">
        <f aca="false">IF(B2366="","",IF(E2366="Em ajustes",IF(N2366=_xlfn.MINIFS($N$2:$N$5001,$B$2:$B$5001,B2366,$E$2:$E$5001,"Em ajustes"),1,0),0))</f>
        <v/>
      </c>
      <c r="N2366" s="17" t="str">
        <f aca="false">IF(A2366="","",IF(ISNUMBER(A2366),A2366,IFERROR(DATE(VALUE(MID(A2366,7,4)),VALUE(MID(A2366,4,2)),VALUE(MID(A2366,1,2)))+TIME(VALUE(MID(A2366,12,2)),VALUE(MID(A2366,15,2)),VALUE(MID(A2366,18,2))),"")))</f>
        <v/>
      </c>
    </row>
    <row r="2367" customFormat="false" ht="15" hidden="false" customHeight="false" outlineLevel="0" collapsed="false">
      <c r="I2367" s="15" t="str">
        <f aca="false">IF(N2367="","",INT(N2367))</f>
        <v/>
      </c>
      <c r="J2367" s="16" t="str">
        <f aca="false">IF(B2367="","",IF(N2367=_xlfn.MINIFS($N$2:$N$5001,$B$2:$B$5001,B2367),1,0))</f>
        <v/>
      </c>
      <c r="K2367" s="16" t="str">
        <f aca="false">IF(B2367="","",IF(AND(D2367="Formalização",E2367="Concluído"),IF(COUNTIFS($B$2:$B$5001,B2367,$E$2:$E$5001,"Em ajustes",$N$2:$N$5001,"&lt;"&amp;I2367)&gt;0,1,0),0))</f>
        <v/>
      </c>
      <c r="L2367" s="16" t="str">
        <f aca="false">IF(B2367="","",IF(N2367=_xlfn.MAXIFS($N$2:$N$5001,$B$2:$B$5001,B2367,$I$2:$I$5001,I2367),1,0))</f>
        <v/>
      </c>
      <c r="M2367" s="16" t="str">
        <f aca="false">IF(B2367="","",IF(E2367="Em ajustes",IF(N2367=_xlfn.MINIFS($N$2:$N$5001,$B$2:$B$5001,B2367,$E$2:$E$5001,"Em ajustes"),1,0),0))</f>
        <v/>
      </c>
      <c r="N2367" s="17" t="str">
        <f aca="false">IF(A2367="","",IF(ISNUMBER(A2367),A2367,IFERROR(DATE(VALUE(MID(A2367,7,4)),VALUE(MID(A2367,4,2)),VALUE(MID(A2367,1,2)))+TIME(VALUE(MID(A2367,12,2)),VALUE(MID(A2367,15,2)),VALUE(MID(A2367,18,2))),"")))</f>
        <v/>
      </c>
    </row>
    <row r="2368" customFormat="false" ht="15" hidden="false" customHeight="false" outlineLevel="0" collapsed="false">
      <c r="I2368" s="15" t="str">
        <f aca="false">IF(N2368="","",INT(N2368))</f>
        <v/>
      </c>
      <c r="J2368" s="16" t="str">
        <f aca="false">IF(B2368="","",IF(N2368=_xlfn.MINIFS($N$2:$N$5001,$B$2:$B$5001,B2368),1,0))</f>
        <v/>
      </c>
      <c r="K2368" s="16" t="str">
        <f aca="false">IF(B2368="","",IF(AND(D2368="Formalização",E2368="Concluído"),IF(COUNTIFS($B$2:$B$5001,B2368,$E$2:$E$5001,"Em ajustes",$N$2:$N$5001,"&lt;"&amp;I2368)&gt;0,1,0),0))</f>
        <v/>
      </c>
      <c r="L2368" s="16" t="str">
        <f aca="false">IF(B2368="","",IF(N2368=_xlfn.MAXIFS($N$2:$N$5001,$B$2:$B$5001,B2368,$I$2:$I$5001,I2368),1,0))</f>
        <v/>
      </c>
      <c r="M2368" s="16" t="str">
        <f aca="false">IF(B2368="","",IF(E2368="Em ajustes",IF(N2368=_xlfn.MINIFS($N$2:$N$5001,$B$2:$B$5001,B2368,$E$2:$E$5001,"Em ajustes"),1,0),0))</f>
        <v/>
      </c>
      <c r="N2368" s="17" t="str">
        <f aca="false">IF(A2368="","",IF(ISNUMBER(A2368),A2368,IFERROR(DATE(VALUE(MID(A2368,7,4)),VALUE(MID(A2368,4,2)),VALUE(MID(A2368,1,2)))+TIME(VALUE(MID(A2368,12,2)),VALUE(MID(A2368,15,2)),VALUE(MID(A2368,18,2))),"")))</f>
        <v/>
      </c>
    </row>
    <row r="2369" customFormat="false" ht="15" hidden="false" customHeight="false" outlineLevel="0" collapsed="false">
      <c r="I2369" s="15" t="str">
        <f aca="false">IF(N2369="","",INT(N2369))</f>
        <v/>
      </c>
      <c r="J2369" s="16" t="str">
        <f aca="false">IF(B2369="","",IF(N2369=_xlfn.MINIFS($N$2:$N$5001,$B$2:$B$5001,B2369),1,0))</f>
        <v/>
      </c>
      <c r="K2369" s="16" t="str">
        <f aca="false">IF(B2369="","",IF(AND(D2369="Formalização",E2369="Concluído"),IF(COUNTIFS($B$2:$B$5001,B2369,$E$2:$E$5001,"Em ajustes",$N$2:$N$5001,"&lt;"&amp;I2369)&gt;0,1,0),0))</f>
        <v/>
      </c>
      <c r="L2369" s="16" t="str">
        <f aca="false">IF(B2369="","",IF(N2369=_xlfn.MAXIFS($N$2:$N$5001,$B$2:$B$5001,B2369,$I$2:$I$5001,I2369),1,0))</f>
        <v/>
      </c>
      <c r="M2369" s="16" t="str">
        <f aca="false">IF(B2369="","",IF(E2369="Em ajustes",IF(N2369=_xlfn.MINIFS($N$2:$N$5001,$B$2:$B$5001,B2369,$E$2:$E$5001,"Em ajustes"),1,0),0))</f>
        <v/>
      </c>
      <c r="N2369" s="17" t="str">
        <f aca="false">IF(A2369="","",IF(ISNUMBER(A2369),A2369,IFERROR(DATE(VALUE(MID(A2369,7,4)),VALUE(MID(A2369,4,2)),VALUE(MID(A2369,1,2)))+TIME(VALUE(MID(A2369,12,2)),VALUE(MID(A2369,15,2)),VALUE(MID(A2369,18,2))),"")))</f>
        <v/>
      </c>
    </row>
    <row r="2370" customFormat="false" ht="15" hidden="false" customHeight="false" outlineLevel="0" collapsed="false">
      <c r="I2370" s="15" t="str">
        <f aca="false">IF(N2370="","",INT(N2370))</f>
        <v/>
      </c>
      <c r="J2370" s="16" t="str">
        <f aca="false">IF(B2370="","",IF(N2370=_xlfn.MINIFS($N$2:$N$5001,$B$2:$B$5001,B2370),1,0))</f>
        <v/>
      </c>
      <c r="K2370" s="16" t="str">
        <f aca="false">IF(B2370="","",IF(AND(D2370="Formalização",E2370="Concluído"),IF(COUNTIFS($B$2:$B$5001,B2370,$E$2:$E$5001,"Em ajustes",$N$2:$N$5001,"&lt;"&amp;I2370)&gt;0,1,0),0))</f>
        <v/>
      </c>
      <c r="L2370" s="16" t="str">
        <f aca="false">IF(B2370="","",IF(N2370=_xlfn.MAXIFS($N$2:$N$5001,$B$2:$B$5001,B2370,$I$2:$I$5001,I2370),1,0))</f>
        <v/>
      </c>
      <c r="M2370" s="16" t="str">
        <f aca="false">IF(B2370="","",IF(E2370="Em ajustes",IF(N2370=_xlfn.MINIFS($N$2:$N$5001,$B$2:$B$5001,B2370,$E$2:$E$5001,"Em ajustes"),1,0),0))</f>
        <v/>
      </c>
      <c r="N2370" s="17" t="str">
        <f aca="false">IF(A2370="","",IF(ISNUMBER(A2370),A2370,IFERROR(DATE(VALUE(MID(A2370,7,4)),VALUE(MID(A2370,4,2)),VALUE(MID(A2370,1,2)))+TIME(VALUE(MID(A2370,12,2)),VALUE(MID(A2370,15,2)),VALUE(MID(A2370,18,2))),"")))</f>
        <v/>
      </c>
    </row>
    <row r="2371" customFormat="false" ht="15" hidden="false" customHeight="false" outlineLevel="0" collapsed="false">
      <c r="I2371" s="15" t="str">
        <f aca="false">IF(N2371="","",INT(N2371))</f>
        <v/>
      </c>
      <c r="J2371" s="16" t="str">
        <f aca="false">IF(B2371="","",IF(N2371=_xlfn.MINIFS($N$2:$N$5001,$B$2:$B$5001,B2371),1,0))</f>
        <v/>
      </c>
      <c r="K2371" s="16" t="str">
        <f aca="false">IF(B2371="","",IF(AND(D2371="Formalização",E2371="Concluído"),IF(COUNTIFS($B$2:$B$5001,B2371,$E$2:$E$5001,"Em ajustes",$N$2:$N$5001,"&lt;"&amp;I2371)&gt;0,1,0),0))</f>
        <v/>
      </c>
      <c r="L2371" s="16" t="str">
        <f aca="false">IF(B2371="","",IF(N2371=_xlfn.MAXIFS($N$2:$N$5001,$B$2:$B$5001,B2371,$I$2:$I$5001,I2371),1,0))</f>
        <v/>
      </c>
      <c r="M2371" s="16" t="str">
        <f aca="false">IF(B2371="","",IF(E2371="Em ajustes",IF(N2371=_xlfn.MINIFS($N$2:$N$5001,$B$2:$B$5001,B2371,$E$2:$E$5001,"Em ajustes"),1,0),0))</f>
        <v/>
      </c>
      <c r="N2371" s="17" t="str">
        <f aca="false">IF(A2371="","",IF(ISNUMBER(A2371),A2371,IFERROR(DATE(VALUE(MID(A2371,7,4)),VALUE(MID(A2371,4,2)),VALUE(MID(A2371,1,2)))+TIME(VALUE(MID(A2371,12,2)),VALUE(MID(A2371,15,2)),VALUE(MID(A2371,18,2))),"")))</f>
        <v/>
      </c>
    </row>
    <row r="2372" customFormat="false" ht="15" hidden="false" customHeight="false" outlineLevel="0" collapsed="false">
      <c r="I2372" s="15" t="str">
        <f aca="false">IF(N2372="","",INT(N2372))</f>
        <v/>
      </c>
      <c r="J2372" s="16" t="str">
        <f aca="false">IF(B2372="","",IF(N2372=_xlfn.MINIFS($N$2:$N$5001,$B$2:$B$5001,B2372),1,0))</f>
        <v/>
      </c>
      <c r="K2372" s="16" t="str">
        <f aca="false">IF(B2372="","",IF(AND(D2372="Formalização",E2372="Concluído"),IF(COUNTIFS($B$2:$B$5001,B2372,$E$2:$E$5001,"Em ajustes",$N$2:$N$5001,"&lt;"&amp;I2372)&gt;0,1,0),0))</f>
        <v/>
      </c>
      <c r="L2372" s="16" t="str">
        <f aca="false">IF(B2372="","",IF(N2372=_xlfn.MAXIFS($N$2:$N$5001,$B$2:$B$5001,B2372,$I$2:$I$5001,I2372),1,0))</f>
        <v/>
      </c>
      <c r="M2372" s="16" t="str">
        <f aca="false">IF(B2372="","",IF(E2372="Em ajustes",IF(N2372=_xlfn.MINIFS($N$2:$N$5001,$B$2:$B$5001,B2372,$E$2:$E$5001,"Em ajustes"),1,0),0))</f>
        <v/>
      </c>
      <c r="N2372" s="17" t="str">
        <f aca="false">IF(A2372="","",IF(ISNUMBER(A2372),A2372,IFERROR(DATE(VALUE(MID(A2372,7,4)),VALUE(MID(A2372,4,2)),VALUE(MID(A2372,1,2)))+TIME(VALUE(MID(A2372,12,2)),VALUE(MID(A2372,15,2)),VALUE(MID(A2372,18,2))),"")))</f>
        <v/>
      </c>
    </row>
    <row r="2373" customFormat="false" ht="15" hidden="false" customHeight="false" outlineLevel="0" collapsed="false">
      <c r="I2373" s="15" t="str">
        <f aca="false">IF(N2373="","",INT(N2373))</f>
        <v/>
      </c>
      <c r="J2373" s="16" t="str">
        <f aca="false">IF(B2373="","",IF(N2373=_xlfn.MINIFS($N$2:$N$5001,$B$2:$B$5001,B2373),1,0))</f>
        <v/>
      </c>
      <c r="K2373" s="16" t="str">
        <f aca="false">IF(B2373="","",IF(AND(D2373="Formalização",E2373="Concluído"),IF(COUNTIFS($B$2:$B$5001,B2373,$E$2:$E$5001,"Em ajustes",$N$2:$N$5001,"&lt;"&amp;I2373)&gt;0,1,0),0))</f>
        <v/>
      </c>
      <c r="L2373" s="16" t="str">
        <f aca="false">IF(B2373="","",IF(N2373=_xlfn.MAXIFS($N$2:$N$5001,$B$2:$B$5001,B2373,$I$2:$I$5001,I2373),1,0))</f>
        <v/>
      </c>
      <c r="M2373" s="16" t="str">
        <f aca="false">IF(B2373="","",IF(E2373="Em ajustes",IF(N2373=_xlfn.MINIFS($N$2:$N$5001,$B$2:$B$5001,B2373,$E$2:$E$5001,"Em ajustes"),1,0),0))</f>
        <v/>
      </c>
      <c r="N2373" s="17" t="str">
        <f aca="false">IF(A2373="","",IF(ISNUMBER(A2373),A2373,IFERROR(DATE(VALUE(MID(A2373,7,4)),VALUE(MID(A2373,4,2)),VALUE(MID(A2373,1,2)))+TIME(VALUE(MID(A2373,12,2)),VALUE(MID(A2373,15,2)),VALUE(MID(A2373,18,2))),"")))</f>
        <v/>
      </c>
    </row>
    <row r="2374" customFormat="false" ht="15" hidden="false" customHeight="false" outlineLevel="0" collapsed="false">
      <c r="I2374" s="15" t="str">
        <f aca="false">IF(N2374="","",INT(N2374))</f>
        <v/>
      </c>
      <c r="J2374" s="16" t="str">
        <f aca="false">IF(B2374="","",IF(N2374=_xlfn.MINIFS($N$2:$N$5001,$B$2:$B$5001,B2374),1,0))</f>
        <v/>
      </c>
      <c r="K2374" s="16" t="str">
        <f aca="false">IF(B2374="","",IF(AND(D2374="Formalização",E2374="Concluído"),IF(COUNTIFS($B$2:$B$5001,B2374,$E$2:$E$5001,"Em ajustes",$N$2:$N$5001,"&lt;"&amp;I2374)&gt;0,1,0),0))</f>
        <v/>
      </c>
      <c r="L2374" s="16" t="str">
        <f aca="false">IF(B2374="","",IF(N2374=_xlfn.MAXIFS($N$2:$N$5001,$B$2:$B$5001,B2374,$I$2:$I$5001,I2374),1,0))</f>
        <v/>
      </c>
      <c r="M2374" s="16" t="str">
        <f aca="false">IF(B2374="","",IF(E2374="Em ajustes",IF(N2374=_xlfn.MINIFS($N$2:$N$5001,$B$2:$B$5001,B2374,$E$2:$E$5001,"Em ajustes"),1,0),0))</f>
        <v/>
      </c>
      <c r="N2374" s="17" t="str">
        <f aca="false">IF(A2374="","",IF(ISNUMBER(A2374),A2374,IFERROR(DATE(VALUE(MID(A2374,7,4)),VALUE(MID(A2374,4,2)),VALUE(MID(A2374,1,2)))+TIME(VALUE(MID(A2374,12,2)),VALUE(MID(A2374,15,2)),VALUE(MID(A2374,18,2))),"")))</f>
        <v/>
      </c>
    </row>
    <row r="2375" customFormat="false" ht="15" hidden="false" customHeight="false" outlineLevel="0" collapsed="false">
      <c r="I2375" s="15" t="str">
        <f aca="false">IF(N2375="","",INT(N2375))</f>
        <v/>
      </c>
      <c r="J2375" s="16" t="str">
        <f aca="false">IF(B2375="","",IF(N2375=_xlfn.MINIFS($N$2:$N$5001,$B$2:$B$5001,B2375),1,0))</f>
        <v/>
      </c>
      <c r="K2375" s="16" t="str">
        <f aca="false">IF(B2375="","",IF(AND(D2375="Formalização",E2375="Concluído"),IF(COUNTIFS($B$2:$B$5001,B2375,$E$2:$E$5001,"Em ajustes",$N$2:$N$5001,"&lt;"&amp;I2375)&gt;0,1,0),0))</f>
        <v/>
      </c>
      <c r="L2375" s="16" t="str">
        <f aca="false">IF(B2375="","",IF(N2375=_xlfn.MAXIFS($N$2:$N$5001,$B$2:$B$5001,B2375,$I$2:$I$5001,I2375),1,0))</f>
        <v/>
      </c>
      <c r="M2375" s="16" t="str">
        <f aca="false">IF(B2375="","",IF(E2375="Em ajustes",IF(N2375=_xlfn.MINIFS($N$2:$N$5001,$B$2:$B$5001,B2375,$E$2:$E$5001,"Em ajustes"),1,0),0))</f>
        <v/>
      </c>
      <c r="N2375" s="17" t="str">
        <f aca="false">IF(A2375="","",IF(ISNUMBER(A2375),A2375,IFERROR(DATE(VALUE(MID(A2375,7,4)),VALUE(MID(A2375,4,2)),VALUE(MID(A2375,1,2)))+TIME(VALUE(MID(A2375,12,2)),VALUE(MID(A2375,15,2)),VALUE(MID(A2375,18,2))),"")))</f>
        <v/>
      </c>
    </row>
    <row r="2376" customFormat="false" ht="15" hidden="false" customHeight="false" outlineLevel="0" collapsed="false">
      <c r="I2376" s="15" t="str">
        <f aca="false">IF(N2376="","",INT(N2376))</f>
        <v/>
      </c>
      <c r="J2376" s="16" t="str">
        <f aca="false">IF(B2376="","",IF(N2376=_xlfn.MINIFS($N$2:$N$5001,$B$2:$B$5001,B2376),1,0))</f>
        <v/>
      </c>
      <c r="K2376" s="16" t="str">
        <f aca="false">IF(B2376="","",IF(AND(D2376="Formalização",E2376="Concluído"),IF(COUNTIFS($B$2:$B$5001,B2376,$E$2:$E$5001,"Em ajustes",$N$2:$N$5001,"&lt;"&amp;I2376)&gt;0,1,0),0))</f>
        <v/>
      </c>
      <c r="L2376" s="16" t="str">
        <f aca="false">IF(B2376="","",IF(N2376=_xlfn.MAXIFS($N$2:$N$5001,$B$2:$B$5001,B2376,$I$2:$I$5001,I2376),1,0))</f>
        <v/>
      </c>
      <c r="M2376" s="16" t="str">
        <f aca="false">IF(B2376="","",IF(E2376="Em ajustes",IF(N2376=_xlfn.MINIFS($N$2:$N$5001,$B$2:$B$5001,B2376,$E$2:$E$5001,"Em ajustes"),1,0),0))</f>
        <v/>
      </c>
      <c r="N2376" s="17" t="str">
        <f aca="false">IF(A2376="","",IF(ISNUMBER(A2376),A2376,IFERROR(DATE(VALUE(MID(A2376,7,4)),VALUE(MID(A2376,4,2)),VALUE(MID(A2376,1,2)))+TIME(VALUE(MID(A2376,12,2)),VALUE(MID(A2376,15,2)),VALUE(MID(A2376,18,2))),"")))</f>
        <v/>
      </c>
    </row>
    <row r="2377" customFormat="false" ht="15" hidden="false" customHeight="false" outlineLevel="0" collapsed="false">
      <c r="I2377" s="15" t="str">
        <f aca="false">IF(N2377="","",INT(N2377))</f>
        <v/>
      </c>
      <c r="J2377" s="16" t="str">
        <f aca="false">IF(B2377="","",IF(N2377=_xlfn.MINIFS($N$2:$N$5001,$B$2:$B$5001,B2377),1,0))</f>
        <v/>
      </c>
      <c r="K2377" s="16" t="str">
        <f aca="false">IF(B2377="","",IF(AND(D2377="Formalização",E2377="Concluído"),IF(COUNTIFS($B$2:$B$5001,B2377,$E$2:$E$5001,"Em ajustes",$N$2:$N$5001,"&lt;"&amp;I2377)&gt;0,1,0),0))</f>
        <v/>
      </c>
      <c r="L2377" s="16" t="str">
        <f aca="false">IF(B2377="","",IF(N2377=_xlfn.MAXIFS($N$2:$N$5001,$B$2:$B$5001,B2377,$I$2:$I$5001,I2377),1,0))</f>
        <v/>
      </c>
      <c r="M2377" s="16" t="str">
        <f aca="false">IF(B2377="","",IF(E2377="Em ajustes",IF(N2377=_xlfn.MINIFS($N$2:$N$5001,$B$2:$B$5001,B2377,$E$2:$E$5001,"Em ajustes"),1,0),0))</f>
        <v/>
      </c>
      <c r="N2377" s="17" t="str">
        <f aca="false">IF(A2377="","",IF(ISNUMBER(A2377),A2377,IFERROR(DATE(VALUE(MID(A2377,7,4)),VALUE(MID(A2377,4,2)),VALUE(MID(A2377,1,2)))+TIME(VALUE(MID(A2377,12,2)),VALUE(MID(A2377,15,2)),VALUE(MID(A2377,18,2))),"")))</f>
        <v/>
      </c>
    </row>
    <row r="2378" customFormat="false" ht="15" hidden="false" customHeight="false" outlineLevel="0" collapsed="false">
      <c r="I2378" s="15" t="str">
        <f aca="false">IF(N2378="","",INT(N2378))</f>
        <v/>
      </c>
      <c r="J2378" s="16" t="str">
        <f aca="false">IF(B2378="","",IF(N2378=_xlfn.MINIFS($N$2:$N$5001,$B$2:$B$5001,B2378),1,0))</f>
        <v/>
      </c>
      <c r="K2378" s="16" t="str">
        <f aca="false">IF(B2378="","",IF(AND(D2378="Formalização",E2378="Concluído"),IF(COUNTIFS($B$2:$B$5001,B2378,$E$2:$E$5001,"Em ajustes",$N$2:$N$5001,"&lt;"&amp;I2378)&gt;0,1,0),0))</f>
        <v/>
      </c>
      <c r="L2378" s="16" t="str">
        <f aca="false">IF(B2378="","",IF(N2378=_xlfn.MAXIFS($N$2:$N$5001,$B$2:$B$5001,B2378,$I$2:$I$5001,I2378),1,0))</f>
        <v/>
      </c>
      <c r="M2378" s="16" t="str">
        <f aca="false">IF(B2378="","",IF(E2378="Em ajustes",IF(N2378=_xlfn.MINIFS($N$2:$N$5001,$B$2:$B$5001,B2378,$E$2:$E$5001,"Em ajustes"),1,0),0))</f>
        <v/>
      </c>
      <c r="N2378" s="17" t="str">
        <f aca="false">IF(A2378="","",IF(ISNUMBER(A2378),A2378,IFERROR(DATE(VALUE(MID(A2378,7,4)),VALUE(MID(A2378,4,2)),VALUE(MID(A2378,1,2)))+TIME(VALUE(MID(A2378,12,2)),VALUE(MID(A2378,15,2)),VALUE(MID(A2378,18,2))),"")))</f>
        <v/>
      </c>
    </row>
    <row r="2379" customFormat="false" ht="15" hidden="false" customHeight="false" outlineLevel="0" collapsed="false">
      <c r="I2379" s="15" t="str">
        <f aca="false">IF(N2379="","",INT(N2379))</f>
        <v/>
      </c>
      <c r="J2379" s="16" t="str">
        <f aca="false">IF(B2379="","",IF(N2379=_xlfn.MINIFS($N$2:$N$5001,$B$2:$B$5001,B2379),1,0))</f>
        <v/>
      </c>
      <c r="K2379" s="16" t="str">
        <f aca="false">IF(B2379="","",IF(AND(D2379="Formalização",E2379="Concluído"),IF(COUNTIFS($B$2:$B$5001,B2379,$E$2:$E$5001,"Em ajustes",$N$2:$N$5001,"&lt;"&amp;I2379)&gt;0,1,0),0))</f>
        <v/>
      </c>
      <c r="L2379" s="16" t="str">
        <f aca="false">IF(B2379="","",IF(N2379=_xlfn.MAXIFS($N$2:$N$5001,$B$2:$B$5001,B2379,$I$2:$I$5001,I2379),1,0))</f>
        <v/>
      </c>
      <c r="M2379" s="16" t="str">
        <f aca="false">IF(B2379="","",IF(E2379="Em ajustes",IF(N2379=_xlfn.MINIFS($N$2:$N$5001,$B$2:$B$5001,B2379,$E$2:$E$5001,"Em ajustes"),1,0),0))</f>
        <v/>
      </c>
      <c r="N2379" s="17" t="str">
        <f aca="false">IF(A2379="","",IF(ISNUMBER(A2379),A2379,IFERROR(DATE(VALUE(MID(A2379,7,4)),VALUE(MID(A2379,4,2)),VALUE(MID(A2379,1,2)))+TIME(VALUE(MID(A2379,12,2)),VALUE(MID(A2379,15,2)),VALUE(MID(A2379,18,2))),"")))</f>
        <v/>
      </c>
    </row>
    <row r="2380" customFormat="false" ht="15" hidden="false" customHeight="false" outlineLevel="0" collapsed="false">
      <c r="I2380" s="15" t="str">
        <f aca="false">IF(N2380="","",INT(N2380))</f>
        <v/>
      </c>
      <c r="J2380" s="16" t="str">
        <f aca="false">IF(B2380="","",IF(N2380=_xlfn.MINIFS($N$2:$N$5001,$B$2:$B$5001,B2380),1,0))</f>
        <v/>
      </c>
      <c r="K2380" s="16" t="str">
        <f aca="false">IF(B2380="","",IF(AND(D2380="Formalização",E2380="Concluído"),IF(COUNTIFS($B$2:$B$5001,B2380,$E$2:$E$5001,"Em ajustes",$N$2:$N$5001,"&lt;"&amp;I2380)&gt;0,1,0),0))</f>
        <v/>
      </c>
      <c r="L2380" s="16" t="str">
        <f aca="false">IF(B2380="","",IF(N2380=_xlfn.MAXIFS($N$2:$N$5001,$B$2:$B$5001,B2380,$I$2:$I$5001,I2380),1,0))</f>
        <v/>
      </c>
      <c r="M2380" s="16" t="str">
        <f aca="false">IF(B2380="","",IF(E2380="Em ajustes",IF(N2380=_xlfn.MINIFS($N$2:$N$5001,$B$2:$B$5001,B2380,$E$2:$E$5001,"Em ajustes"),1,0),0))</f>
        <v/>
      </c>
      <c r="N2380" s="17" t="str">
        <f aca="false">IF(A2380="","",IF(ISNUMBER(A2380),A2380,IFERROR(DATE(VALUE(MID(A2380,7,4)),VALUE(MID(A2380,4,2)),VALUE(MID(A2380,1,2)))+TIME(VALUE(MID(A2380,12,2)),VALUE(MID(A2380,15,2)),VALUE(MID(A2380,18,2))),"")))</f>
        <v/>
      </c>
    </row>
    <row r="2381" customFormat="false" ht="15" hidden="false" customHeight="false" outlineLevel="0" collapsed="false">
      <c r="I2381" s="15" t="str">
        <f aca="false">IF(N2381="","",INT(N2381))</f>
        <v/>
      </c>
      <c r="J2381" s="16" t="str">
        <f aca="false">IF(B2381="","",IF(N2381=_xlfn.MINIFS($N$2:$N$5001,$B$2:$B$5001,B2381),1,0))</f>
        <v/>
      </c>
      <c r="K2381" s="16" t="str">
        <f aca="false">IF(B2381="","",IF(AND(D2381="Formalização",E2381="Concluído"),IF(COUNTIFS($B$2:$B$5001,B2381,$E$2:$E$5001,"Em ajustes",$N$2:$N$5001,"&lt;"&amp;I2381)&gt;0,1,0),0))</f>
        <v/>
      </c>
      <c r="L2381" s="16" t="str">
        <f aca="false">IF(B2381="","",IF(N2381=_xlfn.MAXIFS($N$2:$N$5001,$B$2:$B$5001,B2381,$I$2:$I$5001,I2381),1,0))</f>
        <v/>
      </c>
      <c r="M2381" s="16" t="str">
        <f aca="false">IF(B2381="","",IF(E2381="Em ajustes",IF(N2381=_xlfn.MINIFS($N$2:$N$5001,$B$2:$B$5001,B2381,$E$2:$E$5001,"Em ajustes"),1,0),0))</f>
        <v/>
      </c>
      <c r="N2381" s="17" t="str">
        <f aca="false">IF(A2381="","",IF(ISNUMBER(A2381),A2381,IFERROR(DATE(VALUE(MID(A2381,7,4)),VALUE(MID(A2381,4,2)),VALUE(MID(A2381,1,2)))+TIME(VALUE(MID(A2381,12,2)),VALUE(MID(A2381,15,2)),VALUE(MID(A2381,18,2))),"")))</f>
        <v/>
      </c>
    </row>
    <row r="2382" customFormat="false" ht="15" hidden="false" customHeight="false" outlineLevel="0" collapsed="false">
      <c r="I2382" s="15" t="str">
        <f aca="false">IF(N2382="","",INT(N2382))</f>
        <v/>
      </c>
      <c r="J2382" s="16" t="str">
        <f aca="false">IF(B2382="","",IF(N2382=_xlfn.MINIFS($N$2:$N$5001,$B$2:$B$5001,B2382),1,0))</f>
        <v/>
      </c>
      <c r="K2382" s="16" t="str">
        <f aca="false">IF(B2382="","",IF(AND(D2382="Formalização",E2382="Concluído"),IF(COUNTIFS($B$2:$B$5001,B2382,$E$2:$E$5001,"Em ajustes",$N$2:$N$5001,"&lt;"&amp;I2382)&gt;0,1,0),0))</f>
        <v/>
      </c>
      <c r="L2382" s="16" t="str">
        <f aca="false">IF(B2382="","",IF(N2382=_xlfn.MAXIFS($N$2:$N$5001,$B$2:$B$5001,B2382,$I$2:$I$5001,I2382),1,0))</f>
        <v/>
      </c>
      <c r="M2382" s="16" t="str">
        <f aca="false">IF(B2382="","",IF(E2382="Em ajustes",IF(N2382=_xlfn.MINIFS($N$2:$N$5001,$B$2:$B$5001,B2382,$E$2:$E$5001,"Em ajustes"),1,0),0))</f>
        <v/>
      </c>
      <c r="N2382" s="17" t="str">
        <f aca="false">IF(A2382="","",IF(ISNUMBER(A2382),A2382,IFERROR(DATE(VALUE(MID(A2382,7,4)),VALUE(MID(A2382,4,2)),VALUE(MID(A2382,1,2)))+TIME(VALUE(MID(A2382,12,2)),VALUE(MID(A2382,15,2)),VALUE(MID(A2382,18,2))),"")))</f>
        <v/>
      </c>
    </row>
    <row r="2383" customFormat="false" ht="15" hidden="false" customHeight="false" outlineLevel="0" collapsed="false">
      <c r="I2383" s="15" t="str">
        <f aca="false">IF(N2383="","",INT(N2383))</f>
        <v/>
      </c>
      <c r="J2383" s="16" t="str">
        <f aca="false">IF(B2383="","",IF(N2383=_xlfn.MINIFS($N$2:$N$5001,$B$2:$B$5001,B2383),1,0))</f>
        <v/>
      </c>
      <c r="K2383" s="16" t="str">
        <f aca="false">IF(B2383="","",IF(AND(D2383="Formalização",E2383="Concluído"),IF(COUNTIFS($B$2:$B$5001,B2383,$E$2:$E$5001,"Em ajustes",$N$2:$N$5001,"&lt;"&amp;I2383)&gt;0,1,0),0))</f>
        <v/>
      </c>
      <c r="L2383" s="16" t="str">
        <f aca="false">IF(B2383="","",IF(N2383=_xlfn.MAXIFS($N$2:$N$5001,$B$2:$B$5001,B2383,$I$2:$I$5001,I2383),1,0))</f>
        <v/>
      </c>
      <c r="M2383" s="16" t="str">
        <f aca="false">IF(B2383="","",IF(E2383="Em ajustes",IF(N2383=_xlfn.MINIFS($N$2:$N$5001,$B$2:$B$5001,B2383,$E$2:$E$5001,"Em ajustes"),1,0),0))</f>
        <v/>
      </c>
      <c r="N2383" s="17" t="str">
        <f aca="false">IF(A2383="","",IF(ISNUMBER(A2383),A2383,IFERROR(DATE(VALUE(MID(A2383,7,4)),VALUE(MID(A2383,4,2)),VALUE(MID(A2383,1,2)))+TIME(VALUE(MID(A2383,12,2)),VALUE(MID(A2383,15,2)),VALUE(MID(A2383,18,2))),"")))</f>
        <v/>
      </c>
    </row>
    <row r="2384" customFormat="false" ht="15" hidden="false" customHeight="false" outlineLevel="0" collapsed="false">
      <c r="I2384" s="15" t="str">
        <f aca="false">IF(N2384="","",INT(N2384))</f>
        <v/>
      </c>
      <c r="J2384" s="16" t="str">
        <f aca="false">IF(B2384="","",IF(N2384=_xlfn.MINIFS($N$2:$N$5001,$B$2:$B$5001,B2384),1,0))</f>
        <v/>
      </c>
      <c r="K2384" s="16" t="str">
        <f aca="false">IF(B2384="","",IF(AND(D2384="Formalização",E2384="Concluído"),IF(COUNTIFS($B$2:$B$5001,B2384,$E$2:$E$5001,"Em ajustes",$N$2:$N$5001,"&lt;"&amp;I2384)&gt;0,1,0),0))</f>
        <v/>
      </c>
      <c r="L2384" s="16" t="str">
        <f aca="false">IF(B2384="","",IF(N2384=_xlfn.MAXIFS($N$2:$N$5001,$B$2:$B$5001,B2384,$I$2:$I$5001,I2384),1,0))</f>
        <v/>
      </c>
      <c r="M2384" s="16" t="str">
        <f aca="false">IF(B2384="","",IF(E2384="Em ajustes",IF(N2384=_xlfn.MINIFS($N$2:$N$5001,$B$2:$B$5001,B2384,$E$2:$E$5001,"Em ajustes"),1,0),0))</f>
        <v/>
      </c>
      <c r="N2384" s="17" t="str">
        <f aca="false">IF(A2384="","",IF(ISNUMBER(A2384),A2384,IFERROR(DATE(VALUE(MID(A2384,7,4)),VALUE(MID(A2384,4,2)),VALUE(MID(A2384,1,2)))+TIME(VALUE(MID(A2384,12,2)),VALUE(MID(A2384,15,2)),VALUE(MID(A2384,18,2))),"")))</f>
        <v/>
      </c>
    </row>
    <row r="2385" customFormat="false" ht="15" hidden="false" customHeight="false" outlineLevel="0" collapsed="false">
      <c r="I2385" s="15" t="str">
        <f aca="false">IF(N2385="","",INT(N2385))</f>
        <v/>
      </c>
      <c r="J2385" s="16" t="str">
        <f aca="false">IF(B2385="","",IF(N2385=_xlfn.MINIFS($N$2:$N$5001,$B$2:$B$5001,B2385),1,0))</f>
        <v/>
      </c>
      <c r="K2385" s="16" t="str">
        <f aca="false">IF(B2385="","",IF(AND(D2385="Formalização",E2385="Concluído"),IF(COUNTIFS($B$2:$B$5001,B2385,$E$2:$E$5001,"Em ajustes",$N$2:$N$5001,"&lt;"&amp;I2385)&gt;0,1,0),0))</f>
        <v/>
      </c>
      <c r="L2385" s="16" t="str">
        <f aca="false">IF(B2385="","",IF(N2385=_xlfn.MAXIFS($N$2:$N$5001,$B$2:$B$5001,B2385,$I$2:$I$5001,I2385),1,0))</f>
        <v/>
      </c>
      <c r="M2385" s="16" t="str">
        <f aca="false">IF(B2385="","",IF(E2385="Em ajustes",IF(N2385=_xlfn.MINIFS($N$2:$N$5001,$B$2:$B$5001,B2385,$E$2:$E$5001,"Em ajustes"),1,0),0))</f>
        <v/>
      </c>
      <c r="N2385" s="17" t="str">
        <f aca="false">IF(A2385="","",IF(ISNUMBER(A2385),A2385,IFERROR(DATE(VALUE(MID(A2385,7,4)),VALUE(MID(A2385,4,2)),VALUE(MID(A2385,1,2)))+TIME(VALUE(MID(A2385,12,2)),VALUE(MID(A2385,15,2)),VALUE(MID(A2385,18,2))),"")))</f>
        <v/>
      </c>
    </row>
    <row r="2386" customFormat="false" ht="15" hidden="false" customHeight="false" outlineLevel="0" collapsed="false">
      <c r="I2386" s="15" t="str">
        <f aca="false">IF(N2386="","",INT(N2386))</f>
        <v/>
      </c>
      <c r="J2386" s="16" t="str">
        <f aca="false">IF(B2386="","",IF(N2386=_xlfn.MINIFS($N$2:$N$5001,$B$2:$B$5001,B2386),1,0))</f>
        <v/>
      </c>
      <c r="K2386" s="16" t="str">
        <f aca="false">IF(B2386="","",IF(AND(D2386="Formalização",E2386="Concluído"),IF(COUNTIFS($B$2:$B$5001,B2386,$E$2:$E$5001,"Em ajustes",$N$2:$N$5001,"&lt;"&amp;I2386)&gt;0,1,0),0))</f>
        <v/>
      </c>
      <c r="L2386" s="16" t="str">
        <f aca="false">IF(B2386="","",IF(N2386=_xlfn.MAXIFS($N$2:$N$5001,$B$2:$B$5001,B2386,$I$2:$I$5001,I2386),1,0))</f>
        <v/>
      </c>
      <c r="M2386" s="16" t="str">
        <f aca="false">IF(B2386="","",IF(E2386="Em ajustes",IF(N2386=_xlfn.MINIFS($N$2:$N$5001,$B$2:$B$5001,B2386,$E$2:$E$5001,"Em ajustes"),1,0),0))</f>
        <v/>
      </c>
      <c r="N2386" s="17" t="str">
        <f aca="false">IF(A2386="","",IF(ISNUMBER(A2386),A2386,IFERROR(DATE(VALUE(MID(A2386,7,4)),VALUE(MID(A2386,4,2)),VALUE(MID(A2386,1,2)))+TIME(VALUE(MID(A2386,12,2)),VALUE(MID(A2386,15,2)),VALUE(MID(A2386,18,2))),"")))</f>
        <v/>
      </c>
    </row>
    <row r="2387" customFormat="false" ht="15" hidden="false" customHeight="false" outlineLevel="0" collapsed="false">
      <c r="I2387" s="15" t="str">
        <f aca="false">IF(N2387="","",INT(N2387))</f>
        <v/>
      </c>
      <c r="J2387" s="16" t="str">
        <f aca="false">IF(B2387="","",IF(N2387=_xlfn.MINIFS($N$2:$N$5001,$B$2:$B$5001,B2387),1,0))</f>
        <v/>
      </c>
      <c r="K2387" s="16" t="str">
        <f aca="false">IF(B2387="","",IF(AND(D2387="Formalização",E2387="Concluído"),IF(COUNTIFS($B$2:$B$5001,B2387,$E$2:$E$5001,"Em ajustes",$N$2:$N$5001,"&lt;"&amp;I2387)&gt;0,1,0),0))</f>
        <v/>
      </c>
      <c r="L2387" s="16" t="str">
        <f aca="false">IF(B2387="","",IF(N2387=_xlfn.MAXIFS($N$2:$N$5001,$B$2:$B$5001,B2387,$I$2:$I$5001,I2387),1,0))</f>
        <v/>
      </c>
      <c r="M2387" s="16" t="str">
        <f aca="false">IF(B2387="","",IF(E2387="Em ajustes",IF(N2387=_xlfn.MINIFS($N$2:$N$5001,$B$2:$B$5001,B2387,$E$2:$E$5001,"Em ajustes"),1,0),0))</f>
        <v/>
      </c>
      <c r="N2387" s="17" t="str">
        <f aca="false">IF(A2387="","",IF(ISNUMBER(A2387),A2387,IFERROR(DATE(VALUE(MID(A2387,7,4)),VALUE(MID(A2387,4,2)),VALUE(MID(A2387,1,2)))+TIME(VALUE(MID(A2387,12,2)),VALUE(MID(A2387,15,2)),VALUE(MID(A2387,18,2))),"")))</f>
        <v/>
      </c>
    </row>
    <row r="2388" customFormat="false" ht="15" hidden="false" customHeight="false" outlineLevel="0" collapsed="false">
      <c r="I2388" s="15" t="str">
        <f aca="false">IF(N2388="","",INT(N2388))</f>
        <v/>
      </c>
      <c r="J2388" s="16" t="str">
        <f aca="false">IF(B2388="","",IF(N2388=_xlfn.MINIFS($N$2:$N$5001,$B$2:$B$5001,B2388),1,0))</f>
        <v/>
      </c>
      <c r="K2388" s="16" t="str">
        <f aca="false">IF(B2388="","",IF(AND(D2388="Formalização",E2388="Concluído"),IF(COUNTIFS($B$2:$B$5001,B2388,$E$2:$E$5001,"Em ajustes",$N$2:$N$5001,"&lt;"&amp;I2388)&gt;0,1,0),0))</f>
        <v/>
      </c>
      <c r="L2388" s="16" t="str">
        <f aca="false">IF(B2388="","",IF(N2388=_xlfn.MAXIFS($N$2:$N$5001,$B$2:$B$5001,B2388,$I$2:$I$5001,I2388),1,0))</f>
        <v/>
      </c>
      <c r="M2388" s="16" t="str">
        <f aca="false">IF(B2388="","",IF(E2388="Em ajustes",IF(N2388=_xlfn.MINIFS($N$2:$N$5001,$B$2:$B$5001,B2388,$E$2:$E$5001,"Em ajustes"),1,0),0))</f>
        <v/>
      </c>
      <c r="N2388" s="17" t="str">
        <f aca="false">IF(A2388="","",IF(ISNUMBER(A2388),A2388,IFERROR(DATE(VALUE(MID(A2388,7,4)),VALUE(MID(A2388,4,2)),VALUE(MID(A2388,1,2)))+TIME(VALUE(MID(A2388,12,2)),VALUE(MID(A2388,15,2)),VALUE(MID(A2388,18,2))),"")))</f>
        <v/>
      </c>
    </row>
    <row r="2389" customFormat="false" ht="15" hidden="false" customHeight="false" outlineLevel="0" collapsed="false">
      <c r="I2389" s="15" t="str">
        <f aca="false">IF(N2389="","",INT(N2389))</f>
        <v/>
      </c>
      <c r="J2389" s="16" t="str">
        <f aca="false">IF(B2389="","",IF(N2389=_xlfn.MINIFS($N$2:$N$5001,$B$2:$B$5001,B2389),1,0))</f>
        <v/>
      </c>
      <c r="K2389" s="16" t="str">
        <f aca="false">IF(B2389="","",IF(AND(D2389="Formalização",E2389="Concluído"),IF(COUNTIFS($B$2:$B$5001,B2389,$E$2:$E$5001,"Em ajustes",$N$2:$N$5001,"&lt;"&amp;I2389)&gt;0,1,0),0))</f>
        <v/>
      </c>
      <c r="L2389" s="16" t="str">
        <f aca="false">IF(B2389="","",IF(N2389=_xlfn.MAXIFS($N$2:$N$5001,$B$2:$B$5001,B2389,$I$2:$I$5001,I2389),1,0))</f>
        <v/>
      </c>
      <c r="M2389" s="16" t="str">
        <f aca="false">IF(B2389="","",IF(E2389="Em ajustes",IF(N2389=_xlfn.MINIFS($N$2:$N$5001,$B$2:$B$5001,B2389,$E$2:$E$5001,"Em ajustes"),1,0),0))</f>
        <v/>
      </c>
      <c r="N2389" s="17" t="str">
        <f aca="false">IF(A2389="","",IF(ISNUMBER(A2389),A2389,IFERROR(DATE(VALUE(MID(A2389,7,4)),VALUE(MID(A2389,4,2)),VALUE(MID(A2389,1,2)))+TIME(VALUE(MID(A2389,12,2)),VALUE(MID(A2389,15,2)),VALUE(MID(A2389,18,2))),"")))</f>
        <v/>
      </c>
    </row>
    <row r="2390" customFormat="false" ht="15" hidden="false" customHeight="false" outlineLevel="0" collapsed="false">
      <c r="I2390" s="15" t="str">
        <f aca="false">IF(N2390="","",INT(N2390))</f>
        <v/>
      </c>
      <c r="J2390" s="16" t="str">
        <f aca="false">IF(B2390="","",IF(N2390=_xlfn.MINIFS($N$2:$N$5001,$B$2:$B$5001,B2390),1,0))</f>
        <v/>
      </c>
      <c r="K2390" s="16" t="str">
        <f aca="false">IF(B2390="","",IF(AND(D2390="Formalização",E2390="Concluído"),IF(COUNTIFS($B$2:$B$5001,B2390,$E$2:$E$5001,"Em ajustes",$N$2:$N$5001,"&lt;"&amp;I2390)&gt;0,1,0),0))</f>
        <v/>
      </c>
      <c r="L2390" s="16" t="str">
        <f aca="false">IF(B2390="","",IF(N2390=_xlfn.MAXIFS($N$2:$N$5001,$B$2:$B$5001,B2390,$I$2:$I$5001,I2390),1,0))</f>
        <v/>
      </c>
      <c r="M2390" s="16" t="str">
        <f aca="false">IF(B2390="","",IF(E2390="Em ajustes",IF(N2390=_xlfn.MINIFS($N$2:$N$5001,$B$2:$B$5001,B2390,$E$2:$E$5001,"Em ajustes"),1,0),0))</f>
        <v/>
      </c>
      <c r="N2390" s="17" t="str">
        <f aca="false">IF(A2390="","",IF(ISNUMBER(A2390),A2390,IFERROR(DATE(VALUE(MID(A2390,7,4)),VALUE(MID(A2390,4,2)),VALUE(MID(A2390,1,2)))+TIME(VALUE(MID(A2390,12,2)),VALUE(MID(A2390,15,2)),VALUE(MID(A2390,18,2))),"")))</f>
        <v/>
      </c>
    </row>
    <row r="2391" customFormat="false" ht="15" hidden="false" customHeight="false" outlineLevel="0" collapsed="false">
      <c r="I2391" s="15" t="str">
        <f aca="false">IF(N2391="","",INT(N2391))</f>
        <v/>
      </c>
      <c r="J2391" s="16" t="str">
        <f aca="false">IF(B2391="","",IF(N2391=_xlfn.MINIFS($N$2:$N$5001,$B$2:$B$5001,B2391),1,0))</f>
        <v/>
      </c>
      <c r="K2391" s="16" t="str">
        <f aca="false">IF(B2391="","",IF(AND(D2391="Formalização",E2391="Concluído"),IF(COUNTIFS($B$2:$B$5001,B2391,$E$2:$E$5001,"Em ajustes",$N$2:$N$5001,"&lt;"&amp;I2391)&gt;0,1,0),0))</f>
        <v/>
      </c>
      <c r="L2391" s="16" t="str">
        <f aca="false">IF(B2391="","",IF(N2391=_xlfn.MAXIFS($N$2:$N$5001,$B$2:$B$5001,B2391,$I$2:$I$5001,I2391),1,0))</f>
        <v/>
      </c>
      <c r="M2391" s="16" t="str">
        <f aca="false">IF(B2391="","",IF(E2391="Em ajustes",IF(N2391=_xlfn.MINIFS($N$2:$N$5001,$B$2:$B$5001,B2391,$E$2:$E$5001,"Em ajustes"),1,0),0))</f>
        <v/>
      </c>
      <c r="N2391" s="17" t="str">
        <f aca="false">IF(A2391="","",IF(ISNUMBER(A2391),A2391,IFERROR(DATE(VALUE(MID(A2391,7,4)),VALUE(MID(A2391,4,2)),VALUE(MID(A2391,1,2)))+TIME(VALUE(MID(A2391,12,2)),VALUE(MID(A2391,15,2)),VALUE(MID(A2391,18,2))),"")))</f>
        <v/>
      </c>
    </row>
    <row r="2392" customFormat="false" ht="15" hidden="false" customHeight="false" outlineLevel="0" collapsed="false">
      <c r="I2392" s="15" t="str">
        <f aca="false">IF(N2392="","",INT(N2392))</f>
        <v/>
      </c>
      <c r="J2392" s="16" t="str">
        <f aca="false">IF(B2392="","",IF(N2392=_xlfn.MINIFS($N$2:$N$5001,$B$2:$B$5001,B2392),1,0))</f>
        <v/>
      </c>
      <c r="K2392" s="16" t="str">
        <f aca="false">IF(B2392="","",IF(AND(D2392="Formalização",E2392="Concluído"),IF(COUNTIFS($B$2:$B$5001,B2392,$E$2:$E$5001,"Em ajustes",$N$2:$N$5001,"&lt;"&amp;I2392)&gt;0,1,0),0))</f>
        <v/>
      </c>
      <c r="L2392" s="16" t="str">
        <f aca="false">IF(B2392="","",IF(N2392=_xlfn.MAXIFS($N$2:$N$5001,$B$2:$B$5001,B2392,$I$2:$I$5001,I2392),1,0))</f>
        <v/>
      </c>
      <c r="M2392" s="16" t="str">
        <f aca="false">IF(B2392="","",IF(E2392="Em ajustes",IF(N2392=_xlfn.MINIFS($N$2:$N$5001,$B$2:$B$5001,B2392,$E$2:$E$5001,"Em ajustes"),1,0),0))</f>
        <v/>
      </c>
      <c r="N2392" s="17" t="str">
        <f aca="false">IF(A2392="","",IF(ISNUMBER(A2392),A2392,IFERROR(DATE(VALUE(MID(A2392,7,4)),VALUE(MID(A2392,4,2)),VALUE(MID(A2392,1,2)))+TIME(VALUE(MID(A2392,12,2)),VALUE(MID(A2392,15,2)),VALUE(MID(A2392,18,2))),"")))</f>
        <v/>
      </c>
    </row>
    <row r="2393" customFormat="false" ht="15" hidden="false" customHeight="false" outlineLevel="0" collapsed="false">
      <c r="I2393" s="15" t="str">
        <f aca="false">IF(N2393="","",INT(N2393))</f>
        <v/>
      </c>
      <c r="J2393" s="16" t="str">
        <f aca="false">IF(B2393="","",IF(N2393=_xlfn.MINIFS($N$2:$N$5001,$B$2:$B$5001,B2393),1,0))</f>
        <v/>
      </c>
      <c r="K2393" s="16" t="str">
        <f aca="false">IF(B2393="","",IF(AND(D2393="Formalização",E2393="Concluído"),IF(COUNTIFS($B$2:$B$5001,B2393,$E$2:$E$5001,"Em ajustes",$N$2:$N$5001,"&lt;"&amp;I2393)&gt;0,1,0),0))</f>
        <v/>
      </c>
      <c r="L2393" s="16" t="str">
        <f aca="false">IF(B2393="","",IF(N2393=_xlfn.MAXIFS($N$2:$N$5001,$B$2:$B$5001,B2393,$I$2:$I$5001,I2393),1,0))</f>
        <v/>
      </c>
      <c r="M2393" s="16" t="str">
        <f aca="false">IF(B2393="","",IF(E2393="Em ajustes",IF(N2393=_xlfn.MINIFS($N$2:$N$5001,$B$2:$B$5001,B2393,$E$2:$E$5001,"Em ajustes"),1,0),0))</f>
        <v/>
      </c>
      <c r="N2393" s="17" t="str">
        <f aca="false">IF(A2393="","",IF(ISNUMBER(A2393),A2393,IFERROR(DATE(VALUE(MID(A2393,7,4)),VALUE(MID(A2393,4,2)),VALUE(MID(A2393,1,2)))+TIME(VALUE(MID(A2393,12,2)),VALUE(MID(A2393,15,2)),VALUE(MID(A2393,18,2))),"")))</f>
        <v/>
      </c>
    </row>
    <row r="2394" customFormat="false" ht="15" hidden="false" customHeight="false" outlineLevel="0" collapsed="false">
      <c r="I2394" s="15" t="str">
        <f aca="false">IF(N2394="","",INT(N2394))</f>
        <v/>
      </c>
      <c r="J2394" s="16" t="str">
        <f aca="false">IF(B2394="","",IF(N2394=_xlfn.MINIFS($N$2:$N$5001,$B$2:$B$5001,B2394),1,0))</f>
        <v/>
      </c>
      <c r="K2394" s="16" t="str">
        <f aca="false">IF(B2394="","",IF(AND(D2394="Formalização",E2394="Concluído"),IF(COUNTIFS($B$2:$B$5001,B2394,$E$2:$E$5001,"Em ajustes",$N$2:$N$5001,"&lt;"&amp;I2394)&gt;0,1,0),0))</f>
        <v/>
      </c>
      <c r="L2394" s="16" t="str">
        <f aca="false">IF(B2394="","",IF(N2394=_xlfn.MAXIFS($N$2:$N$5001,$B$2:$B$5001,B2394,$I$2:$I$5001,I2394),1,0))</f>
        <v/>
      </c>
      <c r="M2394" s="16" t="str">
        <f aca="false">IF(B2394="","",IF(E2394="Em ajustes",IF(N2394=_xlfn.MINIFS($N$2:$N$5001,$B$2:$B$5001,B2394,$E$2:$E$5001,"Em ajustes"),1,0),0))</f>
        <v/>
      </c>
      <c r="N2394" s="17" t="str">
        <f aca="false">IF(A2394="","",IF(ISNUMBER(A2394),A2394,IFERROR(DATE(VALUE(MID(A2394,7,4)),VALUE(MID(A2394,4,2)),VALUE(MID(A2394,1,2)))+TIME(VALUE(MID(A2394,12,2)),VALUE(MID(A2394,15,2)),VALUE(MID(A2394,18,2))),"")))</f>
        <v/>
      </c>
    </row>
    <row r="2395" customFormat="false" ht="15" hidden="false" customHeight="false" outlineLevel="0" collapsed="false">
      <c r="I2395" s="15" t="str">
        <f aca="false">IF(N2395="","",INT(N2395))</f>
        <v/>
      </c>
      <c r="J2395" s="16" t="str">
        <f aca="false">IF(B2395="","",IF(N2395=_xlfn.MINIFS($N$2:$N$5001,$B$2:$B$5001,B2395),1,0))</f>
        <v/>
      </c>
      <c r="K2395" s="16" t="str">
        <f aca="false">IF(B2395="","",IF(AND(D2395="Formalização",E2395="Concluído"),IF(COUNTIFS($B$2:$B$5001,B2395,$E$2:$E$5001,"Em ajustes",$N$2:$N$5001,"&lt;"&amp;I2395)&gt;0,1,0),0))</f>
        <v/>
      </c>
      <c r="L2395" s="16" t="str">
        <f aca="false">IF(B2395="","",IF(N2395=_xlfn.MAXIFS($N$2:$N$5001,$B$2:$B$5001,B2395,$I$2:$I$5001,I2395),1,0))</f>
        <v/>
      </c>
      <c r="M2395" s="16" t="str">
        <f aca="false">IF(B2395="","",IF(E2395="Em ajustes",IF(N2395=_xlfn.MINIFS($N$2:$N$5001,$B$2:$B$5001,B2395,$E$2:$E$5001,"Em ajustes"),1,0),0))</f>
        <v/>
      </c>
      <c r="N2395" s="17" t="str">
        <f aca="false">IF(A2395="","",IF(ISNUMBER(A2395),A2395,IFERROR(DATE(VALUE(MID(A2395,7,4)),VALUE(MID(A2395,4,2)),VALUE(MID(A2395,1,2)))+TIME(VALUE(MID(A2395,12,2)),VALUE(MID(A2395,15,2)),VALUE(MID(A2395,18,2))),"")))</f>
        <v/>
      </c>
    </row>
    <row r="2396" customFormat="false" ht="15" hidden="false" customHeight="false" outlineLevel="0" collapsed="false">
      <c r="I2396" s="15" t="str">
        <f aca="false">IF(N2396="","",INT(N2396))</f>
        <v/>
      </c>
      <c r="J2396" s="16" t="str">
        <f aca="false">IF(B2396="","",IF(N2396=_xlfn.MINIFS($N$2:$N$5001,$B$2:$B$5001,B2396),1,0))</f>
        <v/>
      </c>
      <c r="K2396" s="16" t="str">
        <f aca="false">IF(B2396="","",IF(AND(D2396="Formalização",E2396="Concluído"),IF(COUNTIFS($B$2:$B$5001,B2396,$E$2:$E$5001,"Em ajustes",$N$2:$N$5001,"&lt;"&amp;I2396)&gt;0,1,0),0))</f>
        <v/>
      </c>
      <c r="L2396" s="16" t="str">
        <f aca="false">IF(B2396="","",IF(N2396=_xlfn.MAXIFS($N$2:$N$5001,$B$2:$B$5001,B2396,$I$2:$I$5001,I2396),1,0))</f>
        <v/>
      </c>
      <c r="M2396" s="16" t="str">
        <f aca="false">IF(B2396="","",IF(E2396="Em ajustes",IF(N2396=_xlfn.MINIFS($N$2:$N$5001,$B$2:$B$5001,B2396,$E$2:$E$5001,"Em ajustes"),1,0),0))</f>
        <v/>
      </c>
      <c r="N2396" s="17" t="str">
        <f aca="false">IF(A2396="","",IF(ISNUMBER(A2396),A2396,IFERROR(DATE(VALUE(MID(A2396,7,4)),VALUE(MID(A2396,4,2)),VALUE(MID(A2396,1,2)))+TIME(VALUE(MID(A2396,12,2)),VALUE(MID(A2396,15,2)),VALUE(MID(A2396,18,2))),"")))</f>
        <v/>
      </c>
    </row>
    <row r="2397" customFormat="false" ht="15" hidden="false" customHeight="false" outlineLevel="0" collapsed="false">
      <c r="I2397" s="15" t="str">
        <f aca="false">IF(N2397="","",INT(N2397))</f>
        <v/>
      </c>
      <c r="J2397" s="16" t="str">
        <f aca="false">IF(B2397="","",IF(N2397=_xlfn.MINIFS($N$2:$N$5001,$B$2:$B$5001,B2397),1,0))</f>
        <v/>
      </c>
      <c r="K2397" s="16" t="str">
        <f aca="false">IF(B2397="","",IF(AND(D2397="Formalização",E2397="Concluído"),IF(COUNTIFS($B$2:$B$5001,B2397,$E$2:$E$5001,"Em ajustes",$N$2:$N$5001,"&lt;"&amp;I2397)&gt;0,1,0),0))</f>
        <v/>
      </c>
      <c r="L2397" s="16" t="str">
        <f aca="false">IF(B2397="","",IF(N2397=_xlfn.MAXIFS($N$2:$N$5001,$B$2:$B$5001,B2397,$I$2:$I$5001,I2397),1,0))</f>
        <v/>
      </c>
      <c r="M2397" s="16" t="str">
        <f aca="false">IF(B2397="","",IF(E2397="Em ajustes",IF(N2397=_xlfn.MINIFS($N$2:$N$5001,$B$2:$B$5001,B2397,$E$2:$E$5001,"Em ajustes"),1,0),0))</f>
        <v/>
      </c>
      <c r="N2397" s="17" t="str">
        <f aca="false">IF(A2397="","",IF(ISNUMBER(A2397),A2397,IFERROR(DATE(VALUE(MID(A2397,7,4)),VALUE(MID(A2397,4,2)),VALUE(MID(A2397,1,2)))+TIME(VALUE(MID(A2397,12,2)),VALUE(MID(A2397,15,2)),VALUE(MID(A2397,18,2))),"")))</f>
        <v/>
      </c>
    </row>
    <row r="2398" customFormat="false" ht="15" hidden="false" customHeight="false" outlineLevel="0" collapsed="false">
      <c r="I2398" s="15" t="str">
        <f aca="false">IF(N2398="","",INT(N2398))</f>
        <v/>
      </c>
      <c r="J2398" s="16" t="str">
        <f aca="false">IF(B2398="","",IF(N2398=_xlfn.MINIFS($N$2:$N$5001,$B$2:$B$5001,B2398),1,0))</f>
        <v/>
      </c>
      <c r="K2398" s="16" t="str">
        <f aca="false">IF(B2398="","",IF(AND(D2398="Formalização",E2398="Concluído"),IF(COUNTIFS($B$2:$B$5001,B2398,$E$2:$E$5001,"Em ajustes",$N$2:$N$5001,"&lt;"&amp;I2398)&gt;0,1,0),0))</f>
        <v/>
      </c>
      <c r="L2398" s="16" t="str">
        <f aca="false">IF(B2398="","",IF(N2398=_xlfn.MAXIFS($N$2:$N$5001,$B$2:$B$5001,B2398,$I$2:$I$5001,I2398),1,0))</f>
        <v/>
      </c>
      <c r="M2398" s="16" t="str">
        <f aca="false">IF(B2398="","",IF(E2398="Em ajustes",IF(N2398=_xlfn.MINIFS($N$2:$N$5001,$B$2:$B$5001,B2398,$E$2:$E$5001,"Em ajustes"),1,0),0))</f>
        <v/>
      </c>
      <c r="N2398" s="17" t="str">
        <f aca="false">IF(A2398="","",IF(ISNUMBER(A2398),A2398,IFERROR(DATE(VALUE(MID(A2398,7,4)),VALUE(MID(A2398,4,2)),VALUE(MID(A2398,1,2)))+TIME(VALUE(MID(A2398,12,2)),VALUE(MID(A2398,15,2)),VALUE(MID(A2398,18,2))),"")))</f>
        <v/>
      </c>
    </row>
    <row r="2399" customFormat="false" ht="15" hidden="false" customHeight="false" outlineLevel="0" collapsed="false">
      <c r="I2399" s="15" t="str">
        <f aca="false">IF(N2399="","",INT(N2399))</f>
        <v/>
      </c>
      <c r="J2399" s="16" t="str">
        <f aca="false">IF(B2399="","",IF(N2399=_xlfn.MINIFS($N$2:$N$5001,$B$2:$B$5001,B2399),1,0))</f>
        <v/>
      </c>
      <c r="K2399" s="16" t="str">
        <f aca="false">IF(B2399="","",IF(AND(D2399="Formalização",E2399="Concluído"),IF(COUNTIFS($B$2:$B$5001,B2399,$E$2:$E$5001,"Em ajustes",$N$2:$N$5001,"&lt;"&amp;I2399)&gt;0,1,0),0))</f>
        <v/>
      </c>
      <c r="L2399" s="16" t="str">
        <f aca="false">IF(B2399="","",IF(N2399=_xlfn.MAXIFS($N$2:$N$5001,$B$2:$B$5001,B2399,$I$2:$I$5001,I2399),1,0))</f>
        <v/>
      </c>
      <c r="M2399" s="16" t="str">
        <f aca="false">IF(B2399="","",IF(E2399="Em ajustes",IF(N2399=_xlfn.MINIFS($N$2:$N$5001,$B$2:$B$5001,B2399,$E$2:$E$5001,"Em ajustes"),1,0),0))</f>
        <v/>
      </c>
      <c r="N2399" s="17" t="str">
        <f aca="false">IF(A2399="","",IF(ISNUMBER(A2399),A2399,IFERROR(DATE(VALUE(MID(A2399,7,4)),VALUE(MID(A2399,4,2)),VALUE(MID(A2399,1,2)))+TIME(VALUE(MID(A2399,12,2)),VALUE(MID(A2399,15,2)),VALUE(MID(A2399,18,2))),"")))</f>
        <v/>
      </c>
    </row>
    <row r="2400" customFormat="false" ht="15" hidden="false" customHeight="false" outlineLevel="0" collapsed="false">
      <c r="I2400" s="15" t="str">
        <f aca="false">IF(N2400="","",INT(N2400))</f>
        <v/>
      </c>
      <c r="J2400" s="16" t="str">
        <f aca="false">IF(B2400="","",IF(N2400=_xlfn.MINIFS($N$2:$N$5001,$B$2:$B$5001,B2400),1,0))</f>
        <v/>
      </c>
      <c r="K2400" s="16" t="str">
        <f aca="false">IF(B2400="","",IF(AND(D2400="Formalização",E2400="Concluído"),IF(COUNTIFS($B$2:$B$5001,B2400,$E$2:$E$5001,"Em ajustes",$N$2:$N$5001,"&lt;"&amp;I2400)&gt;0,1,0),0))</f>
        <v/>
      </c>
      <c r="L2400" s="16" t="str">
        <f aca="false">IF(B2400="","",IF(N2400=_xlfn.MAXIFS($N$2:$N$5001,$B$2:$B$5001,B2400,$I$2:$I$5001,I2400),1,0))</f>
        <v/>
      </c>
      <c r="M2400" s="16" t="str">
        <f aca="false">IF(B2400="","",IF(E2400="Em ajustes",IF(N2400=_xlfn.MINIFS($N$2:$N$5001,$B$2:$B$5001,B2400,$E$2:$E$5001,"Em ajustes"),1,0),0))</f>
        <v/>
      </c>
      <c r="N2400" s="17" t="str">
        <f aca="false">IF(A2400="","",IF(ISNUMBER(A2400),A2400,IFERROR(DATE(VALUE(MID(A2400,7,4)),VALUE(MID(A2400,4,2)),VALUE(MID(A2400,1,2)))+TIME(VALUE(MID(A2400,12,2)),VALUE(MID(A2400,15,2)),VALUE(MID(A2400,18,2))),"")))</f>
        <v/>
      </c>
    </row>
    <row r="2401" customFormat="false" ht="15" hidden="false" customHeight="false" outlineLevel="0" collapsed="false">
      <c r="I2401" s="15" t="str">
        <f aca="false">IF(N2401="","",INT(N2401))</f>
        <v/>
      </c>
      <c r="J2401" s="16" t="str">
        <f aca="false">IF(B2401="","",IF(N2401=_xlfn.MINIFS($N$2:$N$5001,$B$2:$B$5001,B2401),1,0))</f>
        <v/>
      </c>
      <c r="K2401" s="16" t="str">
        <f aca="false">IF(B2401="","",IF(AND(D2401="Formalização",E2401="Concluído"),IF(COUNTIFS($B$2:$B$5001,B2401,$E$2:$E$5001,"Em ajustes",$N$2:$N$5001,"&lt;"&amp;I2401)&gt;0,1,0),0))</f>
        <v/>
      </c>
      <c r="L2401" s="16" t="str">
        <f aca="false">IF(B2401="","",IF(N2401=_xlfn.MAXIFS($N$2:$N$5001,$B$2:$B$5001,B2401,$I$2:$I$5001,I2401),1,0))</f>
        <v/>
      </c>
      <c r="M2401" s="16" t="str">
        <f aca="false">IF(B2401="","",IF(E2401="Em ajustes",IF(N2401=_xlfn.MINIFS($N$2:$N$5001,$B$2:$B$5001,B2401,$E$2:$E$5001,"Em ajustes"),1,0),0))</f>
        <v/>
      </c>
      <c r="N2401" s="17" t="str">
        <f aca="false">IF(A2401="","",IF(ISNUMBER(A2401),A2401,IFERROR(DATE(VALUE(MID(A2401,7,4)),VALUE(MID(A2401,4,2)),VALUE(MID(A2401,1,2)))+TIME(VALUE(MID(A2401,12,2)),VALUE(MID(A2401,15,2)),VALUE(MID(A2401,18,2))),"")))</f>
        <v/>
      </c>
    </row>
    <row r="2402" customFormat="false" ht="15" hidden="false" customHeight="false" outlineLevel="0" collapsed="false">
      <c r="I2402" s="15" t="str">
        <f aca="false">IF(N2402="","",INT(N2402))</f>
        <v/>
      </c>
      <c r="J2402" s="16" t="str">
        <f aca="false">IF(B2402="","",IF(N2402=_xlfn.MINIFS($N$2:$N$5001,$B$2:$B$5001,B2402),1,0))</f>
        <v/>
      </c>
      <c r="K2402" s="16" t="str">
        <f aca="false">IF(B2402="","",IF(AND(D2402="Formalização",E2402="Concluído"),IF(COUNTIFS($B$2:$B$5001,B2402,$E$2:$E$5001,"Em ajustes",$N$2:$N$5001,"&lt;"&amp;I2402)&gt;0,1,0),0))</f>
        <v/>
      </c>
      <c r="L2402" s="16" t="str">
        <f aca="false">IF(B2402="","",IF(N2402=_xlfn.MAXIFS($N$2:$N$5001,$B$2:$B$5001,B2402,$I$2:$I$5001,I2402),1,0))</f>
        <v/>
      </c>
      <c r="M2402" s="16" t="str">
        <f aca="false">IF(B2402="","",IF(E2402="Em ajustes",IF(N2402=_xlfn.MINIFS($N$2:$N$5001,$B$2:$B$5001,B2402,$E$2:$E$5001,"Em ajustes"),1,0),0))</f>
        <v/>
      </c>
      <c r="N2402" s="17" t="str">
        <f aca="false">IF(A2402="","",IF(ISNUMBER(A2402),A2402,IFERROR(DATE(VALUE(MID(A2402,7,4)),VALUE(MID(A2402,4,2)),VALUE(MID(A2402,1,2)))+TIME(VALUE(MID(A2402,12,2)),VALUE(MID(A2402,15,2)),VALUE(MID(A2402,18,2))),"")))</f>
        <v/>
      </c>
    </row>
    <row r="2403" customFormat="false" ht="15" hidden="false" customHeight="false" outlineLevel="0" collapsed="false">
      <c r="I2403" s="15" t="str">
        <f aca="false">IF(N2403="","",INT(N2403))</f>
        <v/>
      </c>
      <c r="J2403" s="16" t="str">
        <f aca="false">IF(B2403="","",IF(N2403=_xlfn.MINIFS($N$2:$N$5001,$B$2:$B$5001,B2403),1,0))</f>
        <v/>
      </c>
      <c r="K2403" s="16" t="str">
        <f aca="false">IF(B2403="","",IF(AND(D2403="Formalização",E2403="Concluído"),IF(COUNTIFS($B$2:$B$5001,B2403,$E$2:$E$5001,"Em ajustes",$N$2:$N$5001,"&lt;"&amp;I2403)&gt;0,1,0),0))</f>
        <v/>
      </c>
      <c r="L2403" s="16" t="str">
        <f aca="false">IF(B2403="","",IF(N2403=_xlfn.MAXIFS($N$2:$N$5001,$B$2:$B$5001,B2403,$I$2:$I$5001,I2403),1,0))</f>
        <v/>
      </c>
      <c r="M2403" s="16" t="str">
        <f aca="false">IF(B2403="","",IF(E2403="Em ajustes",IF(N2403=_xlfn.MINIFS($N$2:$N$5001,$B$2:$B$5001,B2403,$E$2:$E$5001,"Em ajustes"),1,0),0))</f>
        <v/>
      </c>
      <c r="N2403" s="17" t="str">
        <f aca="false">IF(A2403="","",IF(ISNUMBER(A2403),A2403,IFERROR(DATE(VALUE(MID(A2403,7,4)),VALUE(MID(A2403,4,2)),VALUE(MID(A2403,1,2)))+TIME(VALUE(MID(A2403,12,2)),VALUE(MID(A2403,15,2)),VALUE(MID(A2403,18,2))),"")))</f>
        <v/>
      </c>
    </row>
    <row r="2404" customFormat="false" ht="15" hidden="false" customHeight="false" outlineLevel="0" collapsed="false">
      <c r="I2404" s="15" t="str">
        <f aca="false">IF(N2404="","",INT(N2404))</f>
        <v/>
      </c>
      <c r="J2404" s="16" t="str">
        <f aca="false">IF(B2404="","",IF(N2404=_xlfn.MINIFS($N$2:$N$5001,$B$2:$B$5001,B2404),1,0))</f>
        <v/>
      </c>
      <c r="K2404" s="16" t="str">
        <f aca="false">IF(B2404="","",IF(AND(D2404="Formalização",E2404="Concluído"),IF(COUNTIFS($B$2:$B$5001,B2404,$E$2:$E$5001,"Em ajustes",$N$2:$N$5001,"&lt;"&amp;I2404)&gt;0,1,0),0))</f>
        <v/>
      </c>
      <c r="L2404" s="16" t="str">
        <f aca="false">IF(B2404="","",IF(N2404=_xlfn.MAXIFS($N$2:$N$5001,$B$2:$B$5001,B2404,$I$2:$I$5001,I2404),1,0))</f>
        <v/>
      </c>
      <c r="M2404" s="16" t="str">
        <f aca="false">IF(B2404="","",IF(E2404="Em ajustes",IF(N2404=_xlfn.MINIFS($N$2:$N$5001,$B$2:$B$5001,B2404,$E$2:$E$5001,"Em ajustes"),1,0),0))</f>
        <v/>
      </c>
      <c r="N2404" s="17" t="str">
        <f aca="false">IF(A2404="","",IF(ISNUMBER(A2404),A2404,IFERROR(DATE(VALUE(MID(A2404,7,4)),VALUE(MID(A2404,4,2)),VALUE(MID(A2404,1,2)))+TIME(VALUE(MID(A2404,12,2)),VALUE(MID(A2404,15,2)),VALUE(MID(A2404,18,2))),"")))</f>
        <v/>
      </c>
    </row>
    <row r="2405" customFormat="false" ht="15" hidden="false" customHeight="false" outlineLevel="0" collapsed="false">
      <c r="I2405" s="15" t="str">
        <f aca="false">IF(N2405="","",INT(N2405))</f>
        <v/>
      </c>
      <c r="J2405" s="16" t="str">
        <f aca="false">IF(B2405="","",IF(N2405=_xlfn.MINIFS($N$2:$N$5001,$B$2:$B$5001,B2405),1,0))</f>
        <v/>
      </c>
      <c r="K2405" s="16" t="str">
        <f aca="false">IF(B2405="","",IF(AND(D2405="Formalização",E2405="Concluído"),IF(COUNTIFS($B$2:$B$5001,B2405,$E$2:$E$5001,"Em ajustes",$N$2:$N$5001,"&lt;"&amp;I2405)&gt;0,1,0),0))</f>
        <v/>
      </c>
      <c r="L2405" s="16" t="str">
        <f aca="false">IF(B2405="","",IF(N2405=_xlfn.MAXIFS($N$2:$N$5001,$B$2:$B$5001,B2405,$I$2:$I$5001,I2405),1,0))</f>
        <v/>
      </c>
      <c r="M2405" s="16" t="str">
        <f aca="false">IF(B2405="","",IF(E2405="Em ajustes",IF(N2405=_xlfn.MINIFS($N$2:$N$5001,$B$2:$B$5001,B2405,$E$2:$E$5001,"Em ajustes"),1,0),0))</f>
        <v/>
      </c>
      <c r="N2405" s="17" t="str">
        <f aca="false">IF(A2405="","",IF(ISNUMBER(A2405),A2405,IFERROR(DATE(VALUE(MID(A2405,7,4)),VALUE(MID(A2405,4,2)),VALUE(MID(A2405,1,2)))+TIME(VALUE(MID(A2405,12,2)),VALUE(MID(A2405,15,2)),VALUE(MID(A2405,18,2))),"")))</f>
        <v/>
      </c>
    </row>
    <row r="2406" customFormat="false" ht="15" hidden="false" customHeight="false" outlineLevel="0" collapsed="false">
      <c r="I2406" s="15" t="str">
        <f aca="false">IF(N2406="","",INT(N2406))</f>
        <v/>
      </c>
      <c r="J2406" s="16" t="str">
        <f aca="false">IF(B2406="","",IF(N2406=_xlfn.MINIFS($N$2:$N$5001,$B$2:$B$5001,B2406),1,0))</f>
        <v/>
      </c>
      <c r="K2406" s="16" t="str">
        <f aca="false">IF(B2406="","",IF(AND(D2406="Formalização",E2406="Concluído"),IF(COUNTIFS($B$2:$B$5001,B2406,$E$2:$E$5001,"Em ajustes",$N$2:$N$5001,"&lt;"&amp;I2406)&gt;0,1,0),0))</f>
        <v/>
      </c>
      <c r="L2406" s="16" t="str">
        <f aca="false">IF(B2406="","",IF(N2406=_xlfn.MAXIFS($N$2:$N$5001,$B$2:$B$5001,B2406,$I$2:$I$5001,I2406),1,0))</f>
        <v/>
      </c>
      <c r="M2406" s="16" t="str">
        <f aca="false">IF(B2406="","",IF(E2406="Em ajustes",IF(N2406=_xlfn.MINIFS($N$2:$N$5001,$B$2:$B$5001,B2406,$E$2:$E$5001,"Em ajustes"),1,0),0))</f>
        <v/>
      </c>
      <c r="N2406" s="17" t="str">
        <f aca="false">IF(A2406="","",IF(ISNUMBER(A2406),A2406,IFERROR(DATE(VALUE(MID(A2406,7,4)),VALUE(MID(A2406,4,2)),VALUE(MID(A2406,1,2)))+TIME(VALUE(MID(A2406,12,2)),VALUE(MID(A2406,15,2)),VALUE(MID(A2406,18,2))),"")))</f>
        <v/>
      </c>
    </row>
    <row r="2407" customFormat="false" ht="15" hidden="false" customHeight="false" outlineLevel="0" collapsed="false">
      <c r="I2407" s="15" t="str">
        <f aca="false">IF(N2407="","",INT(N2407))</f>
        <v/>
      </c>
      <c r="J2407" s="16" t="str">
        <f aca="false">IF(B2407="","",IF(N2407=_xlfn.MINIFS($N$2:$N$5001,$B$2:$B$5001,B2407),1,0))</f>
        <v/>
      </c>
      <c r="K2407" s="16" t="str">
        <f aca="false">IF(B2407="","",IF(AND(D2407="Formalização",E2407="Concluído"),IF(COUNTIFS($B$2:$B$5001,B2407,$E$2:$E$5001,"Em ajustes",$N$2:$N$5001,"&lt;"&amp;I2407)&gt;0,1,0),0))</f>
        <v/>
      </c>
      <c r="L2407" s="16" t="str">
        <f aca="false">IF(B2407="","",IF(N2407=_xlfn.MAXIFS($N$2:$N$5001,$B$2:$B$5001,B2407,$I$2:$I$5001,I2407),1,0))</f>
        <v/>
      </c>
      <c r="M2407" s="16" t="str">
        <f aca="false">IF(B2407="","",IF(E2407="Em ajustes",IF(N2407=_xlfn.MINIFS($N$2:$N$5001,$B$2:$B$5001,B2407,$E$2:$E$5001,"Em ajustes"),1,0),0))</f>
        <v/>
      </c>
      <c r="N2407" s="17" t="str">
        <f aca="false">IF(A2407="","",IF(ISNUMBER(A2407),A2407,IFERROR(DATE(VALUE(MID(A2407,7,4)),VALUE(MID(A2407,4,2)),VALUE(MID(A2407,1,2)))+TIME(VALUE(MID(A2407,12,2)),VALUE(MID(A2407,15,2)),VALUE(MID(A2407,18,2))),"")))</f>
        <v/>
      </c>
    </row>
    <row r="2408" customFormat="false" ht="15" hidden="false" customHeight="false" outlineLevel="0" collapsed="false">
      <c r="I2408" s="15" t="str">
        <f aca="false">IF(N2408="","",INT(N2408))</f>
        <v/>
      </c>
      <c r="J2408" s="16" t="str">
        <f aca="false">IF(B2408="","",IF(N2408=_xlfn.MINIFS($N$2:$N$5001,$B$2:$B$5001,B2408),1,0))</f>
        <v/>
      </c>
      <c r="K2408" s="16" t="str">
        <f aca="false">IF(B2408="","",IF(AND(D2408="Formalização",E2408="Concluído"),IF(COUNTIFS($B$2:$B$5001,B2408,$E$2:$E$5001,"Em ajustes",$N$2:$N$5001,"&lt;"&amp;I2408)&gt;0,1,0),0))</f>
        <v/>
      </c>
      <c r="L2408" s="16" t="str">
        <f aca="false">IF(B2408="","",IF(N2408=_xlfn.MAXIFS($N$2:$N$5001,$B$2:$B$5001,B2408,$I$2:$I$5001,I2408),1,0))</f>
        <v/>
      </c>
      <c r="M2408" s="16" t="str">
        <f aca="false">IF(B2408="","",IF(E2408="Em ajustes",IF(N2408=_xlfn.MINIFS($N$2:$N$5001,$B$2:$B$5001,B2408,$E$2:$E$5001,"Em ajustes"),1,0),0))</f>
        <v/>
      </c>
      <c r="N2408" s="17" t="str">
        <f aca="false">IF(A2408="","",IF(ISNUMBER(A2408),A2408,IFERROR(DATE(VALUE(MID(A2408,7,4)),VALUE(MID(A2408,4,2)),VALUE(MID(A2408,1,2)))+TIME(VALUE(MID(A2408,12,2)),VALUE(MID(A2408,15,2)),VALUE(MID(A2408,18,2))),"")))</f>
        <v/>
      </c>
    </row>
    <row r="2409" customFormat="false" ht="15" hidden="false" customHeight="false" outlineLevel="0" collapsed="false">
      <c r="I2409" s="15" t="str">
        <f aca="false">IF(N2409="","",INT(N2409))</f>
        <v/>
      </c>
      <c r="J2409" s="16" t="str">
        <f aca="false">IF(B2409="","",IF(N2409=_xlfn.MINIFS($N$2:$N$5001,$B$2:$B$5001,B2409),1,0))</f>
        <v/>
      </c>
      <c r="K2409" s="16" t="str">
        <f aca="false">IF(B2409="","",IF(AND(D2409="Formalização",E2409="Concluído"),IF(COUNTIFS($B$2:$B$5001,B2409,$E$2:$E$5001,"Em ajustes",$N$2:$N$5001,"&lt;"&amp;I2409)&gt;0,1,0),0))</f>
        <v/>
      </c>
      <c r="L2409" s="16" t="str">
        <f aca="false">IF(B2409="","",IF(N2409=_xlfn.MAXIFS($N$2:$N$5001,$B$2:$B$5001,B2409,$I$2:$I$5001,I2409),1,0))</f>
        <v/>
      </c>
      <c r="M2409" s="16" t="str">
        <f aca="false">IF(B2409="","",IF(E2409="Em ajustes",IF(N2409=_xlfn.MINIFS($N$2:$N$5001,$B$2:$B$5001,B2409,$E$2:$E$5001,"Em ajustes"),1,0),0))</f>
        <v/>
      </c>
      <c r="N2409" s="17" t="str">
        <f aca="false">IF(A2409="","",IF(ISNUMBER(A2409),A2409,IFERROR(DATE(VALUE(MID(A2409,7,4)),VALUE(MID(A2409,4,2)),VALUE(MID(A2409,1,2)))+TIME(VALUE(MID(A2409,12,2)),VALUE(MID(A2409,15,2)),VALUE(MID(A2409,18,2))),"")))</f>
        <v/>
      </c>
    </row>
    <row r="2410" customFormat="false" ht="15" hidden="false" customHeight="false" outlineLevel="0" collapsed="false">
      <c r="I2410" s="15" t="str">
        <f aca="false">IF(N2410="","",INT(N2410))</f>
        <v/>
      </c>
      <c r="J2410" s="16" t="str">
        <f aca="false">IF(B2410="","",IF(N2410=_xlfn.MINIFS($N$2:$N$5001,$B$2:$B$5001,B2410),1,0))</f>
        <v/>
      </c>
      <c r="K2410" s="16" t="str">
        <f aca="false">IF(B2410="","",IF(AND(D2410="Formalização",E2410="Concluído"),IF(COUNTIFS($B$2:$B$5001,B2410,$E$2:$E$5001,"Em ajustes",$N$2:$N$5001,"&lt;"&amp;I2410)&gt;0,1,0),0))</f>
        <v/>
      </c>
      <c r="L2410" s="16" t="str">
        <f aca="false">IF(B2410="","",IF(N2410=_xlfn.MAXIFS($N$2:$N$5001,$B$2:$B$5001,B2410,$I$2:$I$5001,I2410),1,0))</f>
        <v/>
      </c>
      <c r="M2410" s="16" t="str">
        <f aca="false">IF(B2410="","",IF(E2410="Em ajustes",IF(N2410=_xlfn.MINIFS($N$2:$N$5001,$B$2:$B$5001,B2410,$E$2:$E$5001,"Em ajustes"),1,0),0))</f>
        <v/>
      </c>
      <c r="N2410" s="17" t="str">
        <f aca="false">IF(A2410="","",IF(ISNUMBER(A2410),A2410,IFERROR(DATE(VALUE(MID(A2410,7,4)),VALUE(MID(A2410,4,2)),VALUE(MID(A2410,1,2)))+TIME(VALUE(MID(A2410,12,2)),VALUE(MID(A2410,15,2)),VALUE(MID(A2410,18,2))),"")))</f>
        <v/>
      </c>
    </row>
    <row r="2411" customFormat="false" ht="15" hidden="false" customHeight="false" outlineLevel="0" collapsed="false">
      <c r="I2411" s="15" t="str">
        <f aca="false">IF(N2411="","",INT(N2411))</f>
        <v/>
      </c>
      <c r="J2411" s="16" t="str">
        <f aca="false">IF(B2411="","",IF(N2411=_xlfn.MINIFS($N$2:$N$5001,$B$2:$B$5001,B2411),1,0))</f>
        <v/>
      </c>
      <c r="K2411" s="16" t="str">
        <f aca="false">IF(B2411="","",IF(AND(D2411="Formalização",E2411="Concluído"),IF(COUNTIFS($B$2:$B$5001,B2411,$E$2:$E$5001,"Em ajustes",$N$2:$N$5001,"&lt;"&amp;I2411)&gt;0,1,0),0))</f>
        <v/>
      </c>
      <c r="L2411" s="16" t="str">
        <f aca="false">IF(B2411="","",IF(N2411=_xlfn.MAXIFS($N$2:$N$5001,$B$2:$B$5001,B2411,$I$2:$I$5001,I2411),1,0))</f>
        <v/>
      </c>
      <c r="M2411" s="16" t="str">
        <f aca="false">IF(B2411="","",IF(E2411="Em ajustes",IF(N2411=_xlfn.MINIFS($N$2:$N$5001,$B$2:$B$5001,B2411,$E$2:$E$5001,"Em ajustes"),1,0),0))</f>
        <v/>
      </c>
      <c r="N2411" s="17" t="str">
        <f aca="false">IF(A2411="","",IF(ISNUMBER(A2411),A2411,IFERROR(DATE(VALUE(MID(A2411,7,4)),VALUE(MID(A2411,4,2)),VALUE(MID(A2411,1,2)))+TIME(VALUE(MID(A2411,12,2)),VALUE(MID(A2411,15,2)),VALUE(MID(A2411,18,2))),"")))</f>
        <v/>
      </c>
    </row>
    <row r="2412" customFormat="false" ht="15" hidden="false" customHeight="false" outlineLevel="0" collapsed="false">
      <c r="I2412" s="15" t="str">
        <f aca="false">IF(N2412="","",INT(N2412))</f>
        <v/>
      </c>
      <c r="J2412" s="16" t="str">
        <f aca="false">IF(B2412="","",IF(N2412=_xlfn.MINIFS($N$2:$N$5001,$B$2:$B$5001,B2412),1,0))</f>
        <v/>
      </c>
      <c r="K2412" s="16" t="str">
        <f aca="false">IF(B2412="","",IF(AND(D2412="Formalização",E2412="Concluído"),IF(COUNTIFS($B$2:$B$5001,B2412,$E$2:$E$5001,"Em ajustes",$N$2:$N$5001,"&lt;"&amp;I2412)&gt;0,1,0),0))</f>
        <v/>
      </c>
      <c r="L2412" s="16" t="str">
        <f aca="false">IF(B2412="","",IF(N2412=_xlfn.MAXIFS($N$2:$N$5001,$B$2:$B$5001,B2412,$I$2:$I$5001,I2412),1,0))</f>
        <v/>
      </c>
      <c r="M2412" s="16" t="str">
        <f aca="false">IF(B2412="","",IF(E2412="Em ajustes",IF(N2412=_xlfn.MINIFS($N$2:$N$5001,$B$2:$B$5001,B2412,$E$2:$E$5001,"Em ajustes"),1,0),0))</f>
        <v/>
      </c>
      <c r="N2412" s="17" t="str">
        <f aca="false">IF(A2412="","",IF(ISNUMBER(A2412),A2412,IFERROR(DATE(VALUE(MID(A2412,7,4)),VALUE(MID(A2412,4,2)),VALUE(MID(A2412,1,2)))+TIME(VALUE(MID(A2412,12,2)),VALUE(MID(A2412,15,2)),VALUE(MID(A2412,18,2))),"")))</f>
        <v/>
      </c>
    </row>
    <row r="2413" customFormat="false" ht="15" hidden="false" customHeight="false" outlineLevel="0" collapsed="false">
      <c r="I2413" s="15" t="str">
        <f aca="false">IF(N2413="","",INT(N2413))</f>
        <v/>
      </c>
      <c r="J2413" s="16" t="str">
        <f aca="false">IF(B2413="","",IF(N2413=_xlfn.MINIFS($N$2:$N$5001,$B$2:$B$5001,B2413),1,0))</f>
        <v/>
      </c>
      <c r="K2413" s="16" t="str">
        <f aca="false">IF(B2413="","",IF(AND(D2413="Formalização",E2413="Concluído"),IF(COUNTIFS($B$2:$B$5001,B2413,$E$2:$E$5001,"Em ajustes",$N$2:$N$5001,"&lt;"&amp;I2413)&gt;0,1,0),0))</f>
        <v/>
      </c>
      <c r="L2413" s="16" t="str">
        <f aca="false">IF(B2413="","",IF(N2413=_xlfn.MAXIFS($N$2:$N$5001,$B$2:$B$5001,B2413,$I$2:$I$5001,I2413),1,0))</f>
        <v/>
      </c>
      <c r="M2413" s="16" t="str">
        <f aca="false">IF(B2413="","",IF(E2413="Em ajustes",IF(N2413=_xlfn.MINIFS($N$2:$N$5001,$B$2:$B$5001,B2413,$E$2:$E$5001,"Em ajustes"),1,0),0))</f>
        <v/>
      </c>
      <c r="N2413" s="17" t="str">
        <f aca="false">IF(A2413="","",IF(ISNUMBER(A2413),A2413,IFERROR(DATE(VALUE(MID(A2413,7,4)),VALUE(MID(A2413,4,2)),VALUE(MID(A2413,1,2)))+TIME(VALUE(MID(A2413,12,2)),VALUE(MID(A2413,15,2)),VALUE(MID(A2413,18,2))),"")))</f>
        <v/>
      </c>
    </row>
    <row r="2414" customFormat="false" ht="15" hidden="false" customHeight="false" outlineLevel="0" collapsed="false">
      <c r="I2414" s="15" t="str">
        <f aca="false">IF(N2414="","",INT(N2414))</f>
        <v/>
      </c>
      <c r="J2414" s="16" t="str">
        <f aca="false">IF(B2414="","",IF(N2414=_xlfn.MINIFS($N$2:$N$5001,$B$2:$B$5001,B2414),1,0))</f>
        <v/>
      </c>
      <c r="K2414" s="16" t="str">
        <f aca="false">IF(B2414="","",IF(AND(D2414="Formalização",E2414="Concluído"),IF(COUNTIFS($B$2:$B$5001,B2414,$E$2:$E$5001,"Em ajustes",$N$2:$N$5001,"&lt;"&amp;I2414)&gt;0,1,0),0))</f>
        <v/>
      </c>
      <c r="L2414" s="16" t="str">
        <f aca="false">IF(B2414="","",IF(N2414=_xlfn.MAXIFS($N$2:$N$5001,$B$2:$B$5001,B2414,$I$2:$I$5001,I2414),1,0))</f>
        <v/>
      </c>
      <c r="M2414" s="16" t="str">
        <f aca="false">IF(B2414="","",IF(E2414="Em ajustes",IF(N2414=_xlfn.MINIFS($N$2:$N$5001,$B$2:$B$5001,B2414,$E$2:$E$5001,"Em ajustes"),1,0),0))</f>
        <v/>
      </c>
      <c r="N2414" s="17" t="str">
        <f aca="false">IF(A2414="","",IF(ISNUMBER(A2414),A2414,IFERROR(DATE(VALUE(MID(A2414,7,4)),VALUE(MID(A2414,4,2)),VALUE(MID(A2414,1,2)))+TIME(VALUE(MID(A2414,12,2)),VALUE(MID(A2414,15,2)),VALUE(MID(A2414,18,2))),"")))</f>
        <v/>
      </c>
    </row>
    <row r="2415" customFormat="false" ht="15" hidden="false" customHeight="false" outlineLevel="0" collapsed="false">
      <c r="I2415" s="15" t="str">
        <f aca="false">IF(N2415="","",INT(N2415))</f>
        <v/>
      </c>
      <c r="J2415" s="16" t="str">
        <f aca="false">IF(B2415="","",IF(N2415=_xlfn.MINIFS($N$2:$N$5001,$B$2:$B$5001,B2415),1,0))</f>
        <v/>
      </c>
      <c r="K2415" s="16" t="str">
        <f aca="false">IF(B2415="","",IF(AND(D2415="Formalização",E2415="Concluído"),IF(COUNTIFS($B$2:$B$5001,B2415,$E$2:$E$5001,"Em ajustes",$N$2:$N$5001,"&lt;"&amp;I2415)&gt;0,1,0),0))</f>
        <v/>
      </c>
      <c r="L2415" s="16" t="str">
        <f aca="false">IF(B2415="","",IF(N2415=_xlfn.MAXIFS($N$2:$N$5001,$B$2:$B$5001,B2415,$I$2:$I$5001,I2415),1,0))</f>
        <v/>
      </c>
      <c r="M2415" s="16" t="str">
        <f aca="false">IF(B2415="","",IF(E2415="Em ajustes",IF(N2415=_xlfn.MINIFS($N$2:$N$5001,$B$2:$B$5001,B2415,$E$2:$E$5001,"Em ajustes"),1,0),0))</f>
        <v/>
      </c>
      <c r="N2415" s="17" t="str">
        <f aca="false">IF(A2415="","",IF(ISNUMBER(A2415),A2415,IFERROR(DATE(VALUE(MID(A2415,7,4)),VALUE(MID(A2415,4,2)),VALUE(MID(A2415,1,2)))+TIME(VALUE(MID(A2415,12,2)),VALUE(MID(A2415,15,2)),VALUE(MID(A2415,18,2))),"")))</f>
        <v/>
      </c>
    </row>
    <row r="2416" customFormat="false" ht="15" hidden="false" customHeight="false" outlineLevel="0" collapsed="false">
      <c r="I2416" s="15" t="str">
        <f aca="false">IF(N2416="","",INT(N2416))</f>
        <v/>
      </c>
      <c r="J2416" s="16" t="str">
        <f aca="false">IF(B2416="","",IF(N2416=_xlfn.MINIFS($N$2:$N$5001,$B$2:$B$5001,B2416),1,0))</f>
        <v/>
      </c>
      <c r="K2416" s="16" t="str">
        <f aca="false">IF(B2416="","",IF(AND(D2416="Formalização",E2416="Concluído"),IF(COUNTIFS($B$2:$B$5001,B2416,$E$2:$E$5001,"Em ajustes",$N$2:$N$5001,"&lt;"&amp;I2416)&gt;0,1,0),0))</f>
        <v/>
      </c>
      <c r="L2416" s="16" t="str">
        <f aca="false">IF(B2416="","",IF(N2416=_xlfn.MAXIFS($N$2:$N$5001,$B$2:$B$5001,B2416,$I$2:$I$5001,I2416),1,0))</f>
        <v/>
      </c>
      <c r="M2416" s="16" t="str">
        <f aca="false">IF(B2416="","",IF(E2416="Em ajustes",IF(N2416=_xlfn.MINIFS($N$2:$N$5001,$B$2:$B$5001,B2416,$E$2:$E$5001,"Em ajustes"),1,0),0))</f>
        <v/>
      </c>
      <c r="N2416" s="17" t="str">
        <f aca="false">IF(A2416="","",IF(ISNUMBER(A2416),A2416,IFERROR(DATE(VALUE(MID(A2416,7,4)),VALUE(MID(A2416,4,2)),VALUE(MID(A2416,1,2)))+TIME(VALUE(MID(A2416,12,2)),VALUE(MID(A2416,15,2)),VALUE(MID(A2416,18,2))),"")))</f>
        <v/>
      </c>
    </row>
    <row r="2417" customFormat="false" ht="15" hidden="false" customHeight="false" outlineLevel="0" collapsed="false">
      <c r="I2417" s="15" t="str">
        <f aca="false">IF(N2417="","",INT(N2417))</f>
        <v/>
      </c>
      <c r="J2417" s="16" t="str">
        <f aca="false">IF(B2417="","",IF(N2417=_xlfn.MINIFS($N$2:$N$5001,$B$2:$B$5001,B2417),1,0))</f>
        <v/>
      </c>
      <c r="K2417" s="16" t="str">
        <f aca="false">IF(B2417="","",IF(AND(D2417="Formalização",E2417="Concluído"),IF(COUNTIFS($B$2:$B$5001,B2417,$E$2:$E$5001,"Em ajustes",$N$2:$N$5001,"&lt;"&amp;I2417)&gt;0,1,0),0))</f>
        <v/>
      </c>
      <c r="L2417" s="16" t="str">
        <f aca="false">IF(B2417="","",IF(N2417=_xlfn.MAXIFS($N$2:$N$5001,$B$2:$B$5001,B2417,$I$2:$I$5001,I2417),1,0))</f>
        <v/>
      </c>
      <c r="M2417" s="16" t="str">
        <f aca="false">IF(B2417="","",IF(E2417="Em ajustes",IF(N2417=_xlfn.MINIFS($N$2:$N$5001,$B$2:$B$5001,B2417,$E$2:$E$5001,"Em ajustes"),1,0),0))</f>
        <v/>
      </c>
      <c r="N2417" s="17" t="str">
        <f aca="false">IF(A2417="","",IF(ISNUMBER(A2417),A2417,IFERROR(DATE(VALUE(MID(A2417,7,4)),VALUE(MID(A2417,4,2)),VALUE(MID(A2417,1,2)))+TIME(VALUE(MID(A2417,12,2)),VALUE(MID(A2417,15,2)),VALUE(MID(A2417,18,2))),"")))</f>
        <v/>
      </c>
    </row>
    <row r="2418" customFormat="false" ht="15" hidden="false" customHeight="false" outlineLevel="0" collapsed="false">
      <c r="I2418" s="15" t="str">
        <f aca="false">IF(N2418="","",INT(N2418))</f>
        <v/>
      </c>
      <c r="J2418" s="16" t="str">
        <f aca="false">IF(B2418="","",IF(N2418=_xlfn.MINIFS($N$2:$N$5001,$B$2:$B$5001,B2418),1,0))</f>
        <v/>
      </c>
      <c r="K2418" s="16" t="str">
        <f aca="false">IF(B2418="","",IF(AND(D2418="Formalização",E2418="Concluído"),IF(COUNTIFS($B$2:$B$5001,B2418,$E$2:$E$5001,"Em ajustes",$N$2:$N$5001,"&lt;"&amp;I2418)&gt;0,1,0),0))</f>
        <v/>
      </c>
      <c r="L2418" s="16" t="str">
        <f aca="false">IF(B2418="","",IF(N2418=_xlfn.MAXIFS($N$2:$N$5001,$B$2:$B$5001,B2418,$I$2:$I$5001,I2418),1,0))</f>
        <v/>
      </c>
      <c r="M2418" s="16" t="str">
        <f aca="false">IF(B2418="","",IF(E2418="Em ajustes",IF(N2418=_xlfn.MINIFS($N$2:$N$5001,$B$2:$B$5001,B2418,$E$2:$E$5001,"Em ajustes"),1,0),0))</f>
        <v/>
      </c>
      <c r="N2418" s="17" t="str">
        <f aca="false">IF(A2418="","",IF(ISNUMBER(A2418),A2418,IFERROR(DATE(VALUE(MID(A2418,7,4)),VALUE(MID(A2418,4,2)),VALUE(MID(A2418,1,2)))+TIME(VALUE(MID(A2418,12,2)),VALUE(MID(A2418,15,2)),VALUE(MID(A2418,18,2))),"")))</f>
        <v/>
      </c>
    </row>
    <row r="2419" customFormat="false" ht="15" hidden="false" customHeight="false" outlineLevel="0" collapsed="false">
      <c r="I2419" s="15" t="str">
        <f aca="false">IF(N2419="","",INT(N2419))</f>
        <v/>
      </c>
      <c r="J2419" s="16" t="str">
        <f aca="false">IF(B2419="","",IF(N2419=_xlfn.MINIFS($N$2:$N$5001,$B$2:$B$5001,B2419),1,0))</f>
        <v/>
      </c>
      <c r="K2419" s="16" t="str">
        <f aca="false">IF(B2419="","",IF(AND(D2419="Formalização",E2419="Concluído"),IF(COUNTIFS($B$2:$B$5001,B2419,$E$2:$E$5001,"Em ajustes",$N$2:$N$5001,"&lt;"&amp;I2419)&gt;0,1,0),0))</f>
        <v/>
      </c>
      <c r="L2419" s="16" t="str">
        <f aca="false">IF(B2419="","",IF(N2419=_xlfn.MAXIFS($N$2:$N$5001,$B$2:$B$5001,B2419,$I$2:$I$5001,I2419),1,0))</f>
        <v/>
      </c>
      <c r="M2419" s="16" t="str">
        <f aca="false">IF(B2419="","",IF(E2419="Em ajustes",IF(N2419=_xlfn.MINIFS($N$2:$N$5001,$B$2:$B$5001,B2419,$E$2:$E$5001,"Em ajustes"),1,0),0))</f>
        <v/>
      </c>
      <c r="N2419" s="17" t="str">
        <f aca="false">IF(A2419="","",IF(ISNUMBER(A2419),A2419,IFERROR(DATE(VALUE(MID(A2419,7,4)),VALUE(MID(A2419,4,2)),VALUE(MID(A2419,1,2)))+TIME(VALUE(MID(A2419,12,2)),VALUE(MID(A2419,15,2)),VALUE(MID(A2419,18,2))),"")))</f>
        <v/>
      </c>
    </row>
    <row r="2420" customFormat="false" ht="15" hidden="false" customHeight="false" outlineLevel="0" collapsed="false">
      <c r="I2420" s="15" t="str">
        <f aca="false">IF(N2420="","",INT(N2420))</f>
        <v/>
      </c>
      <c r="J2420" s="16" t="str">
        <f aca="false">IF(B2420="","",IF(N2420=_xlfn.MINIFS($N$2:$N$5001,$B$2:$B$5001,B2420),1,0))</f>
        <v/>
      </c>
      <c r="K2420" s="16" t="str">
        <f aca="false">IF(B2420="","",IF(AND(D2420="Formalização",E2420="Concluído"),IF(COUNTIFS($B$2:$B$5001,B2420,$E$2:$E$5001,"Em ajustes",$N$2:$N$5001,"&lt;"&amp;I2420)&gt;0,1,0),0))</f>
        <v/>
      </c>
      <c r="L2420" s="16" t="str">
        <f aca="false">IF(B2420="","",IF(N2420=_xlfn.MAXIFS($N$2:$N$5001,$B$2:$B$5001,B2420,$I$2:$I$5001,I2420),1,0))</f>
        <v/>
      </c>
      <c r="M2420" s="16" t="str">
        <f aca="false">IF(B2420="","",IF(E2420="Em ajustes",IF(N2420=_xlfn.MINIFS($N$2:$N$5001,$B$2:$B$5001,B2420,$E$2:$E$5001,"Em ajustes"),1,0),0))</f>
        <v/>
      </c>
      <c r="N2420" s="17" t="str">
        <f aca="false">IF(A2420="","",IF(ISNUMBER(A2420),A2420,IFERROR(DATE(VALUE(MID(A2420,7,4)),VALUE(MID(A2420,4,2)),VALUE(MID(A2420,1,2)))+TIME(VALUE(MID(A2420,12,2)),VALUE(MID(A2420,15,2)),VALUE(MID(A2420,18,2))),"")))</f>
        <v/>
      </c>
    </row>
    <row r="2421" customFormat="false" ht="15" hidden="false" customHeight="false" outlineLevel="0" collapsed="false">
      <c r="I2421" s="15" t="str">
        <f aca="false">IF(N2421="","",INT(N2421))</f>
        <v/>
      </c>
      <c r="J2421" s="16" t="str">
        <f aca="false">IF(B2421="","",IF(N2421=_xlfn.MINIFS($N$2:$N$5001,$B$2:$B$5001,B2421),1,0))</f>
        <v/>
      </c>
      <c r="K2421" s="16" t="str">
        <f aca="false">IF(B2421="","",IF(AND(D2421="Formalização",E2421="Concluído"),IF(COUNTIFS($B$2:$B$5001,B2421,$E$2:$E$5001,"Em ajustes",$N$2:$N$5001,"&lt;"&amp;I2421)&gt;0,1,0),0))</f>
        <v/>
      </c>
      <c r="L2421" s="16" t="str">
        <f aca="false">IF(B2421="","",IF(N2421=_xlfn.MAXIFS($N$2:$N$5001,$B$2:$B$5001,B2421,$I$2:$I$5001,I2421),1,0))</f>
        <v/>
      </c>
      <c r="M2421" s="16" t="str">
        <f aca="false">IF(B2421="","",IF(E2421="Em ajustes",IF(N2421=_xlfn.MINIFS($N$2:$N$5001,$B$2:$B$5001,B2421,$E$2:$E$5001,"Em ajustes"),1,0),0))</f>
        <v/>
      </c>
      <c r="N2421" s="17" t="str">
        <f aca="false">IF(A2421="","",IF(ISNUMBER(A2421),A2421,IFERROR(DATE(VALUE(MID(A2421,7,4)),VALUE(MID(A2421,4,2)),VALUE(MID(A2421,1,2)))+TIME(VALUE(MID(A2421,12,2)),VALUE(MID(A2421,15,2)),VALUE(MID(A2421,18,2))),"")))</f>
        <v/>
      </c>
    </row>
    <row r="2422" customFormat="false" ht="15" hidden="false" customHeight="false" outlineLevel="0" collapsed="false">
      <c r="I2422" s="15" t="str">
        <f aca="false">IF(N2422="","",INT(N2422))</f>
        <v/>
      </c>
      <c r="J2422" s="16" t="str">
        <f aca="false">IF(B2422="","",IF(N2422=_xlfn.MINIFS($N$2:$N$5001,$B$2:$B$5001,B2422),1,0))</f>
        <v/>
      </c>
      <c r="K2422" s="16" t="str">
        <f aca="false">IF(B2422="","",IF(AND(D2422="Formalização",E2422="Concluído"),IF(COUNTIFS($B$2:$B$5001,B2422,$E$2:$E$5001,"Em ajustes",$N$2:$N$5001,"&lt;"&amp;I2422)&gt;0,1,0),0))</f>
        <v/>
      </c>
      <c r="L2422" s="16" t="str">
        <f aca="false">IF(B2422="","",IF(N2422=_xlfn.MAXIFS($N$2:$N$5001,$B$2:$B$5001,B2422,$I$2:$I$5001,I2422),1,0))</f>
        <v/>
      </c>
      <c r="M2422" s="16" t="str">
        <f aca="false">IF(B2422="","",IF(E2422="Em ajustes",IF(N2422=_xlfn.MINIFS($N$2:$N$5001,$B$2:$B$5001,B2422,$E$2:$E$5001,"Em ajustes"),1,0),0))</f>
        <v/>
      </c>
      <c r="N2422" s="17" t="str">
        <f aca="false">IF(A2422="","",IF(ISNUMBER(A2422),A2422,IFERROR(DATE(VALUE(MID(A2422,7,4)),VALUE(MID(A2422,4,2)),VALUE(MID(A2422,1,2)))+TIME(VALUE(MID(A2422,12,2)),VALUE(MID(A2422,15,2)),VALUE(MID(A2422,18,2))),"")))</f>
        <v/>
      </c>
    </row>
    <row r="2423" customFormat="false" ht="15" hidden="false" customHeight="false" outlineLevel="0" collapsed="false">
      <c r="I2423" s="15" t="str">
        <f aca="false">IF(N2423="","",INT(N2423))</f>
        <v/>
      </c>
      <c r="J2423" s="16" t="str">
        <f aca="false">IF(B2423="","",IF(N2423=_xlfn.MINIFS($N$2:$N$5001,$B$2:$B$5001,B2423),1,0))</f>
        <v/>
      </c>
      <c r="K2423" s="16" t="str">
        <f aca="false">IF(B2423="","",IF(AND(D2423="Formalização",E2423="Concluído"),IF(COUNTIFS($B$2:$B$5001,B2423,$E$2:$E$5001,"Em ajustes",$N$2:$N$5001,"&lt;"&amp;I2423)&gt;0,1,0),0))</f>
        <v/>
      </c>
      <c r="L2423" s="16" t="str">
        <f aca="false">IF(B2423="","",IF(N2423=_xlfn.MAXIFS($N$2:$N$5001,$B$2:$B$5001,B2423,$I$2:$I$5001,I2423),1,0))</f>
        <v/>
      </c>
      <c r="M2423" s="16" t="str">
        <f aca="false">IF(B2423="","",IF(E2423="Em ajustes",IF(N2423=_xlfn.MINIFS($N$2:$N$5001,$B$2:$B$5001,B2423,$E$2:$E$5001,"Em ajustes"),1,0),0))</f>
        <v/>
      </c>
      <c r="N2423" s="17" t="str">
        <f aca="false">IF(A2423="","",IF(ISNUMBER(A2423),A2423,IFERROR(DATE(VALUE(MID(A2423,7,4)),VALUE(MID(A2423,4,2)),VALUE(MID(A2423,1,2)))+TIME(VALUE(MID(A2423,12,2)),VALUE(MID(A2423,15,2)),VALUE(MID(A2423,18,2))),"")))</f>
        <v/>
      </c>
    </row>
    <row r="2424" customFormat="false" ht="15" hidden="false" customHeight="false" outlineLevel="0" collapsed="false">
      <c r="I2424" s="15" t="str">
        <f aca="false">IF(N2424="","",INT(N2424))</f>
        <v/>
      </c>
      <c r="J2424" s="16" t="str">
        <f aca="false">IF(B2424="","",IF(N2424=_xlfn.MINIFS($N$2:$N$5001,$B$2:$B$5001,B2424),1,0))</f>
        <v/>
      </c>
      <c r="K2424" s="16" t="str">
        <f aca="false">IF(B2424="","",IF(AND(D2424="Formalização",E2424="Concluído"),IF(COUNTIFS($B$2:$B$5001,B2424,$E$2:$E$5001,"Em ajustes",$N$2:$N$5001,"&lt;"&amp;I2424)&gt;0,1,0),0))</f>
        <v/>
      </c>
      <c r="L2424" s="16" t="str">
        <f aca="false">IF(B2424="","",IF(N2424=_xlfn.MAXIFS($N$2:$N$5001,$B$2:$B$5001,B2424,$I$2:$I$5001,I2424),1,0))</f>
        <v/>
      </c>
      <c r="M2424" s="16" t="str">
        <f aca="false">IF(B2424="","",IF(E2424="Em ajustes",IF(N2424=_xlfn.MINIFS($N$2:$N$5001,$B$2:$B$5001,B2424,$E$2:$E$5001,"Em ajustes"),1,0),0))</f>
        <v/>
      </c>
      <c r="N2424" s="17" t="str">
        <f aca="false">IF(A2424="","",IF(ISNUMBER(A2424),A2424,IFERROR(DATE(VALUE(MID(A2424,7,4)),VALUE(MID(A2424,4,2)),VALUE(MID(A2424,1,2)))+TIME(VALUE(MID(A2424,12,2)),VALUE(MID(A2424,15,2)),VALUE(MID(A2424,18,2))),"")))</f>
        <v/>
      </c>
    </row>
    <row r="2425" customFormat="false" ht="15" hidden="false" customHeight="false" outlineLevel="0" collapsed="false">
      <c r="I2425" s="15" t="str">
        <f aca="false">IF(N2425="","",INT(N2425))</f>
        <v/>
      </c>
      <c r="J2425" s="16" t="str">
        <f aca="false">IF(B2425="","",IF(N2425=_xlfn.MINIFS($N$2:$N$5001,$B$2:$B$5001,B2425),1,0))</f>
        <v/>
      </c>
      <c r="K2425" s="16" t="str">
        <f aca="false">IF(B2425="","",IF(AND(D2425="Formalização",E2425="Concluído"),IF(COUNTIFS($B$2:$B$5001,B2425,$E$2:$E$5001,"Em ajustes",$N$2:$N$5001,"&lt;"&amp;I2425)&gt;0,1,0),0))</f>
        <v/>
      </c>
      <c r="L2425" s="16" t="str">
        <f aca="false">IF(B2425="","",IF(N2425=_xlfn.MAXIFS($N$2:$N$5001,$B$2:$B$5001,B2425,$I$2:$I$5001,I2425),1,0))</f>
        <v/>
      </c>
      <c r="M2425" s="16" t="str">
        <f aca="false">IF(B2425="","",IF(E2425="Em ajustes",IF(N2425=_xlfn.MINIFS($N$2:$N$5001,$B$2:$B$5001,B2425,$E$2:$E$5001,"Em ajustes"),1,0),0))</f>
        <v/>
      </c>
      <c r="N2425" s="17" t="str">
        <f aca="false">IF(A2425="","",IF(ISNUMBER(A2425),A2425,IFERROR(DATE(VALUE(MID(A2425,7,4)),VALUE(MID(A2425,4,2)),VALUE(MID(A2425,1,2)))+TIME(VALUE(MID(A2425,12,2)),VALUE(MID(A2425,15,2)),VALUE(MID(A2425,18,2))),"")))</f>
        <v/>
      </c>
    </row>
    <row r="2426" customFormat="false" ht="15" hidden="false" customHeight="false" outlineLevel="0" collapsed="false">
      <c r="I2426" s="15" t="str">
        <f aca="false">IF(N2426="","",INT(N2426))</f>
        <v/>
      </c>
      <c r="J2426" s="16" t="str">
        <f aca="false">IF(B2426="","",IF(N2426=_xlfn.MINIFS($N$2:$N$5001,$B$2:$B$5001,B2426),1,0))</f>
        <v/>
      </c>
      <c r="K2426" s="16" t="str">
        <f aca="false">IF(B2426="","",IF(AND(D2426="Formalização",E2426="Concluído"),IF(COUNTIFS($B$2:$B$5001,B2426,$E$2:$E$5001,"Em ajustes",$N$2:$N$5001,"&lt;"&amp;I2426)&gt;0,1,0),0))</f>
        <v/>
      </c>
      <c r="L2426" s="16" t="str">
        <f aca="false">IF(B2426="","",IF(N2426=_xlfn.MAXIFS($N$2:$N$5001,$B$2:$B$5001,B2426,$I$2:$I$5001,I2426),1,0))</f>
        <v/>
      </c>
      <c r="M2426" s="16" t="str">
        <f aca="false">IF(B2426="","",IF(E2426="Em ajustes",IF(N2426=_xlfn.MINIFS($N$2:$N$5001,$B$2:$B$5001,B2426,$E$2:$E$5001,"Em ajustes"),1,0),0))</f>
        <v/>
      </c>
      <c r="N2426" s="17" t="str">
        <f aca="false">IF(A2426="","",IF(ISNUMBER(A2426),A2426,IFERROR(DATE(VALUE(MID(A2426,7,4)),VALUE(MID(A2426,4,2)),VALUE(MID(A2426,1,2)))+TIME(VALUE(MID(A2426,12,2)),VALUE(MID(A2426,15,2)),VALUE(MID(A2426,18,2))),"")))</f>
        <v/>
      </c>
    </row>
    <row r="2427" customFormat="false" ht="15" hidden="false" customHeight="false" outlineLevel="0" collapsed="false">
      <c r="I2427" s="15" t="str">
        <f aca="false">IF(N2427="","",INT(N2427))</f>
        <v/>
      </c>
      <c r="J2427" s="16" t="str">
        <f aca="false">IF(B2427="","",IF(N2427=_xlfn.MINIFS($N$2:$N$5001,$B$2:$B$5001,B2427),1,0))</f>
        <v/>
      </c>
      <c r="K2427" s="16" t="str">
        <f aca="false">IF(B2427="","",IF(AND(D2427="Formalização",E2427="Concluído"),IF(COUNTIFS($B$2:$B$5001,B2427,$E$2:$E$5001,"Em ajustes",$N$2:$N$5001,"&lt;"&amp;I2427)&gt;0,1,0),0))</f>
        <v/>
      </c>
      <c r="L2427" s="16" t="str">
        <f aca="false">IF(B2427="","",IF(N2427=_xlfn.MAXIFS($N$2:$N$5001,$B$2:$B$5001,B2427,$I$2:$I$5001,I2427),1,0))</f>
        <v/>
      </c>
      <c r="M2427" s="16" t="str">
        <f aca="false">IF(B2427="","",IF(E2427="Em ajustes",IF(N2427=_xlfn.MINIFS($N$2:$N$5001,$B$2:$B$5001,B2427,$E$2:$E$5001,"Em ajustes"),1,0),0))</f>
        <v/>
      </c>
      <c r="N2427" s="17" t="str">
        <f aca="false">IF(A2427="","",IF(ISNUMBER(A2427),A2427,IFERROR(DATE(VALUE(MID(A2427,7,4)),VALUE(MID(A2427,4,2)),VALUE(MID(A2427,1,2)))+TIME(VALUE(MID(A2427,12,2)),VALUE(MID(A2427,15,2)),VALUE(MID(A2427,18,2))),"")))</f>
        <v/>
      </c>
    </row>
    <row r="2428" customFormat="false" ht="15" hidden="false" customHeight="false" outlineLevel="0" collapsed="false">
      <c r="I2428" s="15" t="str">
        <f aca="false">IF(N2428="","",INT(N2428))</f>
        <v/>
      </c>
      <c r="J2428" s="16" t="str">
        <f aca="false">IF(B2428="","",IF(N2428=_xlfn.MINIFS($N$2:$N$5001,$B$2:$B$5001,B2428),1,0))</f>
        <v/>
      </c>
      <c r="K2428" s="16" t="str">
        <f aca="false">IF(B2428="","",IF(AND(D2428="Formalização",E2428="Concluído"),IF(COUNTIFS($B$2:$B$5001,B2428,$E$2:$E$5001,"Em ajustes",$N$2:$N$5001,"&lt;"&amp;I2428)&gt;0,1,0),0))</f>
        <v/>
      </c>
      <c r="L2428" s="16" t="str">
        <f aca="false">IF(B2428="","",IF(N2428=_xlfn.MAXIFS($N$2:$N$5001,$B$2:$B$5001,B2428,$I$2:$I$5001,I2428),1,0))</f>
        <v/>
      </c>
      <c r="M2428" s="16" t="str">
        <f aca="false">IF(B2428="","",IF(E2428="Em ajustes",IF(N2428=_xlfn.MINIFS($N$2:$N$5001,$B$2:$B$5001,B2428,$E$2:$E$5001,"Em ajustes"),1,0),0))</f>
        <v/>
      </c>
      <c r="N2428" s="17" t="str">
        <f aca="false">IF(A2428="","",IF(ISNUMBER(A2428),A2428,IFERROR(DATE(VALUE(MID(A2428,7,4)),VALUE(MID(A2428,4,2)),VALUE(MID(A2428,1,2)))+TIME(VALUE(MID(A2428,12,2)),VALUE(MID(A2428,15,2)),VALUE(MID(A2428,18,2))),"")))</f>
        <v/>
      </c>
    </row>
    <row r="2429" customFormat="false" ht="15" hidden="false" customHeight="false" outlineLevel="0" collapsed="false">
      <c r="I2429" s="15" t="str">
        <f aca="false">IF(N2429="","",INT(N2429))</f>
        <v/>
      </c>
      <c r="J2429" s="16" t="str">
        <f aca="false">IF(B2429="","",IF(N2429=_xlfn.MINIFS($N$2:$N$5001,$B$2:$B$5001,B2429),1,0))</f>
        <v/>
      </c>
      <c r="K2429" s="16" t="str">
        <f aca="false">IF(B2429="","",IF(AND(D2429="Formalização",E2429="Concluído"),IF(COUNTIFS($B$2:$B$5001,B2429,$E$2:$E$5001,"Em ajustes",$N$2:$N$5001,"&lt;"&amp;I2429)&gt;0,1,0),0))</f>
        <v/>
      </c>
      <c r="L2429" s="16" t="str">
        <f aca="false">IF(B2429="","",IF(N2429=_xlfn.MAXIFS($N$2:$N$5001,$B$2:$B$5001,B2429,$I$2:$I$5001,I2429),1,0))</f>
        <v/>
      </c>
      <c r="M2429" s="16" t="str">
        <f aca="false">IF(B2429="","",IF(E2429="Em ajustes",IF(N2429=_xlfn.MINIFS($N$2:$N$5001,$B$2:$B$5001,B2429,$E$2:$E$5001,"Em ajustes"),1,0),0))</f>
        <v/>
      </c>
      <c r="N2429" s="17" t="str">
        <f aca="false">IF(A2429="","",IF(ISNUMBER(A2429),A2429,IFERROR(DATE(VALUE(MID(A2429,7,4)),VALUE(MID(A2429,4,2)),VALUE(MID(A2429,1,2)))+TIME(VALUE(MID(A2429,12,2)),VALUE(MID(A2429,15,2)),VALUE(MID(A2429,18,2))),"")))</f>
        <v/>
      </c>
    </row>
    <row r="2430" customFormat="false" ht="15" hidden="false" customHeight="false" outlineLevel="0" collapsed="false">
      <c r="I2430" s="15" t="str">
        <f aca="false">IF(N2430="","",INT(N2430))</f>
        <v/>
      </c>
      <c r="J2430" s="16" t="str">
        <f aca="false">IF(B2430="","",IF(N2430=_xlfn.MINIFS($N$2:$N$5001,$B$2:$B$5001,B2430),1,0))</f>
        <v/>
      </c>
      <c r="K2430" s="16" t="str">
        <f aca="false">IF(B2430="","",IF(AND(D2430="Formalização",E2430="Concluído"),IF(COUNTIFS($B$2:$B$5001,B2430,$E$2:$E$5001,"Em ajustes",$N$2:$N$5001,"&lt;"&amp;I2430)&gt;0,1,0),0))</f>
        <v/>
      </c>
      <c r="L2430" s="16" t="str">
        <f aca="false">IF(B2430="","",IF(N2430=_xlfn.MAXIFS($N$2:$N$5001,$B$2:$B$5001,B2430,$I$2:$I$5001,I2430),1,0))</f>
        <v/>
      </c>
      <c r="M2430" s="16" t="str">
        <f aca="false">IF(B2430="","",IF(E2430="Em ajustes",IF(N2430=_xlfn.MINIFS($N$2:$N$5001,$B$2:$B$5001,B2430,$E$2:$E$5001,"Em ajustes"),1,0),0))</f>
        <v/>
      </c>
      <c r="N2430" s="17" t="str">
        <f aca="false">IF(A2430="","",IF(ISNUMBER(A2430),A2430,IFERROR(DATE(VALUE(MID(A2430,7,4)),VALUE(MID(A2430,4,2)),VALUE(MID(A2430,1,2)))+TIME(VALUE(MID(A2430,12,2)),VALUE(MID(A2430,15,2)),VALUE(MID(A2430,18,2))),"")))</f>
        <v/>
      </c>
    </row>
    <row r="2431" customFormat="false" ht="15" hidden="false" customHeight="false" outlineLevel="0" collapsed="false">
      <c r="I2431" s="15" t="str">
        <f aca="false">IF(N2431="","",INT(N2431))</f>
        <v/>
      </c>
      <c r="J2431" s="16" t="str">
        <f aca="false">IF(B2431="","",IF(N2431=_xlfn.MINIFS($N$2:$N$5001,$B$2:$B$5001,B2431),1,0))</f>
        <v/>
      </c>
      <c r="K2431" s="16" t="str">
        <f aca="false">IF(B2431="","",IF(AND(D2431="Formalização",E2431="Concluído"),IF(COUNTIFS($B$2:$B$5001,B2431,$E$2:$E$5001,"Em ajustes",$N$2:$N$5001,"&lt;"&amp;I2431)&gt;0,1,0),0))</f>
        <v/>
      </c>
      <c r="L2431" s="16" t="str">
        <f aca="false">IF(B2431="","",IF(N2431=_xlfn.MAXIFS($N$2:$N$5001,$B$2:$B$5001,B2431,$I$2:$I$5001,I2431),1,0))</f>
        <v/>
      </c>
      <c r="M2431" s="16" t="str">
        <f aca="false">IF(B2431="","",IF(E2431="Em ajustes",IF(N2431=_xlfn.MINIFS($N$2:$N$5001,$B$2:$B$5001,B2431,$E$2:$E$5001,"Em ajustes"),1,0),0))</f>
        <v/>
      </c>
      <c r="N2431" s="17" t="str">
        <f aca="false">IF(A2431="","",IF(ISNUMBER(A2431),A2431,IFERROR(DATE(VALUE(MID(A2431,7,4)),VALUE(MID(A2431,4,2)),VALUE(MID(A2431,1,2)))+TIME(VALUE(MID(A2431,12,2)),VALUE(MID(A2431,15,2)),VALUE(MID(A2431,18,2))),"")))</f>
        <v/>
      </c>
    </row>
    <row r="2432" customFormat="false" ht="15" hidden="false" customHeight="false" outlineLevel="0" collapsed="false">
      <c r="I2432" s="15" t="str">
        <f aca="false">IF(N2432="","",INT(N2432))</f>
        <v/>
      </c>
      <c r="J2432" s="16" t="str">
        <f aca="false">IF(B2432="","",IF(N2432=_xlfn.MINIFS($N$2:$N$5001,$B$2:$B$5001,B2432),1,0))</f>
        <v/>
      </c>
      <c r="K2432" s="16" t="str">
        <f aca="false">IF(B2432="","",IF(AND(D2432="Formalização",E2432="Concluído"),IF(COUNTIFS($B$2:$B$5001,B2432,$E$2:$E$5001,"Em ajustes",$N$2:$N$5001,"&lt;"&amp;I2432)&gt;0,1,0),0))</f>
        <v/>
      </c>
      <c r="L2432" s="16" t="str">
        <f aca="false">IF(B2432="","",IF(N2432=_xlfn.MAXIFS($N$2:$N$5001,$B$2:$B$5001,B2432,$I$2:$I$5001,I2432),1,0))</f>
        <v/>
      </c>
      <c r="M2432" s="16" t="str">
        <f aca="false">IF(B2432="","",IF(E2432="Em ajustes",IF(N2432=_xlfn.MINIFS($N$2:$N$5001,$B$2:$B$5001,B2432,$E$2:$E$5001,"Em ajustes"),1,0),0))</f>
        <v/>
      </c>
      <c r="N2432" s="17" t="str">
        <f aca="false">IF(A2432="","",IF(ISNUMBER(A2432),A2432,IFERROR(DATE(VALUE(MID(A2432,7,4)),VALUE(MID(A2432,4,2)),VALUE(MID(A2432,1,2)))+TIME(VALUE(MID(A2432,12,2)),VALUE(MID(A2432,15,2)),VALUE(MID(A2432,18,2))),"")))</f>
        <v/>
      </c>
    </row>
    <row r="2433" customFormat="false" ht="15" hidden="false" customHeight="false" outlineLevel="0" collapsed="false">
      <c r="I2433" s="15" t="str">
        <f aca="false">IF(N2433="","",INT(N2433))</f>
        <v/>
      </c>
      <c r="J2433" s="16" t="str">
        <f aca="false">IF(B2433="","",IF(N2433=_xlfn.MINIFS($N$2:$N$5001,$B$2:$B$5001,B2433),1,0))</f>
        <v/>
      </c>
      <c r="K2433" s="16" t="str">
        <f aca="false">IF(B2433="","",IF(AND(D2433="Formalização",E2433="Concluído"),IF(COUNTIFS($B$2:$B$5001,B2433,$E$2:$E$5001,"Em ajustes",$N$2:$N$5001,"&lt;"&amp;I2433)&gt;0,1,0),0))</f>
        <v/>
      </c>
      <c r="L2433" s="16" t="str">
        <f aca="false">IF(B2433="","",IF(N2433=_xlfn.MAXIFS($N$2:$N$5001,$B$2:$B$5001,B2433,$I$2:$I$5001,I2433),1,0))</f>
        <v/>
      </c>
      <c r="M2433" s="16" t="str">
        <f aca="false">IF(B2433="","",IF(E2433="Em ajustes",IF(N2433=_xlfn.MINIFS($N$2:$N$5001,$B$2:$B$5001,B2433,$E$2:$E$5001,"Em ajustes"),1,0),0))</f>
        <v/>
      </c>
      <c r="N2433" s="17" t="str">
        <f aca="false">IF(A2433="","",IF(ISNUMBER(A2433),A2433,IFERROR(DATE(VALUE(MID(A2433,7,4)),VALUE(MID(A2433,4,2)),VALUE(MID(A2433,1,2)))+TIME(VALUE(MID(A2433,12,2)),VALUE(MID(A2433,15,2)),VALUE(MID(A2433,18,2))),"")))</f>
        <v/>
      </c>
    </row>
    <row r="2434" customFormat="false" ht="15" hidden="false" customHeight="false" outlineLevel="0" collapsed="false">
      <c r="I2434" s="15" t="str">
        <f aca="false">IF(N2434="","",INT(N2434))</f>
        <v/>
      </c>
      <c r="J2434" s="16" t="str">
        <f aca="false">IF(B2434="","",IF(N2434=_xlfn.MINIFS($N$2:$N$5001,$B$2:$B$5001,B2434),1,0))</f>
        <v/>
      </c>
      <c r="K2434" s="16" t="str">
        <f aca="false">IF(B2434="","",IF(AND(D2434="Formalização",E2434="Concluído"),IF(COUNTIFS($B$2:$B$5001,B2434,$E$2:$E$5001,"Em ajustes",$N$2:$N$5001,"&lt;"&amp;I2434)&gt;0,1,0),0))</f>
        <v/>
      </c>
      <c r="L2434" s="16" t="str">
        <f aca="false">IF(B2434="","",IF(N2434=_xlfn.MAXIFS($N$2:$N$5001,$B$2:$B$5001,B2434,$I$2:$I$5001,I2434),1,0))</f>
        <v/>
      </c>
      <c r="M2434" s="16" t="str">
        <f aca="false">IF(B2434="","",IF(E2434="Em ajustes",IF(N2434=_xlfn.MINIFS($N$2:$N$5001,$B$2:$B$5001,B2434,$E$2:$E$5001,"Em ajustes"),1,0),0))</f>
        <v/>
      </c>
      <c r="N2434" s="17" t="str">
        <f aca="false">IF(A2434="","",IF(ISNUMBER(A2434),A2434,IFERROR(DATE(VALUE(MID(A2434,7,4)),VALUE(MID(A2434,4,2)),VALUE(MID(A2434,1,2)))+TIME(VALUE(MID(A2434,12,2)),VALUE(MID(A2434,15,2)),VALUE(MID(A2434,18,2))),"")))</f>
        <v/>
      </c>
    </row>
    <row r="2435" customFormat="false" ht="15" hidden="false" customHeight="false" outlineLevel="0" collapsed="false">
      <c r="I2435" s="15" t="str">
        <f aca="false">IF(N2435="","",INT(N2435))</f>
        <v/>
      </c>
      <c r="J2435" s="16" t="str">
        <f aca="false">IF(B2435="","",IF(N2435=_xlfn.MINIFS($N$2:$N$5001,$B$2:$B$5001,B2435),1,0))</f>
        <v/>
      </c>
      <c r="K2435" s="16" t="str">
        <f aca="false">IF(B2435="","",IF(AND(D2435="Formalização",E2435="Concluído"),IF(COUNTIFS($B$2:$B$5001,B2435,$E$2:$E$5001,"Em ajustes",$N$2:$N$5001,"&lt;"&amp;I2435)&gt;0,1,0),0))</f>
        <v/>
      </c>
      <c r="L2435" s="16" t="str">
        <f aca="false">IF(B2435="","",IF(N2435=_xlfn.MAXIFS($N$2:$N$5001,$B$2:$B$5001,B2435,$I$2:$I$5001,I2435),1,0))</f>
        <v/>
      </c>
      <c r="M2435" s="16" t="str">
        <f aca="false">IF(B2435="","",IF(E2435="Em ajustes",IF(N2435=_xlfn.MINIFS($N$2:$N$5001,$B$2:$B$5001,B2435,$E$2:$E$5001,"Em ajustes"),1,0),0))</f>
        <v/>
      </c>
      <c r="N2435" s="17" t="str">
        <f aca="false">IF(A2435="","",IF(ISNUMBER(A2435),A2435,IFERROR(DATE(VALUE(MID(A2435,7,4)),VALUE(MID(A2435,4,2)),VALUE(MID(A2435,1,2)))+TIME(VALUE(MID(A2435,12,2)),VALUE(MID(A2435,15,2)),VALUE(MID(A2435,18,2))),"")))</f>
        <v/>
      </c>
    </row>
    <row r="2436" customFormat="false" ht="15" hidden="false" customHeight="false" outlineLevel="0" collapsed="false">
      <c r="I2436" s="15" t="str">
        <f aca="false">IF(N2436="","",INT(N2436))</f>
        <v/>
      </c>
      <c r="J2436" s="16" t="str">
        <f aca="false">IF(B2436="","",IF(N2436=_xlfn.MINIFS($N$2:$N$5001,$B$2:$B$5001,B2436),1,0))</f>
        <v/>
      </c>
      <c r="K2436" s="16" t="str">
        <f aca="false">IF(B2436="","",IF(AND(D2436="Formalização",E2436="Concluído"),IF(COUNTIFS($B$2:$B$5001,B2436,$E$2:$E$5001,"Em ajustes",$N$2:$N$5001,"&lt;"&amp;I2436)&gt;0,1,0),0))</f>
        <v/>
      </c>
      <c r="L2436" s="16" t="str">
        <f aca="false">IF(B2436="","",IF(N2436=_xlfn.MAXIFS($N$2:$N$5001,$B$2:$B$5001,B2436,$I$2:$I$5001,I2436),1,0))</f>
        <v/>
      </c>
      <c r="M2436" s="16" t="str">
        <f aca="false">IF(B2436="","",IF(E2436="Em ajustes",IF(N2436=_xlfn.MINIFS($N$2:$N$5001,$B$2:$B$5001,B2436,$E$2:$E$5001,"Em ajustes"),1,0),0))</f>
        <v/>
      </c>
      <c r="N2436" s="17" t="str">
        <f aca="false">IF(A2436="","",IF(ISNUMBER(A2436),A2436,IFERROR(DATE(VALUE(MID(A2436,7,4)),VALUE(MID(A2436,4,2)),VALUE(MID(A2436,1,2)))+TIME(VALUE(MID(A2436,12,2)),VALUE(MID(A2436,15,2)),VALUE(MID(A2436,18,2))),"")))</f>
        <v/>
      </c>
    </row>
    <row r="2437" customFormat="false" ht="15" hidden="false" customHeight="false" outlineLevel="0" collapsed="false">
      <c r="I2437" s="15" t="str">
        <f aca="false">IF(N2437="","",INT(N2437))</f>
        <v/>
      </c>
      <c r="J2437" s="16" t="str">
        <f aca="false">IF(B2437="","",IF(N2437=_xlfn.MINIFS($N$2:$N$5001,$B$2:$B$5001,B2437),1,0))</f>
        <v/>
      </c>
      <c r="K2437" s="16" t="str">
        <f aca="false">IF(B2437="","",IF(AND(D2437="Formalização",E2437="Concluído"),IF(COUNTIFS($B$2:$B$5001,B2437,$E$2:$E$5001,"Em ajustes",$N$2:$N$5001,"&lt;"&amp;I2437)&gt;0,1,0),0))</f>
        <v/>
      </c>
      <c r="L2437" s="16" t="str">
        <f aca="false">IF(B2437="","",IF(N2437=_xlfn.MAXIFS($N$2:$N$5001,$B$2:$B$5001,B2437,$I$2:$I$5001,I2437),1,0))</f>
        <v/>
      </c>
      <c r="M2437" s="16" t="str">
        <f aca="false">IF(B2437="","",IF(E2437="Em ajustes",IF(N2437=_xlfn.MINIFS($N$2:$N$5001,$B$2:$B$5001,B2437,$E$2:$E$5001,"Em ajustes"),1,0),0))</f>
        <v/>
      </c>
      <c r="N2437" s="17" t="str">
        <f aca="false">IF(A2437="","",IF(ISNUMBER(A2437),A2437,IFERROR(DATE(VALUE(MID(A2437,7,4)),VALUE(MID(A2437,4,2)),VALUE(MID(A2437,1,2)))+TIME(VALUE(MID(A2437,12,2)),VALUE(MID(A2437,15,2)),VALUE(MID(A2437,18,2))),"")))</f>
        <v/>
      </c>
    </row>
    <row r="2438" customFormat="false" ht="15" hidden="false" customHeight="false" outlineLevel="0" collapsed="false">
      <c r="I2438" s="15" t="str">
        <f aca="false">IF(N2438="","",INT(N2438))</f>
        <v/>
      </c>
      <c r="J2438" s="16" t="str">
        <f aca="false">IF(B2438="","",IF(N2438=_xlfn.MINIFS($N$2:$N$5001,$B$2:$B$5001,B2438),1,0))</f>
        <v/>
      </c>
      <c r="K2438" s="16" t="str">
        <f aca="false">IF(B2438="","",IF(AND(D2438="Formalização",E2438="Concluído"),IF(COUNTIFS($B$2:$B$5001,B2438,$E$2:$E$5001,"Em ajustes",$N$2:$N$5001,"&lt;"&amp;I2438)&gt;0,1,0),0))</f>
        <v/>
      </c>
      <c r="L2438" s="16" t="str">
        <f aca="false">IF(B2438="","",IF(N2438=_xlfn.MAXIFS($N$2:$N$5001,$B$2:$B$5001,B2438,$I$2:$I$5001,I2438),1,0))</f>
        <v/>
      </c>
      <c r="M2438" s="16" t="str">
        <f aca="false">IF(B2438="","",IF(E2438="Em ajustes",IF(N2438=_xlfn.MINIFS($N$2:$N$5001,$B$2:$B$5001,B2438,$E$2:$E$5001,"Em ajustes"),1,0),0))</f>
        <v/>
      </c>
      <c r="N2438" s="17" t="str">
        <f aca="false">IF(A2438="","",IF(ISNUMBER(A2438),A2438,IFERROR(DATE(VALUE(MID(A2438,7,4)),VALUE(MID(A2438,4,2)),VALUE(MID(A2438,1,2)))+TIME(VALUE(MID(A2438,12,2)),VALUE(MID(A2438,15,2)),VALUE(MID(A2438,18,2))),"")))</f>
        <v/>
      </c>
    </row>
    <row r="2439" customFormat="false" ht="15" hidden="false" customHeight="false" outlineLevel="0" collapsed="false">
      <c r="I2439" s="15" t="str">
        <f aca="false">IF(N2439="","",INT(N2439))</f>
        <v/>
      </c>
      <c r="J2439" s="16" t="str">
        <f aca="false">IF(B2439="","",IF(N2439=_xlfn.MINIFS($N$2:$N$5001,$B$2:$B$5001,B2439),1,0))</f>
        <v/>
      </c>
      <c r="K2439" s="16" t="str">
        <f aca="false">IF(B2439="","",IF(AND(D2439="Formalização",E2439="Concluído"),IF(COUNTIFS($B$2:$B$5001,B2439,$E$2:$E$5001,"Em ajustes",$N$2:$N$5001,"&lt;"&amp;I2439)&gt;0,1,0),0))</f>
        <v/>
      </c>
      <c r="L2439" s="16" t="str">
        <f aca="false">IF(B2439="","",IF(N2439=_xlfn.MAXIFS($N$2:$N$5001,$B$2:$B$5001,B2439,$I$2:$I$5001,I2439),1,0))</f>
        <v/>
      </c>
      <c r="M2439" s="16" t="str">
        <f aca="false">IF(B2439="","",IF(E2439="Em ajustes",IF(N2439=_xlfn.MINIFS($N$2:$N$5001,$B$2:$B$5001,B2439,$E$2:$E$5001,"Em ajustes"),1,0),0))</f>
        <v/>
      </c>
      <c r="N2439" s="17" t="str">
        <f aca="false">IF(A2439="","",IF(ISNUMBER(A2439),A2439,IFERROR(DATE(VALUE(MID(A2439,7,4)),VALUE(MID(A2439,4,2)),VALUE(MID(A2439,1,2)))+TIME(VALUE(MID(A2439,12,2)),VALUE(MID(A2439,15,2)),VALUE(MID(A2439,18,2))),"")))</f>
        <v/>
      </c>
    </row>
    <row r="2440" customFormat="false" ht="15" hidden="false" customHeight="false" outlineLevel="0" collapsed="false">
      <c r="I2440" s="15" t="str">
        <f aca="false">IF(N2440="","",INT(N2440))</f>
        <v/>
      </c>
      <c r="J2440" s="16" t="str">
        <f aca="false">IF(B2440="","",IF(N2440=_xlfn.MINIFS($N$2:$N$5001,$B$2:$B$5001,B2440),1,0))</f>
        <v/>
      </c>
      <c r="K2440" s="16" t="str">
        <f aca="false">IF(B2440="","",IF(AND(D2440="Formalização",E2440="Concluído"),IF(COUNTIFS($B$2:$B$5001,B2440,$E$2:$E$5001,"Em ajustes",$N$2:$N$5001,"&lt;"&amp;I2440)&gt;0,1,0),0))</f>
        <v/>
      </c>
      <c r="L2440" s="16" t="str">
        <f aca="false">IF(B2440="","",IF(N2440=_xlfn.MAXIFS($N$2:$N$5001,$B$2:$B$5001,B2440,$I$2:$I$5001,I2440),1,0))</f>
        <v/>
      </c>
      <c r="M2440" s="16" t="str">
        <f aca="false">IF(B2440="","",IF(E2440="Em ajustes",IF(N2440=_xlfn.MINIFS($N$2:$N$5001,$B$2:$B$5001,B2440,$E$2:$E$5001,"Em ajustes"),1,0),0))</f>
        <v/>
      </c>
      <c r="N2440" s="17" t="str">
        <f aca="false">IF(A2440="","",IF(ISNUMBER(A2440),A2440,IFERROR(DATE(VALUE(MID(A2440,7,4)),VALUE(MID(A2440,4,2)),VALUE(MID(A2440,1,2)))+TIME(VALUE(MID(A2440,12,2)),VALUE(MID(A2440,15,2)),VALUE(MID(A2440,18,2))),"")))</f>
        <v/>
      </c>
    </row>
    <row r="2441" customFormat="false" ht="15" hidden="false" customHeight="false" outlineLevel="0" collapsed="false">
      <c r="I2441" s="15" t="str">
        <f aca="false">IF(N2441="","",INT(N2441))</f>
        <v/>
      </c>
      <c r="J2441" s="16" t="str">
        <f aca="false">IF(B2441="","",IF(N2441=_xlfn.MINIFS($N$2:$N$5001,$B$2:$B$5001,B2441),1,0))</f>
        <v/>
      </c>
      <c r="K2441" s="16" t="str">
        <f aca="false">IF(B2441="","",IF(AND(D2441="Formalização",E2441="Concluído"),IF(COUNTIFS($B$2:$B$5001,B2441,$E$2:$E$5001,"Em ajustes",$N$2:$N$5001,"&lt;"&amp;I2441)&gt;0,1,0),0))</f>
        <v/>
      </c>
      <c r="L2441" s="16" t="str">
        <f aca="false">IF(B2441="","",IF(N2441=_xlfn.MAXIFS($N$2:$N$5001,$B$2:$B$5001,B2441,$I$2:$I$5001,I2441),1,0))</f>
        <v/>
      </c>
      <c r="M2441" s="16" t="str">
        <f aca="false">IF(B2441="","",IF(E2441="Em ajustes",IF(N2441=_xlfn.MINIFS($N$2:$N$5001,$B$2:$B$5001,B2441,$E$2:$E$5001,"Em ajustes"),1,0),0))</f>
        <v/>
      </c>
      <c r="N2441" s="17" t="str">
        <f aca="false">IF(A2441="","",IF(ISNUMBER(A2441),A2441,IFERROR(DATE(VALUE(MID(A2441,7,4)),VALUE(MID(A2441,4,2)),VALUE(MID(A2441,1,2)))+TIME(VALUE(MID(A2441,12,2)),VALUE(MID(A2441,15,2)),VALUE(MID(A2441,18,2))),"")))</f>
        <v/>
      </c>
    </row>
    <row r="2442" customFormat="false" ht="15" hidden="false" customHeight="false" outlineLevel="0" collapsed="false">
      <c r="I2442" s="15" t="str">
        <f aca="false">IF(N2442="","",INT(N2442))</f>
        <v/>
      </c>
      <c r="J2442" s="16" t="str">
        <f aca="false">IF(B2442="","",IF(N2442=_xlfn.MINIFS($N$2:$N$5001,$B$2:$B$5001,B2442),1,0))</f>
        <v/>
      </c>
      <c r="K2442" s="16" t="str">
        <f aca="false">IF(B2442="","",IF(AND(D2442="Formalização",E2442="Concluído"),IF(COUNTIFS($B$2:$B$5001,B2442,$E$2:$E$5001,"Em ajustes",$N$2:$N$5001,"&lt;"&amp;I2442)&gt;0,1,0),0))</f>
        <v/>
      </c>
      <c r="L2442" s="16" t="str">
        <f aca="false">IF(B2442="","",IF(N2442=_xlfn.MAXIFS($N$2:$N$5001,$B$2:$B$5001,B2442,$I$2:$I$5001,I2442),1,0))</f>
        <v/>
      </c>
      <c r="M2442" s="16" t="str">
        <f aca="false">IF(B2442="","",IF(E2442="Em ajustes",IF(N2442=_xlfn.MINIFS($N$2:$N$5001,$B$2:$B$5001,B2442,$E$2:$E$5001,"Em ajustes"),1,0),0))</f>
        <v/>
      </c>
      <c r="N2442" s="17" t="str">
        <f aca="false">IF(A2442="","",IF(ISNUMBER(A2442),A2442,IFERROR(DATE(VALUE(MID(A2442,7,4)),VALUE(MID(A2442,4,2)),VALUE(MID(A2442,1,2)))+TIME(VALUE(MID(A2442,12,2)),VALUE(MID(A2442,15,2)),VALUE(MID(A2442,18,2))),"")))</f>
        <v/>
      </c>
    </row>
    <row r="2443" customFormat="false" ht="15" hidden="false" customHeight="false" outlineLevel="0" collapsed="false">
      <c r="I2443" s="15" t="str">
        <f aca="false">IF(N2443="","",INT(N2443))</f>
        <v/>
      </c>
      <c r="J2443" s="16" t="str">
        <f aca="false">IF(B2443="","",IF(N2443=_xlfn.MINIFS($N$2:$N$5001,$B$2:$B$5001,B2443),1,0))</f>
        <v/>
      </c>
      <c r="K2443" s="16" t="str">
        <f aca="false">IF(B2443="","",IF(AND(D2443="Formalização",E2443="Concluído"),IF(COUNTIFS($B$2:$B$5001,B2443,$E$2:$E$5001,"Em ajustes",$N$2:$N$5001,"&lt;"&amp;I2443)&gt;0,1,0),0))</f>
        <v/>
      </c>
      <c r="L2443" s="16" t="str">
        <f aca="false">IF(B2443="","",IF(N2443=_xlfn.MAXIFS($N$2:$N$5001,$B$2:$B$5001,B2443,$I$2:$I$5001,I2443),1,0))</f>
        <v/>
      </c>
      <c r="M2443" s="16" t="str">
        <f aca="false">IF(B2443="","",IF(E2443="Em ajustes",IF(N2443=_xlfn.MINIFS($N$2:$N$5001,$B$2:$B$5001,B2443,$E$2:$E$5001,"Em ajustes"),1,0),0))</f>
        <v/>
      </c>
      <c r="N2443" s="17" t="str">
        <f aca="false">IF(A2443="","",IF(ISNUMBER(A2443),A2443,IFERROR(DATE(VALUE(MID(A2443,7,4)),VALUE(MID(A2443,4,2)),VALUE(MID(A2443,1,2)))+TIME(VALUE(MID(A2443,12,2)),VALUE(MID(A2443,15,2)),VALUE(MID(A2443,18,2))),"")))</f>
        <v/>
      </c>
    </row>
    <row r="2444" customFormat="false" ht="15" hidden="false" customHeight="false" outlineLevel="0" collapsed="false">
      <c r="I2444" s="15" t="str">
        <f aca="false">IF(N2444="","",INT(N2444))</f>
        <v/>
      </c>
      <c r="J2444" s="16" t="str">
        <f aca="false">IF(B2444="","",IF(N2444=_xlfn.MINIFS($N$2:$N$5001,$B$2:$B$5001,B2444),1,0))</f>
        <v/>
      </c>
      <c r="K2444" s="16" t="str">
        <f aca="false">IF(B2444="","",IF(AND(D2444="Formalização",E2444="Concluído"),IF(COUNTIFS($B$2:$B$5001,B2444,$E$2:$E$5001,"Em ajustes",$N$2:$N$5001,"&lt;"&amp;I2444)&gt;0,1,0),0))</f>
        <v/>
      </c>
      <c r="L2444" s="16" t="str">
        <f aca="false">IF(B2444="","",IF(N2444=_xlfn.MAXIFS($N$2:$N$5001,$B$2:$B$5001,B2444,$I$2:$I$5001,I2444),1,0))</f>
        <v/>
      </c>
      <c r="M2444" s="16" t="str">
        <f aca="false">IF(B2444="","",IF(E2444="Em ajustes",IF(N2444=_xlfn.MINIFS($N$2:$N$5001,$B$2:$B$5001,B2444,$E$2:$E$5001,"Em ajustes"),1,0),0))</f>
        <v/>
      </c>
      <c r="N2444" s="17" t="str">
        <f aca="false">IF(A2444="","",IF(ISNUMBER(A2444),A2444,IFERROR(DATE(VALUE(MID(A2444,7,4)),VALUE(MID(A2444,4,2)),VALUE(MID(A2444,1,2)))+TIME(VALUE(MID(A2444,12,2)),VALUE(MID(A2444,15,2)),VALUE(MID(A2444,18,2))),"")))</f>
        <v/>
      </c>
    </row>
    <row r="2445" customFormat="false" ht="15" hidden="false" customHeight="false" outlineLevel="0" collapsed="false">
      <c r="I2445" s="15" t="str">
        <f aca="false">IF(N2445="","",INT(N2445))</f>
        <v/>
      </c>
      <c r="J2445" s="16" t="str">
        <f aca="false">IF(B2445="","",IF(N2445=_xlfn.MINIFS($N$2:$N$5001,$B$2:$B$5001,B2445),1,0))</f>
        <v/>
      </c>
      <c r="K2445" s="16" t="str">
        <f aca="false">IF(B2445="","",IF(AND(D2445="Formalização",E2445="Concluído"),IF(COUNTIFS($B$2:$B$5001,B2445,$E$2:$E$5001,"Em ajustes",$N$2:$N$5001,"&lt;"&amp;I2445)&gt;0,1,0),0))</f>
        <v/>
      </c>
      <c r="L2445" s="16" t="str">
        <f aca="false">IF(B2445="","",IF(N2445=_xlfn.MAXIFS($N$2:$N$5001,$B$2:$B$5001,B2445,$I$2:$I$5001,I2445),1,0))</f>
        <v/>
      </c>
      <c r="M2445" s="16" t="str">
        <f aca="false">IF(B2445="","",IF(E2445="Em ajustes",IF(N2445=_xlfn.MINIFS($N$2:$N$5001,$B$2:$B$5001,B2445,$E$2:$E$5001,"Em ajustes"),1,0),0))</f>
        <v/>
      </c>
      <c r="N2445" s="17" t="str">
        <f aca="false">IF(A2445="","",IF(ISNUMBER(A2445),A2445,IFERROR(DATE(VALUE(MID(A2445,7,4)),VALUE(MID(A2445,4,2)),VALUE(MID(A2445,1,2)))+TIME(VALUE(MID(A2445,12,2)),VALUE(MID(A2445,15,2)),VALUE(MID(A2445,18,2))),"")))</f>
        <v/>
      </c>
    </row>
    <row r="2446" customFormat="false" ht="15" hidden="false" customHeight="false" outlineLevel="0" collapsed="false">
      <c r="I2446" s="15" t="str">
        <f aca="false">IF(N2446="","",INT(N2446))</f>
        <v/>
      </c>
      <c r="J2446" s="16" t="str">
        <f aca="false">IF(B2446="","",IF(N2446=_xlfn.MINIFS($N$2:$N$5001,$B$2:$B$5001,B2446),1,0))</f>
        <v/>
      </c>
      <c r="K2446" s="16" t="str">
        <f aca="false">IF(B2446="","",IF(AND(D2446="Formalização",E2446="Concluído"),IF(COUNTIFS($B$2:$B$5001,B2446,$E$2:$E$5001,"Em ajustes",$N$2:$N$5001,"&lt;"&amp;I2446)&gt;0,1,0),0))</f>
        <v/>
      </c>
      <c r="L2446" s="16" t="str">
        <f aca="false">IF(B2446="","",IF(N2446=_xlfn.MAXIFS($N$2:$N$5001,$B$2:$B$5001,B2446,$I$2:$I$5001,I2446),1,0))</f>
        <v/>
      </c>
      <c r="M2446" s="16" t="str">
        <f aca="false">IF(B2446="","",IF(E2446="Em ajustes",IF(N2446=_xlfn.MINIFS($N$2:$N$5001,$B$2:$B$5001,B2446,$E$2:$E$5001,"Em ajustes"),1,0),0))</f>
        <v/>
      </c>
      <c r="N2446" s="17" t="str">
        <f aca="false">IF(A2446="","",IF(ISNUMBER(A2446),A2446,IFERROR(DATE(VALUE(MID(A2446,7,4)),VALUE(MID(A2446,4,2)),VALUE(MID(A2446,1,2)))+TIME(VALUE(MID(A2446,12,2)),VALUE(MID(A2446,15,2)),VALUE(MID(A2446,18,2))),"")))</f>
        <v/>
      </c>
    </row>
    <row r="2447" customFormat="false" ht="15" hidden="false" customHeight="false" outlineLevel="0" collapsed="false">
      <c r="I2447" s="15" t="str">
        <f aca="false">IF(N2447="","",INT(N2447))</f>
        <v/>
      </c>
      <c r="J2447" s="16" t="str">
        <f aca="false">IF(B2447="","",IF(N2447=_xlfn.MINIFS($N$2:$N$5001,$B$2:$B$5001,B2447),1,0))</f>
        <v/>
      </c>
      <c r="K2447" s="16" t="str">
        <f aca="false">IF(B2447="","",IF(AND(D2447="Formalização",E2447="Concluído"),IF(COUNTIFS($B$2:$B$5001,B2447,$E$2:$E$5001,"Em ajustes",$N$2:$N$5001,"&lt;"&amp;I2447)&gt;0,1,0),0))</f>
        <v/>
      </c>
      <c r="L2447" s="16" t="str">
        <f aca="false">IF(B2447="","",IF(N2447=_xlfn.MAXIFS($N$2:$N$5001,$B$2:$B$5001,B2447,$I$2:$I$5001,I2447),1,0))</f>
        <v/>
      </c>
      <c r="M2447" s="16" t="str">
        <f aca="false">IF(B2447="","",IF(E2447="Em ajustes",IF(N2447=_xlfn.MINIFS($N$2:$N$5001,$B$2:$B$5001,B2447,$E$2:$E$5001,"Em ajustes"),1,0),0))</f>
        <v/>
      </c>
      <c r="N2447" s="17" t="str">
        <f aca="false">IF(A2447="","",IF(ISNUMBER(A2447),A2447,IFERROR(DATE(VALUE(MID(A2447,7,4)),VALUE(MID(A2447,4,2)),VALUE(MID(A2447,1,2)))+TIME(VALUE(MID(A2447,12,2)),VALUE(MID(A2447,15,2)),VALUE(MID(A2447,18,2))),"")))</f>
        <v/>
      </c>
    </row>
    <row r="2448" customFormat="false" ht="15" hidden="false" customHeight="false" outlineLevel="0" collapsed="false">
      <c r="I2448" s="15" t="str">
        <f aca="false">IF(N2448="","",INT(N2448))</f>
        <v/>
      </c>
      <c r="J2448" s="16" t="str">
        <f aca="false">IF(B2448="","",IF(N2448=_xlfn.MINIFS($N$2:$N$5001,$B$2:$B$5001,B2448),1,0))</f>
        <v/>
      </c>
      <c r="K2448" s="16" t="str">
        <f aca="false">IF(B2448="","",IF(AND(D2448="Formalização",E2448="Concluído"),IF(COUNTIFS($B$2:$B$5001,B2448,$E$2:$E$5001,"Em ajustes",$N$2:$N$5001,"&lt;"&amp;I2448)&gt;0,1,0),0))</f>
        <v/>
      </c>
      <c r="L2448" s="16" t="str">
        <f aca="false">IF(B2448="","",IF(N2448=_xlfn.MAXIFS($N$2:$N$5001,$B$2:$B$5001,B2448,$I$2:$I$5001,I2448),1,0))</f>
        <v/>
      </c>
      <c r="M2448" s="16" t="str">
        <f aca="false">IF(B2448="","",IF(E2448="Em ajustes",IF(N2448=_xlfn.MINIFS($N$2:$N$5001,$B$2:$B$5001,B2448,$E$2:$E$5001,"Em ajustes"),1,0),0))</f>
        <v/>
      </c>
      <c r="N2448" s="17" t="str">
        <f aca="false">IF(A2448="","",IF(ISNUMBER(A2448),A2448,IFERROR(DATE(VALUE(MID(A2448,7,4)),VALUE(MID(A2448,4,2)),VALUE(MID(A2448,1,2)))+TIME(VALUE(MID(A2448,12,2)),VALUE(MID(A2448,15,2)),VALUE(MID(A2448,18,2))),"")))</f>
        <v/>
      </c>
    </row>
    <row r="2449" customFormat="false" ht="15" hidden="false" customHeight="false" outlineLevel="0" collapsed="false">
      <c r="I2449" s="15" t="str">
        <f aca="false">IF(N2449="","",INT(N2449))</f>
        <v/>
      </c>
      <c r="J2449" s="16" t="str">
        <f aca="false">IF(B2449="","",IF(N2449=_xlfn.MINIFS($N$2:$N$5001,$B$2:$B$5001,B2449),1,0))</f>
        <v/>
      </c>
      <c r="K2449" s="16" t="str">
        <f aca="false">IF(B2449="","",IF(AND(D2449="Formalização",E2449="Concluído"),IF(COUNTIFS($B$2:$B$5001,B2449,$E$2:$E$5001,"Em ajustes",$N$2:$N$5001,"&lt;"&amp;I2449)&gt;0,1,0),0))</f>
        <v/>
      </c>
      <c r="L2449" s="16" t="str">
        <f aca="false">IF(B2449="","",IF(N2449=_xlfn.MAXIFS($N$2:$N$5001,$B$2:$B$5001,B2449,$I$2:$I$5001,I2449),1,0))</f>
        <v/>
      </c>
      <c r="M2449" s="16" t="str">
        <f aca="false">IF(B2449="","",IF(E2449="Em ajustes",IF(N2449=_xlfn.MINIFS($N$2:$N$5001,$B$2:$B$5001,B2449,$E$2:$E$5001,"Em ajustes"),1,0),0))</f>
        <v/>
      </c>
      <c r="N2449" s="17" t="str">
        <f aca="false">IF(A2449="","",IF(ISNUMBER(A2449),A2449,IFERROR(DATE(VALUE(MID(A2449,7,4)),VALUE(MID(A2449,4,2)),VALUE(MID(A2449,1,2)))+TIME(VALUE(MID(A2449,12,2)),VALUE(MID(A2449,15,2)),VALUE(MID(A2449,18,2))),"")))</f>
        <v/>
      </c>
    </row>
    <row r="2450" customFormat="false" ht="15" hidden="false" customHeight="false" outlineLevel="0" collapsed="false">
      <c r="I2450" s="15" t="str">
        <f aca="false">IF(N2450="","",INT(N2450))</f>
        <v/>
      </c>
      <c r="J2450" s="16" t="str">
        <f aca="false">IF(B2450="","",IF(N2450=_xlfn.MINIFS($N$2:$N$5001,$B$2:$B$5001,B2450),1,0))</f>
        <v/>
      </c>
      <c r="K2450" s="16" t="str">
        <f aca="false">IF(B2450="","",IF(AND(D2450="Formalização",E2450="Concluído"),IF(COUNTIFS($B$2:$B$5001,B2450,$E$2:$E$5001,"Em ajustes",$N$2:$N$5001,"&lt;"&amp;I2450)&gt;0,1,0),0))</f>
        <v/>
      </c>
      <c r="L2450" s="16" t="str">
        <f aca="false">IF(B2450="","",IF(N2450=_xlfn.MAXIFS($N$2:$N$5001,$B$2:$B$5001,B2450,$I$2:$I$5001,I2450),1,0))</f>
        <v/>
      </c>
      <c r="M2450" s="16" t="str">
        <f aca="false">IF(B2450="","",IF(E2450="Em ajustes",IF(N2450=_xlfn.MINIFS($N$2:$N$5001,$B$2:$B$5001,B2450,$E$2:$E$5001,"Em ajustes"),1,0),0))</f>
        <v/>
      </c>
      <c r="N2450" s="17" t="str">
        <f aca="false">IF(A2450="","",IF(ISNUMBER(A2450),A2450,IFERROR(DATE(VALUE(MID(A2450,7,4)),VALUE(MID(A2450,4,2)),VALUE(MID(A2450,1,2)))+TIME(VALUE(MID(A2450,12,2)),VALUE(MID(A2450,15,2)),VALUE(MID(A2450,18,2))),"")))</f>
        <v/>
      </c>
    </row>
    <row r="2451" customFormat="false" ht="15" hidden="false" customHeight="false" outlineLevel="0" collapsed="false">
      <c r="I2451" s="15" t="str">
        <f aca="false">IF(N2451="","",INT(N2451))</f>
        <v/>
      </c>
      <c r="J2451" s="16" t="str">
        <f aca="false">IF(B2451="","",IF(N2451=_xlfn.MINIFS($N$2:$N$5001,$B$2:$B$5001,B2451),1,0))</f>
        <v/>
      </c>
      <c r="K2451" s="16" t="str">
        <f aca="false">IF(B2451="","",IF(AND(D2451="Formalização",E2451="Concluído"),IF(COUNTIFS($B$2:$B$5001,B2451,$E$2:$E$5001,"Em ajustes",$N$2:$N$5001,"&lt;"&amp;I2451)&gt;0,1,0),0))</f>
        <v/>
      </c>
      <c r="L2451" s="16" t="str">
        <f aca="false">IF(B2451="","",IF(N2451=_xlfn.MAXIFS($N$2:$N$5001,$B$2:$B$5001,B2451,$I$2:$I$5001,I2451),1,0))</f>
        <v/>
      </c>
      <c r="M2451" s="16" t="str">
        <f aca="false">IF(B2451="","",IF(E2451="Em ajustes",IF(N2451=_xlfn.MINIFS($N$2:$N$5001,$B$2:$B$5001,B2451,$E$2:$E$5001,"Em ajustes"),1,0),0))</f>
        <v/>
      </c>
      <c r="N2451" s="17" t="str">
        <f aca="false">IF(A2451="","",IF(ISNUMBER(A2451),A2451,IFERROR(DATE(VALUE(MID(A2451,7,4)),VALUE(MID(A2451,4,2)),VALUE(MID(A2451,1,2)))+TIME(VALUE(MID(A2451,12,2)),VALUE(MID(A2451,15,2)),VALUE(MID(A2451,18,2))),"")))</f>
        <v/>
      </c>
    </row>
    <row r="2452" customFormat="false" ht="15" hidden="false" customHeight="false" outlineLevel="0" collapsed="false">
      <c r="I2452" s="15" t="str">
        <f aca="false">IF(N2452="","",INT(N2452))</f>
        <v/>
      </c>
      <c r="J2452" s="16" t="str">
        <f aca="false">IF(B2452="","",IF(N2452=_xlfn.MINIFS($N$2:$N$5001,$B$2:$B$5001,B2452),1,0))</f>
        <v/>
      </c>
      <c r="K2452" s="16" t="str">
        <f aca="false">IF(B2452="","",IF(AND(D2452="Formalização",E2452="Concluído"),IF(COUNTIFS($B$2:$B$5001,B2452,$E$2:$E$5001,"Em ajustes",$N$2:$N$5001,"&lt;"&amp;I2452)&gt;0,1,0),0))</f>
        <v/>
      </c>
      <c r="L2452" s="16" t="str">
        <f aca="false">IF(B2452="","",IF(N2452=_xlfn.MAXIFS($N$2:$N$5001,$B$2:$B$5001,B2452,$I$2:$I$5001,I2452),1,0))</f>
        <v/>
      </c>
      <c r="M2452" s="16" t="str">
        <f aca="false">IF(B2452="","",IF(E2452="Em ajustes",IF(N2452=_xlfn.MINIFS($N$2:$N$5001,$B$2:$B$5001,B2452,$E$2:$E$5001,"Em ajustes"),1,0),0))</f>
        <v/>
      </c>
      <c r="N2452" s="17" t="str">
        <f aca="false">IF(A2452="","",IF(ISNUMBER(A2452),A2452,IFERROR(DATE(VALUE(MID(A2452,7,4)),VALUE(MID(A2452,4,2)),VALUE(MID(A2452,1,2)))+TIME(VALUE(MID(A2452,12,2)),VALUE(MID(A2452,15,2)),VALUE(MID(A2452,18,2))),"")))</f>
        <v/>
      </c>
    </row>
    <row r="2453" customFormat="false" ht="15" hidden="false" customHeight="false" outlineLevel="0" collapsed="false">
      <c r="I2453" s="15" t="str">
        <f aca="false">IF(N2453="","",INT(N2453))</f>
        <v/>
      </c>
      <c r="J2453" s="16" t="str">
        <f aca="false">IF(B2453="","",IF(N2453=_xlfn.MINIFS($N$2:$N$5001,$B$2:$B$5001,B2453),1,0))</f>
        <v/>
      </c>
      <c r="K2453" s="16" t="str">
        <f aca="false">IF(B2453="","",IF(AND(D2453="Formalização",E2453="Concluído"),IF(COUNTIFS($B$2:$B$5001,B2453,$E$2:$E$5001,"Em ajustes",$N$2:$N$5001,"&lt;"&amp;I2453)&gt;0,1,0),0))</f>
        <v/>
      </c>
      <c r="L2453" s="16" t="str">
        <f aca="false">IF(B2453="","",IF(N2453=_xlfn.MAXIFS($N$2:$N$5001,$B$2:$B$5001,B2453,$I$2:$I$5001,I2453),1,0))</f>
        <v/>
      </c>
      <c r="M2453" s="16" t="str">
        <f aca="false">IF(B2453="","",IF(E2453="Em ajustes",IF(N2453=_xlfn.MINIFS($N$2:$N$5001,$B$2:$B$5001,B2453,$E$2:$E$5001,"Em ajustes"),1,0),0))</f>
        <v/>
      </c>
      <c r="N2453" s="17" t="str">
        <f aca="false">IF(A2453="","",IF(ISNUMBER(A2453),A2453,IFERROR(DATE(VALUE(MID(A2453,7,4)),VALUE(MID(A2453,4,2)),VALUE(MID(A2453,1,2)))+TIME(VALUE(MID(A2453,12,2)),VALUE(MID(A2453,15,2)),VALUE(MID(A2453,18,2))),"")))</f>
        <v/>
      </c>
    </row>
    <row r="2454" customFormat="false" ht="15" hidden="false" customHeight="false" outlineLevel="0" collapsed="false">
      <c r="I2454" s="15" t="str">
        <f aca="false">IF(N2454="","",INT(N2454))</f>
        <v/>
      </c>
      <c r="J2454" s="16" t="str">
        <f aca="false">IF(B2454="","",IF(N2454=_xlfn.MINIFS($N$2:$N$5001,$B$2:$B$5001,B2454),1,0))</f>
        <v/>
      </c>
      <c r="K2454" s="16" t="str">
        <f aca="false">IF(B2454="","",IF(AND(D2454="Formalização",E2454="Concluído"),IF(COUNTIFS($B$2:$B$5001,B2454,$E$2:$E$5001,"Em ajustes",$N$2:$N$5001,"&lt;"&amp;I2454)&gt;0,1,0),0))</f>
        <v/>
      </c>
      <c r="L2454" s="16" t="str">
        <f aca="false">IF(B2454="","",IF(N2454=_xlfn.MAXIFS($N$2:$N$5001,$B$2:$B$5001,B2454,$I$2:$I$5001,I2454),1,0))</f>
        <v/>
      </c>
      <c r="M2454" s="16" t="str">
        <f aca="false">IF(B2454="","",IF(E2454="Em ajustes",IF(N2454=_xlfn.MINIFS($N$2:$N$5001,$B$2:$B$5001,B2454,$E$2:$E$5001,"Em ajustes"),1,0),0))</f>
        <v/>
      </c>
      <c r="N2454" s="17" t="str">
        <f aca="false">IF(A2454="","",IF(ISNUMBER(A2454),A2454,IFERROR(DATE(VALUE(MID(A2454,7,4)),VALUE(MID(A2454,4,2)),VALUE(MID(A2454,1,2)))+TIME(VALUE(MID(A2454,12,2)),VALUE(MID(A2454,15,2)),VALUE(MID(A2454,18,2))),"")))</f>
        <v/>
      </c>
    </row>
    <row r="2455" customFormat="false" ht="15" hidden="false" customHeight="false" outlineLevel="0" collapsed="false">
      <c r="I2455" s="15" t="str">
        <f aca="false">IF(N2455="","",INT(N2455))</f>
        <v/>
      </c>
      <c r="J2455" s="16" t="str">
        <f aca="false">IF(B2455="","",IF(N2455=_xlfn.MINIFS($N$2:$N$5001,$B$2:$B$5001,B2455),1,0))</f>
        <v/>
      </c>
      <c r="K2455" s="16" t="str">
        <f aca="false">IF(B2455="","",IF(AND(D2455="Formalização",E2455="Concluído"),IF(COUNTIFS($B$2:$B$5001,B2455,$E$2:$E$5001,"Em ajustes",$N$2:$N$5001,"&lt;"&amp;I2455)&gt;0,1,0),0))</f>
        <v/>
      </c>
      <c r="L2455" s="16" t="str">
        <f aca="false">IF(B2455="","",IF(N2455=_xlfn.MAXIFS($N$2:$N$5001,$B$2:$B$5001,B2455,$I$2:$I$5001,I2455),1,0))</f>
        <v/>
      </c>
      <c r="M2455" s="16" t="str">
        <f aca="false">IF(B2455="","",IF(E2455="Em ajustes",IF(N2455=_xlfn.MINIFS($N$2:$N$5001,$B$2:$B$5001,B2455,$E$2:$E$5001,"Em ajustes"),1,0),0))</f>
        <v/>
      </c>
      <c r="N2455" s="17" t="str">
        <f aca="false">IF(A2455="","",IF(ISNUMBER(A2455),A2455,IFERROR(DATE(VALUE(MID(A2455,7,4)),VALUE(MID(A2455,4,2)),VALUE(MID(A2455,1,2)))+TIME(VALUE(MID(A2455,12,2)),VALUE(MID(A2455,15,2)),VALUE(MID(A2455,18,2))),"")))</f>
        <v/>
      </c>
    </row>
    <row r="2456" customFormat="false" ht="15" hidden="false" customHeight="false" outlineLevel="0" collapsed="false">
      <c r="I2456" s="15" t="str">
        <f aca="false">IF(N2456="","",INT(N2456))</f>
        <v/>
      </c>
      <c r="J2456" s="16" t="str">
        <f aca="false">IF(B2456="","",IF(N2456=_xlfn.MINIFS($N$2:$N$5001,$B$2:$B$5001,B2456),1,0))</f>
        <v/>
      </c>
      <c r="K2456" s="16" t="str">
        <f aca="false">IF(B2456="","",IF(AND(D2456="Formalização",E2456="Concluído"),IF(COUNTIFS($B$2:$B$5001,B2456,$E$2:$E$5001,"Em ajustes",$N$2:$N$5001,"&lt;"&amp;I2456)&gt;0,1,0),0))</f>
        <v/>
      </c>
      <c r="L2456" s="16" t="str">
        <f aca="false">IF(B2456="","",IF(N2456=_xlfn.MAXIFS($N$2:$N$5001,$B$2:$B$5001,B2456,$I$2:$I$5001,I2456),1,0))</f>
        <v/>
      </c>
      <c r="M2456" s="16" t="str">
        <f aca="false">IF(B2456="","",IF(E2456="Em ajustes",IF(N2456=_xlfn.MINIFS($N$2:$N$5001,$B$2:$B$5001,B2456,$E$2:$E$5001,"Em ajustes"),1,0),0))</f>
        <v/>
      </c>
      <c r="N2456" s="17" t="str">
        <f aca="false">IF(A2456="","",IF(ISNUMBER(A2456),A2456,IFERROR(DATE(VALUE(MID(A2456,7,4)),VALUE(MID(A2456,4,2)),VALUE(MID(A2456,1,2)))+TIME(VALUE(MID(A2456,12,2)),VALUE(MID(A2456,15,2)),VALUE(MID(A2456,18,2))),"")))</f>
        <v/>
      </c>
    </row>
    <row r="2457" customFormat="false" ht="15" hidden="false" customHeight="false" outlineLevel="0" collapsed="false">
      <c r="I2457" s="15" t="str">
        <f aca="false">IF(N2457="","",INT(N2457))</f>
        <v/>
      </c>
      <c r="J2457" s="16" t="str">
        <f aca="false">IF(B2457="","",IF(N2457=_xlfn.MINIFS($N$2:$N$5001,$B$2:$B$5001,B2457),1,0))</f>
        <v/>
      </c>
      <c r="K2457" s="16" t="str">
        <f aca="false">IF(B2457="","",IF(AND(D2457="Formalização",E2457="Concluído"),IF(COUNTIFS($B$2:$B$5001,B2457,$E$2:$E$5001,"Em ajustes",$N$2:$N$5001,"&lt;"&amp;I2457)&gt;0,1,0),0))</f>
        <v/>
      </c>
      <c r="L2457" s="16" t="str">
        <f aca="false">IF(B2457="","",IF(N2457=_xlfn.MAXIFS($N$2:$N$5001,$B$2:$B$5001,B2457,$I$2:$I$5001,I2457),1,0))</f>
        <v/>
      </c>
      <c r="M2457" s="16" t="str">
        <f aca="false">IF(B2457="","",IF(E2457="Em ajustes",IF(N2457=_xlfn.MINIFS($N$2:$N$5001,$B$2:$B$5001,B2457,$E$2:$E$5001,"Em ajustes"),1,0),0))</f>
        <v/>
      </c>
      <c r="N2457" s="17" t="str">
        <f aca="false">IF(A2457="","",IF(ISNUMBER(A2457),A2457,IFERROR(DATE(VALUE(MID(A2457,7,4)),VALUE(MID(A2457,4,2)),VALUE(MID(A2457,1,2)))+TIME(VALUE(MID(A2457,12,2)),VALUE(MID(A2457,15,2)),VALUE(MID(A2457,18,2))),"")))</f>
        <v/>
      </c>
    </row>
    <row r="2458" customFormat="false" ht="15" hidden="false" customHeight="false" outlineLevel="0" collapsed="false">
      <c r="I2458" s="15" t="str">
        <f aca="false">IF(N2458="","",INT(N2458))</f>
        <v/>
      </c>
      <c r="J2458" s="16" t="str">
        <f aca="false">IF(B2458="","",IF(N2458=_xlfn.MINIFS($N$2:$N$5001,$B$2:$B$5001,B2458),1,0))</f>
        <v/>
      </c>
      <c r="K2458" s="16" t="str">
        <f aca="false">IF(B2458="","",IF(AND(D2458="Formalização",E2458="Concluído"),IF(COUNTIFS($B$2:$B$5001,B2458,$E$2:$E$5001,"Em ajustes",$N$2:$N$5001,"&lt;"&amp;I2458)&gt;0,1,0),0))</f>
        <v/>
      </c>
      <c r="L2458" s="16" t="str">
        <f aca="false">IF(B2458="","",IF(N2458=_xlfn.MAXIFS($N$2:$N$5001,$B$2:$B$5001,B2458,$I$2:$I$5001,I2458),1,0))</f>
        <v/>
      </c>
      <c r="M2458" s="16" t="str">
        <f aca="false">IF(B2458="","",IF(E2458="Em ajustes",IF(N2458=_xlfn.MINIFS($N$2:$N$5001,$B$2:$B$5001,B2458,$E$2:$E$5001,"Em ajustes"),1,0),0))</f>
        <v/>
      </c>
      <c r="N2458" s="17" t="str">
        <f aca="false">IF(A2458="","",IF(ISNUMBER(A2458),A2458,IFERROR(DATE(VALUE(MID(A2458,7,4)),VALUE(MID(A2458,4,2)),VALUE(MID(A2458,1,2)))+TIME(VALUE(MID(A2458,12,2)),VALUE(MID(A2458,15,2)),VALUE(MID(A2458,18,2))),"")))</f>
        <v/>
      </c>
    </row>
    <row r="2459" customFormat="false" ht="15" hidden="false" customHeight="false" outlineLevel="0" collapsed="false">
      <c r="I2459" s="15" t="str">
        <f aca="false">IF(N2459="","",INT(N2459))</f>
        <v/>
      </c>
      <c r="J2459" s="16" t="str">
        <f aca="false">IF(B2459="","",IF(N2459=_xlfn.MINIFS($N$2:$N$5001,$B$2:$B$5001,B2459),1,0))</f>
        <v/>
      </c>
      <c r="K2459" s="16" t="str">
        <f aca="false">IF(B2459="","",IF(AND(D2459="Formalização",E2459="Concluído"),IF(COUNTIFS($B$2:$B$5001,B2459,$E$2:$E$5001,"Em ajustes",$N$2:$N$5001,"&lt;"&amp;I2459)&gt;0,1,0),0))</f>
        <v/>
      </c>
      <c r="L2459" s="16" t="str">
        <f aca="false">IF(B2459="","",IF(N2459=_xlfn.MAXIFS($N$2:$N$5001,$B$2:$B$5001,B2459,$I$2:$I$5001,I2459),1,0))</f>
        <v/>
      </c>
      <c r="M2459" s="16" t="str">
        <f aca="false">IF(B2459="","",IF(E2459="Em ajustes",IF(N2459=_xlfn.MINIFS($N$2:$N$5001,$B$2:$B$5001,B2459,$E$2:$E$5001,"Em ajustes"),1,0),0))</f>
        <v/>
      </c>
      <c r="N2459" s="17" t="str">
        <f aca="false">IF(A2459="","",IF(ISNUMBER(A2459),A2459,IFERROR(DATE(VALUE(MID(A2459,7,4)),VALUE(MID(A2459,4,2)),VALUE(MID(A2459,1,2)))+TIME(VALUE(MID(A2459,12,2)),VALUE(MID(A2459,15,2)),VALUE(MID(A2459,18,2))),"")))</f>
        <v/>
      </c>
    </row>
    <row r="2460" customFormat="false" ht="15" hidden="false" customHeight="false" outlineLevel="0" collapsed="false">
      <c r="I2460" s="15" t="str">
        <f aca="false">IF(N2460="","",INT(N2460))</f>
        <v/>
      </c>
      <c r="J2460" s="16" t="str">
        <f aca="false">IF(B2460="","",IF(N2460=_xlfn.MINIFS($N$2:$N$5001,$B$2:$B$5001,B2460),1,0))</f>
        <v/>
      </c>
      <c r="K2460" s="16" t="str">
        <f aca="false">IF(B2460="","",IF(AND(D2460="Formalização",E2460="Concluído"),IF(COUNTIFS($B$2:$B$5001,B2460,$E$2:$E$5001,"Em ajustes",$N$2:$N$5001,"&lt;"&amp;I2460)&gt;0,1,0),0))</f>
        <v/>
      </c>
      <c r="L2460" s="16" t="str">
        <f aca="false">IF(B2460="","",IF(N2460=_xlfn.MAXIFS($N$2:$N$5001,$B$2:$B$5001,B2460,$I$2:$I$5001,I2460),1,0))</f>
        <v/>
      </c>
      <c r="M2460" s="16" t="str">
        <f aca="false">IF(B2460="","",IF(E2460="Em ajustes",IF(N2460=_xlfn.MINIFS($N$2:$N$5001,$B$2:$B$5001,B2460,$E$2:$E$5001,"Em ajustes"),1,0),0))</f>
        <v/>
      </c>
      <c r="N2460" s="17" t="str">
        <f aca="false">IF(A2460="","",IF(ISNUMBER(A2460),A2460,IFERROR(DATE(VALUE(MID(A2460,7,4)),VALUE(MID(A2460,4,2)),VALUE(MID(A2460,1,2)))+TIME(VALUE(MID(A2460,12,2)),VALUE(MID(A2460,15,2)),VALUE(MID(A2460,18,2))),"")))</f>
        <v/>
      </c>
    </row>
    <row r="2461" customFormat="false" ht="15" hidden="false" customHeight="false" outlineLevel="0" collapsed="false">
      <c r="I2461" s="15" t="str">
        <f aca="false">IF(N2461="","",INT(N2461))</f>
        <v/>
      </c>
      <c r="J2461" s="16" t="str">
        <f aca="false">IF(B2461="","",IF(N2461=_xlfn.MINIFS($N$2:$N$5001,$B$2:$B$5001,B2461),1,0))</f>
        <v/>
      </c>
      <c r="K2461" s="16" t="str">
        <f aca="false">IF(B2461="","",IF(AND(D2461="Formalização",E2461="Concluído"),IF(COUNTIFS($B$2:$B$5001,B2461,$E$2:$E$5001,"Em ajustes",$N$2:$N$5001,"&lt;"&amp;I2461)&gt;0,1,0),0))</f>
        <v/>
      </c>
      <c r="L2461" s="16" t="str">
        <f aca="false">IF(B2461="","",IF(N2461=_xlfn.MAXIFS($N$2:$N$5001,$B$2:$B$5001,B2461,$I$2:$I$5001,I2461),1,0))</f>
        <v/>
      </c>
      <c r="M2461" s="16" t="str">
        <f aca="false">IF(B2461="","",IF(E2461="Em ajustes",IF(N2461=_xlfn.MINIFS($N$2:$N$5001,$B$2:$B$5001,B2461,$E$2:$E$5001,"Em ajustes"),1,0),0))</f>
        <v/>
      </c>
      <c r="N2461" s="17" t="str">
        <f aca="false">IF(A2461="","",IF(ISNUMBER(A2461),A2461,IFERROR(DATE(VALUE(MID(A2461,7,4)),VALUE(MID(A2461,4,2)),VALUE(MID(A2461,1,2)))+TIME(VALUE(MID(A2461,12,2)),VALUE(MID(A2461,15,2)),VALUE(MID(A2461,18,2))),"")))</f>
        <v/>
      </c>
    </row>
    <row r="2462" customFormat="false" ht="15" hidden="false" customHeight="false" outlineLevel="0" collapsed="false">
      <c r="I2462" s="15" t="str">
        <f aca="false">IF(N2462="","",INT(N2462))</f>
        <v/>
      </c>
      <c r="J2462" s="16" t="str">
        <f aca="false">IF(B2462="","",IF(N2462=_xlfn.MINIFS($N$2:$N$5001,$B$2:$B$5001,B2462),1,0))</f>
        <v/>
      </c>
      <c r="K2462" s="16" t="str">
        <f aca="false">IF(B2462="","",IF(AND(D2462="Formalização",E2462="Concluído"),IF(COUNTIFS($B$2:$B$5001,B2462,$E$2:$E$5001,"Em ajustes",$N$2:$N$5001,"&lt;"&amp;I2462)&gt;0,1,0),0))</f>
        <v/>
      </c>
      <c r="L2462" s="16" t="str">
        <f aca="false">IF(B2462="","",IF(N2462=_xlfn.MAXIFS($N$2:$N$5001,$B$2:$B$5001,B2462,$I$2:$I$5001,I2462),1,0))</f>
        <v/>
      </c>
      <c r="M2462" s="16" t="str">
        <f aca="false">IF(B2462="","",IF(E2462="Em ajustes",IF(N2462=_xlfn.MINIFS($N$2:$N$5001,$B$2:$B$5001,B2462,$E$2:$E$5001,"Em ajustes"),1,0),0))</f>
        <v/>
      </c>
      <c r="N2462" s="17" t="str">
        <f aca="false">IF(A2462="","",IF(ISNUMBER(A2462),A2462,IFERROR(DATE(VALUE(MID(A2462,7,4)),VALUE(MID(A2462,4,2)),VALUE(MID(A2462,1,2)))+TIME(VALUE(MID(A2462,12,2)),VALUE(MID(A2462,15,2)),VALUE(MID(A2462,18,2))),"")))</f>
        <v/>
      </c>
    </row>
    <row r="2463" customFormat="false" ht="15" hidden="false" customHeight="false" outlineLevel="0" collapsed="false">
      <c r="I2463" s="15" t="str">
        <f aca="false">IF(N2463="","",INT(N2463))</f>
        <v/>
      </c>
      <c r="J2463" s="16" t="str">
        <f aca="false">IF(B2463="","",IF(N2463=_xlfn.MINIFS($N$2:$N$5001,$B$2:$B$5001,B2463),1,0))</f>
        <v/>
      </c>
      <c r="K2463" s="16" t="str">
        <f aca="false">IF(B2463="","",IF(AND(D2463="Formalização",E2463="Concluído"),IF(COUNTIFS($B$2:$B$5001,B2463,$E$2:$E$5001,"Em ajustes",$N$2:$N$5001,"&lt;"&amp;I2463)&gt;0,1,0),0))</f>
        <v/>
      </c>
      <c r="L2463" s="16" t="str">
        <f aca="false">IF(B2463="","",IF(N2463=_xlfn.MAXIFS($N$2:$N$5001,$B$2:$B$5001,B2463,$I$2:$I$5001,I2463),1,0))</f>
        <v/>
      </c>
      <c r="M2463" s="16" t="str">
        <f aca="false">IF(B2463="","",IF(E2463="Em ajustes",IF(N2463=_xlfn.MINIFS($N$2:$N$5001,$B$2:$B$5001,B2463,$E$2:$E$5001,"Em ajustes"),1,0),0))</f>
        <v/>
      </c>
      <c r="N2463" s="17" t="str">
        <f aca="false">IF(A2463="","",IF(ISNUMBER(A2463),A2463,IFERROR(DATE(VALUE(MID(A2463,7,4)),VALUE(MID(A2463,4,2)),VALUE(MID(A2463,1,2)))+TIME(VALUE(MID(A2463,12,2)),VALUE(MID(A2463,15,2)),VALUE(MID(A2463,18,2))),"")))</f>
        <v/>
      </c>
    </row>
    <row r="2464" customFormat="false" ht="15" hidden="false" customHeight="false" outlineLevel="0" collapsed="false">
      <c r="I2464" s="15" t="str">
        <f aca="false">IF(N2464="","",INT(N2464))</f>
        <v/>
      </c>
      <c r="J2464" s="16" t="str">
        <f aca="false">IF(B2464="","",IF(N2464=_xlfn.MINIFS($N$2:$N$5001,$B$2:$B$5001,B2464),1,0))</f>
        <v/>
      </c>
      <c r="K2464" s="16" t="str">
        <f aca="false">IF(B2464="","",IF(AND(D2464="Formalização",E2464="Concluído"),IF(COUNTIFS($B$2:$B$5001,B2464,$E$2:$E$5001,"Em ajustes",$N$2:$N$5001,"&lt;"&amp;I2464)&gt;0,1,0),0))</f>
        <v/>
      </c>
      <c r="L2464" s="16" t="str">
        <f aca="false">IF(B2464="","",IF(N2464=_xlfn.MAXIFS($N$2:$N$5001,$B$2:$B$5001,B2464,$I$2:$I$5001,I2464),1,0))</f>
        <v/>
      </c>
      <c r="M2464" s="16" t="str">
        <f aca="false">IF(B2464="","",IF(E2464="Em ajustes",IF(N2464=_xlfn.MINIFS($N$2:$N$5001,$B$2:$B$5001,B2464,$E$2:$E$5001,"Em ajustes"),1,0),0))</f>
        <v/>
      </c>
      <c r="N2464" s="17" t="str">
        <f aca="false">IF(A2464="","",IF(ISNUMBER(A2464),A2464,IFERROR(DATE(VALUE(MID(A2464,7,4)),VALUE(MID(A2464,4,2)),VALUE(MID(A2464,1,2)))+TIME(VALUE(MID(A2464,12,2)),VALUE(MID(A2464,15,2)),VALUE(MID(A2464,18,2))),"")))</f>
        <v/>
      </c>
    </row>
    <row r="2465" customFormat="false" ht="15" hidden="false" customHeight="false" outlineLevel="0" collapsed="false">
      <c r="I2465" s="15" t="str">
        <f aca="false">IF(N2465="","",INT(N2465))</f>
        <v/>
      </c>
      <c r="J2465" s="16" t="str">
        <f aca="false">IF(B2465="","",IF(N2465=_xlfn.MINIFS($N$2:$N$5001,$B$2:$B$5001,B2465),1,0))</f>
        <v/>
      </c>
      <c r="K2465" s="16" t="str">
        <f aca="false">IF(B2465="","",IF(AND(D2465="Formalização",E2465="Concluído"),IF(COUNTIFS($B$2:$B$5001,B2465,$E$2:$E$5001,"Em ajustes",$N$2:$N$5001,"&lt;"&amp;I2465)&gt;0,1,0),0))</f>
        <v/>
      </c>
      <c r="L2465" s="16" t="str">
        <f aca="false">IF(B2465="","",IF(N2465=_xlfn.MAXIFS($N$2:$N$5001,$B$2:$B$5001,B2465,$I$2:$I$5001,I2465),1,0))</f>
        <v/>
      </c>
      <c r="M2465" s="16" t="str">
        <f aca="false">IF(B2465="","",IF(E2465="Em ajustes",IF(N2465=_xlfn.MINIFS($N$2:$N$5001,$B$2:$B$5001,B2465,$E$2:$E$5001,"Em ajustes"),1,0),0))</f>
        <v/>
      </c>
      <c r="N2465" s="17" t="str">
        <f aca="false">IF(A2465="","",IF(ISNUMBER(A2465),A2465,IFERROR(DATE(VALUE(MID(A2465,7,4)),VALUE(MID(A2465,4,2)),VALUE(MID(A2465,1,2)))+TIME(VALUE(MID(A2465,12,2)),VALUE(MID(A2465,15,2)),VALUE(MID(A2465,18,2))),"")))</f>
        <v/>
      </c>
    </row>
    <row r="2466" customFormat="false" ht="15" hidden="false" customHeight="false" outlineLevel="0" collapsed="false">
      <c r="I2466" s="15" t="str">
        <f aca="false">IF(N2466="","",INT(N2466))</f>
        <v/>
      </c>
      <c r="J2466" s="16" t="str">
        <f aca="false">IF(B2466="","",IF(N2466=_xlfn.MINIFS($N$2:$N$5001,$B$2:$B$5001,B2466),1,0))</f>
        <v/>
      </c>
      <c r="K2466" s="16" t="str">
        <f aca="false">IF(B2466="","",IF(AND(D2466="Formalização",E2466="Concluído"),IF(COUNTIFS($B$2:$B$5001,B2466,$E$2:$E$5001,"Em ajustes",$N$2:$N$5001,"&lt;"&amp;I2466)&gt;0,1,0),0))</f>
        <v/>
      </c>
      <c r="L2466" s="16" t="str">
        <f aca="false">IF(B2466="","",IF(N2466=_xlfn.MAXIFS($N$2:$N$5001,$B$2:$B$5001,B2466,$I$2:$I$5001,I2466),1,0))</f>
        <v/>
      </c>
      <c r="M2466" s="16" t="str">
        <f aca="false">IF(B2466="","",IF(E2466="Em ajustes",IF(N2466=_xlfn.MINIFS($N$2:$N$5001,$B$2:$B$5001,B2466,$E$2:$E$5001,"Em ajustes"),1,0),0))</f>
        <v/>
      </c>
      <c r="N2466" s="17" t="str">
        <f aca="false">IF(A2466="","",IF(ISNUMBER(A2466),A2466,IFERROR(DATE(VALUE(MID(A2466,7,4)),VALUE(MID(A2466,4,2)),VALUE(MID(A2466,1,2)))+TIME(VALUE(MID(A2466,12,2)),VALUE(MID(A2466,15,2)),VALUE(MID(A2466,18,2))),"")))</f>
        <v/>
      </c>
    </row>
    <row r="2467" customFormat="false" ht="15" hidden="false" customHeight="false" outlineLevel="0" collapsed="false">
      <c r="I2467" s="15" t="str">
        <f aca="false">IF(N2467="","",INT(N2467))</f>
        <v/>
      </c>
      <c r="J2467" s="16" t="str">
        <f aca="false">IF(B2467="","",IF(N2467=_xlfn.MINIFS($N$2:$N$5001,$B$2:$B$5001,B2467),1,0))</f>
        <v/>
      </c>
      <c r="K2467" s="16" t="str">
        <f aca="false">IF(B2467="","",IF(AND(D2467="Formalização",E2467="Concluído"),IF(COUNTIFS($B$2:$B$5001,B2467,$E$2:$E$5001,"Em ajustes",$N$2:$N$5001,"&lt;"&amp;I2467)&gt;0,1,0),0))</f>
        <v/>
      </c>
      <c r="L2467" s="16" t="str">
        <f aca="false">IF(B2467="","",IF(N2467=_xlfn.MAXIFS($N$2:$N$5001,$B$2:$B$5001,B2467,$I$2:$I$5001,I2467),1,0))</f>
        <v/>
      </c>
      <c r="M2467" s="16" t="str">
        <f aca="false">IF(B2467="","",IF(E2467="Em ajustes",IF(N2467=_xlfn.MINIFS($N$2:$N$5001,$B$2:$B$5001,B2467,$E$2:$E$5001,"Em ajustes"),1,0),0))</f>
        <v/>
      </c>
      <c r="N2467" s="17" t="str">
        <f aca="false">IF(A2467="","",IF(ISNUMBER(A2467),A2467,IFERROR(DATE(VALUE(MID(A2467,7,4)),VALUE(MID(A2467,4,2)),VALUE(MID(A2467,1,2)))+TIME(VALUE(MID(A2467,12,2)),VALUE(MID(A2467,15,2)),VALUE(MID(A2467,18,2))),"")))</f>
        <v/>
      </c>
    </row>
    <row r="2468" customFormat="false" ht="15" hidden="false" customHeight="false" outlineLevel="0" collapsed="false">
      <c r="I2468" s="15" t="str">
        <f aca="false">IF(N2468="","",INT(N2468))</f>
        <v/>
      </c>
      <c r="J2468" s="16" t="str">
        <f aca="false">IF(B2468="","",IF(N2468=_xlfn.MINIFS($N$2:$N$5001,$B$2:$B$5001,B2468),1,0))</f>
        <v/>
      </c>
      <c r="K2468" s="16" t="str">
        <f aca="false">IF(B2468="","",IF(AND(D2468="Formalização",E2468="Concluído"),IF(COUNTIFS($B$2:$B$5001,B2468,$E$2:$E$5001,"Em ajustes",$N$2:$N$5001,"&lt;"&amp;I2468)&gt;0,1,0),0))</f>
        <v/>
      </c>
      <c r="L2468" s="16" t="str">
        <f aca="false">IF(B2468="","",IF(N2468=_xlfn.MAXIFS($N$2:$N$5001,$B$2:$B$5001,B2468,$I$2:$I$5001,I2468),1,0))</f>
        <v/>
      </c>
      <c r="M2468" s="16" t="str">
        <f aca="false">IF(B2468="","",IF(E2468="Em ajustes",IF(N2468=_xlfn.MINIFS($N$2:$N$5001,$B$2:$B$5001,B2468,$E$2:$E$5001,"Em ajustes"),1,0),0))</f>
        <v/>
      </c>
      <c r="N2468" s="17" t="str">
        <f aca="false">IF(A2468="","",IF(ISNUMBER(A2468),A2468,IFERROR(DATE(VALUE(MID(A2468,7,4)),VALUE(MID(A2468,4,2)),VALUE(MID(A2468,1,2)))+TIME(VALUE(MID(A2468,12,2)),VALUE(MID(A2468,15,2)),VALUE(MID(A2468,18,2))),"")))</f>
        <v/>
      </c>
    </row>
    <row r="2469" customFormat="false" ht="15" hidden="false" customHeight="false" outlineLevel="0" collapsed="false">
      <c r="I2469" s="15" t="str">
        <f aca="false">IF(N2469="","",INT(N2469))</f>
        <v/>
      </c>
      <c r="J2469" s="16" t="str">
        <f aca="false">IF(B2469="","",IF(N2469=_xlfn.MINIFS($N$2:$N$5001,$B$2:$B$5001,B2469),1,0))</f>
        <v/>
      </c>
      <c r="K2469" s="16" t="str">
        <f aca="false">IF(B2469="","",IF(AND(D2469="Formalização",E2469="Concluído"),IF(COUNTIFS($B$2:$B$5001,B2469,$E$2:$E$5001,"Em ajustes",$N$2:$N$5001,"&lt;"&amp;I2469)&gt;0,1,0),0))</f>
        <v/>
      </c>
      <c r="L2469" s="16" t="str">
        <f aca="false">IF(B2469="","",IF(N2469=_xlfn.MAXIFS($N$2:$N$5001,$B$2:$B$5001,B2469,$I$2:$I$5001,I2469),1,0))</f>
        <v/>
      </c>
      <c r="M2469" s="16" t="str">
        <f aca="false">IF(B2469="","",IF(E2469="Em ajustes",IF(N2469=_xlfn.MINIFS($N$2:$N$5001,$B$2:$B$5001,B2469,$E$2:$E$5001,"Em ajustes"),1,0),0))</f>
        <v/>
      </c>
      <c r="N2469" s="17" t="str">
        <f aca="false">IF(A2469="","",IF(ISNUMBER(A2469),A2469,IFERROR(DATE(VALUE(MID(A2469,7,4)),VALUE(MID(A2469,4,2)),VALUE(MID(A2469,1,2)))+TIME(VALUE(MID(A2469,12,2)),VALUE(MID(A2469,15,2)),VALUE(MID(A2469,18,2))),"")))</f>
        <v/>
      </c>
    </row>
    <row r="2470" customFormat="false" ht="15" hidden="false" customHeight="false" outlineLevel="0" collapsed="false">
      <c r="I2470" s="15" t="str">
        <f aca="false">IF(N2470="","",INT(N2470))</f>
        <v/>
      </c>
      <c r="J2470" s="16" t="str">
        <f aca="false">IF(B2470="","",IF(N2470=_xlfn.MINIFS($N$2:$N$5001,$B$2:$B$5001,B2470),1,0))</f>
        <v/>
      </c>
      <c r="K2470" s="16" t="str">
        <f aca="false">IF(B2470="","",IF(AND(D2470="Formalização",E2470="Concluído"),IF(COUNTIFS($B$2:$B$5001,B2470,$E$2:$E$5001,"Em ajustes",$N$2:$N$5001,"&lt;"&amp;I2470)&gt;0,1,0),0))</f>
        <v/>
      </c>
      <c r="L2470" s="16" t="str">
        <f aca="false">IF(B2470="","",IF(N2470=_xlfn.MAXIFS($N$2:$N$5001,$B$2:$B$5001,B2470,$I$2:$I$5001,I2470),1,0))</f>
        <v/>
      </c>
      <c r="M2470" s="16" t="str">
        <f aca="false">IF(B2470="","",IF(E2470="Em ajustes",IF(N2470=_xlfn.MINIFS($N$2:$N$5001,$B$2:$B$5001,B2470,$E$2:$E$5001,"Em ajustes"),1,0),0))</f>
        <v/>
      </c>
      <c r="N2470" s="17" t="str">
        <f aca="false">IF(A2470="","",IF(ISNUMBER(A2470),A2470,IFERROR(DATE(VALUE(MID(A2470,7,4)),VALUE(MID(A2470,4,2)),VALUE(MID(A2470,1,2)))+TIME(VALUE(MID(A2470,12,2)),VALUE(MID(A2470,15,2)),VALUE(MID(A2470,18,2))),"")))</f>
        <v/>
      </c>
    </row>
    <row r="2471" customFormat="false" ht="15" hidden="false" customHeight="false" outlineLevel="0" collapsed="false">
      <c r="I2471" s="15" t="str">
        <f aca="false">IF(N2471="","",INT(N2471))</f>
        <v/>
      </c>
      <c r="J2471" s="16" t="str">
        <f aca="false">IF(B2471="","",IF(N2471=_xlfn.MINIFS($N$2:$N$5001,$B$2:$B$5001,B2471),1,0))</f>
        <v/>
      </c>
      <c r="K2471" s="16" t="str">
        <f aca="false">IF(B2471="","",IF(AND(D2471="Formalização",E2471="Concluído"),IF(COUNTIFS($B$2:$B$5001,B2471,$E$2:$E$5001,"Em ajustes",$N$2:$N$5001,"&lt;"&amp;I2471)&gt;0,1,0),0))</f>
        <v/>
      </c>
      <c r="L2471" s="16" t="str">
        <f aca="false">IF(B2471="","",IF(N2471=_xlfn.MAXIFS($N$2:$N$5001,$B$2:$B$5001,B2471,$I$2:$I$5001,I2471),1,0))</f>
        <v/>
      </c>
      <c r="M2471" s="16" t="str">
        <f aca="false">IF(B2471="","",IF(E2471="Em ajustes",IF(N2471=_xlfn.MINIFS($N$2:$N$5001,$B$2:$B$5001,B2471,$E$2:$E$5001,"Em ajustes"),1,0),0))</f>
        <v/>
      </c>
      <c r="N2471" s="17" t="str">
        <f aca="false">IF(A2471="","",IF(ISNUMBER(A2471),A2471,IFERROR(DATE(VALUE(MID(A2471,7,4)),VALUE(MID(A2471,4,2)),VALUE(MID(A2471,1,2)))+TIME(VALUE(MID(A2471,12,2)),VALUE(MID(A2471,15,2)),VALUE(MID(A2471,18,2))),"")))</f>
        <v/>
      </c>
    </row>
    <row r="2472" customFormat="false" ht="15" hidden="false" customHeight="false" outlineLevel="0" collapsed="false">
      <c r="I2472" s="15" t="str">
        <f aca="false">IF(N2472="","",INT(N2472))</f>
        <v/>
      </c>
      <c r="J2472" s="16" t="str">
        <f aca="false">IF(B2472="","",IF(N2472=_xlfn.MINIFS($N$2:$N$5001,$B$2:$B$5001,B2472),1,0))</f>
        <v/>
      </c>
      <c r="K2472" s="16" t="str">
        <f aca="false">IF(B2472="","",IF(AND(D2472="Formalização",E2472="Concluído"),IF(COUNTIFS($B$2:$B$5001,B2472,$E$2:$E$5001,"Em ajustes",$N$2:$N$5001,"&lt;"&amp;I2472)&gt;0,1,0),0))</f>
        <v/>
      </c>
      <c r="L2472" s="16" t="str">
        <f aca="false">IF(B2472="","",IF(N2472=_xlfn.MAXIFS($N$2:$N$5001,$B$2:$B$5001,B2472,$I$2:$I$5001,I2472),1,0))</f>
        <v/>
      </c>
      <c r="M2472" s="16" t="str">
        <f aca="false">IF(B2472="","",IF(E2472="Em ajustes",IF(N2472=_xlfn.MINIFS($N$2:$N$5001,$B$2:$B$5001,B2472,$E$2:$E$5001,"Em ajustes"),1,0),0))</f>
        <v/>
      </c>
      <c r="N2472" s="17" t="str">
        <f aca="false">IF(A2472="","",IF(ISNUMBER(A2472),A2472,IFERROR(DATE(VALUE(MID(A2472,7,4)),VALUE(MID(A2472,4,2)),VALUE(MID(A2472,1,2)))+TIME(VALUE(MID(A2472,12,2)),VALUE(MID(A2472,15,2)),VALUE(MID(A2472,18,2))),"")))</f>
        <v/>
      </c>
    </row>
    <row r="2473" customFormat="false" ht="15" hidden="false" customHeight="false" outlineLevel="0" collapsed="false">
      <c r="I2473" s="15" t="str">
        <f aca="false">IF(N2473="","",INT(N2473))</f>
        <v/>
      </c>
      <c r="J2473" s="16" t="str">
        <f aca="false">IF(B2473="","",IF(N2473=_xlfn.MINIFS($N$2:$N$5001,$B$2:$B$5001,B2473),1,0))</f>
        <v/>
      </c>
      <c r="K2473" s="16" t="str">
        <f aca="false">IF(B2473="","",IF(AND(D2473="Formalização",E2473="Concluído"),IF(COUNTIFS($B$2:$B$5001,B2473,$E$2:$E$5001,"Em ajustes",$N$2:$N$5001,"&lt;"&amp;I2473)&gt;0,1,0),0))</f>
        <v/>
      </c>
      <c r="L2473" s="16" t="str">
        <f aca="false">IF(B2473="","",IF(N2473=_xlfn.MAXIFS($N$2:$N$5001,$B$2:$B$5001,B2473,$I$2:$I$5001,I2473),1,0))</f>
        <v/>
      </c>
      <c r="M2473" s="16" t="str">
        <f aca="false">IF(B2473="","",IF(E2473="Em ajustes",IF(N2473=_xlfn.MINIFS($N$2:$N$5001,$B$2:$B$5001,B2473,$E$2:$E$5001,"Em ajustes"),1,0),0))</f>
        <v/>
      </c>
      <c r="N2473" s="17" t="str">
        <f aca="false">IF(A2473="","",IF(ISNUMBER(A2473),A2473,IFERROR(DATE(VALUE(MID(A2473,7,4)),VALUE(MID(A2473,4,2)),VALUE(MID(A2473,1,2)))+TIME(VALUE(MID(A2473,12,2)),VALUE(MID(A2473,15,2)),VALUE(MID(A2473,18,2))),"")))</f>
        <v/>
      </c>
    </row>
    <row r="2474" customFormat="false" ht="15" hidden="false" customHeight="false" outlineLevel="0" collapsed="false">
      <c r="I2474" s="15" t="str">
        <f aca="false">IF(N2474="","",INT(N2474))</f>
        <v/>
      </c>
      <c r="J2474" s="16" t="str">
        <f aca="false">IF(B2474="","",IF(N2474=_xlfn.MINIFS($N$2:$N$5001,$B$2:$B$5001,B2474),1,0))</f>
        <v/>
      </c>
      <c r="K2474" s="16" t="str">
        <f aca="false">IF(B2474="","",IF(AND(D2474="Formalização",E2474="Concluído"),IF(COUNTIFS($B$2:$B$5001,B2474,$E$2:$E$5001,"Em ajustes",$N$2:$N$5001,"&lt;"&amp;I2474)&gt;0,1,0),0))</f>
        <v/>
      </c>
      <c r="L2474" s="16" t="str">
        <f aca="false">IF(B2474="","",IF(N2474=_xlfn.MAXIFS($N$2:$N$5001,$B$2:$B$5001,B2474,$I$2:$I$5001,I2474),1,0))</f>
        <v/>
      </c>
      <c r="M2474" s="16" t="str">
        <f aca="false">IF(B2474="","",IF(E2474="Em ajustes",IF(N2474=_xlfn.MINIFS($N$2:$N$5001,$B$2:$B$5001,B2474,$E$2:$E$5001,"Em ajustes"),1,0),0))</f>
        <v/>
      </c>
      <c r="N2474" s="17" t="str">
        <f aca="false">IF(A2474="","",IF(ISNUMBER(A2474),A2474,IFERROR(DATE(VALUE(MID(A2474,7,4)),VALUE(MID(A2474,4,2)),VALUE(MID(A2474,1,2)))+TIME(VALUE(MID(A2474,12,2)),VALUE(MID(A2474,15,2)),VALUE(MID(A2474,18,2))),"")))</f>
        <v/>
      </c>
    </row>
    <row r="2475" customFormat="false" ht="15" hidden="false" customHeight="false" outlineLevel="0" collapsed="false">
      <c r="I2475" s="15" t="str">
        <f aca="false">IF(N2475="","",INT(N2475))</f>
        <v/>
      </c>
      <c r="J2475" s="16" t="str">
        <f aca="false">IF(B2475="","",IF(N2475=_xlfn.MINIFS($N$2:$N$5001,$B$2:$B$5001,B2475),1,0))</f>
        <v/>
      </c>
      <c r="K2475" s="16" t="str">
        <f aca="false">IF(B2475="","",IF(AND(D2475="Formalização",E2475="Concluído"),IF(COUNTIFS($B$2:$B$5001,B2475,$E$2:$E$5001,"Em ajustes",$N$2:$N$5001,"&lt;"&amp;I2475)&gt;0,1,0),0))</f>
        <v/>
      </c>
      <c r="L2475" s="16" t="str">
        <f aca="false">IF(B2475="","",IF(N2475=_xlfn.MAXIFS($N$2:$N$5001,$B$2:$B$5001,B2475,$I$2:$I$5001,I2475),1,0))</f>
        <v/>
      </c>
      <c r="M2475" s="16" t="str">
        <f aca="false">IF(B2475="","",IF(E2475="Em ajustes",IF(N2475=_xlfn.MINIFS($N$2:$N$5001,$B$2:$B$5001,B2475,$E$2:$E$5001,"Em ajustes"),1,0),0))</f>
        <v/>
      </c>
      <c r="N2475" s="17" t="str">
        <f aca="false">IF(A2475="","",IF(ISNUMBER(A2475),A2475,IFERROR(DATE(VALUE(MID(A2475,7,4)),VALUE(MID(A2475,4,2)),VALUE(MID(A2475,1,2)))+TIME(VALUE(MID(A2475,12,2)),VALUE(MID(A2475,15,2)),VALUE(MID(A2475,18,2))),"")))</f>
        <v/>
      </c>
    </row>
    <row r="2476" customFormat="false" ht="15" hidden="false" customHeight="false" outlineLevel="0" collapsed="false">
      <c r="I2476" s="15" t="str">
        <f aca="false">IF(N2476="","",INT(N2476))</f>
        <v/>
      </c>
      <c r="J2476" s="16" t="str">
        <f aca="false">IF(B2476="","",IF(N2476=_xlfn.MINIFS($N$2:$N$5001,$B$2:$B$5001,B2476),1,0))</f>
        <v/>
      </c>
      <c r="K2476" s="16" t="str">
        <f aca="false">IF(B2476="","",IF(AND(D2476="Formalização",E2476="Concluído"),IF(COUNTIFS($B$2:$B$5001,B2476,$E$2:$E$5001,"Em ajustes",$N$2:$N$5001,"&lt;"&amp;I2476)&gt;0,1,0),0))</f>
        <v/>
      </c>
      <c r="L2476" s="16" t="str">
        <f aca="false">IF(B2476="","",IF(N2476=_xlfn.MAXIFS($N$2:$N$5001,$B$2:$B$5001,B2476,$I$2:$I$5001,I2476),1,0))</f>
        <v/>
      </c>
      <c r="M2476" s="16" t="str">
        <f aca="false">IF(B2476="","",IF(E2476="Em ajustes",IF(N2476=_xlfn.MINIFS($N$2:$N$5001,$B$2:$B$5001,B2476,$E$2:$E$5001,"Em ajustes"),1,0),0))</f>
        <v/>
      </c>
      <c r="N2476" s="17" t="str">
        <f aca="false">IF(A2476="","",IF(ISNUMBER(A2476),A2476,IFERROR(DATE(VALUE(MID(A2476,7,4)),VALUE(MID(A2476,4,2)),VALUE(MID(A2476,1,2)))+TIME(VALUE(MID(A2476,12,2)),VALUE(MID(A2476,15,2)),VALUE(MID(A2476,18,2))),"")))</f>
        <v/>
      </c>
    </row>
    <row r="2477" customFormat="false" ht="15" hidden="false" customHeight="false" outlineLevel="0" collapsed="false">
      <c r="I2477" s="15" t="str">
        <f aca="false">IF(N2477="","",INT(N2477))</f>
        <v/>
      </c>
      <c r="J2477" s="16" t="str">
        <f aca="false">IF(B2477="","",IF(N2477=_xlfn.MINIFS($N$2:$N$5001,$B$2:$B$5001,B2477),1,0))</f>
        <v/>
      </c>
      <c r="K2477" s="16" t="str">
        <f aca="false">IF(B2477="","",IF(AND(D2477="Formalização",E2477="Concluído"),IF(COUNTIFS($B$2:$B$5001,B2477,$E$2:$E$5001,"Em ajustes",$N$2:$N$5001,"&lt;"&amp;I2477)&gt;0,1,0),0))</f>
        <v/>
      </c>
      <c r="L2477" s="16" t="str">
        <f aca="false">IF(B2477="","",IF(N2477=_xlfn.MAXIFS($N$2:$N$5001,$B$2:$B$5001,B2477,$I$2:$I$5001,I2477),1,0))</f>
        <v/>
      </c>
      <c r="M2477" s="16" t="str">
        <f aca="false">IF(B2477="","",IF(E2477="Em ajustes",IF(N2477=_xlfn.MINIFS($N$2:$N$5001,$B$2:$B$5001,B2477,$E$2:$E$5001,"Em ajustes"),1,0),0))</f>
        <v/>
      </c>
      <c r="N2477" s="17" t="str">
        <f aca="false">IF(A2477="","",IF(ISNUMBER(A2477),A2477,IFERROR(DATE(VALUE(MID(A2477,7,4)),VALUE(MID(A2477,4,2)),VALUE(MID(A2477,1,2)))+TIME(VALUE(MID(A2477,12,2)),VALUE(MID(A2477,15,2)),VALUE(MID(A2477,18,2))),"")))</f>
        <v/>
      </c>
    </row>
    <row r="2478" customFormat="false" ht="15" hidden="false" customHeight="false" outlineLevel="0" collapsed="false">
      <c r="I2478" s="15" t="str">
        <f aca="false">IF(N2478="","",INT(N2478))</f>
        <v/>
      </c>
      <c r="J2478" s="16" t="str">
        <f aca="false">IF(B2478="","",IF(N2478=_xlfn.MINIFS($N$2:$N$5001,$B$2:$B$5001,B2478),1,0))</f>
        <v/>
      </c>
      <c r="K2478" s="16" t="str">
        <f aca="false">IF(B2478="","",IF(AND(D2478="Formalização",E2478="Concluído"),IF(COUNTIFS($B$2:$B$5001,B2478,$E$2:$E$5001,"Em ajustes",$N$2:$N$5001,"&lt;"&amp;I2478)&gt;0,1,0),0))</f>
        <v/>
      </c>
      <c r="L2478" s="16" t="str">
        <f aca="false">IF(B2478="","",IF(N2478=_xlfn.MAXIFS($N$2:$N$5001,$B$2:$B$5001,B2478,$I$2:$I$5001,I2478),1,0))</f>
        <v/>
      </c>
      <c r="M2478" s="16" t="str">
        <f aca="false">IF(B2478="","",IF(E2478="Em ajustes",IF(N2478=_xlfn.MINIFS($N$2:$N$5001,$B$2:$B$5001,B2478,$E$2:$E$5001,"Em ajustes"),1,0),0))</f>
        <v/>
      </c>
      <c r="N2478" s="17" t="str">
        <f aca="false">IF(A2478="","",IF(ISNUMBER(A2478),A2478,IFERROR(DATE(VALUE(MID(A2478,7,4)),VALUE(MID(A2478,4,2)),VALUE(MID(A2478,1,2)))+TIME(VALUE(MID(A2478,12,2)),VALUE(MID(A2478,15,2)),VALUE(MID(A2478,18,2))),"")))</f>
        <v/>
      </c>
    </row>
    <row r="2479" customFormat="false" ht="15" hidden="false" customHeight="false" outlineLevel="0" collapsed="false">
      <c r="I2479" s="15" t="str">
        <f aca="false">IF(N2479="","",INT(N2479))</f>
        <v/>
      </c>
      <c r="J2479" s="16" t="str">
        <f aca="false">IF(B2479="","",IF(N2479=_xlfn.MINIFS($N$2:$N$5001,$B$2:$B$5001,B2479),1,0))</f>
        <v/>
      </c>
      <c r="K2479" s="16" t="str">
        <f aca="false">IF(B2479="","",IF(AND(D2479="Formalização",E2479="Concluído"),IF(COUNTIFS($B$2:$B$5001,B2479,$E$2:$E$5001,"Em ajustes",$N$2:$N$5001,"&lt;"&amp;I2479)&gt;0,1,0),0))</f>
        <v/>
      </c>
      <c r="L2479" s="16" t="str">
        <f aca="false">IF(B2479="","",IF(N2479=_xlfn.MAXIFS($N$2:$N$5001,$B$2:$B$5001,B2479,$I$2:$I$5001,I2479),1,0))</f>
        <v/>
      </c>
      <c r="M2479" s="16" t="str">
        <f aca="false">IF(B2479="","",IF(E2479="Em ajustes",IF(N2479=_xlfn.MINIFS($N$2:$N$5001,$B$2:$B$5001,B2479,$E$2:$E$5001,"Em ajustes"),1,0),0))</f>
        <v/>
      </c>
      <c r="N2479" s="17" t="str">
        <f aca="false">IF(A2479="","",IF(ISNUMBER(A2479),A2479,IFERROR(DATE(VALUE(MID(A2479,7,4)),VALUE(MID(A2479,4,2)),VALUE(MID(A2479,1,2)))+TIME(VALUE(MID(A2479,12,2)),VALUE(MID(A2479,15,2)),VALUE(MID(A2479,18,2))),"")))</f>
        <v/>
      </c>
    </row>
    <row r="2480" customFormat="false" ht="15" hidden="false" customHeight="false" outlineLevel="0" collapsed="false">
      <c r="I2480" s="15" t="str">
        <f aca="false">IF(N2480="","",INT(N2480))</f>
        <v/>
      </c>
      <c r="J2480" s="16" t="str">
        <f aca="false">IF(B2480="","",IF(N2480=_xlfn.MINIFS($N$2:$N$5001,$B$2:$B$5001,B2480),1,0))</f>
        <v/>
      </c>
      <c r="K2480" s="16" t="str">
        <f aca="false">IF(B2480="","",IF(AND(D2480="Formalização",E2480="Concluído"),IF(COUNTIFS($B$2:$B$5001,B2480,$E$2:$E$5001,"Em ajustes",$N$2:$N$5001,"&lt;"&amp;I2480)&gt;0,1,0),0))</f>
        <v/>
      </c>
      <c r="L2480" s="16" t="str">
        <f aca="false">IF(B2480="","",IF(N2480=_xlfn.MAXIFS($N$2:$N$5001,$B$2:$B$5001,B2480,$I$2:$I$5001,I2480),1,0))</f>
        <v/>
      </c>
      <c r="M2480" s="16" t="str">
        <f aca="false">IF(B2480="","",IF(E2480="Em ajustes",IF(N2480=_xlfn.MINIFS($N$2:$N$5001,$B$2:$B$5001,B2480,$E$2:$E$5001,"Em ajustes"),1,0),0))</f>
        <v/>
      </c>
      <c r="N2480" s="17" t="str">
        <f aca="false">IF(A2480="","",IF(ISNUMBER(A2480),A2480,IFERROR(DATE(VALUE(MID(A2480,7,4)),VALUE(MID(A2480,4,2)),VALUE(MID(A2480,1,2)))+TIME(VALUE(MID(A2480,12,2)),VALUE(MID(A2480,15,2)),VALUE(MID(A2480,18,2))),"")))</f>
        <v/>
      </c>
    </row>
    <row r="2481" customFormat="false" ht="15" hidden="false" customHeight="false" outlineLevel="0" collapsed="false">
      <c r="I2481" s="15" t="str">
        <f aca="false">IF(N2481="","",INT(N2481))</f>
        <v/>
      </c>
      <c r="J2481" s="16" t="str">
        <f aca="false">IF(B2481="","",IF(N2481=_xlfn.MINIFS($N$2:$N$5001,$B$2:$B$5001,B2481),1,0))</f>
        <v/>
      </c>
      <c r="K2481" s="16" t="str">
        <f aca="false">IF(B2481="","",IF(AND(D2481="Formalização",E2481="Concluído"),IF(COUNTIFS($B$2:$B$5001,B2481,$E$2:$E$5001,"Em ajustes",$N$2:$N$5001,"&lt;"&amp;I2481)&gt;0,1,0),0))</f>
        <v/>
      </c>
      <c r="L2481" s="16" t="str">
        <f aca="false">IF(B2481="","",IF(N2481=_xlfn.MAXIFS($N$2:$N$5001,$B$2:$B$5001,B2481,$I$2:$I$5001,I2481),1,0))</f>
        <v/>
      </c>
      <c r="M2481" s="16" t="str">
        <f aca="false">IF(B2481="","",IF(E2481="Em ajustes",IF(N2481=_xlfn.MINIFS($N$2:$N$5001,$B$2:$B$5001,B2481,$E$2:$E$5001,"Em ajustes"),1,0),0))</f>
        <v/>
      </c>
      <c r="N2481" s="17" t="str">
        <f aca="false">IF(A2481="","",IF(ISNUMBER(A2481),A2481,IFERROR(DATE(VALUE(MID(A2481,7,4)),VALUE(MID(A2481,4,2)),VALUE(MID(A2481,1,2)))+TIME(VALUE(MID(A2481,12,2)),VALUE(MID(A2481,15,2)),VALUE(MID(A2481,18,2))),"")))</f>
        <v/>
      </c>
    </row>
    <row r="2482" customFormat="false" ht="15" hidden="false" customHeight="false" outlineLevel="0" collapsed="false">
      <c r="I2482" s="15" t="str">
        <f aca="false">IF(N2482="","",INT(N2482))</f>
        <v/>
      </c>
      <c r="J2482" s="16" t="str">
        <f aca="false">IF(B2482="","",IF(N2482=_xlfn.MINIFS($N$2:$N$5001,$B$2:$B$5001,B2482),1,0))</f>
        <v/>
      </c>
      <c r="K2482" s="16" t="str">
        <f aca="false">IF(B2482="","",IF(AND(D2482="Formalização",E2482="Concluído"),IF(COUNTIFS($B$2:$B$5001,B2482,$E$2:$E$5001,"Em ajustes",$N$2:$N$5001,"&lt;"&amp;I2482)&gt;0,1,0),0))</f>
        <v/>
      </c>
      <c r="L2482" s="16" t="str">
        <f aca="false">IF(B2482="","",IF(N2482=_xlfn.MAXIFS($N$2:$N$5001,$B$2:$B$5001,B2482,$I$2:$I$5001,I2482),1,0))</f>
        <v/>
      </c>
      <c r="M2482" s="16" t="str">
        <f aca="false">IF(B2482="","",IF(E2482="Em ajustes",IF(N2482=_xlfn.MINIFS($N$2:$N$5001,$B$2:$B$5001,B2482,$E$2:$E$5001,"Em ajustes"),1,0),0))</f>
        <v/>
      </c>
      <c r="N2482" s="17" t="str">
        <f aca="false">IF(A2482="","",IF(ISNUMBER(A2482),A2482,IFERROR(DATE(VALUE(MID(A2482,7,4)),VALUE(MID(A2482,4,2)),VALUE(MID(A2482,1,2)))+TIME(VALUE(MID(A2482,12,2)),VALUE(MID(A2482,15,2)),VALUE(MID(A2482,18,2))),"")))</f>
        <v/>
      </c>
    </row>
    <row r="2483" customFormat="false" ht="15" hidden="false" customHeight="false" outlineLevel="0" collapsed="false">
      <c r="I2483" s="15" t="str">
        <f aca="false">IF(N2483="","",INT(N2483))</f>
        <v/>
      </c>
      <c r="J2483" s="16" t="str">
        <f aca="false">IF(B2483="","",IF(N2483=_xlfn.MINIFS($N$2:$N$5001,$B$2:$B$5001,B2483),1,0))</f>
        <v/>
      </c>
      <c r="K2483" s="16" t="str">
        <f aca="false">IF(B2483="","",IF(AND(D2483="Formalização",E2483="Concluído"),IF(COUNTIFS($B$2:$B$5001,B2483,$E$2:$E$5001,"Em ajustes",$N$2:$N$5001,"&lt;"&amp;I2483)&gt;0,1,0),0))</f>
        <v/>
      </c>
      <c r="L2483" s="16" t="str">
        <f aca="false">IF(B2483="","",IF(N2483=_xlfn.MAXIFS($N$2:$N$5001,$B$2:$B$5001,B2483,$I$2:$I$5001,I2483),1,0))</f>
        <v/>
      </c>
      <c r="M2483" s="16" t="str">
        <f aca="false">IF(B2483="","",IF(E2483="Em ajustes",IF(N2483=_xlfn.MINIFS($N$2:$N$5001,$B$2:$B$5001,B2483,$E$2:$E$5001,"Em ajustes"),1,0),0))</f>
        <v/>
      </c>
      <c r="N2483" s="17" t="str">
        <f aca="false">IF(A2483="","",IF(ISNUMBER(A2483),A2483,IFERROR(DATE(VALUE(MID(A2483,7,4)),VALUE(MID(A2483,4,2)),VALUE(MID(A2483,1,2)))+TIME(VALUE(MID(A2483,12,2)),VALUE(MID(A2483,15,2)),VALUE(MID(A2483,18,2))),"")))</f>
        <v/>
      </c>
    </row>
    <row r="2484" customFormat="false" ht="15" hidden="false" customHeight="false" outlineLevel="0" collapsed="false">
      <c r="I2484" s="15" t="str">
        <f aca="false">IF(N2484="","",INT(N2484))</f>
        <v/>
      </c>
      <c r="J2484" s="16" t="str">
        <f aca="false">IF(B2484="","",IF(N2484=_xlfn.MINIFS($N$2:$N$5001,$B$2:$B$5001,B2484),1,0))</f>
        <v/>
      </c>
      <c r="K2484" s="16" t="str">
        <f aca="false">IF(B2484="","",IF(AND(D2484="Formalização",E2484="Concluído"),IF(COUNTIFS($B$2:$B$5001,B2484,$E$2:$E$5001,"Em ajustes",$N$2:$N$5001,"&lt;"&amp;I2484)&gt;0,1,0),0))</f>
        <v/>
      </c>
      <c r="L2484" s="16" t="str">
        <f aca="false">IF(B2484="","",IF(N2484=_xlfn.MAXIFS($N$2:$N$5001,$B$2:$B$5001,B2484,$I$2:$I$5001,I2484),1,0))</f>
        <v/>
      </c>
      <c r="M2484" s="16" t="str">
        <f aca="false">IF(B2484="","",IF(E2484="Em ajustes",IF(N2484=_xlfn.MINIFS($N$2:$N$5001,$B$2:$B$5001,B2484,$E$2:$E$5001,"Em ajustes"),1,0),0))</f>
        <v/>
      </c>
      <c r="N2484" s="17" t="str">
        <f aca="false">IF(A2484="","",IF(ISNUMBER(A2484),A2484,IFERROR(DATE(VALUE(MID(A2484,7,4)),VALUE(MID(A2484,4,2)),VALUE(MID(A2484,1,2)))+TIME(VALUE(MID(A2484,12,2)),VALUE(MID(A2484,15,2)),VALUE(MID(A2484,18,2))),"")))</f>
        <v/>
      </c>
    </row>
    <row r="2485" customFormat="false" ht="15" hidden="false" customHeight="false" outlineLevel="0" collapsed="false">
      <c r="I2485" s="15" t="str">
        <f aca="false">IF(N2485="","",INT(N2485))</f>
        <v/>
      </c>
      <c r="J2485" s="16" t="str">
        <f aca="false">IF(B2485="","",IF(N2485=_xlfn.MINIFS($N$2:$N$5001,$B$2:$B$5001,B2485),1,0))</f>
        <v/>
      </c>
      <c r="K2485" s="16" t="str">
        <f aca="false">IF(B2485="","",IF(AND(D2485="Formalização",E2485="Concluído"),IF(COUNTIFS($B$2:$B$5001,B2485,$E$2:$E$5001,"Em ajustes",$N$2:$N$5001,"&lt;"&amp;I2485)&gt;0,1,0),0))</f>
        <v/>
      </c>
      <c r="L2485" s="16" t="str">
        <f aca="false">IF(B2485="","",IF(N2485=_xlfn.MAXIFS($N$2:$N$5001,$B$2:$B$5001,B2485,$I$2:$I$5001,I2485),1,0))</f>
        <v/>
      </c>
      <c r="M2485" s="16" t="str">
        <f aca="false">IF(B2485="","",IF(E2485="Em ajustes",IF(N2485=_xlfn.MINIFS($N$2:$N$5001,$B$2:$B$5001,B2485,$E$2:$E$5001,"Em ajustes"),1,0),0))</f>
        <v/>
      </c>
      <c r="N2485" s="17" t="str">
        <f aca="false">IF(A2485="","",IF(ISNUMBER(A2485),A2485,IFERROR(DATE(VALUE(MID(A2485,7,4)),VALUE(MID(A2485,4,2)),VALUE(MID(A2485,1,2)))+TIME(VALUE(MID(A2485,12,2)),VALUE(MID(A2485,15,2)),VALUE(MID(A2485,18,2))),"")))</f>
        <v/>
      </c>
    </row>
    <row r="2486" customFormat="false" ht="15" hidden="false" customHeight="false" outlineLevel="0" collapsed="false">
      <c r="I2486" s="15" t="str">
        <f aca="false">IF(N2486="","",INT(N2486))</f>
        <v/>
      </c>
      <c r="J2486" s="16" t="str">
        <f aca="false">IF(B2486="","",IF(N2486=_xlfn.MINIFS($N$2:$N$5001,$B$2:$B$5001,B2486),1,0))</f>
        <v/>
      </c>
      <c r="K2486" s="16" t="str">
        <f aca="false">IF(B2486="","",IF(AND(D2486="Formalização",E2486="Concluído"),IF(COUNTIFS($B$2:$B$5001,B2486,$E$2:$E$5001,"Em ajustes",$N$2:$N$5001,"&lt;"&amp;I2486)&gt;0,1,0),0))</f>
        <v/>
      </c>
      <c r="L2486" s="16" t="str">
        <f aca="false">IF(B2486="","",IF(N2486=_xlfn.MAXIFS($N$2:$N$5001,$B$2:$B$5001,B2486,$I$2:$I$5001,I2486),1,0))</f>
        <v/>
      </c>
      <c r="M2486" s="16" t="str">
        <f aca="false">IF(B2486="","",IF(E2486="Em ajustes",IF(N2486=_xlfn.MINIFS($N$2:$N$5001,$B$2:$B$5001,B2486,$E$2:$E$5001,"Em ajustes"),1,0),0))</f>
        <v/>
      </c>
      <c r="N2486" s="17" t="str">
        <f aca="false">IF(A2486="","",IF(ISNUMBER(A2486),A2486,IFERROR(DATE(VALUE(MID(A2486,7,4)),VALUE(MID(A2486,4,2)),VALUE(MID(A2486,1,2)))+TIME(VALUE(MID(A2486,12,2)),VALUE(MID(A2486,15,2)),VALUE(MID(A2486,18,2))),"")))</f>
        <v/>
      </c>
    </row>
    <row r="2487" customFormat="false" ht="15" hidden="false" customHeight="false" outlineLevel="0" collapsed="false">
      <c r="I2487" s="15" t="str">
        <f aca="false">IF(N2487="","",INT(N2487))</f>
        <v/>
      </c>
      <c r="J2487" s="16" t="str">
        <f aca="false">IF(B2487="","",IF(N2487=_xlfn.MINIFS($N$2:$N$5001,$B$2:$B$5001,B2487),1,0))</f>
        <v/>
      </c>
      <c r="K2487" s="16" t="str">
        <f aca="false">IF(B2487="","",IF(AND(D2487="Formalização",E2487="Concluído"),IF(COUNTIFS($B$2:$B$5001,B2487,$E$2:$E$5001,"Em ajustes",$N$2:$N$5001,"&lt;"&amp;I2487)&gt;0,1,0),0))</f>
        <v/>
      </c>
      <c r="L2487" s="16" t="str">
        <f aca="false">IF(B2487="","",IF(N2487=_xlfn.MAXIFS($N$2:$N$5001,$B$2:$B$5001,B2487,$I$2:$I$5001,I2487),1,0))</f>
        <v/>
      </c>
      <c r="M2487" s="16" t="str">
        <f aca="false">IF(B2487="","",IF(E2487="Em ajustes",IF(N2487=_xlfn.MINIFS($N$2:$N$5001,$B$2:$B$5001,B2487,$E$2:$E$5001,"Em ajustes"),1,0),0))</f>
        <v/>
      </c>
      <c r="N2487" s="17" t="str">
        <f aca="false">IF(A2487="","",IF(ISNUMBER(A2487),A2487,IFERROR(DATE(VALUE(MID(A2487,7,4)),VALUE(MID(A2487,4,2)),VALUE(MID(A2487,1,2)))+TIME(VALUE(MID(A2487,12,2)),VALUE(MID(A2487,15,2)),VALUE(MID(A2487,18,2))),"")))</f>
        <v/>
      </c>
    </row>
    <row r="2488" customFormat="false" ht="15" hidden="false" customHeight="false" outlineLevel="0" collapsed="false">
      <c r="I2488" s="15" t="str">
        <f aca="false">IF(N2488="","",INT(N2488))</f>
        <v/>
      </c>
      <c r="J2488" s="16" t="str">
        <f aca="false">IF(B2488="","",IF(N2488=_xlfn.MINIFS($N$2:$N$5001,$B$2:$B$5001,B2488),1,0))</f>
        <v/>
      </c>
      <c r="K2488" s="16" t="str">
        <f aca="false">IF(B2488="","",IF(AND(D2488="Formalização",E2488="Concluído"),IF(COUNTIFS($B$2:$B$5001,B2488,$E$2:$E$5001,"Em ajustes",$N$2:$N$5001,"&lt;"&amp;I2488)&gt;0,1,0),0))</f>
        <v/>
      </c>
      <c r="L2488" s="16" t="str">
        <f aca="false">IF(B2488="","",IF(N2488=_xlfn.MAXIFS($N$2:$N$5001,$B$2:$B$5001,B2488,$I$2:$I$5001,I2488),1,0))</f>
        <v/>
      </c>
      <c r="M2488" s="16" t="str">
        <f aca="false">IF(B2488="","",IF(E2488="Em ajustes",IF(N2488=_xlfn.MINIFS($N$2:$N$5001,$B$2:$B$5001,B2488,$E$2:$E$5001,"Em ajustes"),1,0),0))</f>
        <v/>
      </c>
      <c r="N2488" s="17" t="str">
        <f aca="false">IF(A2488="","",IF(ISNUMBER(A2488),A2488,IFERROR(DATE(VALUE(MID(A2488,7,4)),VALUE(MID(A2488,4,2)),VALUE(MID(A2488,1,2)))+TIME(VALUE(MID(A2488,12,2)),VALUE(MID(A2488,15,2)),VALUE(MID(A2488,18,2))),"")))</f>
        <v/>
      </c>
    </row>
    <row r="2489" customFormat="false" ht="15" hidden="false" customHeight="false" outlineLevel="0" collapsed="false">
      <c r="I2489" s="15" t="str">
        <f aca="false">IF(N2489="","",INT(N2489))</f>
        <v/>
      </c>
      <c r="J2489" s="16" t="str">
        <f aca="false">IF(B2489="","",IF(N2489=_xlfn.MINIFS($N$2:$N$5001,$B$2:$B$5001,B2489),1,0))</f>
        <v/>
      </c>
      <c r="K2489" s="16" t="str">
        <f aca="false">IF(B2489="","",IF(AND(D2489="Formalização",E2489="Concluído"),IF(COUNTIFS($B$2:$B$5001,B2489,$E$2:$E$5001,"Em ajustes",$N$2:$N$5001,"&lt;"&amp;I2489)&gt;0,1,0),0))</f>
        <v/>
      </c>
      <c r="L2489" s="16" t="str">
        <f aca="false">IF(B2489="","",IF(N2489=_xlfn.MAXIFS($N$2:$N$5001,$B$2:$B$5001,B2489,$I$2:$I$5001,I2489),1,0))</f>
        <v/>
      </c>
      <c r="M2489" s="16" t="str">
        <f aca="false">IF(B2489="","",IF(E2489="Em ajustes",IF(N2489=_xlfn.MINIFS($N$2:$N$5001,$B$2:$B$5001,B2489,$E$2:$E$5001,"Em ajustes"),1,0),0))</f>
        <v/>
      </c>
      <c r="N2489" s="17" t="str">
        <f aca="false">IF(A2489="","",IF(ISNUMBER(A2489),A2489,IFERROR(DATE(VALUE(MID(A2489,7,4)),VALUE(MID(A2489,4,2)),VALUE(MID(A2489,1,2)))+TIME(VALUE(MID(A2489,12,2)),VALUE(MID(A2489,15,2)),VALUE(MID(A2489,18,2))),"")))</f>
        <v/>
      </c>
    </row>
    <row r="2490" customFormat="false" ht="15" hidden="false" customHeight="false" outlineLevel="0" collapsed="false">
      <c r="I2490" s="15" t="str">
        <f aca="false">IF(N2490="","",INT(N2490))</f>
        <v/>
      </c>
      <c r="J2490" s="16" t="str">
        <f aca="false">IF(B2490="","",IF(N2490=_xlfn.MINIFS($N$2:$N$5001,$B$2:$B$5001,B2490),1,0))</f>
        <v/>
      </c>
      <c r="K2490" s="16" t="str">
        <f aca="false">IF(B2490="","",IF(AND(D2490="Formalização",E2490="Concluído"),IF(COUNTIFS($B$2:$B$5001,B2490,$E$2:$E$5001,"Em ajustes",$N$2:$N$5001,"&lt;"&amp;I2490)&gt;0,1,0),0))</f>
        <v/>
      </c>
      <c r="L2490" s="16" t="str">
        <f aca="false">IF(B2490="","",IF(N2490=_xlfn.MAXIFS($N$2:$N$5001,$B$2:$B$5001,B2490,$I$2:$I$5001,I2490),1,0))</f>
        <v/>
      </c>
      <c r="M2490" s="16" t="str">
        <f aca="false">IF(B2490="","",IF(E2490="Em ajustes",IF(N2490=_xlfn.MINIFS($N$2:$N$5001,$B$2:$B$5001,B2490,$E$2:$E$5001,"Em ajustes"),1,0),0))</f>
        <v/>
      </c>
      <c r="N2490" s="17" t="str">
        <f aca="false">IF(A2490="","",IF(ISNUMBER(A2490),A2490,IFERROR(DATE(VALUE(MID(A2490,7,4)),VALUE(MID(A2490,4,2)),VALUE(MID(A2490,1,2)))+TIME(VALUE(MID(A2490,12,2)),VALUE(MID(A2490,15,2)),VALUE(MID(A2490,18,2))),"")))</f>
        <v/>
      </c>
    </row>
    <row r="2491" customFormat="false" ht="15" hidden="false" customHeight="false" outlineLevel="0" collapsed="false">
      <c r="I2491" s="15" t="str">
        <f aca="false">IF(N2491="","",INT(N2491))</f>
        <v/>
      </c>
      <c r="J2491" s="16" t="str">
        <f aca="false">IF(B2491="","",IF(N2491=_xlfn.MINIFS($N$2:$N$5001,$B$2:$B$5001,B2491),1,0))</f>
        <v/>
      </c>
      <c r="K2491" s="16" t="str">
        <f aca="false">IF(B2491="","",IF(AND(D2491="Formalização",E2491="Concluído"),IF(COUNTIFS($B$2:$B$5001,B2491,$E$2:$E$5001,"Em ajustes",$N$2:$N$5001,"&lt;"&amp;I2491)&gt;0,1,0),0))</f>
        <v/>
      </c>
      <c r="L2491" s="16" t="str">
        <f aca="false">IF(B2491="","",IF(N2491=_xlfn.MAXIFS($N$2:$N$5001,$B$2:$B$5001,B2491,$I$2:$I$5001,I2491),1,0))</f>
        <v/>
      </c>
      <c r="M2491" s="16" t="str">
        <f aca="false">IF(B2491="","",IF(E2491="Em ajustes",IF(N2491=_xlfn.MINIFS($N$2:$N$5001,$B$2:$B$5001,B2491,$E$2:$E$5001,"Em ajustes"),1,0),0))</f>
        <v/>
      </c>
      <c r="N2491" s="17" t="str">
        <f aca="false">IF(A2491="","",IF(ISNUMBER(A2491),A2491,IFERROR(DATE(VALUE(MID(A2491,7,4)),VALUE(MID(A2491,4,2)),VALUE(MID(A2491,1,2)))+TIME(VALUE(MID(A2491,12,2)),VALUE(MID(A2491,15,2)),VALUE(MID(A2491,18,2))),"")))</f>
        <v/>
      </c>
    </row>
    <row r="2492" customFormat="false" ht="15" hidden="false" customHeight="false" outlineLevel="0" collapsed="false">
      <c r="I2492" s="15" t="str">
        <f aca="false">IF(N2492="","",INT(N2492))</f>
        <v/>
      </c>
      <c r="J2492" s="16" t="str">
        <f aca="false">IF(B2492="","",IF(N2492=_xlfn.MINIFS($N$2:$N$5001,$B$2:$B$5001,B2492),1,0))</f>
        <v/>
      </c>
      <c r="K2492" s="16" t="str">
        <f aca="false">IF(B2492="","",IF(AND(D2492="Formalização",E2492="Concluído"),IF(COUNTIFS($B$2:$B$5001,B2492,$E$2:$E$5001,"Em ajustes",$N$2:$N$5001,"&lt;"&amp;I2492)&gt;0,1,0),0))</f>
        <v/>
      </c>
      <c r="L2492" s="16" t="str">
        <f aca="false">IF(B2492="","",IF(N2492=_xlfn.MAXIFS($N$2:$N$5001,$B$2:$B$5001,B2492,$I$2:$I$5001,I2492),1,0))</f>
        <v/>
      </c>
      <c r="M2492" s="16" t="str">
        <f aca="false">IF(B2492="","",IF(E2492="Em ajustes",IF(N2492=_xlfn.MINIFS($N$2:$N$5001,$B$2:$B$5001,B2492,$E$2:$E$5001,"Em ajustes"),1,0),0))</f>
        <v/>
      </c>
      <c r="N2492" s="17" t="str">
        <f aca="false">IF(A2492="","",IF(ISNUMBER(A2492),A2492,IFERROR(DATE(VALUE(MID(A2492,7,4)),VALUE(MID(A2492,4,2)),VALUE(MID(A2492,1,2)))+TIME(VALUE(MID(A2492,12,2)),VALUE(MID(A2492,15,2)),VALUE(MID(A2492,18,2))),"")))</f>
        <v/>
      </c>
    </row>
    <row r="2493" customFormat="false" ht="15" hidden="false" customHeight="false" outlineLevel="0" collapsed="false">
      <c r="I2493" s="15" t="str">
        <f aca="false">IF(N2493="","",INT(N2493))</f>
        <v/>
      </c>
      <c r="J2493" s="16" t="str">
        <f aca="false">IF(B2493="","",IF(N2493=_xlfn.MINIFS($N$2:$N$5001,$B$2:$B$5001,B2493),1,0))</f>
        <v/>
      </c>
      <c r="K2493" s="16" t="str">
        <f aca="false">IF(B2493="","",IF(AND(D2493="Formalização",E2493="Concluído"),IF(COUNTIFS($B$2:$B$5001,B2493,$E$2:$E$5001,"Em ajustes",$N$2:$N$5001,"&lt;"&amp;I2493)&gt;0,1,0),0))</f>
        <v/>
      </c>
      <c r="L2493" s="16" t="str">
        <f aca="false">IF(B2493="","",IF(N2493=_xlfn.MAXIFS($N$2:$N$5001,$B$2:$B$5001,B2493,$I$2:$I$5001,I2493),1,0))</f>
        <v/>
      </c>
      <c r="M2493" s="16" t="str">
        <f aca="false">IF(B2493="","",IF(E2493="Em ajustes",IF(N2493=_xlfn.MINIFS($N$2:$N$5001,$B$2:$B$5001,B2493,$E$2:$E$5001,"Em ajustes"),1,0),0))</f>
        <v/>
      </c>
      <c r="N2493" s="17" t="str">
        <f aca="false">IF(A2493="","",IF(ISNUMBER(A2493),A2493,IFERROR(DATE(VALUE(MID(A2493,7,4)),VALUE(MID(A2493,4,2)),VALUE(MID(A2493,1,2)))+TIME(VALUE(MID(A2493,12,2)),VALUE(MID(A2493,15,2)),VALUE(MID(A2493,18,2))),"")))</f>
        <v/>
      </c>
    </row>
    <row r="2494" customFormat="false" ht="15" hidden="false" customHeight="false" outlineLevel="0" collapsed="false">
      <c r="I2494" s="15" t="str">
        <f aca="false">IF(N2494="","",INT(N2494))</f>
        <v/>
      </c>
      <c r="J2494" s="16" t="str">
        <f aca="false">IF(B2494="","",IF(N2494=_xlfn.MINIFS($N$2:$N$5001,$B$2:$B$5001,B2494),1,0))</f>
        <v/>
      </c>
      <c r="K2494" s="16" t="str">
        <f aca="false">IF(B2494="","",IF(AND(D2494="Formalização",E2494="Concluído"),IF(COUNTIFS($B$2:$B$5001,B2494,$E$2:$E$5001,"Em ajustes",$N$2:$N$5001,"&lt;"&amp;I2494)&gt;0,1,0),0))</f>
        <v/>
      </c>
      <c r="L2494" s="16" t="str">
        <f aca="false">IF(B2494="","",IF(N2494=_xlfn.MAXIFS($N$2:$N$5001,$B$2:$B$5001,B2494,$I$2:$I$5001,I2494),1,0))</f>
        <v/>
      </c>
      <c r="M2494" s="16" t="str">
        <f aca="false">IF(B2494="","",IF(E2494="Em ajustes",IF(N2494=_xlfn.MINIFS($N$2:$N$5001,$B$2:$B$5001,B2494,$E$2:$E$5001,"Em ajustes"),1,0),0))</f>
        <v/>
      </c>
      <c r="N2494" s="17" t="str">
        <f aca="false">IF(A2494="","",IF(ISNUMBER(A2494),A2494,IFERROR(DATE(VALUE(MID(A2494,7,4)),VALUE(MID(A2494,4,2)),VALUE(MID(A2494,1,2)))+TIME(VALUE(MID(A2494,12,2)),VALUE(MID(A2494,15,2)),VALUE(MID(A2494,18,2))),"")))</f>
        <v/>
      </c>
    </row>
    <row r="2495" customFormat="false" ht="15" hidden="false" customHeight="false" outlineLevel="0" collapsed="false">
      <c r="I2495" s="15" t="str">
        <f aca="false">IF(N2495="","",INT(N2495))</f>
        <v/>
      </c>
      <c r="J2495" s="16" t="str">
        <f aca="false">IF(B2495="","",IF(N2495=_xlfn.MINIFS($N$2:$N$5001,$B$2:$B$5001,B2495),1,0))</f>
        <v/>
      </c>
      <c r="K2495" s="16" t="str">
        <f aca="false">IF(B2495="","",IF(AND(D2495="Formalização",E2495="Concluído"),IF(COUNTIFS($B$2:$B$5001,B2495,$E$2:$E$5001,"Em ajustes",$N$2:$N$5001,"&lt;"&amp;I2495)&gt;0,1,0),0))</f>
        <v/>
      </c>
      <c r="L2495" s="16" t="str">
        <f aca="false">IF(B2495="","",IF(N2495=_xlfn.MAXIFS($N$2:$N$5001,$B$2:$B$5001,B2495,$I$2:$I$5001,I2495),1,0))</f>
        <v/>
      </c>
      <c r="M2495" s="16" t="str">
        <f aca="false">IF(B2495="","",IF(E2495="Em ajustes",IF(N2495=_xlfn.MINIFS($N$2:$N$5001,$B$2:$B$5001,B2495,$E$2:$E$5001,"Em ajustes"),1,0),0))</f>
        <v/>
      </c>
      <c r="N2495" s="17" t="str">
        <f aca="false">IF(A2495="","",IF(ISNUMBER(A2495),A2495,IFERROR(DATE(VALUE(MID(A2495,7,4)),VALUE(MID(A2495,4,2)),VALUE(MID(A2495,1,2)))+TIME(VALUE(MID(A2495,12,2)),VALUE(MID(A2495,15,2)),VALUE(MID(A2495,18,2))),"")))</f>
        <v/>
      </c>
    </row>
    <row r="2496" customFormat="false" ht="15" hidden="false" customHeight="false" outlineLevel="0" collapsed="false">
      <c r="I2496" s="15" t="str">
        <f aca="false">IF(N2496="","",INT(N2496))</f>
        <v/>
      </c>
      <c r="J2496" s="16" t="str">
        <f aca="false">IF(B2496="","",IF(N2496=_xlfn.MINIFS($N$2:$N$5001,$B$2:$B$5001,B2496),1,0))</f>
        <v/>
      </c>
      <c r="K2496" s="16" t="str">
        <f aca="false">IF(B2496="","",IF(AND(D2496="Formalização",E2496="Concluído"),IF(COUNTIFS($B$2:$B$5001,B2496,$E$2:$E$5001,"Em ajustes",$N$2:$N$5001,"&lt;"&amp;I2496)&gt;0,1,0),0))</f>
        <v/>
      </c>
      <c r="L2496" s="16" t="str">
        <f aca="false">IF(B2496="","",IF(N2496=_xlfn.MAXIFS($N$2:$N$5001,$B$2:$B$5001,B2496,$I$2:$I$5001,I2496),1,0))</f>
        <v/>
      </c>
      <c r="M2496" s="16" t="str">
        <f aca="false">IF(B2496="","",IF(E2496="Em ajustes",IF(N2496=_xlfn.MINIFS($N$2:$N$5001,$B$2:$B$5001,B2496,$E$2:$E$5001,"Em ajustes"),1,0),0))</f>
        <v/>
      </c>
      <c r="N2496" s="17" t="str">
        <f aca="false">IF(A2496="","",IF(ISNUMBER(A2496),A2496,IFERROR(DATE(VALUE(MID(A2496,7,4)),VALUE(MID(A2496,4,2)),VALUE(MID(A2496,1,2)))+TIME(VALUE(MID(A2496,12,2)),VALUE(MID(A2496,15,2)),VALUE(MID(A2496,18,2))),"")))</f>
        <v/>
      </c>
    </row>
    <row r="2497" customFormat="false" ht="15" hidden="false" customHeight="false" outlineLevel="0" collapsed="false">
      <c r="I2497" s="15" t="str">
        <f aca="false">IF(N2497="","",INT(N2497))</f>
        <v/>
      </c>
      <c r="J2497" s="16" t="str">
        <f aca="false">IF(B2497="","",IF(N2497=_xlfn.MINIFS($N$2:$N$5001,$B$2:$B$5001,B2497),1,0))</f>
        <v/>
      </c>
      <c r="K2497" s="16" t="str">
        <f aca="false">IF(B2497="","",IF(AND(D2497="Formalização",E2497="Concluído"),IF(COUNTIFS($B$2:$B$5001,B2497,$E$2:$E$5001,"Em ajustes",$N$2:$N$5001,"&lt;"&amp;I2497)&gt;0,1,0),0))</f>
        <v/>
      </c>
      <c r="L2497" s="16" t="str">
        <f aca="false">IF(B2497="","",IF(N2497=_xlfn.MAXIFS($N$2:$N$5001,$B$2:$B$5001,B2497,$I$2:$I$5001,I2497),1,0))</f>
        <v/>
      </c>
      <c r="M2497" s="16" t="str">
        <f aca="false">IF(B2497="","",IF(E2497="Em ajustes",IF(N2497=_xlfn.MINIFS($N$2:$N$5001,$B$2:$B$5001,B2497,$E$2:$E$5001,"Em ajustes"),1,0),0))</f>
        <v/>
      </c>
      <c r="N2497" s="17" t="str">
        <f aca="false">IF(A2497="","",IF(ISNUMBER(A2497),A2497,IFERROR(DATE(VALUE(MID(A2497,7,4)),VALUE(MID(A2497,4,2)),VALUE(MID(A2497,1,2)))+TIME(VALUE(MID(A2497,12,2)),VALUE(MID(A2497,15,2)),VALUE(MID(A2497,18,2))),"")))</f>
        <v/>
      </c>
    </row>
    <row r="2498" customFormat="false" ht="15" hidden="false" customHeight="false" outlineLevel="0" collapsed="false">
      <c r="I2498" s="15" t="str">
        <f aca="false">IF(N2498="","",INT(N2498))</f>
        <v/>
      </c>
      <c r="J2498" s="16" t="str">
        <f aca="false">IF(B2498="","",IF(N2498=_xlfn.MINIFS($N$2:$N$5001,$B$2:$B$5001,B2498),1,0))</f>
        <v/>
      </c>
      <c r="K2498" s="16" t="str">
        <f aca="false">IF(B2498="","",IF(AND(D2498="Formalização",E2498="Concluído"),IF(COUNTIFS($B$2:$B$5001,B2498,$E$2:$E$5001,"Em ajustes",$N$2:$N$5001,"&lt;"&amp;I2498)&gt;0,1,0),0))</f>
        <v/>
      </c>
      <c r="L2498" s="16" t="str">
        <f aca="false">IF(B2498="","",IF(N2498=_xlfn.MAXIFS($N$2:$N$5001,$B$2:$B$5001,B2498,$I$2:$I$5001,I2498),1,0))</f>
        <v/>
      </c>
      <c r="M2498" s="16" t="str">
        <f aca="false">IF(B2498="","",IF(E2498="Em ajustes",IF(N2498=_xlfn.MINIFS($N$2:$N$5001,$B$2:$B$5001,B2498,$E$2:$E$5001,"Em ajustes"),1,0),0))</f>
        <v/>
      </c>
      <c r="N2498" s="17" t="str">
        <f aca="false">IF(A2498="","",IF(ISNUMBER(A2498),A2498,IFERROR(DATE(VALUE(MID(A2498,7,4)),VALUE(MID(A2498,4,2)),VALUE(MID(A2498,1,2)))+TIME(VALUE(MID(A2498,12,2)),VALUE(MID(A2498,15,2)),VALUE(MID(A2498,18,2))),"")))</f>
        <v/>
      </c>
    </row>
    <row r="2499" customFormat="false" ht="15" hidden="false" customHeight="false" outlineLevel="0" collapsed="false">
      <c r="I2499" s="15" t="str">
        <f aca="false">IF(N2499="","",INT(N2499))</f>
        <v/>
      </c>
      <c r="J2499" s="16" t="str">
        <f aca="false">IF(B2499="","",IF(N2499=_xlfn.MINIFS($N$2:$N$5001,$B$2:$B$5001,B2499),1,0))</f>
        <v/>
      </c>
      <c r="K2499" s="16" t="str">
        <f aca="false">IF(B2499="","",IF(AND(D2499="Formalização",E2499="Concluído"),IF(COUNTIFS($B$2:$B$5001,B2499,$E$2:$E$5001,"Em ajustes",$N$2:$N$5001,"&lt;"&amp;I2499)&gt;0,1,0),0))</f>
        <v/>
      </c>
      <c r="L2499" s="16" t="str">
        <f aca="false">IF(B2499="","",IF(N2499=_xlfn.MAXIFS($N$2:$N$5001,$B$2:$B$5001,B2499,$I$2:$I$5001,I2499),1,0))</f>
        <v/>
      </c>
      <c r="M2499" s="16" t="str">
        <f aca="false">IF(B2499="","",IF(E2499="Em ajustes",IF(N2499=_xlfn.MINIFS($N$2:$N$5001,$B$2:$B$5001,B2499,$E$2:$E$5001,"Em ajustes"),1,0),0))</f>
        <v/>
      </c>
      <c r="N2499" s="17" t="str">
        <f aca="false">IF(A2499="","",IF(ISNUMBER(A2499),A2499,IFERROR(DATE(VALUE(MID(A2499,7,4)),VALUE(MID(A2499,4,2)),VALUE(MID(A2499,1,2)))+TIME(VALUE(MID(A2499,12,2)),VALUE(MID(A2499,15,2)),VALUE(MID(A2499,18,2))),"")))</f>
        <v/>
      </c>
    </row>
    <row r="2500" customFormat="false" ht="15" hidden="false" customHeight="false" outlineLevel="0" collapsed="false">
      <c r="I2500" s="15" t="str">
        <f aca="false">IF(N2500="","",INT(N2500))</f>
        <v/>
      </c>
      <c r="J2500" s="16" t="str">
        <f aca="false">IF(B2500="","",IF(N2500=_xlfn.MINIFS($N$2:$N$5001,$B$2:$B$5001,B2500),1,0))</f>
        <v/>
      </c>
      <c r="K2500" s="16" t="str">
        <f aca="false">IF(B2500="","",IF(AND(D2500="Formalização",E2500="Concluído"),IF(COUNTIFS($B$2:$B$5001,B2500,$E$2:$E$5001,"Em ajustes",$N$2:$N$5001,"&lt;"&amp;I2500)&gt;0,1,0),0))</f>
        <v/>
      </c>
      <c r="L2500" s="16" t="str">
        <f aca="false">IF(B2500="","",IF(N2500=_xlfn.MAXIFS($N$2:$N$5001,$B$2:$B$5001,B2500,$I$2:$I$5001,I2500),1,0))</f>
        <v/>
      </c>
      <c r="M2500" s="16" t="str">
        <f aca="false">IF(B2500="","",IF(E2500="Em ajustes",IF(N2500=_xlfn.MINIFS($N$2:$N$5001,$B$2:$B$5001,B2500,$E$2:$E$5001,"Em ajustes"),1,0),0))</f>
        <v/>
      </c>
      <c r="N2500" s="17" t="str">
        <f aca="false">IF(A2500="","",IF(ISNUMBER(A2500),A2500,IFERROR(DATE(VALUE(MID(A2500,7,4)),VALUE(MID(A2500,4,2)),VALUE(MID(A2500,1,2)))+TIME(VALUE(MID(A2500,12,2)),VALUE(MID(A2500,15,2)),VALUE(MID(A2500,18,2))),"")))</f>
        <v/>
      </c>
    </row>
    <row r="2501" customFormat="false" ht="15" hidden="false" customHeight="false" outlineLevel="0" collapsed="false">
      <c r="I2501" s="15" t="str">
        <f aca="false">IF(N2501="","",INT(N2501))</f>
        <v/>
      </c>
      <c r="J2501" s="16" t="str">
        <f aca="false">IF(B2501="","",IF(N2501=_xlfn.MINIFS($N$2:$N$5001,$B$2:$B$5001,B2501),1,0))</f>
        <v/>
      </c>
      <c r="K2501" s="16" t="str">
        <f aca="false">IF(B2501="","",IF(AND(D2501="Formalização",E2501="Concluído"),IF(COUNTIFS($B$2:$B$5001,B2501,$E$2:$E$5001,"Em ajustes",$N$2:$N$5001,"&lt;"&amp;I2501)&gt;0,1,0),0))</f>
        <v/>
      </c>
      <c r="L2501" s="16" t="str">
        <f aca="false">IF(B2501="","",IF(N2501=_xlfn.MAXIFS($N$2:$N$5001,$B$2:$B$5001,B2501,$I$2:$I$5001,I2501),1,0))</f>
        <v/>
      </c>
      <c r="M2501" s="16" t="str">
        <f aca="false">IF(B2501="","",IF(E2501="Em ajustes",IF(N2501=_xlfn.MINIFS($N$2:$N$5001,$B$2:$B$5001,B2501,$E$2:$E$5001,"Em ajustes"),1,0),0))</f>
        <v/>
      </c>
      <c r="N2501" s="17" t="str">
        <f aca="false">IF(A2501="","",IF(ISNUMBER(A2501),A2501,IFERROR(DATE(VALUE(MID(A2501,7,4)),VALUE(MID(A2501,4,2)),VALUE(MID(A2501,1,2)))+TIME(VALUE(MID(A2501,12,2)),VALUE(MID(A2501,15,2)),VALUE(MID(A2501,18,2))),"")))</f>
        <v/>
      </c>
    </row>
    <row r="2502" customFormat="false" ht="15" hidden="false" customHeight="false" outlineLevel="0" collapsed="false">
      <c r="I2502" s="15" t="str">
        <f aca="false">IF(N2502="","",INT(N2502))</f>
        <v/>
      </c>
      <c r="J2502" s="16" t="str">
        <f aca="false">IF(B2502="","",IF(N2502=_xlfn.MINIFS($N$2:$N$5001,$B$2:$B$5001,B2502),1,0))</f>
        <v/>
      </c>
      <c r="K2502" s="16" t="str">
        <f aca="false">IF(B2502="","",IF(AND(D2502="Formalização",E2502="Concluído"),IF(COUNTIFS($B$2:$B$5001,B2502,$E$2:$E$5001,"Em ajustes",$N$2:$N$5001,"&lt;"&amp;I2502)&gt;0,1,0),0))</f>
        <v/>
      </c>
      <c r="L2502" s="16" t="str">
        <f aca="false">IF(B2502="","",IF(N2502=_xlfn.MAXIFS($N$2:$N$5001,$B$2:$B$5001,B2502,$I$2:$I$5001,I2502),1,0))</f>
        <v/>
      </c>
      <c r="M2502" s="16" t="str">
        <f aca="false">IF(B2502="","",IF(E2502="Em ajustes",IF(N2502=_xlfn.MINIFS($N$2:$N$5001,$B$2:$B$5001,B2502,$E$2:$E$5001,"Em ajustes"),1,0),0))</f>
        <v/>
      </c>
      <c r="N2502" s="17" t="str">
        <f aca="false">IF(A2502="","",IF(ISNUMBER(A2502),A2502,IFERROR(DATE(VALUE(MID(A2502,7,4)),VALUE(MID(A2502,4,2)),VALUE(MID(A2502,1,2)))+TIME(VALUE(MID(A2502,12,2)),VALUE(MID(A2502,15,2)),VALUE(MID(A2502,18,2))),"")))</f>
        <v/>
      </c>
    </row>
    <row r="2503" customFormat="false" ht="15" hidden="false" customHeight="false" outlineLevel="0" collapsed="false">
      <c r="I2503" s="15" t="str">
        <f aca="false">IF(N2503="","",INT(N2503))</f>
        <v/>
      </c>
      <c r="J2503" s="16" t="str">
        <f aca="false">IF(B2503="","",IF(N2503=_xlfn.MINIFS($N$2:$N$5001,$B$2:$B$5001,B2503),1,0))</f>
        <v/>
      </c>
      <c r="K2503" s="16" t="str">
        <f aca="false">IF(B2503="","",IF(AND(D2503="Formalização",E2503="Concluído"),IF(COUNTIFS($B$2:$B$5001,B2503,$E$2:$E$5001,"Em ajustes",$N$2:$N$5001,"&lt;"&amp;I2503)&gt;0,1,0),0))</f>
        <v/>
      </c>
      <c r="L2503" s="16" t="str">
        <f aca="false">IF(B2503="","",IF(N2503=_xlfn.MAXIFS($N$2:$N$5001,$B$2:$B$5001,B2503,$I$2:$I$5001,I2503),1,0))</f>
        <v/>
      </c>
      <c r="M2503" s="16" t="str">
        <f aca="false">IF(B2503="","",IF(E2503="Em ajustes",IF(N2503=_xlfn.MINIFS($N$2:$N$5001,$B$2:$B$5001,B2503,$E$2:$E$5001,"Em ajustes"),1,0),0))</f>
        <v/>
      </c>
      <c r="N2503" s="17" t="str">
        <f aca="false">IF(A2503="","",IF(ISNUMBER(A2503),A2503,IFERROR(DATE(VALUE(MID(A2503,7,4)),VALUE(MID(A2503,4,2)),VALUE(MID(A2503,1,2)))+TIME(VALUE(MID(A2503,12,2)),VALUE(MID(A2503,15,2)),VALUE(MID(A2503,18,2))),"")))</f>
        <v/>
      </c>
    </row>
    <row r="2504" customFormat="false" ht="15" hidden="false" customHeight="false" outlineLevel="0" collapsed="false">
      <c r="I2504" s="15" t="str">
        <f aca="false">IF(N2504="","",INT(N2504))</f>
        <v/>
      </c>
      <c r="J2504" s="16" t="str">
        <f aca="false">IF(B2504="","",IF(N2504=_xlfn.MINIFS($N$2:$N$5001,$B$2:$B$5001,B2504),1,0))</f>
        <v/>
      </c>
      <c r="K2504" s="16" t="str">
        <f aca="false">IF(B2504="","",IF(AND(D2504="Formalização",E2504="Concluído"),IF(COUNTIFS($B$2:$B$5001,B2504,$E$2:$E$5001,"Em ajustes",$N$2:$N$5001,"&lt;"&amp;I2504)&gt;0,1,0),0))</f>
        <v/>
      </c>
      <c r="L2504" s="16" t="str">
        <f aca="false">IF(B2504="","",IF(N2504=_xlfn.MAXIFS($N$2:$N$5001,$B$2:$B$5001,B2504,$I$2:$I$5001,I2504),1,0))</f>
        <v/>
      </c>
      <c r="M2504" s="16" t="str">
        <f aca="false">IF(B2504="","",IF(E2504="Em ajustes",IF(N2504=_xlfn.MINIFS($N$2:$N$5001,$B$2:$B$5001,B2504,$E$2:$E$5001,"Em ajustes"),1,0),0))</f>
        <v/>
      </c>
      <c r="N2504" s="17" t="str">
        <f aca="false">IF(A2504="","",IF(ISNUMBER(A2504),A2504,IFERROR(DATE(VALUE(MID(A2504,7,4)),VALUE(MID(A2504,4,2)),VALUE(MID(A2504,1,2)))+TIME(VALUE(MID(A2504,12,2)),VALUE(MID(A2504,15,2)),VALUE(MID(A2504,18,2))),"")))</f>
        <v/>
      </c>
    </row>
    <row r="2505" customFormat="false" ht="15" hidden="false" customHeight="false" outlineLevel="0" collapsed="false">
      <c r="I2505" s="15" t="str">
        <f aca="false">IF(N2505="","",INT(N2505))</f>
        <v/>
      </c>
      <c r="J2505" s="16" t="str">
        <f aca="false">IF(B2505="","",IF(N2505=_xlfn.MINIFS($N$2:$N$5001,$B$2:$B$5001,B2505),1,0))</f>
        <v/>
      </c>
      <c r="K2505" s="16" t="str">
        <f aca="false">IF(B2505="","",IF(AND(D2505="Formalização",E2505="Concluído"),IF(COUNTIFS($B$2:$B$5001,B2505,$E$2:$E$5001,"Em ajustes",$N$2:$N$5001,"&lt;"&amp;I2505)&gt;0,1,0),0))</f>
        <v/>
      </c>
      <c r="L2505" s="16" t="str">
        <f aca="false">IF(B2505="","",IF(N2505=_xlfn.MAXIFS($N$2:$N$5001,$B$2:$B$5001,B2505,$I$2:$I$5001,I2505),1,0))</f>
        <v/>
      </c>
      <c r="M2505" s="16" t="str">
        <f aca="false">IF(B2505="","",IF(E2505="Em ajustes",IF(N2505=_xlfn.MINIFS($N$2:$N$5001,$B$2:$B$5001,B2505,$E$2:$E$5001,"Em ajustes"),1,0),0))</f>
        <v/>
      </c>
      <c r="N2505" s="17" t="str">
        <f aca="false">IF(A2505="","",IF(ISNUMBER(A2505),A2505,IFERROR(DATE(VALUE(MID(A2505,7,4)),VALUE(MID(A2505,4,2)),VALUE(MID(A2505,1,2)))+TIME(VALUE(MID(A2505,12,2)),VALUE(MID(A2505,15,2)),VALUE(MID(A2505,18,2))),"")))</f>
        <v/>
      </c>
    </row>
    <row r="2506" customFormat="false" ht="15" hidden="false" customHeight="false" outlineLevel="0" collapsed="false">
      <c r="I2506" s="15" t="str">
        <f aca="false">IF(N2506="","",INT(N2506))</f>
        <v/>
      </c>
      <c r="J2506" s="16" t="str">
        <f aca="false">IF(B2506="","",IF(N2506=_xlfn.MINIFS($N$2:$N$5001,$B$2:$B$5001,B2506),1,0))</f>
        <v/>
      </c>
      <c r="K2506" s="16" t="str">
        <f aca="false">IF(B2506="","",IF(AND(D2506="Formalização",E2506="Concluído"),IF(COUNTIFS($B$2:$B$5001,B2506,$E$2:$E$5001,"Em ajustes",$N$2:$N$5001,"&lt;"&amp;I2506)&gt;0,1,0),0))</f>
        <v/>
      </c>
      <c r="L2506" s="16" t="str">
        <f aca="false">IF(B2506="","",IF(N2506=_xlfn.MAXIFS($N$2:$N$5001,$B$2:$B$5001,B2506,$I$2:$I$5001,I2506),1,0))</f>
        <v/>
      </c>
      <c r="M2506" s="16" t="str">
        <f aca="false">IF(B2506="","",IF(E2506="Em ajustes",IF(N2506=_xlfn.MINIFS($N$2:$N$5001,$B$2:$B$5001,B2506,$E$2:$E$5001,"Em ajustes"),1,0),0))</f>
        <v/>
      </c>
      <c r="N2506" s="17" t="str">
        <f aca="false">IF(A2506="","",IF(ISNUMBER(A2506),A2506,IFERROR(DATE(VALUE(MID(A2506,7,4)),VALUE(MID(A2506,4,2)),VALUE(MID(A2506,1,2)))+TIME(VALUE(MID(A2506,12,2)),VALUE(MID(A2506,15,2)),VALUE(MID(A2506,18,2))),"")))</f>
        <v/>
      </c>
    </row>
    <row r="2507" customFormat="false" ht="15" hidden="false" customHeight="false" outlineLevel="0" collapsed="false">
      <c r="I2507" s="15" t="str">
        <f aca="false">IF(N2507="","",INT(N2507))</f>
        <v/>
      </c>
      <c r="J2507" s="16" t="str">
        <f aca="false">IF(B2507="","",IF(N2507=_xlfn.MINIFS($N$2:$N$5001,$B$2:$B$5001,B2507),1,0))</f>
        <v/>
      </c>
      <c r="K2507" s="16" t="str">
        <f aca="false">IF(B2507="","",IF(AND(D2507="Formalização",E2507="Concluído"),IF(COUNTIFS($B$2:$B$5001,B2507,$E$2:$E$5001,"Em ajustes",$N$2:$N$5001,"&lt;"&amp;I2507)&gt;0,1,0),0))</f>
        <v/>
      </c>
      <c r="L2507" s="16" t="str">
        <f aca="false">IF(B2507="","",IF(N2507=_xlfn.MAXIFS($N$2:$N$5001,$B$2:$B$5001,B2507,$I$2:$I$5001,I2507),1,0))</f>
        <v/>
      </c>
      <c r="M2507" s="16" t="str">
        <f aca="false">IF(B2507="","",IF(E2507="Em ajustes",IF(N2507=_xlfn.MINIFS($N$2:$N$5001,$B$2:$B$5001,B2507,$E$2:$E$5001,"Em ajustes"),1,0),0))</f>
        <v/>
      </c>
      <c r="N2507" s="17" t="str">
        <f aca="false">IF(A2507="","",IF(ISNUMBER(A2507),A2507,IFERROR(DATE(VALUE(MID(A2507,7,4)),VALUE(MID(A2507,4,2)),VALUE(MID(A2507,1,2)))+TIME(VALUE(MID(A2507,12,2)),VALUE(MID(A2507,15,2)),VALUE(MID(A2507,18,2))),"")))</f>
        <v/>
      </c>
    </row>
    <row r="2508" customFormat="false" ht="15" hidden="false" customHeight="false" outlineLevel="0" collapsed="false">
      <c r="I2508" s="15" t="str">
        <f aca="false">IF(N2508="","",INT(N2508))</f>
        <v/>
      </c>
      <c r="J2508" s="16" t="str">
        <f aca="false">IF(B2508="","",IF(N2508=_xlfn.MINIFS($N$2:$N$5001,$B$2:$B$5001,B2508),1,0))</f>
        <v/>
      </c>
      <c r="K2508" s="16" t="str">
        <f aca="false">IF(B2508="","",IF(AND(D2508="Formalização",E2508="Concluído"),IF(COUNTIFS($B$2:$B$5001,B2508,$E$2:$E$5001,"Em ajustes",$N$2:$N$5001,"&lt;"&amp;I2508)&gt;0,1,0),0))</f>
        <v/>
      </c>
      <c r="L2508" s="16" t="str">
        <f aca="false">IF(B2508="","",IF(N2508=_xlfn.MAXIFS($N$2:$N$5001,$B$2:$B$5001,B2508,$I$2:$I$5001,I2508),1,0))</f>
        <v/>
      </c>
      <c r="M2508" s="16" t="str">
        <f aca="false">IF(B2508="","",IF(E2508="Em ajustes",IF(N2508=_xlfn.MINIFS($N$2:$N$5001,$B$2:$B$5001,B2508,$E$2:$E$5001,"Em ajustes"),1,0),0))</f>
        <v/>
      </c>
      <c r="N2508" s="17" t="str">
        <f aca="false">IF(A2508="","",IF(ISNUMBER(A2508),A2508,IFERROR(DATE(VALUE(MID(A2508,7,4)),VALUE(MID(A2508,4,2)),VALUE(MID(A2508,1,2)))+TIME(VALUE(MID(A2508,12,2)),VALUE(MID(A2508,15,2)),VALUE(MID(A2508,18,2))),"")))</f>
        <v/>
      </c>
    </row>
    <row r="2509" customFormat="false" ht="15" hidden="false" customHeight="false" outlineLevel="0" collapsed="false">
      <c r="I2509" s="15" t="str">
        <f aca="false">IF(N2509="","",INT(N2509))</f>
        <v/>
      </c>
      <c r="J2509" s="16" t="str">
        <f aca="false">IF(B2509="","",IF(N2509=_xlfn.MINIFS($N$2:$N$5001,$B$2:$B$5001,B2509),1,0))</f>
        <v/>
      </c>
      <c r="K2509" s="16" t="str">
        <f aca="false">IF(B2509="","",IF(AND(D2509="Formalização",E2509="Concluído"),IF(COUNTIFS($B$2:$B$5001,B2509,$E$2:$E$5001,"Em ajustes",$N$2:$N$5001,"&lt;"&amp;I2509)&gt;0,1,0),0))</f>
        <v/>
      </c>
      <c r="L2509" s="16" t="str">
        <f aca="false">IF(B2509="","",IF(N2509=_xlfn.MAXIFS($N$2:$N$5001,$B$2:$B$5001,B2509,$I$2:$I$5001,I2509),1,0))</f>
        <v/>
      </c>
      <c r="M2509" s="16" t="str">
        <f aca="false">IF(B2509="","",IF(E2509="Em ajustes",IF(N2509=_xlfn.MINIFS($N$2:$N$5001,$B$2:$B$5001,B2509,$E$2:$E$5001,"Em ajustes"),1,0),0))</f>
        <v/>
      </c>
      <c r="N2509" s="17" t="str">
        <f aca="false">IF(A2509="","",IF(ISNUMBER(A2509),A2509,IFERROR(DATE(VALUE(MID(A2509,7,4)),VALUE(MID(A2509,4,2)),VALUE(MID(A2509,1,2)))+TIME(VALUE(MID(A2509,12,2)),VALUE(MID(A2509,15,2)),VALUE(MID(A2509,18,2))),"")))</f>
        <v/>
      </c>
    </row>
    <row r="2510" customFormat="false" ht="15" hidden="false" customHeight="false" outlineLevel="0" collapsed="false">
      <c r="I2510" s="15" t="str">
        <f aca="false">IF(N2510="","",INT(N2510))</f>
        <v/>
      </c>
      <c r="J2510" s="16" t="str">
        <f aca="false">IF(B2510="","",IF(N2510=_xlfn.MINIFS($N$2:$N$5001,$B$2:$B$5001,B2510),1,0))</f>
        <v/>
      </c>
      <c r="K2510" s="16" t="str">
        <f aca="false">IF(B2510="","",IF(AND(D2510="Formalização",E2510="Concluído"),IF(COUNTIFS($B$2:$B$5001,B2510,$E$2:$E$5001,"Em ajustes",$N$2:$N$5001,"&lt;"&amp;I2510)&gt;0,1,0),0))</f>
        <v/>
      </c>
      <c r="L2510" s="16" t="str">
        <f aca="false">IF(B2510="","",IF(N2510=_xlfn.MAXIFS($N$2:$N$5001,$B$2:$B$5001,B2510,$I$2:$I$5001,I2510),1,0))</f>
        <v/>
      </c>
      <c r="M2510" s="16" t="str">
        <f aca="false">IF(B2510="","",IF(E2510="Em ajustes",IF(N2510=_xlfn.MINIFS($N$2:$N$5001,$B$2:$B$5001,B2510,$E$2:$E$5001,"Em ajustes"),1,0),0))</f>
        <v/>
      </c>
      <c r="N2510" s="17" t="str">
        <f aca="false">IF(A2510="","",IF(ISNUMBER(A2510),A2510,IFERROR(DATE(VALUE(MID(A2510,7,4)),VALUE(MID(A2510,4,2)),VALUE(MID(A2510,1,2)))+TIME(VALUE(MID(A2510,12,2)),VALUE(MID(A2510,15,2)),VALUE(MID(A2510,18,2))),"")))</f>
        <v/>
      </c>
    </row>
    <row r="2511" customFormat="false" ht="15" hidden="false" customHeight="false" outlineLevel="0" collapsed="false">
      <c r="I2511" s="15" t="str">
        <f aca="false">IF(N2511="","",INT(N2511))</f>
        <v/>
      </c>
      <c r="J2511" s="16" t="str">
        <f aca="false">IF(B2511="","",IF(N2511=_xlfn.MINIFS($N$2:$N$5001,$B$2:$B$5001,B2511),1,0))</f>
        <v/>
      </c>
      <c r="K2511" s="16" t="str">
        <f aca="false">IF(B2511="","",IF(AND(D2511="Formalização",E2511="Concluído"),IF(COUNTIFS($B$2:$B$5001,B2511,$E$2:$E$5001,"Em ajustes",$N$2:$N$5001,"&lt;"&amp;I2511)&gt;0,1,0),0))</f>
        <v/>
      </c>
      <c r="L2511" s="16" t="str">
        <f aca="false">IF(B2511="","",IF(N2511=_xlfn.MAXIFS($N$2:$N$5001,$B$2:$B$5001,B2511,$I$2:$I$5001,I2511),1,0))</f>
        <v/>
      </c>
      <c r="M2511" s="16" t="str">
        <f aca="false">IF(B2511="","",IF(E2511="Em ajustes",IF(N2511=_xlfn.MINIFS($N$2:$N$5001,$B$2:$B$5001,B2511,$E$2:$E$5001,"Em ajustes"),1,0),0))</f>
        <v/>
      </c>
      <c r="N2511" s="17" t="str">
        <f aca="false">IF(A2511="","",IF(ISNUMBER(A2511),A2511,IFERROR(DATE(VALUE(MID(A2511,7,4)),VALUE(MID(A2511,4,2)),VALUE(MID(A2511,1,2)))+TIME(VALUE(MID(A2511,12,2)),VALUE(MID(A2511,15,2)),VALUE(MID(A2511,18,2))),"")))</f>
        <v/>
      </c>
    </row>
    <row r="2512" customFormat="false" ht="15" hidden="false" customHeight="false" outlineLevel="0" collapsed="false">
      <c r="I2512" s="15" t="str">
        <f aca="false">IF(N2512="","",INT(N2512))</f>
        <v/>
      </c>
      <c r="J2512" s="16" t="str">
        <f aca="false">IF(B2512="","",IF(N2512=_xlfn.MINIFS($N$2:$N$5001,$B$2:$B$5001,B2512),1,0))</f>
        <v/>
      </c>
      <c r="K2512" s="16" t="str">
        <f aca="false">IF(B2512="","",IF(AND(D2512="Formalização",E2512="Concluído"),IF(COUNTIFS($B$2:$B$5001,B2512,$E$2:$E$5001,"Em ajustes",$N$2:$N$5001,"&lt;"&amp;I2512)&gt;0,1,0),0))</f>
        <v/>
      </c>
      <c r="L2512" s="16" t="str">
        <f aca="false">IF(B2512="","",IF(N2512=_xlfn.MAXIFS($N$2:$N$5001,$B$2:$B$5001,B2512,$I$2:$I$5001,I2512),1,0))</f>
        <v/>
      </c>
      <c r="M2512" s="16" t="str">
        <f aca="false">IF(B2512="","",IF(E2512="Em ajustes",IF(N2512=_xlfn.MINIFS($N$2:$N$5001,$B$2:$B$5001,B2512,$E$2:$E$5001,"Em ajustes"),1,0),0))</f>
        <v/>
      </c>
      <c r="N2512" s="17" t="str">
        <f aca="false">IF(A2512="","",IF(ISNUMBER(A2512),A2512,IFERROR(DATE(VALUE(MID(A2512,7,4)),VALUE(MID(A2512,4,2)),VALUE(MID(A2512,1,2)))+TIME(VALUE(MID(A2512,12,2)),VALUE(MID(A2512,15,2)),VALUE(MID(A2512,18,2))),"")))</f>
        <v/>
      </c>
    </row>
    <row r="2513" customFormat="false" ht="15" hidden="false" customHeight="false" outlineLevel="0" collapsed="false">
      <c r="I2513" s="15" t="str">
        <f aca="false">IF(N2513="","",INT(N2513))</f>
        <v/>
      </c>
      <c r="J2513" s="16" t="str">
        <f aca="false">IF(B2513="","",IF(N2513=_xlfn.MINIFS($N$2:$N$5001,$B$2:$B$5001,B2513),1,0))</f>
        <v/>
      </c>
      <c r="K2513" s="16" t="str">
        <f aca="false">IF(B2513="","",IF(AND(D2513="Formalização",E2513="Concluído"),IF(COUNTIFS($B$2:$B$5001,B2513,$E$2:$E$5001,"Em ajustes",$N$2:$N$5001,"&lt;"&amp;I2513)&gt;0,1,0),0))</f>
        <v/>
      </c>
      <c r="L2513" s="16" t="str">
        <f aca="false">IF(B2513="","",IF(N2513=_xlfn.MAXIFS($N$2:$N$5001,$B$2:$B$5001,B2513,$I$2:$I$5001,I2513),1,0))</f>
        <v/>
      </c>
      <c r="M2513" s="16" t="str">
        <f aca="false">IF(B2513="","",IF(E2513="Em ajustes",IF(N2513=_xlfn.MINIFS($N$2:$N$5001,$B$2:$B$5001,B2513,$E$2:$E$5001,"Em ajustes"),1,0),0))</f>
        <v/>
      </c>
      <c r="N2513" s="17" t="str">
        <f aca="false">IF(A2513="","",IF(ISNUMBER(A2513),A2513,IFERROR(DATE(VALUE(MID(A2513,7,4)),VALUE(MID(A2513,4,2)),VALUE(MID(A2513,1,2)))+TIME(VALUE(MID(A2513,12,2)),VALUE(MID(A2513,15,2)),VALUE(MID(A2513,18,2))),"")))</f>
        <v/>
      </c>
    </row>
    <row r="2514" customFormat="false" ht="15" hidden="false" customHeight="false" outlineLevel="0" collapsed="false">
      <c r="I2514" s="15" t="str">
        <f aca="false">IF(N2514="","",INT(N2514))</f>
        <v/>
      </c>
      <c r="J2514" s="16" t="str">
        <f aca="false">IF(B2514="","",IF(N2514=_xlfn.MINIFS($N$2:$N$5001,$B$2:$B$5001,B2514),1,0))</f>
        <v/>
      </c>
      <c r="K2514" s="16" t="str">
        <f aca="false">IF(B2514="","",IF(AND(D2514="Formalização",E2514="Concluído"),IF(COUNTIFS($B$2:$B$5001,B2514,$E$2:$E$5001,"Em ajustes",$N$2:$N$5001,"&lt;"&amp;I2514)&gt;0,1,0),0))</f>
        <v/>
      </c>
      <c r="L2514" s="16" t="str">
        <f aca="false">IF(B2514="","",IF(N2514=_xlfn.MAXIFS($N$2:$N$5001,$B$2:$B$5001,B2514,$I$2:$I$5001,I2514),1,0))</f>
        <v/>
      </c>
      <c r="M2514" s="16" t="str">
        <f aca="false">IF(B2514="","",IF(E2514="Em ajustes",IF(N2514=_xlfn.MINIFS($N$2:$N$5001,$B$2:$B$5001,B2514,$E$2:$E$5001,"Em ajustes"),1,0),0))</f>
        <v/>
      </c>
      <c r="N2514" s="17" t="str">
        <f aca="false">IF(A2514="","",IF(ISNUMBER(A2514),A2514,IFERROR(DATE(VALUE(MID(A2514,7,4)),VALUE(MID(A2514,4,2)),VALUE(MID(A2514,1,2)))+TIME(VALUE(MID(A2514,12,2)),VALUE(MID(A2514,15,2)),VALUE(MID(A2514,18,2))),"")))</f>
        <v/>
      </c>
    </row>
    <row r="2515" customFormat="false" ht="15" hidden="false" customHeight="false" outlineLevel="0" collapsed="false">
      <c r="I2515" s="15" t="str">
        <f aca="false">IF(N2515="","",INT(N2515))</f>
        <v/>
      </c>
      <c r="J2515" s="16" t="str">
        <f aca="false">IF(B2515="","",IF(N2515=_xlfn.MINIFS($N$2:$N$5001,$B$2:$B$5001,B2515),1,0))</f>
        <v/>
      </c>
      <c r="K2515" s="16" t="str">
        <f aca="false">IF(B2515="","",IF(AND(D2515="Formalização",E2515="Concluído"),IF(COUNTIFS($B$2:$B$5001,B2515,$E$2:$E$5001,"Em ajustes",$N$2:$N$5001,"&lt;"&amp;I2515)&gt;0,1,0),0))</f>
        <v/>
      </c>
      <c r="L2515" s="16" t="str">
        <f aca="false">IF(B2515="","",IF(N2515=_xlfn.MAXIFS($N$2:$N$5001,$B$2:$B$5001,B2515,$I$2:$I$5001,I2515),1,0))</f>
        <v/>
      </c>
      <c r="M2515" s="16" t="str">
        <f aca="false">IF(B2515="","",IF(E2515="Em ajustes",IF(N2515=_xlfn.MINIFS($N$2:$N$5001,$B$2:$B$5001,B2515,$E$2:$E$5001,"Em ajustes"),1,0),0))</f>
        <v/>
      </c>
      <c r="N2515" s="17" t="str">
        <f aca="false">IF(A2515="","",IF(ISNUMBER(A2515),A2515,IFERROR(DATE(VALUE(MID(A2515,7,4)),VALUE(MID(A2515,4,2)),VALUE(MID(A2515,1,2)))+TIME(VALUE(MID(A2515,12,2)),VALUE(MID(A2515,15,2)),VALUE(MID(A2515,18,2))),"")))</f>
        <v/>
      </c>
    </row>
    <row r="2516" customFormat="false" ht="15" hidden="false" customHeight="false" outlineLevel="0" collapsed="false">
      <c r="I2516" s="15" t="str">
        <f aca="false">IF(N2516="","",INT(N2516))</f>
        <v/>
      </c>
      <c r="J2516" s="16" t="str">
        <f aca="false">IF(B2516="","",IF(N2516=_xlfn.MINIFS($N$2:$N$5001,$B$2:$B$5001,B2516),1,0))</f>
        <v/>
      </c>
      <c r="K2516" s="16" t="str">
        <f aca="false">IF(B2516="","",IF(AND(D2516="Formalização",E2516="Concluído"),IF(COUNTIFS($B$2:$B$5001,B2516,$E$2:$E$5001,"Em ajustes",$N$2:$N$5001,"&lt;"&amp;I2516)&gt;0,1,0),0))</f>
        <v/>
      </c>
      <c r="L2516" s="16" t="str">
        <f aca="false">IF(B2516="","",IF(N2516=_xlfn.MAXIFS($N$2:$N$5001,$B$2:$B$5001,B2516,$I$2:$I$5001,I2516),1,0))</f>
        <v/>
      </c>
      <c r="M2516" s="16" t="str">
        <f aca="false">IF(B2516="","",IF(E2516="Em ajustes",IF(N2516=_xlfn.MINIFS($N$2:$N$5001,$B$2:$B$5001,B2516,$E$2:$E$5001,"Em ajustes"),1,0),0))</f>
        <v/>
      </c>
      <c r="N2516" s="17" t="str">
        <f aca="false">IF(A2516="","",IF(ISNUMBER(A2516),A2516,IFERROR(DATE(VALUE(MID(A2516,7,4)),VALUE(MID(A2516,4,2)),VALUE(MID(A2516,1,2)))+TIME(VALUE(MID(A2516,12,2)),VALUE(MID(A2516,15,2)),VALUE(MID(A2516,18,2))),"")))</f>
        <v/>
      </c>
    </row>
    <row r="2517" customFormat="false" ht="15" hidden="false" customHeight="false" outlineLevel="0" collapsed="false">
      <c r="I2517" s="15" t="str">
        <f aca="false">IF(N2517="","",INT(N2517))</f>
        <v/>
      </c>
      <c r="J2517" s="16" t="str">
        <f aca="false">IF(B2517="","",IF(N2517=_xlfn.MINIFS($N$2:$N$5001,$B$2:$B$5001,B2517),1,0))</f>
        <v/>
      </c>
      <c r="K2517" s="16" t="str">
        <f aca="false">IF(B2517="","",IF(AND(D2517="Formalização",E2517="Concluído"),IF(COUNTIFS($B$2:$B$5001,B2517,$E$2:$E$5001,"Em ajustes",$N$2:$N$5001,"&lt;"&amp;I2517)&gt;0,1,0),0))</f>
        <v/>
      </c>
      <c r="L2517" s="16" t="str">
        <f aca="false">IF(B2517="","",IF(N2517=_xlfn.MAXIFS($N$2:$N$5001,$B$2:$B$5001,B2517,$I$2:$I$5001,I2517),1,0))</f>
        <v/>
      </c>
      <c r="M2517" s="16" t="str">
        <f aca="false">IF(B2517="","",IF(E2517="Em ajustes",IF(N2517=_xlfn.MINIFS($N$2:$N$5001,$B$2:$B$5001,B2517,$E$2:$E$5001,"Em ajustes"),1,0),0))</f>
        <v/>
      </c>
      <c r="N2517" s="17" t="str">
        <f aca="false">IF(A2517="","",IF(ISNUMBER(A2517),A2517,IFERROR(DATE(VALUE(MID(A2517,7,4)),VALUE(MID(A2517,4,2)),VALUE(MID(A2517,1,2)))+TIME(VALUE(MID(A2517,12,2)),VALUE(MID(A2517,15,2)),VALUE(MID(A2517,18,2))),"")))</f>
        <v/>
      </c>
    </row>
    <row r="2518" customFormat="false" ht="15" hidden="false" customHeight="false" outlineLevel="0" collapsed="false">
      <c r="I2518" s="15" t="str">
        <f aca="false">IF(N2518="","",INT(N2518))</f>
        <v/>
      </c>
      <c r="J2518" s="16" t="str">
        <f aca="false">IF(B2518="","",IF(N2518=_xlfn.MINIFS($N$2:$N$5001,$B$2:$B$5001,B2518),1,0))</f>
        <v/>
      </c>
      <c r="K2518" s="16" t="str">
        <f aca="false">IF(B2518="","",IF(AND(D2518="Formalização",E2518="Concluído"),IF(COUNTIFS($B$2:$B$5001,B2518,$E$2:$E$5001,"Em ajustes",$N$2:$N$5001,"&lt;"&amp;I2518)&gt;0,1,0),0))</f>
        <v/>
      </c>
      <c r="L2518" s="16" t="str">
        <f aca="false">IF(B2518="","",IF(N2518=_xlfn.MAXIFS($N$2:$N$5001,$B$2:$B$5001,B2518,$I$2:$I$5001,I2518),1,0))</f>
        <v/>
      </c>
      <c r="M2518" s="16" t="str">
        <f aca="false">IF(B2518="","",IF(E2518="Em ajustes",IF(N2518=_xlfn.MINIFS($N$2:$N$5001,$B$2:$B$5001,B2518,$E$2:$E$5001,"Em ajustes"),1,0),0))</f>
        <v/>
      </c>
      <c r="N2518" s="17" t="str">
        <f aca="false">IF(A2518="","",IF(ISNUMBER(A2518),A2518,IFERROR(DATE(VALUE(MID(A2518,7,4)),VALUE(MID(A2518,4,2)),VALUE(MID(A2518,1,2)))+TIME(VALUE(MID(A2518,12,2)),VALUE(MID(A2518,15,2)),VALUE(MID(A2518,18,2))),"")))</f>
        <v/>
      </c>
    </row>
    <row r="2519" customFormat="false" ht="15" hidden="false" customHeight="false" outlineLevel="0" collapsed="false">
      <c r="I2519" s="15" t="str">
        <f aca="false">IF(N2519="","",INT(N2519))</f>
        <v/>
      </c>
      <c r="J2519" s="16" t="str">
        <f aca="false">IF(B2519="","",IF(N2519=_xlfn.MINIFS($N$2:$N$5001,$B$2:$B$5001,B2519),1,0))</f>
        <v/>
      </c>
      <c r="K2519" s="16" t="str">
        <f aca="false">IF(B2519="","",IF(AND(D2519="Formalização",E2519="Concluído"),IF(COUNTIFS($B$2:$B$5001,B2519,$E$2:$E$5001,"Em ajustes",$N$2:$N$5001,"&lt;"&amp;I2519)&gt;0,1,0),0))</f>
        <v/>
      </c>
      <c r="L2519" s="16" t="str">
        <f aca="false">IF(B2519="","",IF(N2519=_xlfn.MAXIFS($N$2:$N$5001,$B$2:$B$5001,B2519,$I$2:$I$5001,I2519),1,0))</f>
        <v/>
      </c>
      <c r="M2519" s="16" t="str">
        <f aca="false">IF(B2519="","",IF(E2519="Em ajustes",IF(N2519=_xlfn.MINIFS($N$2:$N$5001,$B$2:$B$5001,B2519,$E$2:$E$5001,"Em ajustes"),1,0),0))</f>
        <v/>
      </c>
      <c r="N2519" s="17" t="str">
        <f aca="false">IF(A2519="","",IF(ISNUMBER(A2519),A2519,IFERROR(DATE(VALUE(MID(A2519,7,4)),VALUE(MID(A2519,4,2)),VALUE(MID(A2519,1,2)))+TIME(VALUE(MID(A2519,12,2)),VALUE(MID(A2519,15,2)),VALUE(MID(A2519,18,2))),"")))</f>
        <v/>
      </c>
    </row>
    <row r="2520" customFormat="false" ht="15" hidden="false" customHeight="false" outlineLevel="0" collapsed="false">
      <c r="I2520" s="15" t="str">
        <f aca="false">IF(N2520="","",INT(N2520))</f>
        <v/>
      </c>
      <c r="J2520" s="16" t="str">
        <f aca="false">IF(B2520="","",IF(N2520=_xlfn.MINIFS($N$2:$N$5001,$B$2:$B$5001,B2520),1,0))</f>
        <v/>
      </c>
      <c r="K2520" s="16" t="str">
        <f aca="false">IF(B2520="","",IF(AND(D2520="Formalização",E2520="Concluído"),IF(COUNTIFS($B$2:$B$5001,B2520,$E$2:$E$5001,"Em ajustes",$N$2:$N$5001,"&lt;"&amp;I2520)&gt;0,1,0),0))</f>
        <v/>
      </c>
      <c r="L2520" s="16" t="str">
        <f aca="false">IF(B2520="","",IF(N2520=_xlfn.MAXIFS($N$2:$N$5001,$B$2:$B$5001,B2520,$I$2:$I$5001,I2520),1,0))</f>
        <v/>
      </c>
      <c r="M2520" s="16" t="str">
        <f aca="false">IF(B2520="","",IF(E2520="Em ajustes",IF(N2520=_xlfn.MINIFS($N$2:$N$5001,$B$2:$B$5001,B2520,$E$2:$E$5001,"Em ajustes"),1,0),0))</f>
        <v/>
      </c>
      <c r="N2520" s="17" t="str">
        <f aca="false">IF(A2520="","",IF(ISNUMBER(A2520),A2520,IFERROR(DATE(VALUE(MID(A2520,7,4)),VALUE(MID(A2520,4,2)),VALUE(MID(A2520,1,2)))+TIME(VALUE(MID(A2520,12,2)),VALUE(MID(A2520,15,2)),VALUE(MID(A2520,18,2))),"")))</f>
        <v/>
      </c>
    </row>
    <row r="2521" customFormat="false" ht="15" hidden="false" customHeight="false" outlineLevel="0" collapsed="false">
      <c r="I2521" s="15" t="str">
        <f aca="false">IF(N2521="","",INT(N2521))</f>
        <v/>
      </c>
      <c r="J2521" s="16" t="str">
        <f aca="false">IF(B2521="","",IF(N2521=_xlfn.MINIFS($N$2:$N$5001,$B$2:$B$5001,B2521),1,0))</f>
        <v/>
      </c>
      <c r="K2521" s="16" t="str">
        <f aca="false">IF(B2521="","",IF(AND(D2521="Formalização",E2521="Concluído"),IF(COUNTIFS($B$2:$B$5001,B2521,$E$2:$E$5001,"Em ajustes",$N$2:$N$5001,"&lt;"&amp;I2521)&gt;0,1,0),0))</f>
        <v/>
      </c>
      <c r="L2521" s="16" t="str">
        <f aca="false">IF(B2521="","",IF(N2521=_xlfn.MAXIFS($N$2:$N$5001,$B$2:$B$5001,B2521,$I$2:$I$5001,I2521),1,0))</f>
        <v/>
      </c>
      <c r="M2521" s="16" t="str">
        <f aca="false">IF(B2521="","",IF(E2521="Em ajustes",IF(N2521=_xlfn.MINIFS($N$2:$N$5001,$B$2:$B$5001,B2521,$E$2:$E$5001,"Em ajustes"),1,0),0))</f>
        <v/>
      </c>
      <c r="N2521" s="17" t="str">
        <f aca="false">IF(A2521="","",IF(ISNUMBER(A2521),A2521,IFERROR(DATE(VALUE(MID(A2521,7,4)),VALUE(MID(A2521,4,2)),VALUE(MID(A2521,1,2)))+TIME(VALUE(MID(A2521,12,2)),VALUE(MID(A2521,15,2)),VALUE(MID(A2521,18,2))),"")))</f>
        <v/>
      </c>
    </row>
    <row r="2522" customFormat="false" ht="15" hidden="false" customHeight="false" outlineLevel="0" collapsed="false">
      <c r="I2522" s="15" t="str">
        <f aca="false">IF(N2522="","",INT(N2522))</f>
        <v/>
      </c>
      <c r="J2522" s="16" t="str">
        <f aca="false">IF(B2522="","",IF(N2522=_xlfn.MINIFS($N$2:$N$5001,$B$2:$B$5001,B2522),1,0))</f>
        <v/>
      </c>
      <c r="K2522" s="16" t="str">
        <f aca="false">IF(B2522="","",IF(AND(D2522="Formalização",E2522="Concluído"),IF(COUNTIFS($B$2:$B$5001,B2522,$E$2:$E$5001,"Em ajustes",$N$2:$N$5001,"&lt;"&amp;I2522)&gt;0,1,0),0))</f>
        <v/>
      </c>
      <c r="L2522" s="16" t="str">
        <f aca="false">IF(B2522="","",IF(N2522=_xlfn.MAXIFS($N$2:$N$5001,$B$2:$B$5001,B2522,$I$2:$I$5001,I2522),1,0))</f>
        <v/>
      </c>
      <c r="M2522" s="16" t="str">
        <f aca="false">IF(B2522="","",IF(E2522="Em ajustes",IF(N2522=_xlfn.MINIFS($N$2:$N$5001,$B$2:$B$5001,B2522,$E$2:$E$5001,"Em ajustes"),1,0),0))</f>
        <v/>
      </c>
      <c r="N2522" s="17" t="str">
        <f aca="false">IF(A2522="","",IF(ISNUMBER(A2522),A2522,IFERROR(DATE(VALUE(MID(A2522,7,4)),VALUE(MID(A2522,4,2)),VALUE(MID(A2522,1,2)))+TIME(VALUE(MID(A2522,12,2)),VALUE(MID(A2522,15,2)),VALUE(MID(A2522,18,2))),"")))</f>
        <v/>
      </c>
    </row>
    <row r="2523" customFormat="false" ht="15" hidden="false" customHeight="false" outlineLevel="0" collapsed="false">
      <c r="I2523" s="15" t="str">
        <f aca="false">IF(N2523="","",INT(N2523))</f>
        <v/>
      </c>
      <c r="J2523" s="16" t="str">
        <f aca="false">IF(B2523="","",IF(N2523=_xlfn.MINIFS($N$2:$N$5001,$B$2:$B$5001,B2523),1,0))</f>
        <v/>
      </c>
      <c r="K2523" s="16" t="str">
        <f aca="false">IF(B2523="","",IF(AND(D2523="Formalização",E2523="Concluído"),IF(COUNTIFS($B$2:$B$5001,B2523,$E$2:$E$5001,"Em ajustes",$N$2:$N$5001,"&lt;"&amp;I2523)&gt;0,1,0),0))</f>
        <v/>
      </c>
      <c r="L2523" s="16" t="str">
        <f aca="false">IF(B2523="","",IF(N2523=_xlfn.MAXIFS($N$2:$N$5001,$B$2:$B$5001,B2523,$I$2:$I$5001,I2523),1,0))</f>
        <v/>
      </c>
      <c r="M2523" s="16" t="str">
        <f aca="false">IF(B2523="","",IF(E2523="Em ajustes",IF(N2523=_xlfn.MINIFS($N$2:$N$5001,$B$2:$B$5001,B2523,$E$2:$E$5001,"Em ajustes"),1,0),0))</f>
        <v/>
      </c>
      <c r="N2523" s="17" t="str">
        <f aca="false">IF(A2523="","",IF(ISNUMBER(A2523),A2523,IFERROR(DATE(VALUE(MID(A2523,7,4)),VALUE(MID(A2523,4,2)),VALUE(MID(A2523,1,2)))+TIME(VALUE(MID(A2523,12,2)),VALUE(MID(A2523,15,2)),VALUE(MID(A2523,18,2))),"")))</f>
        <v/>
      </c>
    </row>
    <row r="2524" customFormat="false" ht="15" hidden="false" customHeight="false" outlineLevel="0" collapsed="false">
      <c r="I2524" s="15" t="str">
        <f aca="false">IF(N2524="","",INT(N2524))</f>
        <v/>
      </c>
      <c r="J2524" s="16" t="str">
        <f aca="false">IF(B2524="","",IF(N2524=_xlfn.MINIFS($N$2:$N$5001,$B$2:$B$5001,B2524),1,0))</f>
        <v/>
      </c>
      <c r="K2524" s="16" t="str">
        <f aca="false">IF(B2524="","",IF(AND(D2524="Formalização",E2524="Concluído"),IF(COUNTIFS($B$2:$B$5001,B2524,$E$2:$E$5001,"Em ajustes",$N$2:$N$5001,"&lt;"&amp;I2524)&gt;0,1,0),0))</f>
        <v/>
      </c>
      <c r="L2524" s="16" t="str">
        <f aca="false">IF(B2524="","",IF(N2524=_xlfn.MAXIFS($N$2:$N$5001,$B$2:$B$5001,B2524,$I$2:$I$5001,I2524),1,0))</f>
        <v/>
      </c>
      <c r="M2524" s="16" t="str">
        <f aca="false">IF(B2524="","",IF(E2524="Em ajustes",IF(N2524=_xlfn.MINIFS($N$2:$N$5001,$B$2:$B$5001,B2524,$E$2:$E$5001,"Em ajustes"),1,0),0))</f>
        <v/>
      </c>
      <c r="N2524" s="17" t="str">
        <f aca="false">IF(A2524="","",IF(ISNUMBER(A2524),A2524,IFERROR(DATE(VALUE(MID(A2524,7,4)),VALUE(MID(A2524,4,2)),VALUE(MID(A2524,1,2)))+TIME(VALUE(MID(A2524,12,2)),VALUE(MID(A2524,15,2)),VALUE(MID(A2524,18,2))),"")))</f>
        <v/>
      </c>
    </row>
    <row r="2525" customFormat="false" ht="15" hidden="false" customHeight="false" outlineLevel="0" collapsed="false">
      <c r="I2525" s="15" t="str">
        <f aca="false">IF(N2525="","",INT(N2525))</f>
        <v/>
      </c>
      <c r="J2525" s="16" t="str">
        <f aca="false">IF(B2525="","",IF(N2525=_xlfn.MINIFS($N$2:$N$5001,$B$2:$B$5001,B2525),1,0))</f>
        <v/>
      </c>
      <c r="K2525" s="16" t="str">
        <f aca="false">IF(B2525="","",IF(AND(D2525="Formalização",E2525="Concluído"),IF(COUNTIFS($B$2:$B$5001,B2525,$E$2:$E$5001,"Em ajustes",$N$2:$N$5001,"&lt;"&amp;I2525)&gt;0,1,0),0))</f>
        <v/>
      </c>
      <c r="L2525" s="16" t="str">
        <f aca="false">IF(B2525="","",IF(N2525=_xlfn.MAXIFS($N$2:$N$5001,$B$2:$B$5001,B2525,$I$2:$I$5001,I2525),1,0))</f>
        <v/>
      </c>
      <c r="M2525" s="16" t="str">
        <f aca="false">IF(B2525="","",IF(E2525="Em ajustes",IF(N2525=_xlfn.MINIFS($N$2:$N$5001,$B$2:$B$5001,B2525,$E$2:$E$5001,"Em ajustes"),1,0),0))</f>
        <v/>
      </c>
      <c r="N2525" s="17" t="str">
        <f aca="false">IF(A2525="","",IF(ISNUMBER(A2525),A2525,IFERROR(DATE(VALUE(MID(A2525,7,4)),VALUE(MID(A2525,4,2)),VALUE(MID(A2525,1,2)))+TIME(VALUE(MID(A2525,12,2)),VALUE(MID(A2525,15,2)),VALUE(MID(A2525,18,2))),"")))</f>
        <v/>
      </c>
    </row>
    <row r="2526" customFormat="false" ht="15" hidden="false" customHeight="false" outlineLevel="0" collapsed="false">
      <c r="I2526" s="15" t="str">
        <f aca="false">IF(N2526="","",INT(N2526))</f>
        <v/>
      </c>
      <c r="J2526" s="16" t="str">
        <f aca="false">IF(B2526="","",IF(N2526=_xlfn.MINIFS($N$2:$N$5001,$B$2:$B$5001,B2526),1,0))</f>
        <v/>
      </c>
      <c r="K2526" s="16" t="str">
        <f aca="false">IF(B2526="","",IF(AND(D2526="Formalização",E2526="Concluído"),IF(COUNTIFS($B$2:$B$5001,B2526,$E$2:$E$5001,"Em ajustes",$N$2:$N$5001,"&lt;"&amp;I2526)&gt;0,1,0),0))</f>
        <v/>
      </c>
      <c r="L2526" s="16" t="str">
        <f aca="false">IF(B2526="","",IF(N2526=_xlfn.MAXIFS($N$2:$N$5001,$B$2:$B$5001,B2526,$I$2:$I$5001,I2526),1,0))</f>
        <v/>
      </c>
      <c r="M2526" s="16" t="str">
        <f aca="false">IF(B2526="","",IF(E2526="Em ajustes",IF(N2526=_xlfn.MINIFS($N$2:$N$5001,$B$2:$B$5001,B2526,$E$2:$E$5001,"Em ajustes"),1,0),0))</f>
        <v/>
      </c>
      <c r="N2526" s="17" t="str">
        <f aca="false">IF(A2526="","",IF(ISNUMBER(A2526),A2526,IFERROR(DATE(VALUE(MID(A2526,7,4)),VALUE(MID(A2526,4,2)),VALUE(MID(A2526,1,2)))+TIME(VALUE(MID(A2526,12,2)),VALUE(MID(A2526,15,2)),VALUE(MID(A2526,18,2))),"")))</f>
        <v/>
      </c>
    </row>
    <row r="2527" customFormat="false" ht="15" hidden="false" customHeight="false" outlineLevel="0" collapsed="false">
      <c r="I2527" s="15" t="str">
        <f aca="false">IF(N2527="","",INT(N2527))</f>
        <v/>
      </c>
      <c r="J2527" s="16" t="str">
        <f aca="false">IF(B2527="","",IF(N2527=_xlfn.MINIFS($N$2:$N$5001,$B$2:$B$5001,B2527),1,0))</f>
        <v/>
      </c>
      <c r="K2527" s="16" t="str">
        <f aca="false">IF(B2527="","",IF(AND(D2527="Formalização",E2527="Concluído"),IF(COUNTIFS($B$2:$B$5001,B2527,$E$2:$E$5001,"Em ajustes",$N$2:$N$5001,"&lt;"&amp;I2527)&gt;0,1,0),0))</f>
        <v/>
      </c>
      <c r="L2527" s="16" t="str">
        <f aca="false">IF(B2527="","",IF(N2527=_xlfn.MAXIFS($N$2:$N$5001,$B$2:$B$5001,B2527,$I$2:$I$5001,I2527),1,0))</f>
        <v/>
      </c>
      <c r="M2527" s="16" t="str">
        <f aca="false">IF(B2527="","",IF(E2527="Em ajustes",IF(N2527=_xlfn.MINIFS($N$2:$N$5001,$B$2:$B$5001,B2527,$E$2:$E$5001,"Em ajustes"),1,0),0))</f>
        <v/>
      </c>
      <c r="N2527" s="17" t="str">
        <f aca="false">IF(A2527="","",IF(ISNUMBER(A2527),A2527,IFERROR(DATE(VALUE(MID(A2527,7,4)),VALUE(MID(A2527,4,2)),VALUE(MID(A2527,1,2)))+TIME(VALUE(MID(A2527,12,2)),VALUE(MID(A2527,15,2)),VALUE(MID(A2527,18,2))),"")))</f>
        <v/>
      </c>
    </row>
    <row r="2528" customFormat="false" ht="15" hidden="false" customHeight="false" outlineLevel="0" collapsed="false">
      <c r="I2528" s="15" t="str">
        <f aca="false">IF(N2528="","",INT(N2528))</f>
        <v/>
      </c>
      <c r="J2528" s="16" t="str">
        <f aca="false">IF(B2528="","",IF(N2528=_xlfn.MINIFS($N$2:$N$5001,$B$2:$B$5001,B2528),1,0))</f>
        <v/>
      </c>
      <c r="K2528" s="16" t="str">
        <f aca="false">IF(B2528="","",IF(AND(D2528="Formalização",E2528="Concluído"),IF(COUNTIFS($B$2:$B$5001,B2528,$E$2:$E$5001,"Em ajustes",$N$2:$N$5001,"&lt;"&amp;I2528)&gt;0,1,0),0))</f>
        <v/>
      </c>
      <c r="L2528" s="16" t="str">
        <f aca="false">IF(B2528="","",IF(N2528=_xlfn.MAXIFS($N$2:$N$5001,$B$2:$B$5001,B2528,$I$2:$I$5001,I2528),1,0))</f>
        <v/>
      </c>
      <c r="M2528" s="16" t="str">
        <f aca="false">IF(B2528="","",IF(E2528="Em ajustes",IF(N2528=_xlfn.MINIFS($N$2:$N$5001,$B$2:$B$5001,B2528,$E$2:$E$5001,"Em ajustes"),1,0),0))</f>
        <v/>
      </c>
      <c r="N2528" s="17" t="str">
        <f aca="false">IF(A2528="","",IF(ISNUMBER(A2528),A2528,IFERROR(DATE(VALUE(MID(A2528,7,4)),VALUE(MID(A2528,4,2)),VALUE(MID(A2528,1,2)))+TIME(VALUE(MID(A2528,12,2)),VALUE(MID(A2528,15,2)),VALUE(MID(A2528,18,2))),"")))</f>
        <v/>
      </c>
    </row>
    <row r="2529" customFormat="false" ht="15" hidden="false" customHeight="false" outlineLevel="0" collapsed="false">
      <c r="I2529" s="15" t="str">
        <f aca="false">IF(N2529="","",INT(N2529))</f>
        <v/>
      </c>
      <c r="J2529" s="16" t="str">
        <f aca="false">IF(B2529="","",IF(N2529=_xlfn.MINIFS($N$2:$N$5001,$B$2:$B$5001,B2529),1,0))</f>
        <v/>
      </c>
      <c r="K2529" s="16" t="str">
        <f aca="false">IF(B2529="","",IF(AND(D2529="Formalização",E2529="Concluído"),IF(COUNTIFS($B$2:$B$5001,B2529,$E$2:$E$5001,"Em ajustes",$N$2:$N$5001,"&lt;"&amp;I2529)&gt;0,1,0),0))</f>
        <v/>
      </c>
      <c r="L2529" s="16" t="str">
        <f aca="false">IF(B2529="","",IF(N2529=_xlfn.MAXIFS($N$2:$N$5001,$B$2:$B$5001,B2529,$I$2:$I$5001,I2529),1,0))</f>
        <v/>
      </c>
      <c r="M2529" s="16" t="str">
        <f aca="false">IF(B2529="","",IF(E2529="Em ajustes",IF(N2529=_xlfn.MINIFS($N$2:$N$5001,$B$2:$B$5001,B2529,$E$2:$E$5001,"Em ajustes"),1,0),0))</f>
        <v/>
      </c>
      <c r="N2529" s="17" t="str">
        <f aca="false">IF(A2529="","",IF(ISNUMBER(A2529),A2529,IFERROR(DATE(VALUE(MID(A2529,7,4)),VALUE(MID(A2529,4,2)),VALUE(MID(A2529,1,2)))+TIME(VALUE(MID(A2529,12,2)),VALUE(MID(A2529,15,2)),VALUE(MID(A2529,18,2))),"")))</f>
        <v/>
      </c>
    </row>
    <row r="2530" customFormat="false" ht="15" hidden="false" customHeight="false" outlineLevel="0" collapsed="false">
      <c r="I2530" s="15" t="str">
        <f aca="false">IF(N2530="","",INT(N2530))</f>
        <v/>
      </c>
      <c r="J2530" s="16" t="str">
        <f aca="false">IF(B2530="","",IF(N2530=_xlfn.MINIFS($N$2:$N$5001,$B$2:$B$5001,B2530),1,0))</f>
        <v/>
      </c>
      <c r="K2530" s="16" t="str">
        <f aca="false">IF(B2530="","",IF(AND(D2530="Formalização",E2530="Concluído"),IF(COUNTIFS($B$2:$B$5001,B2530,$E$2:$E$5001,"Em ajustes",$N$2:$N$5001,"&lt;"&amp;I2530)&gt;0,1,0),0))</f>
        <v/>
      </c>
      <c r="L2530" s="16" t="str">
        <f aca="false">IF(B2530="","",IF(N2530=_xlfn.MAXIFS($N$2:$N$5001,$B$2:$B$5001,B2530,$I$2:$I$5001,I2530),1,0))</f>
        <v/>
      </c>
      <c r="M2530" s="16" t="str">
        <f aca="false">IF(B2530="","",IF(E2530="Em ajustes",IF(N2530=_xlfn.MINIFS($N$2:$N$5001,$B$2:$B$5001,B2530,$E$2:$E$5001,"Em ajustes"),1,0),0))</f>
        <v/>
      </c>
      <c r="N2530" s="17" t="str">
        <f aca="false">IF(A2530="","",IF(ISNUMBER(A2530),A2530,IFERROR(DATE(VALUE(MID(A2530,7,4)),VALUE(MID(A2530,4,2)),VALUE(MID(A2530,1,2)))+TIME(VALUE(MID(A2530,12,2)),VALUE(MID(A2530,15,2)),VALUE(MID(A2530,18,2))),"")))</f>
        <v/>
      </c>
    </row>
    <row r="2531" customFormat="false" ht="15" hidden="false" customHeight="false" outlineLevel="0" collapsed="false">
      <c r="I2531" s="15" t="str">
        <f aca="false">IF(N2531="","",INT(N2531))</f>
        <v/>
      </c>
      <c r="J2531" s="16" t="str">
        <f aca="false">IF(B2531="","",IF(N2531=_xlfn.MINIFS($N$2:$N$5001,$B$2:$B$5001,B2531),1,0))</f>
        <v/>
      </c>
      <c r="K2531" s="16" t="str">
        <f aca="false">IF(B2531="","",IF(AND(D2531="Formalização",E2531="Concluído"),IF(COUNTIFS($B$2:$B$5001,B2531,$E$2:$E$5001,"Em ajustes",$N$2:$N$5001,"&lt;"&amp;I2531)&gt;0,1,0),0))</f>
        <v/>
      </c>
      <c r="L2531" s="16" t="str">
        <f aca="false">IF(B2531="","",IF(N2531=_xlfn.MAXIFS($N$2:$N$5001,$B$2:$B$5001,B2531,$I$2:$I$5001,I2531),1,0))</f>
        <v/>
      </c>
      <c r="M2531" s="16" t="str">
        <f aca="false">IF(B2531="","",IF(E2531="Em ajustes",IF(N2531=_xlfn.MINIFS($N$2:$N$5001,$B$2:$B$5001,B2531,$E$2:$E$5001,"Em ajustes"),1,0),0))</f>
        <v/>
      </c>
      <c r="N2531" s="17" t="str">
        <f aca="false">IF(A2531="","",IF(ISNUMBER(A2531),A2531,IFERROR(DATE(VALUE(MID(A2531,7,4)),VALUE(MID(A2531,4,2)),VALUE(MID(A2531,1,2)))+TIME(VALUE(MID(A2531,12,2)),VALUE(MID(A2531,15,2)),VALUE(MID(A2531,18,2))),"")))</f>
        <v/>
      </c>
    </row>
    <row r="2532" customFormat="false" ht="15" hidden="false" customHeight="false" outlineLevel="0" collapsed="false">
      <c r="I2532" s="15" t="str">
        <f aca="false">IF(N2532="","",INT(N2532))</f>
        <v/>
      </c>
      <c r="J2532" s="16" t="str">
        <f aca="false">IF(B2532="","",IF(N2532=_xlfn.MINIFS($N$2:$N$5001,$B$2:$B$5001,B2532),1,0))</f>
        <v/>
      </c>
      <c r="K2532" s="16" t="str">
        <f aca="false">IF(B2532="","",IF(AND(D2532="Formalização",E2532="Concluído"),IF(COUNTIFS($B$2:$B$5001,B2532,$E$2:$E$5001,"Em ajustes",$N$2:$N$5001,"&lt;"&amp;I2532)&gt;0,1,0),0))</f>
        <v/>
      </c>
      <c r="L2532" s="16" t="str">
        <f aca="false">IF(B2532="","",IF(N2532=_xlfn.MAXIFS($N$2:$N$5001,$B$2:$B$5001,B2532,$I$2:$I$5001,I2532),1,0))</f>
        <v/>
      </c>
      <c r="M2532" s="16" t="str">
        <f aca="false">IF(B2532="","",IF(E2532="Em ajustes",IF(N2532=_xlfn.MINIFS($N$2:$N$5001,$B$2:$B$5001,B2532,$E$2:$E$5001,"Em ajustes"),1,0),0))</f>
        <v/>
      </c>
      <c r="N2532" s="17" t="str">
        <f aca="false">IF(A2532="","",IF(ISNUMBER(A2532),A2532,IFERROR(DATE(VALUE(MID(A2532,7,4)),VALUE(MID(A2532,4,2)),VALUE(MID(A2532,1,2)))+TIME(VALUE(MID(A2532,12,2)),VALUE(MID(A2532,15,2)),VALUE(MID(A2532,18,2))),"")))</f>
        <v/>
      </c>
    </row>
    <row r="2533" customFormat="false" ht="15" hidden="false" customHeight="false" outlineLevel="0" collapsed="false">
      <c r="I2533" s="15" t="str">
        <f aca="false">IF(N2533="","",INT(N2533))</f>
        <v/>
      </c>
      <c r="J2533" s="16" t="str">
        <f aca="false">IF(B2533="","",IF(N2533=_xlfn.MINIFS($N$2:$N$5001,$B$2:$B$5001,B2533),1,0))</f>
        <v/>
      </c>
      <c r="K2533" s="16" t="str">
        <f aca="false">IF(B2533="","",IF(AND(D2533="Formalização",E2533="Concluído"),IF(COUNTIFS($B$2:$B$5001,B2533,$E$2:$E$5001,"Em ajustes",$N$2:$N$5001,"&lt;"&amp;I2533)&gt;0,1,0),0))</f>
        <v/>
      </c>
      <c r="L2533" s="16" t="str">
        <f aca="false">IF(B2533="","",IF(N2533=_xlfn.MAXIFS($N$2:$N$5001,$B$2:$B$5001,B2533,$I$2:$I$5001,I2533),1,0))</f>
        <v/>
      </c>
      <c r="M2533" s="16" t="str">
        <f aca="false">IF(B2533="","",IF(E2533="Em ajustes",IF(N2533=_xlfn.MINIFS($N$2:$N$5001,$B$2:$B$5001,B2533,$E$2:$E$5001,"Em ajustes"),1,0),0))</f>
        <v/>
      </c>
      <c r="N2533" s="17" t="str">
        <f aca="false">IF(A2533="","",IF(ISNUMBER(A2533),A2533,IFERROR(DATE(VALUE(MID(A2533,7,4)),VALUE(MID(A2533,4,2)),VALUE(MID(A2533,1,2)))+TIME(VALUE(MID(A2533,12,2)),VALUE(MID(A2533,15,2)),VALUE(MID(A2533,18,2))),"")))</f>
        <v/>
      </c>
    </row>
    <row r="2534" customFormat="false" ht="15" hidden="false" customHeight="false" outlineLevel="0" collapsed="false">
      <c r="I2534" s="15" t="str">
        <f aca="false">IF(N2534="","",INT(N2534))</f>
        <v/>
      </c>
      <c r="J2534" s="16" t="str">
        <f aca="false">IF(B2534="","",IF(N2534=_xlfn.MINIFS($N$2:$N$5001,$B$2:$B$5001,B2534),1,0))</f>
        <v/>
      </c>
      <c r="K2534" s="16" t="str">
        <f aca="false">IF(B2534="","",IF(AND(D2534="Formalização",E2534="Concluído"),IF(COUNTIFS($B$2:$B$5001,B2534,$E$2:$E$5001,"Em ajustes",$N$2:$N$5001,"&lt;"&amp;I2534)&gt;0,1,0),0))</f>
        <v/>
      </c>
      <c r="L2534" s="16" t="str">
        <f aca="false">IF(B2534="","",IF(N2534=_xlfn.MAXIFS($N$2:$N$5001,$B$2:$B$5001,B2534,$I$2:$I$5001,I2534),1,0))</f>
        <v/>
      </c>
      <c r="M2534" s="16" t="str">
        <f aca="false">IF(B2534="","",IF(E2534="Em ajustes",IF(N2534=_xlfn.MINIFS($N$2:$N$5001,$B$2:$B$5001,B2534,$E$2:$E$5001,"Em ajustes"),1,0),0))</f>
        <v/>
      </c>
      <c r="N2534" s="17" t="str">
        <f aca="false">IF(A2534="","",IF(ISNUMBER(A2534),A2534,IFERROR(DATE(VALUE(MID(A2534,7,4)),VALUE(MID(A2534,4,2)),VALUE(MID(A2534,1,2)))+TIME(VALUE(MID(A2534,12,2)),VALUE(MID(A2534,15,2)),VALUE(MID(A2534,18,2))),"")))</f>
        <v/>
      </c>
    </row>
    <row r="2535" customFormat="false" ht="15" hidden="false" customHeight="false" outlineLevel="0" collapsed="false">
      <c r="I2535" s="15" t="str">
        <f aca="false">IF(N2535="","",INT(N2535))</f>
        <v/>
      </c>
      <c r="J2535" s="16" t="str">
        <f aca="false">IF(B2535="","",IF(N2535=_xlfn.MINIFS($N$2:$N$5001,$B$2:$B$5001,B2535),1,0))</f>
        <v/>
      </c>
      <c r="K2535" s="16" t="str">
        <f aca="false">IF(B2535="","",IF(AND(D2535="Formalização",E2535="Concluído"),IF(COUNTIFS($B$2:$B$5001,B2535,$E$2:$E$5001,"Em ajustes",$N$2:$N$5001,"&lt;"&amp;I2535)&gt;0,1,0),0))</f>
        <v/>
      </c>
      <c r="L2535" s="16" t="str">
        <f aca="false">IF(B2535="","",IF(N2535=_xlfn.MAXIFS($N$2:$N$5001,$B$2:$B$5001,B2535,$I$2:$I$5001,I2535),1,0))</f>
        <v/>
      </c>
      <c r="M2535" s="16" t="str">
        <f aca="false">IF(B2535="","",IF(E2535="Em ajustes",IF(N2535=_xlfn.MINIFS($N$2:$N$5001,$B$2:$B$5001,B2535,$E$2:$E$5001,"Em ajustes"),1,0),0))</f>
        <v/>
      </c>
      <c r="N2535" s="17" t="str">
        <f aca="false">IF(A2535="","",IF(ISNUMBER(A2535),A2535,IFERROR(DATE(VALUE(MID(A2535,7,4)),VALUE(MID(A2535,4,2)),VALUE(MID(A2535,1,2)))+TIME(VALUE(MID(A2535,12,2)),VALUE(MID(A2535,15,2)),VALUE(MID(A2535,18,2))),"")))</f>
        <v/>
      </c>
    </row>
    <row r="2536" customFormat="false" ht="15" hidden="false" customHeight="false" outlineLevel="0" collapsed="false">
      <c r="I2536" s="15" t="str">
        <f aca="false">IF(N2536="","",INT(N2536))</f>
        <v/>
      </c>
      <c r="J2536" s="16" t="str">
        <f aca="false">IF(B2536="","",IF(N2536=_xlfn.MINIFS($N$2:$N$5001,$B$2:$B$5001,B2536),1,0))</f>
        <v/>
      </c>
      <c r="K2536" s="16" t="str">
        <f aca="false">IF(B2536="","",IF(AND(D2536="Formalização",E2536="Concluído"),IF(COUNTIFS($B$2:$B$5001,B2536,$E$2:$E$5001,"Em ajustes",$N$2:$N$5001,"&lt;"&amp;I2536)&gt;0,1,0),0))</f>
        <v/>
      </c>
      <c r="L2536" s="16" t="str">
        <f aca="false">IF(B2536="","",IF(N2536=_xlfn.MAXIFS($N$2:$N$5001,$B$2:$B$5001,B2536,$I$2:$I$5001,I2536),1,0))</f>
        <v/>
      </c>
      <c r="M2536" s="16" t="str">
        <f aca="false">IF(B2536="","",IF(E2536="Em ajustes",IF(N2536=_xlfn.MINIFS($N$2:$N$5001,$B$2:$B$5001,B2536,$E$2:$E$5001,"Em ajustes"),1,0),0))</f>
        <v/>
      </c>
      <c r="N2536" s="17" t="str">
        <f aca="false">IF(A2536="","",IF(ISNUMBER(A2536),A2536,IFERROR(DATE(VALUE(MID(A2536,7,4)),VALUE(MID(A2536,4,2)),VALUE(MID(A2536,1,2)))+TIME(VALUE(MID(A2536,12,2)),VALUE(MID(A2536,15,2)),VALUE(MID(A2536,18,2))),"")))</f>
        <v/>
      </c>
    </row>
    <row r="2537" customFormat="false" ht="15" hidden="false" customHeight="false" outlineLevel="0" collapsed="false">
      <c r="I2537" s="15" t="str">
        <f aca="false">IF(N2537="","",INT(N2537))</f>
        <v/>
      </c>
      <c r="J2537" s="16" t="str">
        <f aca="false">IF(B2537="","",IF(N2537=_xlfn.MINIFS($N$2:$N$5001,$B$2:$B$5001,B2537),1,0))</f>
        <v/>
      </c>
      <c r="K2537" s="16" t="str">
        <f aca="false">IF(B2537="","",IF(AND(D2537="Formalização",E2537="Concluído"),IF(COUNTIFS($B$2:$B$5001,B2537,$E$2:$E$5001,"Em ajustes",$N$2:$N$5001,"&lt;"&amp;I2537)&gt;0,1,0),0))</f>
        <v/>
      </c>
      <c r="L2537" s="16" t="str">
        <f aca="false">IF(B2537="","",IF(N2537=_xlfn.MAXIFS($N$2:$N$5001,$B$2:$B$5001,B2537,$I$2:$I$5001,I2537),1,0))</f>
        <v/>
      </c>
      <c r="M2537" s="16" t="str">
        <f aca="false">IF(B2537="","",IF(E2537="Em ajustes",IF(N2537=_xlfn.MINIFS($N$2:$N$5001,$B$2:$B$5001,B2537,$E$2:$E$5001,"Em ajustes"),1,0),0))</f>
        <v/>
      </c>
      <c r="N2537" s="17" t="str">
        <f aca="false">IF(A2537="","",IF(ISNUMBER(A2537),A2537,IFERROR(DATE(VALUE(MID(A2537,7,4)),VALUE(MID(A2537,4,2)),VALUE(MID(A2537,1,2)))+TIME(VALUE(MID(A2537,12,2)),VALUE(MID(A2537,15,2)),VALUE(MID(A2537,18,2))),"")))</f>
        <v/>
      </c>
    </row>
    <row r="2538" customFormat="false" ht="15" hidden="false" customHeight="false" outlineLevel="0" collapsed="false">
      <c r="I2538" s="15" t="str">
        <f aca="false">IF(N2538="","",INT(N2538))</f>
        <v/>
      </c>
      <c r="J2538" s="16" t="str">
        <f aca="false">IF(B2538="","",IF(N2538=_xlfn.MINIFS($N$2:$N$5001,$B$2:$B$5001,B2538),1,0))</f>
        <v/>
      </c>
      <c r="K2538" s="16" t="str">
        <f aca="false">IF(B2538="","",IF(AND(D2538="Formalização",E2538="Concluído"),IF(COUNTIFS($B$2:$B$5001,B2538,$E$2:$E$5001,"Em ajustes",$N$2:$N$5001,"&lt;"&amp;I2538)&gt;0,1,0),0))</f>
        <v/>
      </c>
      <c r="L2538" s="16" t="str">
        <f aca="false">IF(B2538="","",IF(N2538=_xlfn.MAXIFS($N$2:$N$5001,$B$2:$B$5001,B2538,$I$2:$I$5001,I2538),1,0))</f>
        <v/>
      </c>
      <c r="M2538" s="16" t="str">
        <f aca="false">IF(B2538="","",IF(E2538="Em ajustes",IF(N2538=_xlfn.MINIFS($N$2:$N$5001,$B$2:$B$5001,B2538,$E$2:$E$5001,"Em ajustes"),1,0),0))</f>
        <v/>
      </c>
      <c r="N2538" s="17" t="str">
        <f aca="false">IF(A2538="","",IF(ISNUMBER(A2538),A2538,IFERROR(DATE(VALUE(MID(A2538,7,4)),VALUE(MID(A2538,4,2)),VALUE(MID(A2538,1,2)))+TIME(VALUE(MID(A2538,12,2)),VALUE(MID(A2538,15,2)),VALUE(MID(A2538,18,2))),"")))</f>
        <v/>
      </c>
    </row>
    <row r="2539" customFormat="false" ht="15" hidden="false" customHeight="false" outlineLevel="0" collapsed="false">
      <c r="I2539" s="15" t="str">
        <f aca="false">IF(N2539="","",INT(N2539))</f>
        <v/>
      </c>
      <c r="J2539" s="16" t="str">
        <f aca="false">IF(B2539="","",IF(N2539=_xlfn.MINIFS($N$2:$N$5001,$B$2:$B$5001,B2539),1,0))</f>
        <v/>
      </c>
      <c r="K2539" s="16" t="str">
        <f aca="false">IF(B2539="","",IF(AND(D2539="Formalização",E2539="Concluído"),IF(COUNTIFS($B$2:$B$5001,B2539,$E$2:$E$5001,"Em ajustes",$N$2:$N$5001,"&lt;"&amp;I2539)&gt;0,1,0),0))</f>
        <v/>
      </c>
      <c r="L2539" s="16" t="str">
        <f aca="false">IF(B2539="","",IF(N2539=_xlfn.MAXIFS($N$2:$N$5001,$B$2:$B$5001,B2539,$I$2:$I$5001,I2539),1,0))</f>
        <v/>
      </c>
      <c r="M2539" s="16" t="str">
        <f aca="false">IF(B2539="","",IF(E2539="Em ajustes",IF(N2539=_xlfn.MINIFS($N$2:$N$5001,$B$2:$B$5001,B2539,$E$2:$E$5001,"Em ajustes"),1,0),0))</f>
        <v/>
      </c>
      <c r="N2539" s="17" t="str">
        <f aca="false">IF(A2539="","",IF(ISNUMBER(A2539),A2539,IFERROR(DATE(VALUE(MID(A2539,7,4)),VALUE(MID(A2539,4,2)),VALUE(MID(A2539,1,2)))+TIME(VALUE(MID(A2539,12,2)),VALUE(MID(A2539,15,2)),VALUE(MID(A2539,18,2))),"")))</f>
        <v/>
      </c>
    </row>
    <row r="2540" customFormat="false" ht="15" hidden="false" customHeight="false" outlineLevel="0" collapsed="false">
      <c r="I2540" s="15" t="str">
        <f aca="false">IF(N2540="","",INT(N2540))</f>
        <v/>
      </c>
      <c r="J2540" s="16" t="str">
        <f aca="false">IF(B2540="","",IF(N2540=_xlfn.MINIFS($N$2:$N$5001,$B$2:$B$5001,B2540),1,0))</f>
        <v/>
      </c>
      <c r="K2540" s="16" t="str">
        <f aca="false">IF(B2540="","",IF(AND(D2540="Formalização",E2540="Concluído"),IF(COUNTIFS($B$2:$B$5001,B2540,$E$2:$E$5001,"Em ajustes",$N$2:$N$5001,"&lt;"&amp;I2540)&gt;0,1,0),0))</f>
        <v/>
      </c>
      <c r="L2540" s="16" t="str">
        <f aca="false">IF(B2540="","",IF(N2540=_xlfn.MAXIFS($N$2:$N$5001,$B$2:$B$5001,B2540,$I$2:$I$5001,I2540),1,0))</f>
        <v/>
      </c>
      <c r="M2540" s="16" t="str">
        <f aca="false">IF(B2540="","",IF(E2540="Em ajustes",IF(N2540=_xlfn.MINIFS($N$2:$N$5001,$B$2:$B$5001,B2540,$E$2:$E$5001,"Em ajustes"),1,0),0))</f>
        <v/>
      </c>
      <c r="N2540" s="17" t="str">
        <f aca="false">IF(A2540="","",IF(ISNUMBER(A2540),A2540,IFERROR(DATE(VALUE(MID(A2540,7,4)),VALUE(MID(A2540,4,2)),VALUE(MID(A2540,1,2)))+TIME(VALUE(MID(A2540,12,2)),VALUE(MID(A2540,15,2)),VALUE(MID(A2540,18,2))),"")))</f>
        <v/>
      </c>
    </row>
    <row r="2541" customFormat="false" ht="15" hidden="false" customHeight="false" outlineLevel="0" collapsed="false">
      <c r="I2541" s="15" t="str">
        <f aca="false">IF(N2541="","",INT(N2541))</f>
        <v/>
      </c>
      <c r="J2541" s="16" t="str">
        <f aca="false">IF(B2541="","",IF(N2541=_xlfn.MINIFS($N$2:$N$5001,$B$2:$B$5001,B2541),1,0))</f>
        <v/>
      </c>
      <c r="K2541" s="16" t="str">
        <f aca="false">IF(B2541="","",IF(AND(D2541="Formalização",E2541="Concluído"),IF(COUNTIFS($B$2:$B$5001,B2541,$E$2:$E$5001,"Em ajustes",$N$2:$N$5001,"&lt;"&amp;I2541)&gt;0,1,0),0))</f>
        <v/>
      </c>
      <c r="L2541" s="16" t="str">
        <f aca="false">IF(B2541="","",IF(N2541=_xlfn.MAXIFS($N$2:$N$5001,$B$2:$B$5001,B2541,$I$2:$I$5001,I2541),1,0))</f>
        <v/>
      </c>
      <c r="M2541" s="16" t="str">
        <f aca="false">IF(B2541="","",IF(E2541="Em ajustes",IF(N2541=_xlfn.MINIFS($N$2:$N$5001,$B$2:$B$5001,B2541,$E$2:$E$5001,"Em ajustes"),1,0),0))</f>
        <v/>
      </c>
      <c r="N2541" s="17" t="str">
        <f aca="false">IF(A2541="","",IF(ISNUMBER(A2541),A2541,IFERROR(DATE(VALUE(MID(A2541,7,4)),VALUE(MID(A2541,4,2)),VALUE(MID(A2541,1,2)))+TIME(VALUE(MID(A2541,12,2)),VALUE(MID(A2541,15,2)),VALUE(MID(A2541,18,2))),"")))</f>
        <v/>
      </c>
    </row>
    <row r="2542" customFormat="false" ht="15" hidden="false" customHeight="false" outlineLevel="0" collapsed="false">
      <c r="I2542" s="15" t="str">
        <f aca="false">IF(N2542="","",INT(N2542))</f>
        <v/>
      </c>
      <c r="J2542" s="16" t="str">
        <f aca="false">IF(B2542="","",IF(N2542=_xlfn.MINIFS($N$2:$N$5001,$B$2:$B$5001,B2542),1,0))</f>
        <v/>
      </c>
      <c r="K2542" s="16" t="str">
        <f aca="false">IF(B2542="","",IF(AND(D2542="Formalização",E2542="Concluído"),IF(COUNTIFS($B$2:$B$5001,B2542,$E$2:$E$5001,"Em ajustes",$N$2:$N$5001,"&lt;"&amp;I2542)&gt;0,1,0),0))</f>
        <v/>
      </c>
      <c r="L2542" s="16" t="str">
        <f aca="false">IF(B2542="","",IF(N2542=_xlfn.MAXIFS($N$2:$N$5001,$B$2:$B$5001,B2542,$I$2:$I$5001,I2542),1,0))</f>
        <v/>
      </c>
      <c r="M2542" s="16" t="str">
        <f aca="false">IF(B2542="","",IF(E2542="Em ajustes",IF(N2542=_xlfn.MINIFS($N$2:$N$5001,$B$2:$B$5001,B2542,$E$2:$E$5001,"Em ajustes"),1,0),0))</f>
        <v/>
      </c>
      <c r="N2542" s="17" t="str">
        <f aca="false">IF(A2542="","",IF(ISNUMBER(A2542),A2542,IFERROR(DATE(VALUE(MID(A2542,7,4)),VALUE(MID(A2542,4,2)),VALUE(MID(A2542,1,2)))+TIME(VALUE(MID(A2542,12,2)),VALUE(MID(A2542,15,2)),VALUE(MID(A2542,18,2))),"")))</f>
        <v/>
      </c>
    </row>
    <row r="2543" customFormat="false" ht="15" hidden="false" customHeight="false" outlineLevel="0" collapsed="false">
      <c r="I2543" s="15" t="str">
        <f aca="false">IF(N2543="","",INT(N2543))</f>
        <v/>
      </c>
      <c r="J2543" s="16" t="str">
        <f aca="false">IF(B2543="","",IF(N2543=_xlfn.MINIFS($N$2:$N$5001,$B$2:$B$5001,B2543),1,0))</f>
        <v/>
      </c>
      <c r="K2543" s="16" t="str">
        <f aca="false">IF(B2543="","",IF(AND(D2543="Formalização",E2543="Concluído"),IF(COUNTIFS($B$2:$B$5001,B2543,$E$2:$E$5001,"Em ajustes",$N$2:$N$5001,"&lt;"&amp;I2543)&gt;0,1,0),0))</f>
        <v/>
      </c>
      <c r="L2543" s="16" t="str">
        <f aca="false">IF(B2543="","",IF(N2543=_xlfn.MAXIFS($N$2:$N$5001,$B$2:$B$5001,B2543,$I$2:$I$5001,I2543),1,0))</f>
        <v/>
      </c>
      <c r="M2543" s="16" t="str">
        <f aca="false">IF(B2543="","",IF(E2543="Em ajustes",IF(N2543=_xlfn.MINIFS($N$2:$N$5001,$B$2:$B$5001,B2543,$E$2:$E$5001,"Em ajustes"),1,0),0))</f>
        <v/>
      </c>
      <c r="N2543" s="17" t="str">
        <f aca="false">IF(A2543="","",IF(ISNUMBER(A2543),A2543,IFERROR(DATE(VALUE(MID(A2543,7,4)),VALUE(MID(A2543,4,2)),VALUE(MID(A2543,1,2)))+TIME(VALUE(MID(A2543,12,2)),VALUE(MID(A2543,15,2)),VALUE(MID(A2543,18,2))),"")))</f>
        <v/>
      </c>
    </row>
    <row r="2544" customFormat="false" ht="15" hidden="false" customHeight="false" outlineLevel="0" collapsed="false">
      <c r="I2544" s="15" t="str">
        <f aca="false">IF(N2544="","",INT(N2544))</f>
        <v/>
      </c>
      <c r="J2544" s="16" t="str">
        <f aca="false">IF(B2544="","",IF(N2544=_xlfn.MINIFS($N$2:$N$5001,$B$2:$B$5001,B2544),1,0))</f>
        <v/>
      </c>
      <c r="K2544" s="16" t="str">
        <f aca="false">IF(B2544="","",IF(AND(D2544="Formalização",E2544="Concluído"),IF(COUNTIFS($B$2:$B$5001,B2544,$E$2:$E$5001,"Em ajustes",$N$2:$N$5001,"&lt;"&amp;I2544)&gt;0,1,0),0))</f>
        <v/>
      </c>
      <c r="L2544" s="16" t="str">
        <f aca="false">IF(B2544="","",IF(N2544=_xlfn.MAXIFS($N$2:$N$5001,$B$2:$B$5001,B2544,$I$2:$I$5001,I2544),1,0))</f>
        <v/>
      </c>
      <c r="M2544" s="16" t="str">
        <f aca="false">IF(B2544="","",IF(E2544="Em ajustes",IF(N2544=_xlfn.MINIFS($N$2:$N$5001,$B$2:$B$5001,B2544,$E$2:$E$5001,"Em ajustes"),1,0),0))</f>
        <v/>
      </c>
      <c r="N2544" s="17" t="str">
        <f aca="false">IF(A2544="","",IF(ISNUMBER(A2544),A2544,IFERROR(DATE(VALUE(MID(A2544,7,4)),VALUE(MID(A2544,4,2)),VALUE(MID(A2544,1,2)))+TIME(VALUE(MID(A2544,12,2)),VALUE(MID(A2544,15,2)),VALUE(MID(A2544,18,2))),"")))</f>
        <v/>
      </c>
    </row>
    <row r="2545" customFormat="false" ht="15" hidden="false" customHeight="false" outlineLevel="0" collapsed="false">
      <c r="I2545" s="15" t="str">
        <f aca="false">IF(N2545="","",INT(N2545))</f>
        <v/>
      </c>
      <c r="J2545" s="16" t="str">
        <f aca="false">IF(B2545="","",IF(N2545=_xlfn.MINIFS($N$2:$N$5001,$B$2:$B$5001,B2545),1,0))</f>
        <v/>
      </c>
      <c r="K2545" s="16" t="str">
        <f aca="false">IF(B2545="","",IF(AND(D2545="Formalização",E2545="Concluído"),IF(COUNTIFS($B$2:$B$5001,B2545,$E$2:$E$5001,"Em ajustes",$N$2:$N$5001,"&lt;"&amp;I2545)&gt;0,1,0),0))</f>
        <v/>
      </c>
      <c r="L2545" s="16" t="str">
        <f aca="false">IF(B2545="","",IF(N2545=_xlfn.MAXIFS($N$2:$N$5001,$B$2:$B$5001,B2545,$I$2:$I$5001,I2545),1,0))</f>
        <v/>
      </c>
      <c r="M2545" s="16" t="str">
        <f aca="false">IF(B2545="","",IF(E2545="Em ajustes",IF(N2545=_xlfn.MINIFS($N$2:$N$5001,$B$2:$B$5001,B2545,$E$2:$E$5001,"Em ajustes"),1,0),0))</f>
        <v/>
      </c>
      <c r="N2545" s="17" t="str">
        <f aca="false">IF(A2545="","",IF(ISNUMBER(A2545),A2545,IFERROR(DATE(VALUE(MID(A2545,7,4)),VALUE(MID(A2545,4,2)),VALUE(MID(A2545,1,2)))+TIME(VALUE(MID(A2545,12,2)),VALUE(MID(A2545,15,2)),VALUE(MID(A2545,18,2))),"")))</f>
        <v/>
      </c>
    </row>
    <row r="2546" customFormat="false" ht="15" hidden="false" customHeight="false" outlineLevel="0" collapsed="false">
      <c r="I2546" s="15" t="str">
        <f aca="false">IF(N2546="","",INT(N2546))</f>
        <v/>
      </c>
      <c r="J2546" s="16" t="str">
        <f aca="false">IF(B2546="","",IF(N2546=_xlfn.MINIFS($N$2:$N$5001,$B$2:$B$5001,B2546),1,0))</f>
        <v/>
      </c>
      <c r="K2546" s="16" t="str">
        <f aca="false">IF(B2546="","",IF(AND(D2546="Formalização",E2546="Concluído"),IF(COUNTIFS($B$2:$B$5001,B2546,$E$2:$E$5001,"Em ajustes",$N$2:$N$5001,"&lt;"&amp;I2546)&gt;0,1,0),0))</f>
        <v/>
      </c>
      <c r="L2546" s="16" t="str">
        <f aca="false">IF(B2546="","",IF(N2546=_xlfn.MAXIFS($N$2:$N$5001,$B$2:$B$5001,B2546,$I$2:$I$5001,I2546),1,0))</f>
        <v/>
      </c>
      <c r="M2546" s="16" t="str">
        <f aca="false">IF(B2546="","",IF(E2546="Em ajustes",IF(N2546=_xlfn.MINIFS($N$2:$N$5001,$B$2:$B$5001,B2546,$E$2:$E$5001,"Em ajustes"),1,0),0))</f>
        <v/>
      </c>
      <c r="N2546" s="17" t="str">
        <f aca="false">IF(A2546="","",IF(ISNUMBER(A2546),A2546,IFERROR(DATE(VALUE(MID(A2546,7,4)),VALUE(MID(A2546,4,2)),VALUE(MID(A2546,1,2)))+TIME(VALUE(MID(A2546,12,2)),VALUE(MID(A2546,15,2)),VALUE(MID(A2546,18,2))),"")))</f>
        <v/>
      </c>
    </row>
    <row r="2547" customFormat="false" ht="15" hidden="false" customHeight="false" outlineLevel="0" collapsed="false">
      <c r="I2547" s="15" t="str">
        <f aca="false">IF(N2547="","",INT(N2547))</f>
        <v/>
      </c>
      <c r="J2547" s="16" t="str">
        <f aca="false">IF(B2547="","",IF(N2547=_xlfn.MINIFS($N$2:$N$5001,$B$2:$B$5001,B2547),1,0))</f>
        <v/>
      </c>
      <c r="K2547" s="16" t="str">
        <f aca="false">IF(B2547="","",IF(AND(D2547="Formalização",E2547="Concluído"),IF(COUNTIFS($B$2:$B$5001,B2547,$E$2:$E$5001,"Em ajustes",$N$2:$N$5001,"&lt;"&amp;I2547)&gt;0,1,0),0))</f>
        <v/>
      </c>
      <c r="L2547" s="16" t="str">
        <f aca="false">IF(B2547="","",IF(N2547=_xlfn.MAXIFS($N$2:$N$5001,$B$2:$B$5001,B2547,$I$2:$I$5001,I2547),1,0))</f>
        <v/>
      </c>
      <c r="M2547" s="16" t="str">
        <f aca="false">IF(B2547="","",IF(E2547="Em ajustes",IF(N2547=_xlfn.MINIFS($N$2:$N$5001,$B$2:$B$5001,B2547,$E$2:$E$5001,"Em ajustes"),1,0),0))</f>
        <v/>
      </c>
      <c r="N2547" s="17" t="str">
        <f aca="false">IF(A2547="","",IF(ISNUMBER(A2547),A2547,IFERROR(DATE(VALUE(MID(A2547,7,4)),VALUE(MID(A2547,4,2)),VALUE(MID(A2547,1,2)))+TIME(VALUE(MID(A2547,12,2)),VALUE(MID(A2547,15,2)),VALUE(MID(A2547,18,2))),"")))</f>
        <v/>
      </c>
    </row>
    <row r="2548" customFormat="false" ht="15" hidden="false" customHeight="false" outlineLevel="0" collapsed="false">
      <c r="I2548" s="15" t="str">
        <f aca="false">IF(N2548="","",INT(N2548))</f>
        <v/>
      </c>
      <c r="J2548" s="16" t="str">
        <f aca="false">IF(B2548="","",IF(N2548=_xlfn.MINIFS($N$2:$N$5001,$B$2:$B$5001,B2548),1,0))</f>
        <v/>
      </c>
      <c r="K2548" s="16" t="str">
        <f aca="false">IF(B2548="","",IF(AND(D2548="Formalização",E2548="Concluído"),IF(COUNTIFS($B$2:$B$5001,B2548,$E$2:$E$5001,"Em ajustes",$N$2:$N$5001,"&lt;"&amp;I2548)&gt;0,1,0),0))</f>
        <v/>
      </c>
      <c r="L2548" s="16" t="str">
        <f aca="false">IF(B2548="","",IF(N2548=_xlfn.MAXIFS($N$2:$N$5001,$B$2:$B$5001,B2548,$I$2:$I$5001,I2548),1,0))</f>
        <v/>
      </c>
      <c r="M2548" s="16" t="str">
        <f aca="false">IF(B2548="","",IF(E2548="Em ajustes",IF(N2548=_xlfn.MINIFS($N$2:$N$5001,$B$2:$B$5001,B2548,$E$2:$E$5001,"Em ajustes"),1,0),0))</f>
        <v/>
      </c>
      <c r="N2548" s="17" t="str">
        <f aca="false">IF(A2548="","",IF(ISNUMBER(A2548),A2548,IFERROR(DATE(VALUE(MID(A2548,7,4)),VALUE(MID(A2548,4,2)),VALUE(MID(A2548,1,2)))+TIME(VALUE(MID(A2548,12,2)),VALUE(MID(A2548,15,2)),VALUE(MID(A2548,18,2))),"")))</f>
        <v/>
      </c>
    </row>
    <row r="2549" customFormat="false" ht="15" hidden="false" customHeight="false" outlineLevel="0" collapsed="false">
      <c r="I2549" s="15" t="str">
        <f aca="false">IF(N2549="","",INT(N2549))</f>
        <v/>
      </c>
      <c r="J2549" s="16" t="str">
        <f aca="false">IF(B2549="","",IF(N2549=_xlfn.MINIFS($N$2:$N$5001,$B$2:$B$5001,B2549),1,0))</f>
        <v/>
      </c>
      <c r="K2549" s="16" t="str">
        <f aca="false">IF(B2549="","",IF(AND(D2549="Formalização",E2549="Concluído"),IF(COUNTIFS($B$2:$B$5001,B2549,$E$2:$E$5001,"Em ajustes",$N$2:$N$5001,"&lt;"&amp;I2549)&gt;0,1,0),0))</f>
        <v/>
      </c>
      <c r="L2549" s="16" t="str">
        <f aca="false">IF(B2549="","",IF(N2549=_xlfn.MAXIFS($N$2:$N$5001,$B$2:$B$5001,B2549,$I$2:$I$5001,I2549),1,0))</f>
        <v/>
      </c>
      <c r="M2549" s="16" t="str">
        <f aca="false">IF(B2549="","",IF(E2549="Em ajustes",IF(N2549=_xlfn.MINIFS($N$2:$N$5001,$B$2:$B$5001,B2549,$E$2:$E$5001,"Em ajustes"),1,0),0))</f>
        <v/>
      </c>
      <c r="N2549" s="17" t="str">
        <f aca="false">IF(A2549="","",IF(ISNUMBER(A2549),A2549,IFERROR(DATE(VALUE(MID(A2549,7,4)),VALUE(MID(A2549,4,2)),VALUE(MID(A2549,1,2)))+TIME(VALUE(MID(A2549,12,2)),VALUE(MID(A2549,15,2)),VALUE(MID(A2549,18,2))),"")))</f>
        <v/>
      </c>
    </row>
    <row r="2550" customFormat="false" ht="15" hidden="false" customHeight="false" outlineLevel="0" collapsed="false">
      <c r="I2550" s="15" t="str">
        <f aca="false">IF(N2550="","",INT(N2550))</f>
        <v/>
      </c>
      <c r="J2550" s="16" t="str">
        <f aca="false">IF(B2550="","",IF(N2550=_xlfn.MINIFS($N$2:$N$5001,$B$2:$B$5001,B2550),1,0))</f>
        <v/>
      </c>
      <c r="K2550" s="16" t="str">
        <f aca="false">IF(B2550="","",IF(AND(D2550="Formalização",E2550="Concluído"),IF(COUNTIFS($B$2:$B$5001,B2550,$E$2:$E$5001,"Em ajustes",$N$2:$N$5001,"&lt;"&amp;I2550)&gt;0,1,0),0))</f>
        <v/>
      </c>
      <c r="L2550" s="16" t="str">
        <f aca="false">IF(B2550="","",IF(N2550=_xlfn.MAXIFS($N$2:$N$5001,$B$2:$B$5001,B2550,$I$2:$I$5001,I2550),1,0))</f>
        <v/>
      </c>
      <c r="M2550" s="16" t="str">
        <f aca="false">IF(B2550="","",IF(E2550="Em ajustes",IF(N2550=_xlfn.MINIFS($N$2:$N$5001,$B$2:$B$5001,B2550,$E$2:$E$5001,"Em ajustes"),1,0),0))</f>
        <v/>
      </c>
      <c r="N2550" s="17" t="str">
        <f aca="false">IF(A2550="","",IF(ISNUMBER(A2550),A2550,IFERROR(DATE(VALUE(MID(A2550,7,4)),VALUE(MID(A2550,4,2)),VALUE(MID(A2550,1,2)))+TIME(VALUE(MID(A2550,12,2)),VALUE(MID(A2550,15,2)),VALUE(MID(A2550,18,2))),"")))</f>
        <v/>
      </c>
    </row>
    <row r="2551" customFormat="false" ht="15" hidden="false" customHeight="false" outlineLevel="0" collapsed="false">
      <c r="I2551" s="15" t="str">
        <f aca="false">IF(N2551="","",INT(N2551))</f>
        <v/>
      </c>
      <c r="J2551" s="16" t="str">
        <f aca="false">IF(B2551="","",IF(N2551=_xlfn.MINIFS($N$2:$N$5001,$B$2:$B$5001,B2551),1,0))</f>
        <v/>
      </c>
      <c r="K2551" s="16" t="str">
        <f aca="false">IF(B2551="","",IF(AND(D2551="Formalização",E2551="Concluído"),IF(COUNTIFS($B$2:$B$5001,B2551,$E$2:$E$5001,"Em ajustes",$N$2:$N$5001,"&lt;"&amp;I2551)&gt;0,1,0),0))</f>
        <v/>
      </c>
      <c r="L2551" s="16" t="str">
        <f aca="false">IF(B2551="","",IF(N2551=_xlfn.MAXIFS($N$2:$N$5001,$B$2:$B$5001,B2551,$I$2:$I$5001,I2551),1,0))</f>
        <v/>
      </c>
      <c r="M2551" s="16" t="str">
        <f aca="false">IF(B2551="","",IF(E2551="Em ajustes",IF(N2551=_xlfn.MINIFS($N$2:$N$5001,$B$2:$B$5001,B2551,$E$2:$E$5001,"Em ajustes"),1,0),0))</f>
        <v/>
      </c>
      <c r="N2551" s="17" t="str">
        <f aca="false">IF(A2551="","",IF(ISNUMBER(A2551),A2551,IFERROR(DATE(VALUE(MID(A2551,7,4)),VALUE(MID(A2551,4,2)),VALUE(MID(A2551,1,2)))+TIME(VALUE(MID(A2551,12,2)),VALUE(MID(A2551,15,2)),VALUE(MID(A2551,18,2))),"")))</f>
        <v/>
      </c>
    </row>
    <row r="2552" customFormat="false" ht="15" hidden="false" customHeight="false" outlineLevel="0" collapsed="false">
      <c r="I2552" s="15" t="str">
        <f aca="false">IF(N2552="","",INT(N2552))</f>
        <v/>
      </c>
      <c r="J2552" s="16" t="str">
        <f aca="false">IF(B2552="","",IF(N2552=_xlfn.MINIFS($N$2:$N$5001,$B$2:$B$5001,B2552),1,0))</f>
        <v/>
      </c>
      <c r="K2552" s="16" t="str">
        <f aca="false">IF(B2552="","",IF(AND(D2552="Formalização",E2552="Concluído"),IF(COUNTIFS($B$2:$B$5001,B2552,$E$2:$E$5001,"Em ajustes",$N$2:$N$5001,"&lt;"&amp;I2552)&gt;0,1,0),0))</f>
        <v/>
      </c>
      <c r="L2552" s="16" t="str">
        <f aca="false">IF(B2552="","",IF(N2552=_xlfn.MAXIFS($N$2:$N$5001,$B$2:$B$5001,B2552,$I$2:$I$5001,I2552),1,0))</f>
        <v/>
      </c>
      <c r="M2552" s="16" t="str">
        <f aca="false">IF(B2552="","",IF(E2552="Em ajustes",IF(N2552=_xlfn.MINIFS($N$2:$N$5001,$B$2:$B$5001,B2552,$E$2:$E$5001,"Em ajustes"),1,0),0))</f>
        <v/>
      </c>
      <c r="N2552" s="17" t="str">
        <f aca="false">IF(A2552="","",IF(ISNUMBER(A2552),A2552,IFERROR(DATE(VALUE(MID(A2552,7,4)),VALUE(MID(A2552,4,2)),VALUE(MID(A2552,1,2)))+TIME(VALUE(MID(A2552,12,2)),VALUE(MID(A2552,15,2)),VALUE(MID(A2552,18,2))),"")))</f>
        <v/>
      </c>
    </row>
    <row r="2553" customFormat="false" ht="15" hidden="false" customHeight="false" outlineLevel="0" collapsed="false">
      <c r="I2553" s="15" t="str">
        <f aca="false">IF(N2553="","",INT(N2553))</f>
        <v/>
      </c>
      <c r="J2553" s="16" t="str">
        <f aca="false">IF(B2553="","",IF(N2553=_xlfn.MINIFS($N$2:$N$5001,$B$2:$B$5001,B2553),1,0))</f>
        <v/>
      </c>
      <c r="K2553" s="16" t="str">
        <f aca="false">IF(B2553="","",IF(AND(D2553="Formalização",E2553="Concluído"),IF(COUNTIFS($B$2:$B$5001,B2553,$E$2:$E$5001,"Em ajustes",$N$2:$N$5001,"&lt;"&amp;I2553)&gt;0,1,0),0))</f>
        <v/>
      </c>
      <c r="L2553" s="16" t="str">
        <f aca="false">IF(B2553="","",IF(N2553=_xlfn.MAXIFS($N$2:$N$5001,$B$2:$B$5001,B2553,$I$2:$I$5001,I2553),1,0))</f>
        <v/>
      </c>
      <c r="M2553" s="16" t="str">
        <f aca="false">IF(B2553="","",IF(E2553="Em ajustes",IF(N2553=_xlfn.MINIFS($N$2:$N$5001,$B$2:$B$5001,B2553,$E$2:$E$5001,"Em ajustes"),1,0),0))</f>
        <v/>
      </c>
      <c r="N2553" s="17" t="str">
        <f aca="false">IF(A2553="","",IF(ISNUMBER(A2553),A2553,IFERROR(DATE(VALUE(MID(A2553,7,4)),VALUE(MID(A2553,4,2)),VALUE(MID(A2553,1,2)))+TIME(VALUE(MID(A2553,12,2)),VALUE(MID(A2553,15,2)),VALUE(MID(A2553,18,2))),"")))</f>
        <v/>
      </c>
    </row>
    <row r="2554" customFormat="false" ht="15" hidden="false" customHeight="false" outlineLevel="0" collapsed="false">
      <c r="I2554" s="15" t="str">
        <f aca="false">IF(N2554="","",INT(N2554))</f>
        <v/>
      </c>
      <c r="J2554" s="16" t="str">
        <f aca="false">IF(B2554="","",IF(N2554=_xlfn.MINIFS($N$2:$N$5001,$B$2:$B$5001,B2554),1,0))</f>
        <v/>
      </c>
      <c r="K2554" s="16" t="str">
        <f aca="false">IF(B2554="","",IF(AND(D2554="Formalização",E2554="Concluído"),IF(COUNTIFS($B$2:$B$5001,B2554,$E$2:$E$5001,"Em ajustes",$N$2:$N$5001,"&lt;"&amp;I2554)&gt;0,1,0),0))</f>
        <v/>
      </c>
      <c r="L2554" s="16" t="str">
        <f aca="false">IF(B2554="","",IF(N2554=_xlfn.MAXIFS($N$2:$N$5001,$B$2:$B$5001,B2554,$I$2:$I$5001,I2554),1,0))</f>
        <v/>
      </c>
      <c r="M2554" s="16" t="str">
        <f aca="false">IF(B2554="","",IF(E2554="Em ajustes",IF(N2554=_xlfn.MINIFS($N$2:$N$5001,$B$2:$B$5001,B2554,$E$2:$E$5001,"Em ajustes"),1,0),0))</f>
        <v/>
      </c>
      <c r="N2554" s="17" t="str">
        <f aca="false">IF(A2554="","",IF(ISNUMBER(A2554),A2554,IFERROR(DATE(VALUE(MID(A2554,7,4)),VALUE(MID(A2554,4,2)),VALUE(MID(A2554,1,2)))+TIME(VALUE(MID(A2554,12,2)),VALUE(MID(A2554,15,2)),VALUE(MID(A2554,18,2))),"")))</f>
        <v/>
      </c>
    </row>
    <row r="2555" customFormat="false" ht="15" hidden="false" customHeight="false" outlineLevel="0" collapsed="false">
      <c r="I2555" s="15" t="str">
        <f aca="false">IF(N2555="","",INT(N2555))</f>
        <v/>
      </c>
      <c r="J2555" s="16" t="str">
        <f aca="false">IF(B2555="","",IF(N2555=_xlfn.MINIFS($N$2:$N$5001,$B$2:$B$5001,B2555),1,0))</f>
        <v/>
      </c>
      <c r="K2555" s="16" t="str">
        <f aca="false">IF(B2555="","",IF(AND(D2555="Formalização",E2555="Concluído"),IF(COUNTIFS($B$2:$B$5001,B2555,$E$2:$E$5001,"Em ajustes",$N$2:$N$5001,"&lt;"&amp;I2555)&gt;0,1,0),0))</f>
        <v/>
      </c>
      <c r="L2555" s="16" t="str">
        <f aca="false">IF(B2555="","",IF(N2555=_xlfn.MAXIFS($N$2:$N$5001,$B$2:$B$5001,B2555,$I$2:$I$5001,I2555),1,0))</f>
        <v/>
      </c>
      <c r="M2555" s="16" t="str">
        <f aca="false">IF(B2555="","",IF(E2555="Em ajustes",IF(N2555=_xlfn.MINIFS($N$2:$N$5001,$B$2:$B$5001,B2555,$E$2:$E$5001,"Em ajustes"),1,0),0))</f>
        <v/>
      </c>
      <c r="N2555" s="17" t="str">
        <f aca="false">IF(A2555="","",IF(ISNUMBER(A2555),A2555,IFERROR(DATE(VALUE(MID(A2555,7,4)),VALUE(MID(A2555,4,2)),VALUE(MID(A2555,1,2)))+TIME(VALUE(MID(A2555,12,2)),VALUE(MID(A2555,15,2)),VALUE(MID(A2555,18,2))),"")))</f>
        <v/>
      </c>
    </row>
    <row r="2556" customFormat="false" ht="15" hidden="false" customHeight="false" outlineLevel="0" collapsed="false">
      <c r="I2556" s="15" t="str">
        <f aca="false">IF(N2556="","",INT(N2556))</f>
        <v/>
      </c>
      <c r="J2556" s="16" t="str">
        <f aca="false">IF(B2556="","",IF(N2556=_xlfn.MINIFS($N$2:$N$5001,$B$2:$B$5001,B2556),1,0))</f>
        <v/>
      </c>
      <c r="K2556" s="16" t="str">
        <f aca="false">IF(B2556="","",IF(AND(D2556="Formalização",E2556="Concluído"),IF(COUNTIFS($B$2:$B$5001,B2556,$E$2:$E$5001,"Em ajustes",$N$2:$N$5001,"&lt;"&amp;I2556)&gt;0,1,0),0))</f>
        <v/>
      </c>
      <c r="L2556" s="16" t="str">
        <f aca="false">IF(B2556="","",IF(N2556=_xlfn.MAXIFS($N$2:$N$5001,$B$2:$B$5001,B2556,$I$2:$I$5001,I2556),1,0))</f>
        <v/>
      </c>
      <c r="M2556" s="16" t="str">
        <f aca="false">IF(B2556="","",IF(E2556="Em ajustes",IF(N2556=_xlfn.MINIFS($N$2:$N$5001,$B$2:$B$5001,B2556,$E$2:$E$5001,"Em ajustes"),1,0),0))</f>
        <v/>
      </c>
      <c r="N2556" s="17" t="str">
        <f aca="false">IF(A2556="","",IF(ISNUMBER(A2556),A2556,IFERROR(DATE(VALUE(MID(A2556,7,4)),VALUE(MID(A2556,4,2)),VALUE(MID(A2556,1,2)))+TIME(VALUE(MID(A2556,12,2)),VALUE(MID(A2556,15,2)),VALUE(MID(A2556,18,2))),"")))</f>
        <v/>
      </c>
    </row>
    <row r="2557" customFormat="false" ht="15" hidden="false" customHeight="false" outlineLevel="0" collapsed="false">
      <c r="I2557" s="15" t="str">
        <f aca="false">IF(N2557="","",INT(N2557))</f>
        <v/>
      </c>
      <c r="J2557" s="16" t="str">
        <f aca="false">IF(B2557="","",IF(N2557=_xlfn.MINIFS($N$2:$N$5001,$B$2:$B$5001,B2557),1,0))</f>
        <v/>
      </c>
      <c r="K2557" s="16" t="str">
        <f aca="false">IF(B2557="","",IF(AND(D2557="Formalização",E2557="Concluído"),IF(COUNTIFS($B$2:$B$5001,B2557,$E$2:$E$5001,"Em ajustes",$N$2:$N$5001,"&lt;"&amp;I2557)&gt;0,1,0),0))</f>
        <v/>
      </c>
      <c r="L2557" s="16" t="str">
        <f aca="false">IF(B2557="","",IF(N2557=_xlfn.MAXIFS($N$2:$N$5001,$B$2:$B$5001,B2557,$I$2:$I$5001,I2557),1,0))</f>
        <v/>
      </c>
      <c r="M2557" s="16" t="str">
        <f aca="false">IF(B2557="","",IF(E2557="Em ajustes",IF(N2557=_xlfn.MINIFS($N$2:$N$5001,$B$2:$B$5001,B2557,$E$2:$E$5001,"Em ajustes"),1,0),0))</f>
        <v/>
      </c>
      <c r="N2557" s="17" t="str">
        <f aca="false">IF(A2557="","",IF(ISNUMBER(A2557),A2557,IFERROR(DATE(VALUE(MID(A2557,7,4)),VALUE(MID(A2557,4,2)),VALUE(MID(A2557,1,2)))+TIME(VALUE(MID(A2557,12,2)),VALUE(MID(A2557,15,2)),VALUE(MID(A2557,18,2))),"")))</f>
        <v/>
      </c>
    </row>
    <row r="2558" customFormat="false" ht="15" hidden="false" customHeight="false" outlineLevel="0" collapsed="false">
      <c r="I2558" s="15" t="str">
        <f aca="false">IF(N2558="","",INT(N2558))</f>
        <v/>
      </c>
      <c r="J2558" s="16" t="str">
        <f aca="false">IF(B2558="","",IF(N2558=_xlfn.MINIFS($N$2:$N$5001,$B$2:$B$5001,B2558),1,0))</f>
        <v/>
      </c>
      <c r="K2558" s="16" t="str">
        <f aca="false">IF(B2558="","",IF(AND(D2558="Formalização",E2558="Concluído"),IF(COUNTIFS($B$2:$B$5001,B2558,$E$2:$E$5001,"Em ajustes",$N$2:$N$5001,"&lt;"&amp;I2558)&gt;0,1,0),0))</f>
        <v/>
      </c>
      <c r="L2558" s="16" t="str">
        <f aca="false">IF(B2558="","",IF(N2558=_xlfn.MAXIFS($N$2:$N$5001,$B$2:$B$5001,B2558,$I$2:$I$5001,I2558),1,0))</f>
        <v/>
      </c>
      <c r="M2558" s="16" t="str">
        <f aca="false">IF(B2558="","",IF(E2558="Em ajustes",IF(N2558=_xlfn.MINIFS($N$2:$N$5001,$B$2:$B$5001,B2558,$E$2:$E$5001,"Em ajustes"),1,0),0))</f>
        <v/>
      </c>
      <c r="N2558" s="17" t="str">
        <f aca="false">IF(A2558="","",IF(ISNUMBER(A2558),A2558,IFERROR(DATE(VALUE(MID(A2558,7,4)),VALUE(MID(A2558,4,2)),VALUE(MID(A2558,1,2)))+TIME(VALUE(MID(A2558,12,2)),VALUE(MID(A2558,15,2)),VALUE(MID(A2558,18,2))),"")))</f>
        <v/>
      </c>
    </row>
    <row r="2559" customFormat="false" ht="15" hidden="false" customHeight="false" outlineLevel="0" collapsed="false">
      <c r="I2559" s="15" t="str">
        <f aca="false">IF(N2559="","",INT(N2559))</f>
        <v/>
      </c>
      <c r="J2559" s="16" t="str">
        <f aca="false">IF(B2559="","",IF(N2559=_xlfn.MINIFS($N$2:$N$5001,$B$2:$B$5001,B2559),1,0))</f>
        <v/>
      </c>
      <c r="K2559" s="16" t="str">
        <f aca="false">IF(B2559="","",IF(AND(D2559="Formalização",E2559="Concluído"),IF(COUNTIFS($B$2:$B$5001,B2559,$E$2:$E$5001,"Em ajustes",$N$2:$N$5001,"&lt;"&amp;I2559)&gt;0,1,0),0))</f>
        <v/>
      </c>
      <c r="L2559" s="16" t="str">
        <f aca="false">IF(B2559="","",IF(N2559=_xlfn.MAXIFS($N$2:$N$5001,$B$2:$B$5001,B2559,$I$2:$I$5001,I2559),1,0))</f>
        <v/>
      </c>
      <c r="M2559" s="16" t="str">
        <f aca="false">IF(B2559="","",IF(E2559="Em ajustes",IF(N2559=_xlfn.MINIFS($N$2:$N$5001,$B$2:$B$5001,B2559,$E$2:$E$5001,"Em ajustes"),1,0),0))</f>
        <v/>
      </c>
      <c r="N2559" s="17" t="str">
        <f aca="false">IF(A2559="","",IF(ISNUMBER(A2559),A2559,IFERROR(DATE(VALUE(MID(A2559,7,4)),VALUE(MID(A2559,4,2)),VALUE(MID(A2559,1,2)))+TIME(VALUE(MID(A2559,12,2)),VALUE(MID(A2559,15,2)),VALUE(MID(A2559,18,2))),"")))</f>
        <v/>
      </c>
    </row>
    <row r="2560" customFormat="false" ht="15" hidden="false" customHeight="false" outlineLevel="0" collapsed="false">
      <c r="I2560" s="15" t="str">
        <f aca="false">IF(N2560="","",INT(N2560))</f>
        <v/>
      </c>
      <c r="J2560" s="16" t="str">
        <f aca="false">IF(B2560="","",IF(N2560=_xlfn.MINIFS($N$2:$N$5001,$B$2:$B$5001,B2560),1,0))</f>
        <v/>
      </c>
      <c r="K2560" s="16" t="str">
        <f aca="false">IF(B2560="","",IF(AND(D2560="Formalização",E2560="Concluído"),IF(COUNTIFS($B$2:$B$5001,B2560,$E$2:$E$5001,"Em ajustes",$N$2:$N$5001,"&lt;"&amp;I2560)&gt;0,1,0),0))</f>
        <v/>
      </c>
      <c r="L2560" s="16" t="str">
        <f aca="false">IF(B2560="","",IF(N2560=_xlfn.MAXIFS($N$2:$N$5001,$B$2:$B$5001,B2560,$I$2:$I$5001,I2560),1,0))</f>
        <v/>
      </c>
      <c r="M2560" s="16" t="str">
        <f aca="false">IF(B2560="","",IF(E2560="Em ajustes",IF(N2560=_xlfn.MINIFS($N$2:$N$5001,$B$2:$B$5001,B2560,$E$2:$E$5001,"Em ajustes"),1,0),0))</f>
        <v/>
      </c>
      <c r="N2560" s="17" t="str">
        <f aca="false">IF(A2560="","",IF(ISNUMBER(A2560),A2560,IFERROR(DATE(VALUE(MID(A2560,7,4)),VALUE(MID(A2560,4,2)),VALUE(MID(A2560,1,2)))+TIME(VALUE(MID(A2560,12,2)),VALUE(MID(A2560,15,2)),VALUE(MID(A2560,18,2))),"")))</f>
        <v/>
      </c>
    </row>
    <row r="2561" customFormat="false" ht="15" hidden="false" customHeight="false" outlineLevel="0" collapsed="false">
      <c r="I2561" s="15" t="str">
        <f aca="false">IF(N2561="","",INT(N2561))</f>
        <v/>
      </c>
      <c r="J2561" s="16" t="str">
        <f aca="false">IF(B2561="","",IF(N2561=_xlfn.MINIFS($N$2:$N$5001,$B$2:$B$5001,B2561),1,0))</f>
        <v/>
      </c>
      <c r="K2561" s="16" t="str">
        <f aca="false">IF(B2561="","",IF(AND(D2561="Formalização",E2561="Concluído"),IF(COUNTIFS($B$2:$B$5001,B2561,$E$2:$E$5001,"Em ajustes",$N$2:$N$5001,"&lt;"&amp;I2561)&gt;0,1,0),0))</f>
        <v/>
      </c>
      <c r="L2561" s="16" t="str">
        <f aca="false">IF(B2561="","",IF(N2561=_xlfn.MAXIFS($N$2:$N$5001,$B$2:$B$5001,B2561,$I$2:$I$5001,I2561),1,0))</f>
        <v/>
      </c>
      <c r="M2561" s="16" t="str">
        <f aca="false">IF(B2561="","",IF(E2561="Em ajustes",IF(N2561=_xlfn.MINIFS($N$2:$N$5001,$B$2:$B$5001,B2561,$E$2:$E$5001,"Em ajustes"),1,0),0))</f>
        <v/>
      </c>
      <c r="N2561" s="17" t="str">
        <f aca="false">IF(A2561="","",IF(ISNUMBER(A2561),A2561,IFERROR(DATE(VALUE(MID(A2561,7,4)),VALUE(MID(A2561,4,2)),VALUE(MID(A2561,1,2)))+TIME(VALUE(MID(A2561,12,2)),VALUE(MID(A2561,15,2)),VALUE(MID(A2561,18,2))),"")))</f>
        <v/>
      </c>
    </row>
    <row r="2562" customFormat="false" ht="15" hidden="false" customHeight="false" outlineLevel="0" collapsed="false">
      <c r="I2562" s="15" t="str">
        <f aca="false">IF(N2562="","",INT(N2562))</f>
        <v/>
      </c>
      <c r="J2562" s="16" t="str">
        <f aca="false">IF(B2562="","",IF(N2562=_xlfn.MINIFS($N$2:$N$5001,$B$2:$B$5001,B2562),1,0))</f>
        <v/>
      </c>
      <c r="K2562" s="16" t="str">
        <f aca="false">IF(B2562="","",IF(AND(D2562="Formalização",E2562="Concluído"),IF(COUNTIFS($B$2:$B$5001,B2562,$E$2:$E$5001,"Em ajustes",$N$2:$N$5001,"&lt;"&amp;I2562)&gt;0,1,0),0))</f>
        <v/>
      </c>
      <c r="L2562" s="16" t="str">
        <f aca="false">IF(B2562="","",IF(N2562=_xlfn.MAXIFS($N$2:$N$5001,$B$2:$B$5001,B2562,$I$2:$I$5001,I2562),1,0))</f>
        <v/>
      </c>
      <c r="M2562" s="16" t="str">
        <f aca="false">IF(B2562="","",IF(E2562="Em ajustes",IF(N2562=_xlfn.MINIFS($N$2:$N$5001,$B$2:$B$5001,B2562,$E$2:$E$5001,"Em ajustes"),1,0),0))</f>
        <v/>
      </c>
      <c r="N2562" s="17" t="str">
        <f aca="false">IF(A2562="","",IF(ISNUMBER(A2562),A2562,IFERROR(DATE(VALUE(MID(A2562,7,4)),VALUE(MID(A2562,4,2)),VALUE(MID(A2562,1,2)))+TIME(VALUE(MID(A2562,12,2)),VALUE(MID(A2562,15,2)),VALUE(MID(A2562,18,2))),"")))</f>
        <v/>
      </c>
    </row>
    <row r="2563" customFormat="false" ht="15" hidden="false" customHeight="false" outlineLevel="0" collapsed="false">
      <c r="I2563" s="15" t="str">
        <f aca="false">IF(N2563="","",INT(N2563))</f>
        <v/>
      </c>
      <c r="J2563" s="16" t="str">
        <f aca="false">IF(B2563="","",IF(N2563=_xlfn.MINIFS($N$2:$N$5001,$B$2:$B$5001,B2563),1,0))</f>
        <v/>
      </c>
      <c r="K2563" s="16" t="str">
        <f aca="false">IF(B2563="","",IF(AND(D2563="Formalização",E2563="Concluído"),IF(COUNTIFS($B$2:$B$5001,B2563,$E$2:$E$5001,"Em ajustes",$N$2:$N$5001,"&lt;"&amp;I2563)&gt;0,1,0),0))</f>
        <v/>
      </c>
      <c r="L2563" s="16" t="str">
        <f aca="false">IF(B2563="","",IF(N2563=_xlfn.MAXIFS($N$2:$N$5001,$B$2:$B$5001,B2563,$I$2:$I$5001,I2563),1,0))</f>
        <v/>
      </c>
      <c r="M2563" s="16" t="str">
        <f aca="false">IF(B2563="","",IF(E2563="Em ajustes",IF(N2563=_xlfn.MINIFS($N$2:$N$5001,$B$2:$B$5001,B2563,$E$2:$E$5001,"Em ajustes"),1,0),0))</f>
        <v/>
      </c>
      <c r="N2563" s="17" t="str">
        <f aca="false">IF(A2563="","",IF(ISNUMBER(A2563),A2563,IFERROR(DATE(VALUE(MID(A2563,7,4)),VALUE(MID(A2563,4,2)),VALUE(MID(A2563,1,2)))+TIME(VALUE(MID(A2563,12,2)),VALUE(MID(A2563,15,2)),VALUE(MID(A2563,18,2))),"")))</f>
        <v/>
      </c>
    </row>
    <row r="2564" customFormat="false" ht="15" hidden="false" customHeight="false" outlineLevel="0" collapsed="false">
      <c r="I2564" s="15" t="str">
        <f aca="false">IF(N2564="","",INT(N2564))</f>
        <v/>
      </c>
      <c r="J2564" s="16" t="str">
        <f aca="false">IF(B2564="","",IF(N2564=_xlfn.MINIFS($N$2:$N$5001,$B$2:$B$5001,B2564),1,0))</f>
        <v/>
      </c>
      <c r="K2564" s="16" t="str">
        <f aca="false">IF(B2564="","",IF(AND(D2564="Formalização",E2564="Concluído"),IF(COUNTIFS($B$2:$B$5001,B2564,$E$2:$E$5001,"Em ajustes",$N$2:$N$5001,"&lt;"&amp;I2564)&gt;0,1,0),0))</f>
        <v/>
      </c>
      <c r="L2564" s="16" t="str">
        <f aca="false">IF(B2564="","",IF(N2564=_xlfn.MAXIFS($N$2:$N$5001,$B$2:$B$5001,B2564,$I$2:$I$5001,I2564),1,0))</f>
        <v/>
      </c>
      <c r="M2564" s="16" t="str">
        <f aca="false">IF(B2564="","",IF(E2564="Em ajustes",IF(N2564=_xlfn.MINIFS($N$2:$N$5001,$B$2:$B$5001,B2564,$E$2:$E$5001,"Em ajustes"),1,0),0))</f>
        <v/>
      </c>
      <c r="N2564" s="17" t="str">
        <f aca="false">IF(A2564="","",IF(ISNUMBER(A2564),A2564,IFERROR(DATE(VALUE(MID(A2564,7,4)),VALUE(MID(A2564,4,2)),VALUE(MID(A2564,1,2)))+TIME(VALUE(MID(A2564,12,2)),VALUE(MID(A2564,15,2)),VALUE(MID(A2564,18,2))),"")))</f>
        <v/>
      </c>
    </row>
    <row r="2565" customFormat="false" ht="15" hidden="false" customHeight="false" outlineLevel="0" collapsed="false">
      <c r="I2565" s="15" t="str">
        <f aca="false">IF(N2565="","",INT(N2565))</f>
        <v/>
      </c>
      <c r="J2565" s="16" t="str">
        <f aca="false">IF(B2565="","",IF(N2565=_xlfn.MINIFS($N$2:$N$5001,$B$2:$B$5001,B2565),1,0))</f>
        <v/>
      </c>
      <c r="K2565" s="16" t="str">
        <f aca="false">IF(B2565="","",IF(AND(D2565="Formalização",E2565="Concluído"),IF(COUNTIFS($B$2:$B$5001,B2565,$E$2:$E$5001,"Em ajustes",$N$2:$N$5001,"&lt;"&amp;I2565)&gt;0,1,0),0))</f>
        <v/>
      </c>
      <c r="L2565" s="16" t="str">
        <f aca="false">IF(B2565="","",IF(N2565=_xlfn.MAXIFS($N$2:$N$5001,$B$2:$B$5001,B2565,$I$2:$I$5001,I2565),1,0))</f>
        <v/>
      </c>
      <c r="M2565" s="16" t="str">
        <f aca="false">IF(B2565="","",IF(E2565="Em ajustes",IF(N2565=_xlfn.MINIFS($N$2:$N$5001,$B$2:$B$5001,B2565,$E$2:$E$5001,"Em ajustes"),1,0),0))</f>
        <v/>
      </c>
      <c r="N2565" s="17" t="str">
        <f aca="false">IF(A2565="","",IF(ISNUMBER(A2565),A2565,IFERROR(DATE(VALUE(MID(A2565,7,4)),VALUE(MID(A2565,4,2)),VALUE(MID(A2565,1,2)))+TIME(VALUE(MID(A2565,12,2)),VALUE(MID(A2565,15,2)),VALUE(MID(A2565,18,2))),"")))</f>
        <v/>
      </c>
    </row>
    <row r="2566" customFormat="false" ht="15" hidden="false" customHeight="false" outlineLevel="0" collapsed="false">
      <c r="I2566" s="15" t="str">
        <f aca="false">IF(N2566="","",INT(N2566))</f>
        <v/>
      </c>
      <c r="J2566" s="16" t="str">
        <f aca="false">IF(B2566="","",IF(N2566=_xlfn.MINIFS($N$2:$N$5001,$B$2:$B$5001,B2566),1,0))</f>
        <v/>
      </c>
      <c r="K2566" s="16" t="str">
        <f aca="false">IF(B2566="","",IF(AND(D2566="Formalização",E2566="Concluído"),IF(COUNTIFS($B$2:$B$5001,B2566,$E$2:$E$5001,"Em ajustes",$N$2:$N$5001,"&lt;"&amp;I2566)&gt;0,1,0),0))</f>
        <v/>
      </c>
      <c r="L2566" s="16" t="str">
        <f aca="false">IF(B2566="","",IF(N2566=_xlfn.MAXIFS($N$2:$N$5001,$B$2:$B$5001,B2566,$I$2:$I$5001,I2566),1,0))</f>
        <v/>
      </c>
      <c r="M2566" s="16" t="str">
        <f aca="false">IF(B2566="","",IF(E2566="Em ajustes",IF(N2566=_xlfn.MINIFS($N$2:$N$5001,$B$2:$B$5001,B2566,$E$2:$E$5001,"Em ajustes"),1,0),0))</f>
        <v/>
      </c>
      <c r="N2566" s="17" t="str">
        <f aca="false">IF(A2566="","",IF(ISNUMBER(A2566),A2566,IFERROR(DATE(VALUE(MID(A2566,7,4)),VALUE(MID(A2566,4,2)),VALUE(MID(A2566,1,2)))+TIME(VALUE(MID(A2566,12,2)),VALUE(MID(A2566,15,2)),VALUE(MID(A2566,18,2))),"")))</f>
        <v/>
      </c>
    </row>
    <row r="2567" customFormat="false" ht="15" hidden="false" customHeight="false" outlineLevel="0" collapsed="false">
      <c r="I2567" s="15" t="str">
        <f aca="false">IF(N2567="","",INT(N2567))</f>
        <v/>
      </c>
      <c r="J2567" s="16" t="str">
        <f aca="false">IF(B2567="","",IF(N2567=_xlfn.MINIFS($N$2:$N$5001,$B$2:$B$5001,B2567),1,0))</f>
        <v/>
      </c>
      <c r="K2567" s="16" t="str">
        <f aca="false">IF(B2567="","",IF(AND(D2567="Formalização",E2567="Concluído"),IF(COUNTIFS($B$2:$B$5001,B2567,$E$2:$E$5001,"Em ajustes",$N$2:$N$5001,"&lt;"&amp;I2567)&gt;0,1,0),0))</f>
        <v/>
      </c>
      <c r="L2567" s="16" t="str">
        <f aca="false">IF(B2567="","",IF(N2567=_xlfn.MAXIFS($N$2:$N$5001,$B$2:$B$5001,B2567,$I$2:$I$5001,I2567),1,0))</f>
        <v/>
      </c>
      <c r="M2567" s="16" t="str">
        <f aca="false">IF(B2567="","",IF(E2567="Em ajustes",IF(N2567=_xlfn.MINIFS($N$2:$N$5001,$B$2:$B$5001,B2567,$E$2:$E$5001,"Em ajustes"),1,0),0))</f>
        <v/>
      </c>
      <c r="N2567" s="17" t="str">
        <f aca="false">IF(A2567="","",IF(ISNUMBER(A2567),A2567,IFERROR(DATE(VALUE(MID(A2567,7,4)),VALUE(MID(A2567,4,2)),VALUE(MID(A2567,1,2)))+TIME(VALUE(MID(A2567,12,2)),VALUE(MID(A2567,15,2)),VALUE(MID(A2567,18,2))),"")))</f>
        <v/>
      </c>
    </row>
    <row r="2568" customFormat="false" ht="15" hidden="false" customHeight="false" outlineLevel="0" collapsed="false">
      <c r="I2568" s="15" t="str">
        <f aca="false">IF(N2568="","",INT(N2568))</f>
        <v/>
      </c>
      <c r="J2568" s="16" t="str">
        <f aca="false">IF(B2568="","",IF(N2568=_xlfn.MINIFS($N$2:$N$5001,$B$2:$B$5001,B2568),1,0))</f>
        <v/>
      </c>
      <c r="K2568" s="16" t="str">
        <f aca="false">IF(B2568="","",IF(AND(D2568="Formalização",E2568="Concluído"),IF(COUNTIFS($B$2:$B$5001,B2568,$E$2:$E$5001,"Em ajustes",$N$2:$N$5001,"&lt;"&amp;I2568)&gt;0,1,0),0))</f>
        <v/>
      </c>
      <c r="L2568" s="16" t="str">
        <f aca="false">IF(B2568="","",IF(N2568=_xlfn.MAXIFS($N$2:$N$5001,$B$2:$B$5001,B2568,$I$2:$I$5001,I2568),1,0))</f>
        <v/>
      </c>
      <c r="M2568" s="16" t="str">
        <f aca="false">IF(B2568="","",IF(E2568="Em ajustes",IF(N2568=_xlfn.MINIFS($N$2:$N$5001,$B$2:$B$5001,B2568,$E$2:$E$5001,"Em ajustes"),1,0),0))</f>
        <v/>
      </c>
      <c r="N2568" s="17" t="str">
        <f aca="false">IF(A2568="","",IF(ISNUMBER(A2568),A2568,IFERROR(DATE(VALUE(MID(A2568,7,4)),VALUE(MID(A2568,4,2)),VALUE(MID(A2568,1,2)))+TIME(VALUE(MID(A2568,12,2)),VALUE(MID(A2568,15,2)),VALUE(MID(A2568,18,2))),"")))</f>
        <v/>
      </c>
    </row>
    <row r="2569" customFormat="false" ht="15" hidden="false" customHeight="false" outlineLevel="0" collapsed="false">
      <c r="I2569" s="15" t="str">
        <f aca="false">IF(N2569="","",INT(N2569))</f>
        <v/>
      </c>
      <c r="J2569" s="16" t="str">
        <f aca="false">IF(B2569="","",IF(N2569=_xlfn.MINIFS($N$2:$N$5001,$B$2:$B$5001,B2569),1,0))</f>
        <v/>
      </c>
      <c r="K2569" s="16" t="str">
        <f aca="false">IF(B2569="","",IF(AND(D2569="Formalização",E2569="Concluído"),IF(COUNTIFS($B$2:$B$5001,B2569,$E$2:$E$5001,"Em ajustes",$N$2:$N$5001,"&lt;"&amp;I2569)&gt;0,1,0),0))</f>
        <v/>
      </c>
      <c r="L2569" s="16" t="str">
        <f aca="false">IF(B2569="","",IF(N2569=_xlfn.MAXIFS($N$2:$N$5001,$B$2:$B$5001,B2569,$I$2:$I$5001,I2569),1,0))</f>
        <v/>
      </c>
      <c r="M2569" s="16" t="str">
        <f aca="false">IF(B2569="","",IF(E2569="Em ajustes",IF(N2569=_xlfn.MINIFS($N$2:$N$5001,$B$2:$B$5001,B2569,$E$2:$E$5001,"Em ajustes"),1,0),0))</f>
        <v/>
      </c>
      <c r="N2569" s="17" t="str">
        <f aca="false">IF(A2569="","",IF(ISNUMBER(A2569),A2569,IFERROR(DATE(VALUE(MID(A2569,7,4)),VALUE(MID(A2569,4,2)),VALUE(MID(A2569,1,2)))+TIME(VALUE(MID(A2569,12,2)),VALUE(MID(A2569,15,2)),VALUE(MID(A2569,18,2))),"")))</f>
        <v/>
      </c>
    </row>
    <row r="2570" customFormat="false" ht="15" hidden="false" customHeight="false" outlineLevel="0" collapsed="false">
      <c r="I2570" s="15" t="str">
        <f aca="false">IF(N2570="","",INT(N2570))</f>
        <v/>
      </c>
      <c r="J2570" s="16" t="str">
        <f aca="false">IF(B2570="","",IF(N2570=_xlfn.MINIFS($N$2:$N$5001,$B$2:$B$5001,B2570),1,0))</f>
        <v/>
      </c>
      <c r="K2570" s="16" t="str">
        <f aca="false">IF(B2570="","",IF(AND(D2570="Formalização",E2570="Concluído"),IF(COUNTIFS($B$2:$B$5001,B2570,$E$2:$E$5001,"Em ajustes",$N$2:$N$5001,"&lt;"&amp;I2570)&gt;0,1,0),0))</f>
        <v/>
      </c>
      <c r="L2570" s="16" t="str">
        <f aca="false">IF(B2570="","",IF(N2570=_xlfn.MAXIFS($N$2:$N$5001,$B$2:$B$5001,B2570,$I$2:$I$5001,I2570),1,0))</f>
        <v/>
      </c>
      <c r="M2570" s="16" t="str">
        <f aca="false">IF(B2570="","",IF(E2570="Em ajustes",IF(N2570=_xlfn.MINIFS($N$2:$N$5001,$B$2:$B$5001,B2570,$E$2:$E$5001,"Em ajustes"),1,0),0))</f>
        <v/>
      </c>
      <c r="N2570" s="17" t="str">
        <f aca="false">IF(A2570="","",IF(ISNUMBER(A2570),A2570,IFERROR(DATE(VALUE(MID(A2570,7,4)),VALUE(MID(A2570,4,2)),VALUE(MID(A2570,1,2)))+TIME(VALUE(MID(A2570,12,2)),VALUE(MID(A2570,15,2)),VALUE(MID(A2570,18,2))),"")))</f>
        <v/>
      </c>
    </row>
    <row r="2571" customFormat="false" ht="15" hidden="false" customHeight="false" outlineLevel="0" collapsed="false">
      <c r="I2571" s="15" t="str">
        <f aca="false">IF(N2571="","",INT(N2571))</f>
        <v/>
      </c>
      <c r="J2571" s="16" t="str">
        <f aca="false">IF(B2571="","",IF(N2571=_xlfn.MINIFS($N$2:$N$5001,$B$2:$B$5001,B2571),1,0))</f>
        <v/>
      </c>
      <c r="K2571" s="16" t="str">
        <f aca="false">IF(B2571="","",IF(AND(D2571="Formalização",E2571="Concluído"),IF(COUNTIFS($B$2:$B$5001,B2571,$E$2:$E$5001,"Em ajustes",$N$2:$N$5001,"&lt;"&amp;I2571)&gt;0,1,0),0))</f>
        <v/>
      </c>
      <c r="L2571" s="16" t="str">
        <f aca="false">IF(B2571="","",IF(N2571=_xlfn.MAXIFS($N$2:$N$5001,$B$2:$B$5001,B2571,$I$2:$I$5001,I2571),1,0))</f>
        <v/>
      </c>
      <c r="M2571" s="16" t="str">
        <f aca="false">IF(B2571="","",IF(E2571="Em ajustes",IF(N2571=_xlfn.MINIFS($N$2:$N$5001,$B$2:$B$5001,B2571,$E$2:$E$5001,"Em ajustes"),1,0),0))</f>
        <v/>
      </c>
      <c r="N2571" s="17" t="str">
        <f aca="false">IF(A2571="","",IF(ISNUMBER(A2571),A2571,IFERROR(DATE(VALUE(MID(A2571,7,4)),VALUE(MID(A2571,4,2)),VALUE(MID(A2571,1,2)))+TIME(VALUE(MID(A2571,12,2)),VALUE(MID(A2571,15,2)),VALUE(MID(A2571,18,2))),"")))</f>
        <v/>
      </c>
    </row>
    <row r="2572" customFormat="false" ht="15" hidden="false" customHeight="false" outlineLevel="0" collapsed="false">
      <c r="I2572" s="15" t="str">
        <f aca="false">IF(N2572="","",INT(N2572))</f>
        <v/>
      </c>
      <c r="J2572" s="16" t="str">
        <f aca="false">IF(B2572="","",IF(N2572=_xlfn.MINIFS($N$2:$N$5001,$B$2:$B$5001,B2572),1,0))</f>
        <v/>
      </c>
      <c r="K2572" s="16" t="str">
        <f aca="false">IF(B2572="","",IF(AND(D2572="Formalização",E2572="Concluído"),IF(COUNTIFS($B$2:$B$5001,B2572,$E$2:$E$5001,"Em ajustes",$N$2:$N$5001,"&lt;"&amp;I2572)&gt;0,1,0),0))</f>
        <v/>
      </c>
      <c r="L2572" s="16" t="str">
        <f aca="false">IF(B2572="","",IF(N2572=_xlfn.MAXIFS($N$2:$N$5001,$B$2:$B$5001,B2572,$I$2:$I$5001,I2572),1,0))</f>
        <v/>
      </c>
      <c r="M2572" s="16" t="str">
        <f aca="false">IF(B2572="","",IF(E2572="Em ajustes",IF(N2572=_xlfn.MINIFS($N$2:$N$5001,$B$2:$B$5001,B2572,$E$2:$E$5001,"Em ajustes"),1,0),0))</f>
        <v/>
      </c>
      <c r="N2572" s="17" t="str">
        <f aca="false">IF(A2572="","",IF(ISNUMBER(A2572),A2572,IFERROR(DATE(VALUE(MID(A2572,7,4)),VALUE(MID(A2572,4,2)),VALUE(MID(A2572,1,2)))+TIME(VALUE(MID(A2572,12,2)),VALUE(MID(A2572,15,2)),VALUE(MID(A2572,18,2))),"")))</f>
        <v/>
      </c>
    </row>
    <row r="2573" customFormat="false" ht="15" hidden="false" customHeight="false" outlineLevel="0" collapsed="false">
      <c r="I2573" s="15" t="str">
        <f aca="false">IF(N2573="","",INT(N2573))</f>
        <v/>
      </c>
      <c r="J2573" s="16" t="str">
        <f aca="false">IF(B2573="","",IF(N2573=_xlfn.MINIFS($N$2:$N$5001,$B$2:$B$5001,B2573),1,0))</f>
        <v/>
      </c>
      <c r="K2573" s="16" t="str">
        <f aca="false">IF(B2573="","",IF(AND(D2573="Formalização",E2573="Concluído"),IF(COUNTIFS($B$2:$B$5001,B2573,$E$2:$E$5001,"Em ajustes",$N$2:$N$5001,"&lt;"&amp;I2573)&gt;0,1,0),0))</f>
        <v/>
      </c>
      <c r="L2573" s="16" t="str">
        <f aca="false">IF(B2573="","",IF(N2573=_xlfn.MAXIFS($N$2:$N$5001,$B$2:$B$5001,B2573,$I$2:$I$5001,I2573),1,0))</f>
        <v/>
      </c>
      <c r="M2573" s="16" t="str">
        <f aca="false">IF(B2573="","",IF(E2573="Em ajustes",IF(N2573=_xlfn.MINIFS($N$2:$N$5001,$B$2:$B$5001,B2573,$E$2:$E$5001,"Em ajustes"),1,0),0))</f>
        <v/>
      </c>
      <c r="N2573" s="17" t="str">
        <f aca="false">IF(A2573="","",IF(ISNUMBER(A2573),A2573,IFERROR(DATE(VALUE(MID(A2573,7,4)),VALUE(MID(A2573,4,2)),VALUE(MID(A2573,1,2)))+TIME(VALUE(MID(A2573,12,2)),VALUE(MID(A2573,15,2)),VALUE(MID(A2573,18,2))),"")))</f>
        <v/>
      </c>
    </row>
    <row r="2574" customFormat="false" ht="15" hidden="false" customHeight="false" outlineLevel="0" collapsed="false">
      <c r="I2574" s="15" t="str">
        <f aca="false">IF(N2574="","",INT(N2574))</f>
        <v/>
      </c>
      <c r="J2574" s="16" t="str">
        <f aca="false">IF(B2574="","",IF(N2574=_xlfn.MINIFS($N$2:$N$5001,$B$2:$B$5001,B2574),1,0))</f>
        <v/>
      </c>
      <c r="K2574" s="16" t="str">
        <f aca="false">IF(B2574="","",IF(AND(D2574="Formalização",E2574="Concluído"),IF(COUNTIFS($B$2:$B$5001,B2574,$E$2:$E$5001,"Em ajustes",$N$2:$N$5001,"&lt;"&amp;I2574)&gt;0,1,0),0))</f>
        <v/>
      </c>
      <c r="L2574" s="16" t="str">
        <f aca="false">IF(B2574="","",IF(N2574=_xlfn.MAXIFS($N$2:$N$5001,$B$2:$B$5001,B2574,$I$2:$I$5001,I2574),1,0))</f>
        <v/>
      </c>
      <c r="M2574" s="16" t="str">
        <f aca="false">IF(B2574="","",IF(E2574="Em ajustes",IF(N2574=_xlfn.MINIFS($N$2:$N$5001,$B$2:$B$5001,B2574,$E$2:$E$5001,"Em ajustes"),1,0),0))</f>
        <v/>
      </c>
      <c r="N2574" s="17" t="str">
        <f aca="false">IF(A2574="","",IF(ISNUMBER(A2574),A2574,IFERROR(DATE(VALUE(MID(A2574,7,4)),VALUE(MID(A2574,4,2)),VALUE(MID(A2574,1,2)))+TIME(VALUE(MID(A2574,12,2)),VALUE(MID(A2574,15,2)),VALUE(MID(A2574,18,2))),"")))</f>
        <v/>
      </c>
    </row>
    <row r="2575" customFormat="false" ht="15" hidden="false" customHeight="false" outlineLevel="0" collapsed="false">
      <c r="I2575" s="15" t="str">
        <f aca="false">IF(N2575="","",INT(N2575))</f>
        <v/>
      </c>
      <c r="J2575" s="16" t="str">
        <f aca="false">IF(B2575="","",IF(N2575=_xlfn.MINIFS($N$2:$N$5001,$B$2:$B$5001,B2575),1,0))</f>
        <v/>
      </c>
      <c r="K2575" s="16" t="str">
        <f aca="false">IF(B2575="","",IF(AND(D2575="Formalização",E2575="Concluído"),IF(COUNTIFS($B$2:$B$5001,B2575,$E$2:$E$5001,"Em ajustes",$N$2:$N$5001,"&lt;"&amp;I2575)&gt;0,1,0),0))</f>
        <v/>
      </c>
      <c r="L2575" s="16" t="str">
        <f aca="false">IF(B2575="","",IF(N2575=_xlfn.MAXIFS($N$2:$N$5001,$B$2:$B$5001,B2575,$I$2:$I$5001,I2575),1,0))</f>
        <v/>
      </c>
      <c r="M2575" s="16" t="str">
        <f aca="false">IF(B2575="","",IF(E2575="Em ajustes",IF(N2575=_xlfn.MINIFS($N$2:$N$5001,$B$2:$B$5001,B2575,$E$2:$E$5001,"Em ajustes"),1,0),0))</f>
        <v/>
      </c>
      <c r="N2575" s="17" t="str">
        <f aca="false">IF(A2575="","",IF(ISNUMBER(A2575),A2575,IFERROR(DATE(VALUE(MID(A2575,7,4)),VALUE(MID(A2575,4,2)),VALUE(MID(A2575,1,2)))+TIME(VALUE(MID(A2575,12,2)),VALUE(MID(A2575,15,2)),VALUE(MID(A2575,18,2))),"")))</f>
        <v/>
      </c>
    </row>
    <row r="2576" customFormat="false" ht="15" hidden="false" customHeight="false" outlineLevel="0" collapsed="false">
      <c r="I2576" s="15" t="str">
        <f aca="false">IF(N2576="","",INT(N2576))</f>
        <v/>
      </c>
      <c r="J2576" s="16" t="str">
        <f aca="false">IF(B2576="","",IF(N2576=_xlfn.MINIFS($N$2:$N$5001,$B$2:$B$5001,B2576),1,0))</f>
        <v/>
      </c>
      <c r="K2576" s="16" t="str">
        <f aca="false">IF(B2576="","",IF(AND(D2576="Formalização",E2576="Concluído"),IF(COUNTIFS($B$2:$B$5001,B2576,$E$2:$E$5001,"Em ajustes",$N$2:$N$5001,"&lt;"&amp;I2576)&gt;0,1,0),0))</f>
        <v/>
      </c>
      <c r="L2576" s="16" t="str">
        <f aca="false">IF(B2576="","",IF(N2576=_xlfn.MAXIFS($N$2:$N$5001,$B$2:$B$5001,B2576,$I$2:$I$5001,I2576),1,0))</f>
        <v/>
      </c>
      <c r="M2576" s="16" t="str">
        <f aca="false">IF(B2576="","",IF(E2576="Em ajustes",IF(N2576=_xlfn.MINIFS($N$2:$N$5001,$B$2:$B$5001,B2576,$E$2:$E$5001,"Em ajustes"),1,0),0))</f>
        <v/>
      </c>
      <c r="N2576" s="17" t="str">
        <f aca="false">IF(A2576="","",IF(ISNUMBER(A2576),A2576,IFERROR(DATE(VALUE(MID(A2576,7,4)),VALUE(MID(A2576,4,2)),VALUE(MID(A2576,1,2)))+TIME(VALUE(MID(A2576,12,2)),VALUE(MID(A2576,15,2)),VALUE(MID(A2576,18,2))),"")))</f>
        <v/>
      </c>
    </row>
    <row r="2577" customFormat="false" ht="15" hidden="false" customHeight="false" outlineLevel="0" collapsed="false">
      <c r="I2577" s="15" t="str">
        <f aca="false">IF(N2577="","",INT(N2577))</f>
        <v/>
      </c>
      <c r="J2577" s="16" t="str">
        <f aca="false">IF(B2577="","",IF(N2577=_xlfn.MINIFS($N$2:$N$5001,$B$2:$B$5001,B2577),1,0))</f>
        <v/>
      </c>
      <c r="K2577" s="16" t="str">
        <f aca="false">IF(B2577="","",IF(AND(D2577="Formalização",E2577="Concluído"),IF(COUNTIFS($B$2:$B$5001,B2577,$E$2:$E$5001,"Em ajustes",$N$2:$N$5001,"&lt;"&amp;I2577)&gt;0,1,0),0))</f>
        <v/>
      </c>
      <c r="L2577" s="16" t="str">
        <f aca="false">IF(B2577="","",IF(N2577=_xlfn.MAXIFS($N$2:$N$5001,$B$2:$B$5001,B2577,$I$2:$I$5001,I2577),1,0))</f>
        <v/>
      </c>
      <c r="M2577" s="16" t="str">
        <f aca="false">IF(B2577="","",IF(E2577="Em ajustes",IF(N2577=_xlfn.MINIFS($N$2:$N$5001,$B$2:$B$5001,B2577,$E$2:$E$5001,"Em ajustes"),1,0),0))</f>
        <v/>
      </c>
      <c r="N2577" s="17" t="str">
        <f aca="false">IF(A2577="","",IF(ISNUMBER(A2577),A2577,IFERROR(DATE(VALUE(MID(A2577,7,4)),VALUE(MID(A2577,4,2)),VALUE(MID(A2577,1,2)))+TIME(VALUE(MID(A2577,12,2)),VALUE(MID(A2577,15,2)),VALUE(MID(A2577,18,2))),"")))</f>
        <v/>
      </c>
    </row>
    <row r="2578" customFormat="false" ht="15" hidden="false" customHeight="false" outlineLevel="0" collapsed="false">
      <c r="I2578" s="15" t="str">
        <f aca="false">IF(N2578="","",INT(N2578))</f>
        <v/>
      </c>
      <c r="J2578" s="16" t="str">
        <f aca="false">IF(B2578="","",IF(N2578=_xlfn.MINIFS($N$2:$N$5001,$B$2:$B$5001,B2578),1,0))</f>
        <v/>
      </c>
      <c r="K2578" s="16" t="str">
        <f aca="false">IF(B2578="","",IF(AND(D2578="Formalização",E2578="Concluído"),IF(COUNTIFS($B$2:$B$5001,B2578,$E$2:$E$5001,"Em ajustes",$N$2:$N$5001,"&lt;"&amp;I2578)&gt;0,1,0),0))</f>
        <v/>
      </c>
      <c r="L2578" s="16" t="str">
        <f aca="false">IF(B2578="","",IF(N2578=_xlfn.MAXIFS($N$2:$N$5001,$B$2:$B$5001,B2578,$I$2:$I$5001,I2578),1,0))</f>
        <v/>
      </c>
      <c r="M2578" s="16" t="str">
        <f aca="false">IF(B2578="","",IF(E2578="Em ajustes",IF(N2578=_xlfn.MINIFS($N$2:$N$5001,$B$2:$B$5001,B2578,$E$2:$E$5001,"Em ajustes"),1,0),0))</f>
        <v/>
      </c>
      <c r="N2578" s="17" t="str">
        <f aca="false">IF(A2578="","",IF(ISNUMBER(A2578),A2578,IFERROR(DATE(VALUE(MID(A2578,7,4)),VALUE(MID(A2578,4,2)),VALUE(MID(A2578,1,2)))+TIME(VALUE(MID(A2578,12,2)),VALUE(MID(A2578,15,2)),VALUE(MID(A2578,18,2))),"")))</f>
        <v/>
      </c>
    </row>
    <row r="2579" customFormat="false" ht="15" hidden="false" customHeight="false" outlineLevel="0" collapsed="false">
      <c r="I2579" s="15" t="str">
        <f aca="false">IF(N2579="","",INT(N2579))</f>
        <v/>
      </c>
      <c r="J2579" s="16" t="str">
        <f aca="false">IF(B2579="","",IF(N2579=_xlfn.MINIFS($N$2:$N$5001,$B$2:$B$5001,B2579),1,0))</f>
        <v/>
      </c>
      <c r="K2579" s="16" t="str">
        <f aca="false">IF(B2579="","",IF(AND(D2579="Formalização",E2579="Concluído"),IF(COUNTIFS($B$2:$B$5001,B2579,$E$2:$E$5001,"Em ajustes",$N$2:$N$5001,"&lt;"&amp;I2579)&gt;0,1,0),0))</f>
        <v/>
      </c>
      <c r="L2579" s="16" t="str">
        <f aca="false">IF(B2579="","",IF(N2579=_xlfn.MAXIFS($N$2:$N$5001,$B$2:$B$5001,B2579,$I$2:$I$5001,I2579),1,0))</f>
        <v/>
      </c>
      <c r="M2579" s="16" t="str">
        <f aca="false">IF(B2579="","",IF(E2579="Em ajustes",IF(N2579=_xlfn.MINIFS($N$2:$N$5001,$B$2:$B$5001,B2579,$E$2:$E$5001,"Em ajustes"),1,0),0))</f>
        <v/>
      </c>
      <c r="N2579" s="17" t="str">
        <f aca="false">IF(A2579="","",IF(ISNUMBER(A2579),A2579,IFERROR(DATE(VALUE(MID(A2579,7,4)),VALUE(MID(A2579,4,2)),VALUE(MID(A2579,1,2)))+TIME(VALUE(MID(A2579,12,2)),VALUE(MID(A2579,15,2)),VALUE(MID(A2579,18,2))),"")))</f>
        <v/>
      </c>
    </row>
    <row r="2580" customFormat="false" ht="15" hidden="false" customHeight="false" outlineLevel="0" collapsed="false">
      <c r="I2580" s="15" t="str">
        <f aca="false">IF(N2580="","",INT(N2580))</f>
        <v/>
      </c>
      <c r="J2580" s="16" t="str">
        <f aca="false">IF(B2580="","",IF(N2580=_xlfn.MINIFS($N$2:$N$5001,$B$2:$B$5001,B2580),1,0))</f>
        <v/>
      </c>
      <c r="K2580" s="16" t="str">
        <f aca="false">IF(B2580="","",IF(AND(D2580="Formalização",E2580="Concluído"),IF(COUNTIFS($B$2:$B$5001,B2580,$E$2:$E$5001,"Em ajustes",$N$2:$N$5001,"&lt;"&amp;I2580)&gt;0,1,0),0))</f>
        <v/>
      </c>
      <c r="L2580" s="16" t="str">
        <f aca="false">IF(B2580="","",IF(N2580=_xlfn.MAXIFS($N$2:$N$5001,$B$2:$B$5001,B2580,$I$2:$I$5001,I2580),1,0))</f>
        <v/>
      </c>
      <c r="M2580" s="16" t="str">
        <f aca="false">IF(B2580="","",IF(E2580="Em ajustes",IF(N2580=_xlfn.MINIFS($N$2:$N$5001,$B$2:$B$5001,B2580,$E$2:$E$5001,"Em ajustes"),1,0),0))</f>
        <v/>
      </c>
      <c r="N2580" s="17" t="str">
        <f aca="false">IF(A2580="","",IF(ISNUMBER(A2580),A2580,IFERROR(DATE(VALUE(MID(A2580,7,4)),VALUE(MID(A2580,4,2)),VALUE(MID(A2580,1,2)))+TIME(VALUE(MID(A2580,12,2)),VALUE(MID(A2580,15,2)),VALUE(MID(A2580,18,2))),"")))</f>
        <v/>
      </c>
    </row>
    <row r="2581" customFormat="false" ht="15" hidden="false" customHeight="false" outlineLevel="0" collapsed="false">
      <c r="I2581" s="15" t="str">
        <f aca="false">IF(N2581="","",INT(N2581))</f>
        <v/>
      </c>
      <c r="J2581" s="16" t="str">
        <f aca="false">IF(B2581="","",IF(N2581=_xlfn.MINIFS($N$2:$N$5001,$B$2:$B$5001,B2581),1,0))</f>
        <v/>
      </c>
      <c r="K2581" s="16" t="str">
        <f aca="false">IF(B2581="","",IF(AND(D2581="Formalização",E2581="Concluído"),IF(COUNTIFS($B$2:$B$5001,B2581,$E$2:$E$5001,"Em ajustes",$N$2:$N$5001,"&lt;"&amp;I2581)&gt;0,1,0),0))</f>
        <v/>
      </c>
      <c r="L2581" s="16" t="str">
        <f aca="false">IF(B2581="","",IF(N2581=_xlfn.MAXIFS($N$2:$N$5001,$B$2:$B$5001,B2581,$I$2:$I$5001,I2581),1,0))</f>
        <v/>
      </c>
      <c r="M2581" s="16" t="str">
        <f aca="false">IF(B2581="","",IF(E2581="Em ajustes",IF(N2581=_xlfn.MINIFS($N$2:$N$5001,$B$2:$B$5001,B2581,$E$2:$E$5001,"Em ajustes"),1,0),0))</f>
        <v/>
      </c>
      <c r="N2581" s="17" t="str">
        <f aca="false">IF(A2581="","",IF(ISNUMBER(A2581),A2581,IFERROR(DATE(VALUE(MID(A2581,7,4)),VALUE(MID(A2581,4,2)),VALUE(MID(A2581,1,2)))+TIME(VALUE(MID(A2581,12,2)),VALUE(MID(A2581,15,2)),VALUE(MID(A2581,18,2))),"")))</f>
        <v/>
      </c>
    </row>
    <row r="2582" customFormat="false" ht="15" hidden="false" customHeight="false" outlineLevel="0" collapsed="false">
      <c r="I2582" s="15" t="str">
        <f aca="false">IF(N2582="","",INT(N2582))</f>
        <v/>
      </c>
      <c r="J2582" s="16" t="str">
        <f aca="false">IF(B2582="","",IF(N2582=_xlfn.MINIFS($N$2:$N$5001,$B$2:$B$5001,B2582),1,0))</f>
        <v/>
      </c>
      <c r="K2582" s="16" t="str">
        <f aca="false">IF(B2582="","",IF(AND(D2582="Formalização",E2582="Concluído"),IF(COUNTIFS($B$2:$B$5001,B2582,$E$2:$E$5001,"Em ajustes",$N$2:$N$5001,"&lt;"&amp;I2582)&gt;0,1,0),0))</f>
        <v/>
      </c>
      <c r="L2582" s="16" t="str">
        <f aca="false">IF(B2582="","",IF(N2582=_xlfn.MAXIFS($N$2:$N$5001,$B$2:$B$5001,B2582,$I$2:$I$5001,I2582),1,0))</f>
        <v/>
      </c>
      <c r="M2582" s="16" t="str">
        <f aca="false">IF(B2582="","",IF(E2582="Em ajustes",IF(N2582=_xlfn.MINIFS($N$2:$N$5001,$B$2:$B$5001,B2582,$E$2:$E$5001,"Em ajustes"),1,0),0))</f>
        <v/>
      </c>
      <c r="N2582" s="17" t="str">
        <f aca="false">IF(A2582="","",IF(ISNUMBER(A2582),A2582,IFERROR(DATE(VALUE(MID(A2582,7,4)),VALUE(MID(A2582,4,2)),VALUE(MID(A2582,1,2)))+TIME(VALUE(MID(A2582,12,2)),VALUE(MID(A2582,15,2)),VALUE(MID(A2582,18,2))),"")))</f>
        <v/>
      </c>
    </row>
    <row r="2583" customFormat="false" ht="15" hidden="false" customHeight="false" outlineLevel="0" collapsed="false">
      <c r="I2583" s="15" t="str">
        <f aca="false">IF(N2583="","",INT(N2583))</f>
        <v/>
      </c>
      <c r="J2583" s="16" t="str">
        <f aca="false">IF(B2583="","",IF(N2583=_xlfn.MINIFS($N$2:$N$5001,$B$2:$B$5001,B2583),1,0))</f>
        <v/>
      </c>
      <c r="K2583" s="16" t="str">
        <f aca="false">IF(B2583="","",IF(AND(D2583="Formalização",E2583="Concluído"),IF(COUNTIFS($B$2:$B$5001,B2583,$E$2:$E$5001,"Em ajustes",$N$2:$N$5001,"&lt;"&amp;I2583)&gt;0,1,0),0))</f>
        <v/>
      </c>
      <c r="L2583" s="16" t="str">
        <f aca="false">IF(B2583="","",IF(N2583=_xlfn.MAXIFS($N$2:$N$5001,$B$2:$B$5001,B2583,$I$2:$I$5001,I2583),1,0))</f>
        <v/>
      </c>
      <c r="M2583" s="16" t="str">
        <f aca="false">IF(B2583="","",IF(E2583="Em ajustes",IF(N2583=_xlfn.MINIFS($N$2:$N$5001,$B$2:$B$5001,B2583,$E$2:$E$5001,"Em ajustes"),1,0),0))</f>
        <v/>
      </c>
      <c r="N2583" s="17" t="str">
        <f aca="false">IF(A2583="","",IF(ISNUMBER(A2583),A2583,IFERROR(DATE(VALUE(MID(A2583,7,4)),VALUE(MID(A2583,4,2)),VALUE(MID(A2583,1,2)))+TIME(VALUE(MID(A2583,12,2)),VALUE(MID(A2583,15,2)),VALUE(MID(A2583,18,2))),"")))</f>
        <v/>
      </c>
    </row>
    <row r="2584" customFormat="false" ht="15" hidden="false" customHeight="false" outlineLevel="0" collapsed="false">
      <c r="I2584" s="15" t="str">
        <f aca="false">IF(N2584="","",INT(N2584))</f>
        <v/>
      </c>
      <c r="J2584" s="16" t="str">
        <f aca="false">IF(B2584="","",IF(N2584=_xlfn.MINIFS($N$2:$N$5001,$B$2:$B$5001,B2584),1,0))</f>
        <v/>
      </c>
      <c r="K2584" s="16" t="str">
        <f aca="false">IF(B2584="","",IF(AND(D2584="Formalização",E2584="Concluído"),IF(COUNTIFS($B$2:$B$5001,B2584,$E$2:$E$5001,"Em ajustes",$N$2:$N$5001,"&lt;"&amp;I2584)&gt;0,1,0),0))</f>
        <v/>
      </c>
      <c r="L2584" s="16" t="str">
        <f aca="false">IF(B2584="","",IF(N2584=_xlfn.MAXIFS($N$2:$N$5001,$B$2:$B$5001,B2584,$I$2:$I$5001,I2584),1,0))</f>
        <v/>
      </c>
      <c r="M2584" s="16" t="str">
        <f aca="false">IF(B2584="","",IF(E2584="Em ajustes",IF(N2584=_xlfn.MINIFS($N$2:$N$5001,$B$2:$B$5001,B2584,$E$2:$E$5001,"Em ajustes"),1,0),0))</f>
        <v/>
      </c>
      <c r="N2584" s="17" t="str">
        <f aca="false">IF(A2584="","",IF(ISNUMBER(A2584),A2584,IFERROR(DATE(VALUE(MID(A2584,7,4)),VALUE(MID(A2584,4,2)),VALUE(MID(A2584,1,2)))+TIME(VALUE(MID(A2584,12,2)),VALUE(MID(A2584,15,2)),VALUE(MID(A2584,18,2))),"")))</f>
        <v/>
      </c>
    </row>
    <row r="2585" customFormat="false" ht="15" hidden="false" customHeight="false" outlineLevel="0" collapsed="false">
      <c r="I2585" s="15" t="str">
        <f aca="false">IF(N2585="","",INT(N2585))</f>
        <v/>
      </c>
      <c r="J2585" s="16" t="str">
        <f aca="false">IF(B2585="","",IF(N2585=_xlfn.MINIFS($N$2:$N$5001,$B$2:$B$5001,B2585),1,0))</f>
        <v/>
      </c>
      <c r="K2585" s="16" t="str">
        <f aca="false">IF(B2585="","",IF(AND(D2585="Formalização",E2585="Concluído"),IF(COUNTIFS($B$2:$B$5001,B2585,$E$2:$E$5001,"Em ajustes",$N$2:$N$5001,"&lt;"&amp;I2585)&gt;0,1,0),0))</f>
        <v/>
      </c>
      <c r="L2585" s="16" t="str">
        <f aca="false">IF(B2585="","",IF(N2585=_xlfn.MAXIFS($N$2:$N$5001,$B$2:$B$5001,B2585,$I$2:$I$5001,I2585),1,0))</f>
        <v/>
      </c>
      <c r="M2585" s="16" t="str">
        <f aca="false">IF(B2585="","",IF(E2585="Em ajustes",IF(N2585=_xlfn.MINIFS($N$2:$N$5001,$B$2:$B$5001,B2585,$E$2:$E$5001,"Em ajustes"),1,0),0))</f>
        <v/>
      </c>
      <c r="N2585" s="17" t="str">
        <f aca="false">IF(A2585="","",IF(ISNUMBER(A2585),A2585,IFERROR(DATE(VALUE(MID(A2585,7,4)),VALUE(MID(A2585,4,2)),VALUE(MID(A2585,1,2)))+TIME(VALUE(MID(A2585,12,2)),VALUE(MID(A2585,15,2)),VALUE(MID(A2585,18,2))),"")))</f>
        <v/>
      </c>
    </row>
    <row r="2586" customFormat="false" ht="15" hidden="false" customHeight="false" outlineLevel="0" collapsed="false">
      <c r="I2586" s="15" t="str">
        <f aca="false">IF(N2586="","",INT(N2586))</f>
        <v/>
      </c>
      <c r="J2586" s="16" t="str">
        <f aca="false">IF(B2586="","",IF(N2586=_xlfn.MINIFS($N$2:$N$5001,$B$2:$B$5001,B2586),1,0))</f>
        <v/>
      </c>
      <c r="K2586" s="16" t="str">
        <f aca="false">IF(B2586="","",IF(AND(D2586="Formalização",E2586="Concluído"),IF(COUNTIFS($B$2:$B$5001,B2586,$E$2:$E$5001,"Em ajustes",$N$2:$N$5001,"&lt;"&amp;I2586)&gt;0,1,0),0))</f>
        <v/>
      </c>
      <c r="L2586" s="16" t="str">
        <f aca="false">IF(B2586="","",IF(N2586=_xlfn.MAXIFS($N$2:$N$5001,$B$2:$B$5001,B2586,$I$2:$I$5001,I2586),1,0))</f>
        <v/>
      </c>
      <c r="M2586" s="16" t="str">
        <f aca="false">IF(B2586="","",IF(E2586="Em ajustes",IF(N2586=_xlfn.MINIFS($N$2:$N$5001,$B$2:$B$5001,B2586,$E$2:$E$5001,"Em ajustes"),1,0),0))</f>
        <v/>
      </c>
      <c r="N2586" s="17" t="str">
        <f aca="false">IF(A2586="","",IF(ISNUMBER(A2586),A2586,IFERROR(DATE(VALUE(MID(A2586,7,4)),VALUE(MID(A2586,4,2)),VALUE(MID(A2586,1,2)))+TIME(VALUE(MID(A2586,12,2)),VALUE(MID(A2586,15,2)),VALUE(MID(A2586,18,2))),"")))</f>
        <v/>
      </c>
    </row>
    <row r="2587" customFormat="false" ht="15" hidden="false" customHeight="false" outlineLevel="0" collapsed="false">
      <c r="I2587" s="15" t="str">
        <f aca="false">IF(N2587="","",INT(N2587))</f>
        <v/>
      </c>
      <c r="J2587" s="16" t="str">
        <f aca="false">IF(B2587="","",IF(N2587=_xlfn.MINIFS($N$2:$N$5001,$B$2:$B$5001,B2587),1,0))</f>
        <v/>
      </c>
      <c r="K2587" s="16" t="str">
        <f aca="false">IF(B2587="","",IF(AND(D2587="Formalização",E2587="Concluído"),IF(COUNTIFS($B$2:$B$5001,B2587,$E$2:$E$5001,"Em ajustes",$N$2:$N$5001,"&lt;"&amp;I2587)&gt;0,1,0),0))</f>
        <v/>
      </c>
      <c r="L2587" s="16" t="str">
        <f aca="false">IF(B2587="","",IF(N2587=_xlfn.MAXIFS($N$2:$N$5001,$B$2:$B$5001,B2587,$I$2:$I$5001,I2587),1,0))</f>
        <v/>
      </c>
      <c r="M2587" s="16" t="str">
        <f aca="false">IF(B2587="","",IF(E2587="Em ajustes",IF(N2587=_xlfn.MINIFS($N$2:$N$5001,$B$2:$B$5001,B2587,$E$2:$E$5001,"Em ajustes"),1,0),0))</f>
        <v/>
      </c>
      <c r="N2587" s="17" t="str">
        <f aca="false">IF(A2587="","",IF(ISNUMBER(A2587),A2587,IFERROR(DATE(VALUE(MID(A2587,7,4)),VALUE(MID(A2587,4,2)),VALUE(MID(A2587,1,2)))+TIME(VALUE(MID(A2587,12,2)),VALUE(MID(A2587,15,2)),VALUE(MID(A2587,18,2))),"")))</f>
        <v/>
      </c>
    </row>
    <row r="2588" customFormat="false" ht="15" hidden="false" customHeight="false" outlineLevel="0" collapsed="false">
      <c r="I2588" s="15" t="str">
        <f aca="false">IF(N2588="","",INT(N2588))</f>
        <v/>
      </c>
      <c r="J2588" s="16" t="str">
        <f aca="false">IF(B2588="","",IF(N2588=_xlfn.MINIFS($N$2:$N$5001,$B$2:$B$5001,B2588),1,0))</f>
        <v/>
      </c>
      <c r="K2588" s="16" t="str">
        <f aca="false">IF(B2588="","",IF(AND(D2588="Formalização",E2588="Concluído"),IF(COUNTIFS($B$2:$B$5001,B2588,$E$2:$E$5001,"Em ajustes",$N$2:$N$5001,"&lt;"&amp;I2588)&gt;0,1,0),0))</f>
        <v/>
      </c>
      <c r="L2588" s="16" t="str">
        <f aca="false">IF(B2588="","",IF(N2588=_xlfn.MAXIFS($N$2:$N$5001,$B$2:$B$5001,B2588,$I$2:$I$5001,I2588),1,0))</f>
        <v/>
      </c>
      <c r="M2588" s="16" t="str">
        <f aca="false">IF(B2588="","",IF(E2588="Em ajustes",IF(N2588=_xlfn.MINIFS($N$2:$N$5001,$B$2:$B$5001,B2588,$E$2:$E$5001,"Em ajustes"),1,0),0))</f>
        <v/>
      </c>
      <c r="N2588" s="17" t="str">
        <f aca="false">IF(A2588="","",IF(ISNUMBER(A2588),A2588,IFERROR(DATE(VALUE(MID(A2588,7,4)),VALUE(MID(A2588,4,2)),VALUE(MID(A2588,1,2)))+TIME(VALUE(MID(A2588,12,2)),VALUE(MID(A2588,15,2)),VALUE(MID(A2588,18,2))),"")))</f>
        <v/>
      </c>
    </row>
    <row r="2589" customFormat="false" ht="15" hidden="false" customHeight="false" outlineLevel="0" collapsed="false">
      <c r="I2589" s="15" t="str">
        <f aca="false">IF(N2589="","",INT(N2589))</f>
        <v/>
      </c>
      <c r="J2589" s="16" t="str">
        <f aca="false">IF(B2589="","",IF(N2589=_xlfn.MINIFS($N$2:$N$5001,$B$2:$B$5001,B2589),1,0))</f>
        <v/>
      </c>
      <c r="K2589" s="16" t="str">
        <f aca="false">IF(B2589="","",IF(AND(D2589="Formalização",E2589="Concluído"),IF(COUNTIFS($B$2:$B$5001,B2589,$E$2:$E$5001,"Em ajustes",$N$2:$N$5001,"&lt;"&amp;I2589)&gt;0,1,0),0))</f>
        <v/>
      </c>
      <c r="L2589" s="16" t="str">
        <f aca="false">IF(B2589="","",IF(N2589=_xlfn.MAXIFS($N$2:$N$5001,$B$2:$B$5001,B2589,$I$2:$I$5001,I2589),1,0))</f>
        <v/>
      </c>
      <c r="M2589" s="16" t="str">
        <f aca="false">IF(B2589="","",IF(E2589="Em ajustes",IF(N2589=_xlfn.MINIFS($N$2:$N$5001,$B$2:$B$5001,B2589,$E$2:$E$5001,"Em ajustes"),1,0),0))</f>
        <v/>
      </c>
      <c r="N2589" s="17" t="str">
        <f aca="false">IF(A2589="","",IF(ISNUMBER(A2589),A2589,IFERROR(DATE(VALUE(MID(A2589,7,4)),VALUE(MID(A2589,4,2)),VALUE(MID(A2589,1,2)))+TIME(VALUE(MID(A2589,12,2)),VALUE(MID(A2589,15,2)),VALUE(MID(A2589,18,2))),"")))</f>
        <v/>
      </c>
    </row>
    <row r="2590" customFormat="false" ht="15" hidden="false" customHeight="false" outlineLevel="0" collapsed="false">
      <c r="I2590" s="15" t="str">
        <f aca="false">IF(N2590="","",INT(N2590))</f>
        <v/>
      </c>
      <c r="J2590" s="16" t="str">
        <f aca="false">IF(B2590="","",IF(N2590=_xlfn.MINIFS($N$2:$N$5001,$B$2:$B$5001,B2590),1,0))</f>
        <v/>
      </c>
      <c r="K2590" s="16" t="str">
        <f aca="false">IF(B2590="","",IF(AND(D2590="Formalização",E2590="Concluído"),IF(COUNTIFS($B$2:$B$5001,B2590,$E$2:$E$5001,"Em ajustes",$N$2:$N$5001,"&lt;"&amp;I2590)&gt;0,1,0),0))</f>
        <v/>
      </c>
      <c r="L2590" s="16" t="str">
        <f aca="false">IF(B2590="","",IF(N2590=_xlfn.MAXIFS($N$2:$N$5001,$B$2:$B$5001,B2590,$I$2:$I$5001,I2590),1,0))</f>
        <v/>
      </c>
      <c r="M2590" s="16" t="str">
        <f aca="false">IF(B2590="","",IF(E2590="Em ajustes",IF(N2590=_xlfn.MINIFS($N$2:$N$5001,$B$2:$B$5001,B2590,$E$2:$E$5001,"Em ajustes"),1,0),0))</f>
        <v/>
      </c>
      <c r="N2590" s="17" t="str">
        <f aca="false">IF(A2590="","",IF(ISNUMBER(A2590),A2590,IFERROR(DATE(VALUE(MID(A2590,7,4)),VALUE(MID(A2590,4,2)),VALUE(MID(A2590,1,2)))+TIME(VALUE(MID(A2590,12,2)),VALUE(MID(A2590,15,2)),VALUE(MID(A2590,18,2))),"")))</f>
        <v/>
      </c>
    </row>
    <row r="2591" customFormat="false" ht="15" hidden="false" customHeight="false" outlineLevel="0" collapsed="false">
      <c r="I2591" s="15" t="str">
        <f aca="false">IF(N2591="","",INT(N2591))</f>
        <v/>
      </c>
      <c r="J2591" s="16" t="str">
        <f aca="false">IF(B2591="","",IF(N2591=_xlfn.MINIFS($N$2:$N$5001,$B$2:$B$5001,B2591),1,0))</f>
        <v/>
      </c>
      <c r="K2591" s="16" t="str">
        <f aca="false">IF(B2591="","",IF(AND(D2591="Formalização",E2591="Concluído"),IF(COUNTIFS($B$2:$B$5001,B2591,$E$2:$E$5001,"Em ajustes",$N$2:$N$5001,"&lt;"&amp;I2591)&gt;0,1,0),0))</f>
        <v/>
      </c>
      <c r="L2591" s="16" t="str">
        <f aca="false">IF(B2591="","",IF(N2591=_xlfn.MAXIFS($N$2:$N$5001,$B$2:$B$5001,B2591,$I$2:$I$5001,I2591),1,0))</f>
        <v/>
      </c>
      <c r="M2591" s="16" t="str">
        <f aca="false">IF(B2591="","",IF(E2591="Em ajustes",IF(N2591=_xlfn.MINIFS($N$2:$N$5001,$B$2:$B$5001,B2591,$E$2:$E$5001,"Em ajustes"),1,0),0))</f>
        <v/>
      </c>
      <c r="N2591" s="17" t="str">
        <f aca="false">IF(A2591="","",IF(ISNUMBER(A2591),A2591,IFERROR(DATE(VALUE(MID(A2591,7,4)),VALUE(MID(A2591,4,2)),VALUE(MID(A2591,1,2)))+TIME(VALUE(MID(A2591,12,2)),VALUE(MID(A2591,15,2)),VALUE(MID(A2591,18,2))),"")))</f>
        <v/>
      </c>
    </row>
    <row r="2592" customFormat="false" ht="15" hidden="false" customHeight="false" outlineLevel="0" collapsed="false">
      <c r="I2592" s="15" t="str">
        <f aca="false">IF(N2592="","",INT(N2592))</f>
        <v/>
      </c>
      <c r="J2592" s="16" t="str">
        <f aca="false">IF(B2592="","",IF(N2592=_xlfn.MINIFS($N$2:$N$5001,$B$2:$B$5001,B2592),1,0))</f>
        <v/>
      </c>
      <c r="K2592" s="16" t="str">
        <f aca="false">IF(B2592="","",IF(AND(D2592="Formalização",E2592="Concluído"),IF(COUNTIFS($B$2:$B$5001,B2592,$E$2:$E$5001,"Em ajustes",$N$2:$N$5001,"&lt;"&amp;I2592)&gt;0,1,0),0))</f>
        <v/>
      </c>
      <c r="L2592" s="16" t="str">
        <f aca="false">IF(B2592="","",IF(N2592=_xlfn.MAXIFS($N$2:$N$5001,$B$2:$B$5001,B2592,$I$2:$I$5001,I2592),1,0))</f>
        <v/>
      </c>
      <c r="M2592" s="16" t="str">
        <f aca="false">IF(B2592="","",IF(E2592="Em ajustes",IF(N2592=_xlfn.MINIFS($N$2:$N$5001,$B$2:$B$5001,B2592,$E$2:$E$5001,"Em ajustes"),1,0),0))</f>
        <v/>
      </c>
      <c r="N2592" s="17" t="str">
        <f aca="false">IF(A2592="","",IF(ISNUMBER(A2592),A2592,IFERROR(DATE(VALUE(MID(A2592,7,4)),VALUE(MID(A2592,4,2)),VALUE(MID(A2592,1,2)))+TIME(VALUE(MID(A2592,12,2)),VALUE(MID(A2592,15,2)),VALUE(MID(A2592,18,2))),"")))</f>
        <v/>
      </c>
    </row>
    <row r="2593" customFormat="false" ht="15" hidden="false" customHeight="false" outlineLevel="0" collapsed="false">
      <c r="I2593" s="15" t="str">
        <f aca="false">IF(N2593="","",INT(N2593))</f>
        <v/>
      </c>
      <c r="J2593" s="16" t="str">
        <f aca="false">IF(B2593="","",IF(N2593=_xlfn.MINIFS($N$2:$N$5001,$B$2:$B$5001,B2593),1,0))</f>
        <v/>
      </c>
      <c r="K2593" s="16" t="str">
        <f aca="false">IF(B2593="","",IF(AND(D2593="Formalização",E2593="Concluído"),IF(COUNTIFS($B$2:$B$5001,B2593,$E$2:$E$5001,"Em ajustes",$N$2:$N$5001,"&lt;"&amp;I2593)&gt;0,1,0),0))</f>
        <v/>
      </c>
      <c r="L2593" s="16" t="str">
        <f aca="false">IF(B2593="","",IF(N2593=_xlfn.MAXIFS($N$2:$N$5001,$B$2:$B$5001,B2593,$I$2:$I$5001,I2593),1,0))</f>
        <v/>
      </c>
      <c r="M2593" s="16" t="str">
        <f aca="false">IF(B2593="","",IF(E2593="Em ajustes",IF(N2593=_xlfn.MINIFS($N$2:$N$5001,$B$2:$B$5001,B2593,$E$2:$E$5001,"Em ajustes"),1,0),0))</f>
        <v/>
      </c>
      <c r="N2593" s="17" t="str">
        <f aca="false">IF(A2593="","",IF(ISNUMBER(A2593),A2593,IFERROR(DATE(VALUE(MID(A2593,7,4)),VALUE(MID(A2593,4,2)),VALUE(MID(A2593,1,2)))+TIME(VALUE(MID(A2593,12,2)),VALUE(MID(A2593,15,2)),VALUE(MID(A2593,18,2))),"")))</f>
        <v/>
      </c>
    </row>
    <row r="2594" customFormat="false" ht="15" hidden="false" customHeight="false" outlineLevel="0" collapsed="false">
      <c r="I2594" s="15" t="str">
        <f aca="false">IF(N2594="","",INT(N2594))</f>
        <v/>
      </c>
      <c r="J2594" s="16" t="str">
        <f aca="false">IF(B2594="","",IF(N2594=_xlfn.MINIFS($N$2:$N$5001,$B$2:$B$5001,B2594),1,0))</f>
        <v/>
      </c>
      <c r="K2594" s="16" t="str">
        <f aca="false">IF(B2594="","",IF(AND(D2594="Formalização",E2594="Concluído"),IF(COUNTIFS($B$2:$B$5001,B2594,$E$2:$E$5001,"Em ajustes",$N$2:$N$5001,"&lt;"&amp;I2594)&gt;0,1,0),0))</f>
        <v/>
      </c>
      <c r="L2594" s="16" t="str">
        <f aca="false">IF(B2594="","",IF(N2594=_xlfn.MAXIFS($N$2:$N$5001,$B$2:$B$5001,B2594,$I$2:$I$5001,I2594),1,0))</f>
        <v/>
      </c>
      <c r="M2594" s="16" t="str">
        <f aca="false">IF(B2594="","",IF(E2594="Em ajustes",IF(N2594=_xlfn.MINIFS($N$2:$N$5001,$B$2:$B$5001,B2594,$E$2:$E$5001,"Em ajustes"),1,0),0))</f>
        <v/>
      </c>
      <c r="N2594" s="17" t="str">
        <f aca="false">IF(A2594="","",IF(ISNUMBER(A2594),A2594,IFERROR(DATE(VALUE(MID(A2594,7,4)),VALUE(MID(A2594,4,2)),VALUE(MID(A2594,1,2)))+TIME(VALUE(MID(A2594,12,2)),VALUE(MID(A2594,15,2)),VALUE(MID(A2594,18,2))),"")))</f>
        <v/>
      </c>
    </row>
    <row r="2595" customFormat="false" ht="15" hidden="false" customHeight="false" outlineLevel="0" collapsed="false">
      <c r="I2595" s="15" t="str">
        <f aca="false">IF(N2595="","",INT(N2595))</f>
        <v/>
      </c>
      <c r="J2595" s="16" t="str">
        <f aca="false">IF(B2595="","",IF(N2595=_xlfn.MINIFS($N$2:$N$5001,$B$2:$B$5001,B2595),1,0))</f>
        <v/>
      </c>
      <c r="K2595" s="16" t="str">
        <f aca="false">IF(B2595="","",IF(AND(D2595="Formalização",E2595="Concluído"),IF(COUNTIFS($B$2:$B$5001,B2595,$E$2:$E$5001,"Em ajustes",$N$2:$N$5001,"&lt;"&amp;I2595)&gt;0,1,0),0))</f>
        <v/>
      </c>
      <c r="L2595" s="16" t="str">
        <f aca="false">IF(B2595="","",IF(N2595=_xlfn.MAXIFS($N$2:$N$5001,$B$2:$B$5001,B2595,$I$2:$I$5001,I2595),1,0))</f>
        <v/>
      </c>
      <c r="M2595" s="16" t="str">
        <f aca="false">IF(B2595="","",IF(E2595="Em ajustes",IF(N2595=_xlfn.MINIFS($N$2:$N$5001,$B$2:$B$5001,B2595,$E$2:$E$5001,"Em ajustes"),1,0),0))</f>
        <v/>
      </c>
      <c r="N2595" s="17" t="str">
        <f aca="false">IF(A2595="","",IF(ISNUMBER(A2595),A2595,IFERROR(DATE(VALUE(MID(A2595,7,4)),VALUE(MID(A2595,4,2)),VALUE(MID(A2595,1,2)))+TIME(VALUE(MID(A2595,12,2)),VALUE(MID(A2595,15,2)),VALUE(MID(A2595,18,2))),"")))</f>
        <v/>
      </c>
    </row>
    <row r="2596" customFormat="false" ht="15" hidden="false" customHeight="false" outlineLevel="0" collapsed="false">
      <c r="I2596" s="15" t="str">
        <f aca="false">IF(N2596="","",INT(N2596))</f>
        <v/>
      </c>
      <c r="J2596" s="16" t="str">
        <f aca="false">IF(B2596="","",IF(N2596=_xlfn.MINIFS($N$2:$N$5001,$B$2:$B$5001,B2596),1,0))</f>
        <v/>
      </c>
      <c r="K2596" s="16" t="str">
        <f aca="false">IF(B2596="","",IF(AND(D2596="Formalização",E2596="Concluído"),IF(COUNTIFS($B$2:$B$5001,B2596,$E$2:$E$5001,"Em ajustes",$N$2:$N$5001,"&lt;"&amp;I2596)&gt;0,1,0),0))</f>
        <v/>
      </c>
      <c r="L2596" s="16" t="str">
        <f aca="false">IF(B2596="","",IF(N2596=_xlfn.MAXIFS($N$2:$N$5001,$B$2:$B$5001,B2596,$I$2:$I$5001,I2596),1,0))</f>
        <v/>
      </c>
      <c r="M2596" s="16" t="str">
        <f aca="false">IF(B2596="","",IF(E2596="Em ajustes",IF(N2596=_xlfn.MINIFS($N$2:$N$5001,$B$2:$B$5001,B2596,$E$2:$E$5001,"Em ajustes"),1,0),0))</f>
        <v/>
      </c>
      <c r="N2596" s="17" t="str">
        <f aca="false">IF(A2596="","",IF(ISNUMBER(A2596),A2596,IFERROR(DATE(VALUE(MID(A2596,7,4)),VALUE(MID(A2596,4,2)),VALUE(MID(A2596,1,2)))+TIME(VALUE(MID(A2596,12,2)),VALUE(MID(A2596,15,2)),VALUE(MID(A2596,18,2))),"")))</f>
        <v/>
      </c>
    </row>
    <row r="2597" customFormat="false" ht="15" hidden="false" customHeight="false" outlineLevel="0" collapsed="false">
      <c r="I2597" s="15" t="str">
        <f aca="false">IF(N2597="","",INT(N2597))</f>
        <v/>
      </c>
      <c r="J2597" s="16" t="str">
        <f aca="false">IF(B2597="","",IF(N2597=_xlfn.MINIFS($N$2:$N$5001,$B$2:$B$5001,B2597),1,0))</f>
        <v/>
      </c>
      <c r="K2597" s="16" t="str">
        <f aca="false">IF(B2597="","",IF(AND(D2597="Formalização",E2597="Concluído"),IF(COUNTIFS($B$2:$B$5001,B2597,$E$2:$E$5001,"Em ajustes",$N$2:$N$5001,"&lt;"&amp;I2597)&gt;0,1,0),0))</f>
        <v/>
      </c>
      <c r="L2597" s="16" t="str">
        <f aca="false">IF(B2597="","",IF(N2597=_xlfn.MAXIFS($N$2:$N$5001,$B$2:$B$5001,B2597,$I$2:$I$5001,I2597),1,0))</f>
        <v/>
      </c>
      <c r="M2597" s="16" t="str">
        <f aca="false">IF(B2597="","",IF(E2597="Em ajustes",IF(N2597=_xlfn.MINIFS($N$2:$N$5001,$B$2:$B$5001,B2597,$E$2:$E$5001,"Em ajustes"),1,0),0))</f>
        <v/>
      </c>
      <c r="N2597" s="17" t="str">
        <f aca="false">IF(A2597="","",IF(ISNUMBER(A2597),A2597,IFERROR(DATE(VALUE(MID(A2597,7,4)),VALUE(MID(A2597,4,2)),VALUE(MID(A2597,1,2)))+TIME(VALUE(MID(A2597,12,2)),VALUE(MID(A2597,15,2)),VALUE(MID(A2597,18,2))),"")))</f>
        <v/>
      </c>
    </row>
    <row r="2598" customFormat="false" ht="15" hidden="false" customHeight="false" outlineLevel="0" collapsed="false">
      <c r="I2598" s="15" t="str">
        <f aca="false">IF(N2598="","",INT(N2598))</f>
        <v/>
      </c>
      <c r="J2598" s="16" t="str">
        <f aca="false">IF(B2598="","",IF(N2598=_xlfn.MINIFS($N$2:$N$5001,$B$2:$B$5001,B2598),1,0))</f>
        <v/>
      </c>
      <c r="K2598" s="16" t="str">
        <f aca="false">IF(B2598="","",IF(AND(D2598="Formalização",E2598="Concluído"),IF(COUNTIFS($B$2:$B$5001,B2598,$E$2:$E$5001,"Em ajustes",$N$2:$N$5001,"&lt;"&amp;I2598)&gt;0,1,0),0))</f>
        <v/>
      </c>
      <c r="L2598" s="16" t="str">
        <f aca="false">IF(B2598="","",IF(N2598=_xlfn.MAXIFS($N$2:$N$5001,$B$2:$B$5001,B2598,$I$2:$I$5001,I2598),1,0))</f>
        <v/>
      </c>
      <c r="M2598" s="16" t="str">
        <f aca="false">IF(B2598="","",IF(E2598="Em ajustes",IF(N2598=_xlfn.MINIFS($N$2:$N$5001,$B$2:$B$5001,B2598,$E$2:$E$5001,"Em ajustes"),1,0),0))</f>
        <v/>
      </c>
      <c r="N2598" s="17" t="str">
        <f aca="false">IF(A2598="","",IF(ISNUMBER(A2598),A2598,IFERROR(DATE(VALUE(MID(A2598,7,4)),VALUE(MID(A2598,4,2)),VALUE(MID(A2598,1,2)))+TIME(VALUE(MID(A2598,12,2)),VALUE(MID(A2598,15,2)),VALUE(MID(A2598,18,2))),"")))</f>
        <v/>
      </c>
    </row>
    <row r="2599" customFormat="false" ht="15" hidden="false" customHeight="false" outlineLevel="0" collapsed="false">
      <c r="I2599" s="15" t="str">
        <f aca="false">IF(N2599="","",INT(N2599))</f>
        <v/>
      </c>
      <c r="J2599" s="16" t="str">
        <f aca="false">IF(B2599="","",IF(N2599=_xlfn.MINIFS($N$2:$N$5001,$B$2:$B$5001,B2599),1,0))</f>
        <v/>
      </c>
      <c r="K2599" s="16" t="str">
        <f aca="false">IF(B2599="","",IF(AND(D2599="Formalização",E2599="Concluído"),IF(COUNTIFS($B$2:$B$5001,B2599,$E$2:$E$5001,"Em ajustes",$N$2:$N$5001,"&lt;"&amp;I2599)&gt;0,1,0),0))</f>
        <v/>
      </c>
      <c r="L2599" s="16" t="str">
        <f aca="false">IF(B2599="","",IF(N2599=_xlfn.MAXIFS($N$2:$N$5001,$B$2:$B$5001,B2599,$I$2:$I$5001,I2599),1,0))</f>
        <v/>
      </c>
      <c r="M2599" s="16" t="str">
        <f aca="false">IF(B2599="","",IF(E2599="Em ajustes",IF(N2599=_xlfn.MINIFS($N$2:$N$5001,$B$2:$B$5001,B2599,$E$2:$E$5001,"Em ajustes"),1,0),0))</f>
        <v/>
      </c>
      <c r="N2599" s="17" t="str">
        <f aca="false">IF(A2599="","",IF(ISNUMBER(A2599),A2599,IFERROR(DATE(VALUE(MID(A2599,7,4)),VALUE(MID(A2599,4,2)),VALUE(MID(A2599,1,2)))+TIME(VALUE(MID(A2599,12,2)),VALUE(MID(A2599,15,2)),VALUE(MID(A2599,18,2))),"")))</f>
        <v/>
      </c>
    </row>
    <row r="2600" customFormat="false" ht="15" hidden="false" customHeight="false" outlineLevel="0" collapsed="false">
      <c r="I2600" s="15" t="str">
        <f aca="false">IF(N2600="","",INT(N2600))</f>
        <v/>
      </c>
      <c r="J2600" s="16" t="str">
        <f aca="false">IF(B2600="","",IF(N2600=_xlfn.MINIFS($N$2:$N$5001,$B$2:$B$5001,B2600),1,0))</f>
        <v/>
      </c>
      <c r="K2600" s="16" t="str">
        <f aca="false">IF(B2600="","",IF(AND(D2600="Formalização",E2600="Concluído"),IF(COUNTIFS($B$2:$B$5001,B2600,$E$2:$E$5001,"Em ajustes",$N$2:$N$5001,"&lt;"&amp;I2600)&gt;0,1,0),0))</f>
        <v/>
      </c>
      <c r="L2600" s="16" t="str">
        <f aca="false">IF(B2600="","",IF(N2600=_xlfn.MAXIFS($N$2:$N$5001,$B$2:$B$5001,B2600,$I$2:$I$5001,I2600),1,0))</f>
        <v/>
      </c>
      <c r="M2600" s="16" t="str">
        <f aca="false">IF(B2600="","",IF(E2600="Em ajustes",IF(N2600=_xlfn.MINIFS($N$2:$N$5001,$B$2:$B$5001,B2600,$E$2:$E$5001,"Em ajustes"),1,0),0))</f>
        <v/>
      </c>
      <c r="N2600" s="17" t="str">
        <f aca="false">IF(A2600="","",IF(ISNUMBER(A2600),A2600,IFERROR(DATE(VALUE(MID(A2600,7,4)),VALUE(MID(A2600,4,2)),VALUE(MID(A2600,1,2)))+TIME(VALUE(MID(A2600,12,2)),VALUE(MID(A2600,15,2)),VALUE(MID(A2600,18,2))),"")))</f>
        <v/>
      </c>
    </row>
    <row r="2601" customFormat="false" ht="15" hidden="false" customHeight="false" outlineLevel="0" collapsed="false">
      <c r="I2601" s="15" t="str">
        <f aca="false">IF(N2601="","",INT(N2601))</f>
        <v/>
      </c>
      <c r="J2601" s="16" t="str">
        <f aca="false">IF(B2601="","",IF(N2601=_xlfn.MINIFS($N$2:$N$5001,$B$2:$B$5001,B2601),1,0))</f>
        <v/>
      </c>
      <c r="K2601" s="16" t="str">
        <f aca="false">IF(B2601="","",IF(AND(D2601="Formalização",E2601="Concluído"),IF(COUNTIFS($B$2:$B$5001,B2601,$E$2:$E$5001,"Em ajustes",$N$2:$N$5001,"&lt;"&amp;I2601)&gt;0,1,0),0))</f>
        <v/>
      </c>
      <c r="L2601" s="16" t="str">
        <f aca="false">IF(B2601="","",IF(N2601=_xlfn.MAXIFS($N$2:$N$5001,$B$2:$B$5001,B2601,$I$2:$I$5001,I2601),1,0))</f>
        <v/>
      </c>
      <c r="M2601" s="16" t="str">
        <f aca="false">IF(B2601="","",IF(E2601="Em ajustes",IF(N2601=_xlfn.MINIFS($N$2:$N$5001,$B$2:$B$5001,B2601,$E$2:$E$5001,"Em ajustes"),1,0),0))</f>
        <v/>
      </c>
      <c r="N2601" s="17" t="str">
        <f aca="false">IF(A2601="","",IF(ISNUMBER(A2601),A2601,IFERROR(DATE(VALUE(MID(A2601,7,4)),VALUE(MID(A2601,4,2)),VALUE(MID(A2601,1,2)))+TIME(VALUE(MID(A2601,12,2)),VALUE(MID(A2601,15,2)),VALUE(MID(A2601,18,2))),"")))</f>
        <v/>
      </c>
    </row>
    <row r="2602" customFormat="false" ht="15" hidden="false" customHeight="false" outlineLevel="0" collapsed="false">
      <c r="I2602" s="15" t="str">
        <f aca="false">IF(N2602="","",INT(N2602))</f>
        <v/>
      </c>
      <c r="J2602" s="16" t="str">
        <f aca="false">IF(B2602="","",IF(N2602=_xlfn.MINIFS($N$2:$N$5001,$B$2:$B$5001,B2602),1,0))</f>
        <v/>
      </c>
      <c r="K2602" s="16" t="str">
        <f aca="false">IF(B2602="","",IF(AND(D2602="Formalização",E2602="Concluído"),IF(COUNTIFS($B$2:$B$5001,B2602,$E$2:$E$5001,"Em ajustes",$N$2:$N$5001,"&lt;"&amp;I2602)&gt;0,1,0),0))</f>
        <v/>
      </c>
      <c r="L2602" s="16" t="str">
        <f aca="false">IF(B2602="","",IF(N2602=_xlfn.MAXIFS($N$2:$N$5001,$B$2:$B$5001,B2602,$I$2:$I$5001,I2602),1,0))</f>
        <v/>
      </c>
      <c r="M2602" s="16" t="str">
        <f aca="false">IF(B2602="","",IF(E2602="Em ajustes",IF(N2602=_xlfn.MINIFS($N$2:$N$5001,$B$2:$B$5001,B2602,$E$2:$E$5001,"Em ajustes"),1,0),0))</f>
        <v/>
      </c>
      <c r="N2602" s="17" t="str">
        <f aca="false">IF(A2602="","",IF(ISNUMBER(A2602),A2602,IFERROR(DATE(VALUE(MID(A2602,7,4)),VALUE(MID(A2602,4,2)),VALUE(MID(A2602,1,2)))+TIME(VALUE(MID(A2602,12,2)),VALUE(MID(A2602,15,2)),VALUE(MID(A2602,18,2))),"")))</f>
        <v/>
      </c>
    </row>
    <row r="2603" customFormat="false" ht="15" hidden="false" customHeight="false" outlineLevel="0" collapsed="false">
      <c r="I2603" s="15" t="str">
        <f aca="false">IF(N2603="","",INT(N2603))</f>
        <v/>
      </c>
      <c r="J2603" s="16" t="str">
        <f aca="false">IF(B2603="","",IF(N2603=_xlfn.MINIFS($N$2:$N$5001,$B$2:$B$5001,B2603),1,0))</f>
        <v/>
      </c>
      <c r="K2603" s="16" t="str">
        <f aca="false">IF(B2603="","",IF(AND(D2603="Formalização",E2603="Concluído"),IF(COUNTIFS($B$2:$B$5001,B2603,$E$2:$E$5001,"Em ajustes",$N$2:$N$5001,"&lt;"&amp;I2603)&gt;0,1,0),0))</f>
        <v/>
      </c>
      <c r="L2603" s="16" t="str">
        <f aca="false">IF(B2603="","",IF(N2603=_xlfn.MAXIFS($N$2:$N$5001,$B$2:$B$5001,B2603,$I$2:$I$5001,I2603),1,0))</f>
        <v/>
      </c>
      <c r="M2603" s="16" t="str">
        <f aca="false">IF(B2603="","",IF(E2603="Em ajustes",IF(N2603=_xlfn.MINIFS($N$2:$N$5001,$B$2:$B$5001,B2603,$E$2:$E$5001,"Em ajustes"),1,0),0))</f>
        <v/>
      </c>
      <c r="N2603" s="17" t="str">
        <f aca="false">IF(A2603="","",IF(ISNUMBER(A2603),A2603,IFERROR(DATE(VALUE(MID(A2603,7,4)),VALUE(MID(A2603,4,2)),VALUE(MID(A2603,1,2)))+TIME(VALUE(MID(A2603,12,2)),VALUE(MID(A2603,15,2)),VALUE(MID(A2603,18,2))),"")))</f>
        <v/>
      </c>
    </row>
    <row r="2604" customFormat="false" ht="15" hidden="false" customHeight="false" outlineLevel="0" collapsed="false">
      <c r="I2604" s="15" t="str">
        <f aca="false">IF(N2604="","",INT(N2604))</f>
        <v/>
      </c>
      <c r="J2604" s="16" t="str">
        <f aca="false">IF(B2604="","",IF(N2604=_xlfn.MINIFS($N$2:$N$5001,$B$2:$B$5001,B2604),1,0))</f>
        <v/>
      </c>
      <c r="K2604" s="16" t="str">
        <f aca="false">IF(B2604="","",IF(AND(D2604="Formalização",E2604="Concluído"),IF(COUNTIFS($B$2:$B$5001,B2604,$E$2:$E$5001,"Em ajustes",$N$2:$N$5001,"&lt;"&amp;I2604)&gt;0,1,0),0))</f>
        <v/>
      </c>
      <c r="L2604" s="16" t="str">
        <f aca="false">IF(B2604="","",IF(N2604=_xlfn.MAXIFS($N$2:$N$5001,$B$2:$B$5001,B2604,$I$2:$I$5001,I2604),1,0))</f>
        <v/>
      </c>
      <c r="M2604" s="16" t="str">
        <f aca="false">IF(B2604="","",IF(E2604="Em ajustes",IF(N2604=_xlfn.MINIFS($N$2:$N$5001,$B$2:$B$5001,B2604,$E$2:$E$5001,"Em ajustes"),1,0),0))</f>
        <v/>
      </c>
      <c r="N2604" s="17" t="str">
        <f aca="false">IF(A2604="","",IF(ISNUMBER(A2604),A2604,IFERROR(DATE(VALUE(MID(A2604,7,4)),VALUE(MID(A2604,4,2)),VALUE(MID(A2604,1,2)))+TIME(VALUE(MID(A2604,12,2)),VALUE(MID(A2604,15,2)),VALUE(MID(A2604,18,2))),"")))</f>
        <v/>
      </c>
    </row>
    <row r="2605" customFormat="false" ht="15" hidden="false" customHeight="false" outlineLevel="0" collapsed="false">
      <c r="I2605" s="15" t="str">
        <f aca="false">IF(N2605="","",INT(N2605))</f>
        <v/>
      </c>
      <c r="J2605" s="16" t="str">
        <f aca="false">IF(B2605="","",IF(N2605=_xlfn.MINIFS($N$2:$N$5001,$B$2:$B$5001,B2605),1,0))</f>
        <v/>
      </c>
      <c r="K2605" s="16" t="str">
        <f aca="false">IF(B2605="","",IF(AND(D2605="Formalização",E2605="Concluído"),IF(COUNTIFS($B$2:$B$5001,B2605,$E$2:$E$5001,"Em ajustes",$N$2:$N$5001,"&lt;"&amp;I2605)&gt;0,1,0),0))</f>
        <v/>
      </c>
      <c r="L2605" s="16" t="str">
        <f aca="false">IF(B2605="","",IF(N2605=_xlfn.MAXIFS($N$2:$N$5001,$B$2:$B$5001,B2605,$I$2:$I$5001,I2605),1,0))</f>
        <v/>
      </c>
      <c r="M2605" s="16" t="str">
        <f aca="false">IF(B2605="","",IF(E2605="Em ajustes",IF(N2605=_xlfn.MINIFS($N$2:$N$5001,$B$2:$B$5001,B2605,$E$2:$E$5001,"Em ajustes"),1,0),0))</f>
        <v/>
      </c>
      <c r="N2605" s="17" t="str">
        <f aca="false">IF(A2605="","",IF(ISNUMBER(A2605),A2605,IFERROR(DATE(VALUE(MID(A2605,7,4)),VALUE(MID(A2605,4,2)),VALUE(MID(A2605,1,2)))+TIME(VALUE(MID(A2605,12,2)),VALUE(MID(A2605,15,2)),VALUE(MID(A2605,18,2))),"")))</f>
        <v/>
      </c>
    </row>
    <row r="2606" customFormat="false" ht="15" hidden="false" customHeight="false" outlineLevel="0" collapsed="false">
      <c r="I2606" s="15" t="str">
        <f aca="false">IF(N2606="","",INT(N2606))</f>
        <v/>
      </c>
      <c r="J2606" s="16" t="str">
        <f aca="false">IF(B2606="","",IF(N2606=_xlfn.MINIFS($N$2:$N$5001,$B$2:$B$5001,B2606),1,0))</f>
        <v/>
      </c>
      <c r="K2606" s="16" t="str">
        <f aca="false">IF(B2606="","",IF(AND(D2606="Formalização",E2606="Concluído"),IF(COUNTIFS($B$2:$B$5001,B2606,$E$2:$E$5001,"Em ajustes",$N$2:$N$5001,"&lt;"&amp;I2606)&gt;0,1,0),0))</f>
        <v/>
      </c>
      <c r="L2606" s="16" t="str">
        <f aca="false">IF(B2606="","",IF(N2606=_xlfn.MAXIFS($N$2:$N$5001,$B$2:$B$5001,B2606,$I$2:$I$5001,I2606),1,0))</f>
        <v/>
      </c>
      <c r="M2606" s="16" t="str">
        <f aca="false">IF(B2606="","",IF(E2606="Em ajustes",IF(N2606=_xlfn.MINIFS($N$2:$N$5001,$B$2:$B$5001,B2606,$E$2:$E$5001,"Em ajustes"),1,0),0))</f>
        <v/>
      </c>
      <c r="N2606" s="17" t="str">
        <f aca="false">IF(A2606="","",IF(ISNUMBER(A2606),A2606,IFERROR(DATE(VALUE(MID(A2606,7,4)),VALUE(MID(A2606,4,2)),VALUE(MID(A2606,1,2)))+TIME(VALUE(MID(A2606,12,2)),VALUE(MID(A2606,15,2)),VALUE(MID(A2606,18,2))),"")))</f>
        <v/>
      </c>
    </row>
    <row r="2607" customFormat="false" ht="15" hidden="false" customHeight="false" outlineLevel="0" collapsed="false">
      <c r="I2607" s="15" t="str">
        <f aca="false">IF(N2607="","",INT(N2607))</f>
        <v/>
      </c>
      <c r="J2607" s="16" t="str">
        <f aca="false">IF(B2607="","",IF(N2607=_xlfn.MINIFS($N$2:$N$5001,$B$2:$B$5001,B2607),1,0))</f>
        <v/>
      </c>
      <c r="K2607" s="16" t="str">
        <f aca="false">IF(B2607="","",IF(AND(D2607="Formalização",E2607="Concluído"),IF(COUNTIFS($B$2:$B$5001,B2607,$E$2:$E$5001,"Em ajustes",$N$2:$N$5001,"&lt;"&amp;I2607)&gt;0,1,0),0))</f>
        <v/>
      </c>
      <c r="L2607" s="16" t="str">
        <f aca="false">IF(B2607="","",IF(N2607=_xlfn.MAXIFS($N$2:$N$5001,$B$2:$B$5001,B2607,$I$2:$I$5001,I2607),1,0))</f>
        <v/>
      </c>
      <c r="M2607" s="16" t="str">
        <f aca="false">IF(B2607="","",IF(E2607="Em ajustes",IF(N2607=_xlfn.MINIFS($N$2:$N$5001,$B$2:$B$5001,B2607,$E$2:$E$5001,"Em ajustes"),1,0),0))</f>
        <v/>
      </c>
      <c r="N2607" s="17" t="str">
        <f aca="false">IF(A2607="","",IF(ISNUMBER(A2607),A2607,IFERROR(DATE(VALUE(MID(A2607,7,4)),VALUE(MID(A2607,4,2)),VALUE(MID(A2607,1,2)))+TIME(VALUE(MID(A2607,12,2)),VALUE(MID(A2607,15,2)),VALUE(MID(A2607,18,2))),"")))</f>
        <v/>
      </c>
    </row>
    <row r="2608" customFormat="false" ht="15" hidden="false" customHeight="false" outlineLevel="0" collapsed="false">
      <c r="I2608" s="15" t="str">
        <f aca="false">IF(N2608="","",INT(N2608))</f>
        <v/>
      </c>
      <c r="J2608" s="16" t="str">
        <f aca="false">IF(B2608="","",IF(N2608=_xlfn.MINIFS($N$2:$N$5001,$B$2:$B$5001,B2608),1,0))</f>
        <v/>
      </c>
      <c r="K2608" s="16" t="str">
        <f aca="false">IF(B2608="","",IF(AND(D2608="Formalização",E2608="Concluído"),IF(COUNTIFS($B$2:$B$5001,B2608,$E$2:$E$5001,"Em ajustes",$N$2:$N$5001,"&lt;"&amp;I2608)&gt;0,1,0),0))</f>
        <v/>
      </c>
      <c r="L2608" s="16" t="str">
        <f aca="false">IF(B2608="","",IF(N2608=_xlfn.MAXIFS($N$2:$N$5001,$B$2:$B$5001,B2608,$I$2:$I$5001,I2608),1,0))</f>
        <v/>
      </c>
      <c r="M2608" s="16" t="str">
        <f aca="false">IF(B2608="","",IF(E2608="Em ajustes",IF(N2608=_xlfn.MINIFS($N$2:$N$5001,$B$2:$B$5001,B2608,$E$2:$E$5001,"Em ajustes"),1,0),0))</f>
        <v/>
      </c>
      <c r="N2608" s="17" t="str">
        <f aca="false">IF(A2608="","",IF(ISNUMBER(A2608),A2608,IFERROR(DATE(VALUE(MID(A2608,7,4)),VALUE(MID(A2608,4,2)),VALUE(MID(A2608,1,2)))+TIME(VALUE(MID(A2608,12,2)),VALUE(MID(A2608,15,2)),VALUE(MID(A2608,18,2))),"")))</f>
        <v/>
      </c>
    </row>
    <row r="2609" customFormat="false" ht="15" hidden="false" customHeight="false" outlineLevel="0" collapsed="false">
      <c r="I2609" s="15" t="str">
        <f aca="false">IF(N2609="","",INT(N2609))</f>
        <v/>
      </c>
      <c r="J2609" s="16" t="str">
        <f aca="false">IF(B2609="","",IF(N2609=_xlfn.MINIFS($N$2:$N$5001,$B$2:$B$5001,B2609),1,0))</f>
        <v/>
      </c>
      <c r="K2609" s="16" t="str">
        <f aca="false">IF(B2609="","",IF(AND(D2609="Formalização",E2609="Concluído"),IF(COUNTIFS($B$2:$B$5001,B2609,$E$2:$E$5001,"Em ajustes",$N$2:$N$5001,"&lt;"&amp;I2609)&gt;0,1,0),0))</f>
        <v/>
      </c>
      <c r="L2609" s="16" t="str">
        <f aca="false">IF(B2609="","",IF(N2609=_xlfn.MAXIFS($N$2:$N$5001,$B$2:$B$5001,B2609,$I$2:$I$5001,I2609),1,0))</f>
        <v/>
      </c>
      <c r="M2609" s="16" t="str">
        <f aca="false">IF(B2609="","",IF(E2609="Em ajustes",IF(N2609=_xlfn.MINIFS($N$2:$N$5001,$B$2:$B$5001,B2609,$E$2:$E$5001,"Em ajustes"),1,0),0))</f>
        <v/>
      </c>
      <c r="N2609" s="17" t="str">
        <f aca="false">IF(A2609="","",IF(ISNUMBER(A2609),A2609,IFERROR(DATE(VALUE(MID(A2609,7,4)),VALUE(MID(A2609,4,2)),VALUE(MID(A2609,1,2)))+TIME(VALUE(MID(A2609,12,2)),VALUE(MID(A2609,15,2)),VALUE(MID(A2609,18,2))),"")))</f>
        <v/>
      </c>
    </row>
    <row r="2610" customFormat="false" ht="15" hidden="false" customHeight="false" outlineLevel="0" collapsed="false">
      <c r="I2610" s="15" t="str">
        <f aca="false">IF(N2610="","",INT(N2610))</f>
        <v/>
      </c>
      <c r="J2610" s="16" t="str">
        <f aca="false">IF(B2610="","",IF(N2610=_xlfn.MINIFS($N$2:$N$5001,$B$2:$B$5001,B2610),1,0))</f>
        <v/>
      </c>
      <c r="K2610" s="16" t="str">
        <f aca="false">IF(B2610="","",IF(AND(D2610="Formalização",E2610="Concluído"),IF(COUNTIFS($B$2:$B$5001,B2610,$E$2:$E$5001,"Em ajustes",$N$2:$N$5001,"&lt;"&amp;I2610)&gt;0,1,0),0))</f>
        <v/>
      </c>
      <c r="L2610" s="16" t="str">
        <f aca="false">IF(B2610="","",IF(N2610=_xlfn.MAXIFS($N$2:$N$5001,$B$2:$B$5001,B2610,$I$2:$I$5001,I2610),1,0))</f>
        <v/>
      </c>
      <c r="M2610" s="16" t="str">
        <f aca="false">IF(B2610="","",IF(E2610="Em ajustes",IF(N2610=_xlfn.MINIFS($N$2:$N$5001,$B$2:$B$5001,B2610,$E$2:$E$5001,"Em ajustes"),1,0),0))</f>
        <v/>
      </c>
      <c r="N2610" s="17" t="str">
        <f aca="false">IF(A2610="","",IF(ISNUMBER(A2610),A2610,IFERROR(DATE(VALUE(MID(A2610,7,4)),VALUE(MID(A2610,4,2)),VALUE(MID(A2610,1,2)))+TIME(VALUE(MID(A2610,12,2)),VALUE(MID(A2610,15,2)),VALUE(MID(A2610,18,2))),"")))</f>
        <v/>
      </c>
    </row>
    <row r="2611" customFormat="false" ht="15" hidden="false" customHeight="false" outlineLevel="0" collapsed="false">
      <c r="I2611" s="15" t="str">
        <f aca="false">IF(N2611="","",INT(N2611))</f>
        <v/>
      </c>
      <c r="J2611" s="16" t="str">
        <f aca="false">IF(B2611="","",IF(N2611=_xlfn.MINIFS($N$2:$N$5001,$B$2:$B$5001,B2611),1,0))</f>
        <v/>
      </c>
      <c r="K2611" s="16" t="str">
        <f aca="false">IF(B2611="","",IF(AND(D2611="Formalização",E2611="Concluído"),IF(COUNTIFS($B$2:$B$5001,B2611,$E$2:$E$5001,"Em ajustes",$N$2:$N$5001,"&lt;"&amp;I2611)&gt;0,1,0),0))</f>
        <v/>
      </c>
      <c r="L2611" s="16" t="str">
        <f aca="false">IF(B2611="","",IF(N2611=_xlfn.MAXIFS($N$2:$N$5001,$B$2:$B$5001,B2611,$I$2:$I$5001,I2611),1,0))</f>
        <v/>
      </c>
      <c r="M2611" s="16" t="str">
        <f aca="false">IF(B2611="","",IF(E2611="Em ajustes",IF(N2611=_xlfn.MINIFS($N$2:$N$5001,$B$2:$B$5001,B2611,$E$2:$E$5001,"Em ajustes"),1,0),0))</f>
        <v/>
      </c>
      <c r="N2611" s="17" t="str">
        <f aca="false">IF(A2611="","",IF(ISNUMBER(A2611),A2611,IFERROR(DATE(VALUE(MID(A2611,7,4)),VALUE(MID(A2611,4,2)),VALUE(MID(A2611,1,2)))+TIME(VALUE(MID(A2611,12,2)),VALUE(MID(A2611,15,2)),VALUE(MID(A2611,18,2))),"")))</f>
        <v/>
      </c>
    </row>
    <row r="2612" customFormat="false" ht="15" hidden="false" customHeight="false" outlineLevel="0" collapsed="false">
      <c r="I2612" s="15" t="str">
        <f aca="false">IF(N2612="","",INT(N2612))</f>
        <v/>
      </c>
      <c r="J2612" s="16" t="str">
        <f aca="false">IF(B2612="","",IF(N2612=_xlfn.MINIFS($N$2:$N$5001,$B$2:$B$5001,B2612),1,0))</f>
        <v/>
      </c>
      <c r="K2612" s="16" t="str">
        <f aca="false">IF(B2612="","",IF(AND(D2612="Formalização",E2612="Concluído"),IF(COUNTIFS($B$2:$B$5001,B2612,$E$2:$E$5001,"Em ajustes",$N$2:$N$5001,"&lt;"&amp;I2612)&gt;0,1,0),0))</f>
        <v/>
      </c>
      <c r="L2612" s="16" t="str">
        <f aca="false">IF(B2612="","",IF(N2612=_xlfn.MAXIFS($N$2:$N$5001,$B$2:$B$5001,B2612,$I$2:$I$5001,I2612),1,0))</f>
        <v/>
      </c>
      <c r="M2612" s="16" t="str">
        <f aca="false">IF(B2612="","",IF(E2612="Em ajustes",IF(N2612=_xlfn.MINIFS($N$2:$N$5001,$B$2:$B$5001,B2612,$E$2:$E$5001,"Em ajustes"),1,0),0))</f>
        <v/>
      </c>
      <c r="N2612" s="17" t="str">
        <f aca="false">IF(A2612="","",IF(ISNUMBER(A2612),A2612,IFERROR(DATE(VALUE(MID(A2612,7,4)),VALUE(MID(A2612,4,2)),VALUE(MID(A2612,1,2)))+TIME(VALUE(MID(A2612,12,2)),VALUE(MID(A2612,15,2)),VALUE(MID(A2612,18,2))),"")))</f>
        <v/>
      </c>
    </row>
    <row r="2613" customFormat="false" ht="15" hidden="false" customHeight="false" outlineLevel="0" collapsed="false">
      <c r="I2613" s="15" t="str">
        <f aca="false">IF(N2613="","",INT(N2613))</f>
        <v/>
      </c>
      <c r="J2613" s="16" t="str">
        <f aca="false">IF(B2613="","",IF(N2613=_xlfn.MINIFS($N$2:$N$5001,$B$2:$B$5001,B2613),1,0))</f>
        <v/>
      </c>
      <c r="K2613" s="16" t="str">
        <f aca="false">IF(B2613="","",IF(AND(D2613="Formalização",E2613="Concluído"),IF(COUNTIFS($B$2:$B$5001,B2613,$E$2:$E$5001,"Em ajustes",$N$2:$N$5001,"&lt;"&amp;I2613)&gt;0,1,0),0))</f>
        <v/>
      </c>
      <c r="L2613" s="16" t="str">
        <f aca="false">IF(B2613="","",IF(N2613=_xlfn.MAXIFS($N$2:$N$5001,$B$2:$B$5001,B2613,$I$2:$I$5001,I2613),1,0))</f>
        <v/>
      </c>
      <c r="M2613" s="16" t="str">
        <f aca="false">IF(B2613="","",IF(E2613="Em ajustes",IF(N2613=_xlfn.MINIFS($N$2:$N$5001,$B$2:$B$5001,B2613,$E$2:$E$5001,"Em ajustes"),1,0),0))</f>
        <v/>
      </c>
      <c r="N2613" s="17" t="str">
        <f aca="false">IF(A2613="","",IF(ISNUMBER(A2613),A2613,IFERROR(DATE(VALUE(MID(A2613,7,4)),VALUE(MID(A2613,4,2)),VALUE(MID(A2613,1,2)))+TIME(VALUE(MID(A2613,12,2)),VALUE(MID(A2613,15,2)),VALUE(MID(A2613,18,2))),"")))</f>
        <v/>
      </c>
    </row>
    <row r="2614" customFormat="false" ht="15" hidden="false" customHeight="false" outlineLevel="0" collapsed="false">
      <c r="I2614" s="15" t="str">
        <f aca="false">IF(N2614="","",INT(N2614))</f>
        <v/>
      </c>
      <c r="J2614" s="16" t="str">
        <f aca="false">IF(B2614="","",IF(N2614=_xlfn.MINIFS($N$2:$N$5001,$B$2:$B$5001,B2614),1,0))</f>
        <v/>
      </c>
      <c r="K2614" s="16" t="str">
        <f aca="false">IF(B2614="","",IF(AND(D2614="Formalização",E2614="Concluído"),IF(COUNTIFS($B$2:$B$5001,B2614,$E$2:$E$5001,"Em ajustes",$N$2:$N$5001,"&lt;"&amp;I2614)&gt;0,1,0),0))</f>
        <v/>
      </c>
      <c r="L2614" s="16" t="str">
        <f aca="false">IF(B2614="","",IF(N2614=_xlfn.MAXIFS($N$2:$N$5001,$B$2:$B$5001,B2614,$I$2:$I$5001,I2614),1,0))</f>
        <v/>
      </c>
      <c r="M2614" s="16" t="str">
        <f aca="false">IF(B2614="","",IF(E2614="Em ajustes",IF(N2614=_xlfn.MINIFS($N$2:$N$5001,$B$2:$B$5001,B2614,$E$2:$E$5001,"Em ajustes"),1,0),0))</f>
        <v/>
      </c>
      <c r="N2614" s="17" t="str">
        <f aca="false">IF(A2614="","",IF(ISNUMBER(A2614),A2614,IFERROR(DATE(VALUE(MID(A2614,7,4)),VALUE(MID(A2614,4,2)),VALUE(MID(A2614,1,2)))+TIME(VALUE(MID(A2614,12,2)),VALUE(MID(A2614,15,2)),VALUE(MID(A2614,18,2))),"")))</f>
        <v/>
      </c>
    </row>
    <row r="2615" customFormat="false" ht="15" hidden="false" customHeight="false" outlineLevel="0" collapsed="false">
      <c r="I2615" s="15" t="str">
        <f aca="false">IF(N2615="","",INT(N2615))</f>
        <v/>
      </c>
      <c r="J2615" s="16" t="str">
        <f aca="false">IF(B2615="","",IF(N2615=_xlfn.MINIFS($N$2:$N$5001,$B$2:$B$5001,B2615),1,0))</f>
        <v/>
      </c>
      <c r="K2615" s="16" t="str">
        <f aca="false">IF(B2615="","",IF(AND(D2615="Formalização",E2615="Concluído"),IF(COUNTIFS($B$2:$B$5001,B2615,$E$2:$E$5001,"Em ajustes",$N$2:$N$5001,"&lt;"&amp;I2615)&gt;0,1,0),0))</f>
        <v/>
      </c>
      <c r="L2615" s="16" t="str">
        <f aca="false">IF(B2615="","",IF(N2615=_xlfn.MAXIFS($N$2:$N$5001,$B$2:$B$5001,B2615,$I$2:$I$5001,I2615),1,0))</f>
        <v/>
      </c>
      <c r="M2615" s="16" t="str">
        <f aca="false">IF(B2615="","",IF(E2615="Em ajustes",IF(N2615=_xlfn.MINIFS($N$2:$N$5001,$B$2:$B$5001,B2615,$E$2:$E$5001,"Em ajustes"),1,0),0))</f>
        <v/>
      </c>
      <c r="N2615" s="17" t="str">
        <f aca="false">IF(A2615="","",IF(ISNUMBER(A2615),A2615,IFERROR(DATE(VALUE(MID(A2615,7,4)),VALUE(MID(A2615,4,2)),VALUE(MID(A2615,1,2)))+TIME(VALUE(MID(A2615,12,2)),VALUE(MID(A2615,15,2)),VALUE(MID(A2615,18,2))),"")))</f>
        <v/>
      </c>
    </row>
    <row r="2616" customFormat="false" ht="15" hidden="false" customHeight="false" outlineLevel="0" collapsed="false">
      <c r="I2616" s="15" t="str">
        <f aca="false">IF(N2616="","",INT(N2616))</f>
        <v/>
      </c>
      <c r="J2616" s="16" t="str">
        <f aca="false">IF(B2616="","",IF(N2616=_xlfn.MINIFS($N$2:$N$5001,$B$2:$B$5001,B2616),1,0))</f>
        <v/>
      </c>
      <c r="K2616" s="16" t="str">
        <f aca="false">IF(B2616="","",IF(AND(D2616="Formalização",E2616="Concluído"),IF(COUNTIFS($B$2:$B$5001,B2616,$E$2:$E$5001,"Em ajustes",$N$2:$N$5001,"&lt;"&amp;I2616)&gt;0,1,0),0))</f>
        <v/>
      </c>
      <c r="L2616" s="16" t="str">
        <f aca="false">IF(B2616="","",IF(N2616=_xlfn.MAXIFS($N$2:$N$5001,$B$2:$B$5001,B2616,$I$2:$I$5001,I2616),1,0))</f>
        <v/>
      </c>
      <c r="M2616" s="16" t="str">
        <f aca="false">IF(B2616="","",IF(E2616="Em ajustes",IF(N2616=_xlfn.MINIFS($N$2:$N$5001,$B$2:$B$5001,B2616,$E$2:$E$5001,"Em ajustes"),1,0),0))</f>
        <v/>
      </c>
      <c r="N2616" s="17" t="str">
        <f aca="false">IF(A2616="","",IF(ISNUMBER(A2616),A2616,IFERROR(DATE(VALUE(MID(A2616,7,4)),VALUE(MID(A2616,4,2)),VALUE(MID(A2616,1,2)))+TIME(VALUE(MID(A2616,12,2)),VALUE(MID(A2616,15,2)),VALUE(MID(A2616,18,2))),"")))</f>
        <v/>
      </c>
    </row>
    <row r="2617" customFormat="false" ht="15" hidden="false" customHeight="false" outlineLevel="0" collapsed="false">
      <c r="I2617" s="15" t="str">
        <f aca="false">IF(N2617="","",INT(N2617))</f>
        <v/>
      </c>
      <c r="J2617" s="16" t="str">
        <f aca="false">IF(B2617="","",IF(N2617=_xlfn.MINIFS($N$2:$N$5001,$B$2:$B$5001,B2617),1,0))</f>
        <v/>
      </c>
      <c r="K2617" s="16" t="str">
        <f aca="false">IF(B2617="","",IF(AND(D2617="Formalização",E2617="Concluído"),IF(COUNTIFS($B$2:$B$5001,B2617,$E$2:$E$5001,"Em ajustes",$N$2:$N$5001,"&lt;"&amp;I2617)&gt;0,1,0),0))</f>
        <v/>
      </c>
      <c r="L2617" s="16" t="str">
        <f aca="false">IF(B2617="","",IF(N2617=_xlfn.MAXIFS($N$2:$N$5001,$B$2:$B$5001,B2617,$I$2:$I$5001,I2617),1,0))</f>
        <v/>
      </c>
      <c r="M2617" s="16" t="str">
        <f aca="false">IF(B2617="","",IF(E2617="Em ajustes",IF(N2617=_xlfn.MINIFS($N$2:$N$5001,$B$2:$B$5001,B2617,$E$2:$E$5001,"Em ajustes"),1,0),0))</f>
        <v/>
      </c>
      <c r="N2617" s="17" t="str">
        <f aca="false">IF(A2617="","",IF(ISNUMBER(A2617),A2617,IFERROR(DATE(VALUE(MID(A2617,7,4)),VALUE(MID(A2617,4,2)),VALUE(MID(A2617,1,2)))+TIME(VALUE(MID(A2617,12,2)),VALUE(MID(A2617,15,2)),VALUE(MID(A2617,18,2))),"")))</f>
        <v/>
      </c>
    </row>
    <row r="2618" customFormat="false" ht="15" hidden="false" customHeight="false" outlineLevel="0" collapsed="false">
      <c r="I2618" s="15" t="str">
        <f aca="false">IF(N2618="","",INT(N2618))</f>
        <v/>
      </c>
      <c r="J2618" s="16" t="str">
        <f aca="false">IF(B2618="","",IF(N2618=_xlfn.MINIFS($N$2:$N$5001,$B$2:$B$5001,B2618),1,0))</f>
        <v/>
      </c>
      <c r="K2618" s="16" t="str">
        <f aca="false">IF(B2618="","",IF(AND(D2618="Formalização",E2618="Concluído"),IF(COUNTIFS($B$2:$B$5001,B2618,$E$2:$E$5001,"Em ajustes",$N$2:$N$5001,"&lt;"&amp;I2618)&gt;0,1,0),0))</f>
        <v/>
      </c>
      <c r="L2618" s="16" t="str">
        <f aca="false">IF(B2618="","",IF(N2618=_xlfn.MAXIFS($N$2:$N$5001,$B$2:$B$5001,B2618,$I$2:$I$5001,I2618),1,0))</f>
        <v/>
      </c>
      <c r="M2618" s="16" t="str">
        <f aca="false">IF(B2618="","",IF(E2618="Em ajustes",IF(N2618=_xlfn.MINIFS($N$2:$N$5001,$B$2:$B$5001,B2618,$E$2:$E$5001,"Em ajustes"),1,0),0))</f>
        <v/>
      </c>
      <c r="N2618" s="17" t="str">
        <f aca="false">IF(A2618="","",IF(ISNUMBER(A2618),A2618,IFERROR(DATE(VALUE(MID(A2618,7,4)),VALUE(MID(A2618,4,2)),VALUE(MID(A2618,1,2)))+TIME(VALUE(MID(A2618,12,2)),VALUE(MID(A2618,15,2)),VALUE(MID(A2618,18,2))),"")))</f>
        <v/>
      </c>
    </row>
    <row r="2619" customFormat="false" ht="15" hidden="false" customHeight="false" outlineLevel="0" collapsed="false">
      <c r="I2619" s="15" t="str">
        <f aca="false">IF(N2619="","",INT(N2619))</f>
        <v/>
      </c>
      <c r="J2619" s="16" t="str">
        <f aca="false">IF(B2619="","",IF(N2619=_xlfn.MINIFS($N$2:$N$5001,$B$2:$B$5001,B2619),1,0))</f>
        <v/>
      </c>
      <c r="K2619" s="16" t="str">
        <f aca="false">IF(B2619="","",IF(AND(D2619="Formalização",E2619="Concluído"),IF(COUNTIFS($B$2:$B$5001,B2619,$E$2:$E$5001,"Em ajustes",$N$2:$N$5001,"&lt;"&amp;I2619)&gt;0,1,0),0))</f>
        <v/>
      </c>
      <c r="L2619" s="16" t="str">
        <f aca="false">IF(B2619="","",IF(N2619=_xlfn.MAXIFS($N$2:$N$5001,$B$2:$B$5001,B2619,$I$2:$I$5001,I2619),1,0))</f>
        <v/>
      </c>
      <c r="M2619" s="16" t="str">
        <f aca="false">IF(B2619="","",IF(E2619="Em ajustes",IF(N2619=_xlfn.MINIFS($N$2:$N$5001,$B$2:$B$5001,B2619,$E$2:$E$5001,"Em ajustes"),1,0),0))</f>
        <v/>
      </c>
      <c r="N2619" s="17" t="str">
        <f aca="false">IF(A2619="","",IF(ISNUMBER(A2619),A2619,IFERROR(DATE(VALUE(MID(A2619,7,4)),VALUE(MID(A2619,4,2)),VALUE(MID(A2619,1,2)))+TIME(VALUE(MID(A2619,12,2)),VALUE(MID(A2619,15,2)),VALUE(MID(A2619,18,2))),"")))</f>
        <v/>
      </c>
    </row>
    <row r="2620" customFormat="false" ht="15" hidden="false" customHeight="false" outlineLevel="0" collapsed="false">
      <c r="I2620" s="15" t="str">
        <f aca="false">IF(N2620="","",INT(N2620))</f>
        <v/>
      </c>
      <c r="J2620" s="16" t="str">
        <f aca="false">IF(B2620="","",IF(N2620=_xlfn.MINIFS($N$2:$N$5001,$B$2:$B$5001,B2620),1,0))</f>
        <v/>
      </c>
      <c r="K2620" s="16" t="str">
        <f aca="false">IF(B2620="","",IF(AND(D2620="Formalização",E2620="Concluído"),IF(COUNTIFS($B$2:$B$5001,B2620,$E$2:$E$5001,"Em ajustes",$N$2:$N$5001,"&lt;"&amp;I2620)&gt;0,1,0),0))</f>
        <v/>
      </c>
      <c r="L2620" s="16" t="str">
        <f aca="false">IF(B2620="","",IF(N2620=_xlfn.MAXIFS($N$2:$N$5001,$B$2:$B$5001,B2620,$I$2:$I$5001,I2620),1,0))</f>
        <v/>
      </c>
      <c r="M2620" s="16" t="str">
        <f aca="false">IF(B2620="","",IF(E2620="Em ajustes",IF(N2620=_xlfn.MINIFS($N$2:$N$5001,$B$2:$B$5001,B2620,$E$2:$E$5001,"Em ajustes"),1,0),0))</f>
        <v/>
      </c>
      <c r="N2620" s="17" t="str">
        <f aca="false">IF(A2620="","",IF(ISNUMBER(A2620),A2620,IFERROR(DATE(VALUE(MID(A2620,7,4)),VALUE(MID(A2620,4,2)),VALUE(MID(A2620,1,2)))+TIME(VALUE(MID(A2620,12,2)),VALUE(MID(A2620,15,2)),VALUE(MID(A2620,18,2))),"")))</f>
        <v/>
      </c>
    </row>
    <row r="2621" customFormat="false" ht="15" hidden="false" customHeight="false" outlineLevel="0" collapsed="false">
      <c r="I2621" s="15" t="str">
        <f aca="false">IF(N2621="","",INT(N2621))</f>
        <v/>
      </c>
      <c r="J2621" s="16" t="str">
        <f aca="false">IF(B2621="","",IF(N2621=_xlfn.MINIFS($N$2:$N$5001,$B$2:$B$5001,B2621),1,0))</f>
        <v/>
      </c>
      <c r="K2621" s="16" t="str">
        <f aca="false">IF(B2621="","",IF(AND(D2621="Formalização",E2621="Concluído"),IF(COUNTIFS($B$2:$B$5001,B2621,$E$2:$E$5001,"Em ajustes",$N$2:$N$5001,"&lt;"&amp;I2621)&gt;0,1,0),0))</f>
        <v/>
      </c>
      <c r="L2621" s="16" t="str">
        <f aca="false">IF(B2621="","",IF(N2621=_xlfn.MAXIFS($N$2:$N$5001,$B$2:$B$5001,B2621,$I$2:$I$5001,I2621),1,0))</f>
        <v/>
      </c>
      <c r="M2621" s="16" t="str">
        <f aca="false">IF(B2621="","",IF(E2621="Em ajustes",IF(N2621=_xlfn.MINIFS($N$2:$N$5001,$B$2:$B$5001,B2621,$E$2:$E$5001,"Em ajustes"),1,0),0))</f>
        <v/>
      </c>
      <c r="N2621" s="17" t="str">
        <f aca="false">IF(A2621="","",IF(ISNUMBER(A2621),A2621,IFERROR(DATE(VALUE(MID(A2621,7,4)),VALUE(MID(A2621,4,2)),VALUE(MID(A2621,1,2)))+TIME(VALUE(MID(A2621,12,2)),VALUE(MID(A2621,15,2)),VALUE(MID(A2621,18,2))),"")))</f>
        <v/>
      </c>
    </row>
    <row r="2622" customFormat="false" ht="15" hidden="false" customHeight="false" outlineLevel="0" collapsed="false">
      <c r="I2622" s="15" t="str">
        <f aca="false">IF(N2622="","",INT(N2622))</f>
        <v/>
      </c>
      <c r="J2622" s="16" t="str">
        <f aca="false">IF(B2622="","",IF(N2622=_xlfn.MINIFS($N$2:$N$5001,$B$2:$B$5001,B2622),1,0))</f>
        <v/>
      </c>
      <c r="K2622" s="16" t="str">
        <f aca="false">IF(B2622="","",IF(AND(D2622="Formalização",E2622="Concluído"),IF(COUNTIFS($B$2:$B$5001,B2622,$E$2:$E$5001,"Em ajustes",$N$2:$N$5001,"&lt;"&amp;I2622)&gt;0,1,0),0))</f>
        <v/>
      </c>
      <c r="L2622" s="16" t="str">
        <f aca="false">IF(B2622="","",IF(N2622=_xlfn.MAXIFS($N$2:$N$5001,$B$2:$B$5001,B2622,$I$2:$I$5001,I2622),1,0))</f>
        <v/>
      </c>
      <c r="M2622" s="16" t="str">
        <f aca="false">IF(B2622="","",IF(E2622="Em ajustes",IF(N2622=_xlfn.MINIFS($N$2:$N$5001,$B$2:$B$5001,B2622,$E$2:$E$5001,"Em ajustes"),1,0),0))</f>
        <v/>
      </c>
      <c r="N2622" s="17" t="str">
        <f aca="false">IF(A2622="","",IF(ISNUMBER(A2622),A2622,IFERROR(DATE(VALUE(MID(A2622,7,4)),VALUE(MID(A2622,4,2)),VALUE(MID(A2622,1,2)))+TIME(VALUE(MID(A2622,12,2)),VALUE(MID(A2622,15,2)),VALUE(MID(A2622,18,2))),"")))</f>
        <v/>
      </c>
    </row>
    <row r="2623" customFormat="false" ht="15" hidden="false" customHeight="false" outlineLevel="0" collapsed="false">
      <c r="I2623" s="15" t="str">
        <f aca="false">IF(N2623="","",INT(N2623))</f>
        <v/>
      </c>
      <c r="J2623" s="16" t="str">
        <f aca="false">IF(B2623="","",IF(N2623=_xlfn.MINIFS($N$2:$N$5001,$B$2:$B$5001,B2623),1,0))</f>
        <v/>
      </c>
      <c r="K2623" s="16" t="str">
        <f aca="false">IF(B2623="","",IF(AND(D2623="Formalização",E2623="Concluído"),IF(COUNTIFS($B$2:$B$5001,B2623,$E$2:$E$5001,"Em ajustes",$N$2:$N$5001,"&lt;"&amp;I2623)&gt;0,1,0),0))</f>
        <v/>
      </c>
      <c r="L2623" s="16" t="str">
        <f aca="false">IF(B2623="","",IF(N2623=_xlfn.MAXIFS($N$2:$N$5001,$B$2:$B$5001,B2623,$I$2:$I$5001,I2623),1,0))</f>
        <v/>
      </c>
      <c r="M2623" s="16" t="str">
        <f aca="false">IF(B2623="","",IF(E2623="Em ajustes",IF(N2623=_xlfn.MINIFS($N$2:$N$5001,$B$2:$B$5001,B2623,$E$2:$E$5001,"Em ajustes"),1,0),0))</f>
        <v/>
      </c>
      <c r="N2623" s="17" t="str">
        <f aca="false">IF(A2623="","",IF(ISNUMBER(A2623),A2623,IFERROR(DATE(VALUE(MID(A2623,7,4)),VALUE(MID(A2623,4,2)),VALUE(MID(A2623,1,2)))+TIME(VALUE(MID(A2623,12,2)),VALUE(MID(A2623,15,2)),VALUE(MID(A2623,18,2))),"")))</f>
        <v/>
      </c>
    </row>
    <row r="2624" customFormat="false" ht="15" hidden="false" customHeight="false" outlineLevel="0" collapsed="false">
      <c r="I2624" s="15" t="str">
        <f aca="false">IF(N2624="","",INT(N2624))</f>
        <v/>
      </c>
      <c r="J2624" s="16" t="str">
        <f aca="false">IF(B2624="","",IF(N2624=_xlfn.MINIFS($N$2:$N$5001,$B$2:$B$5001,B2624),1,0))</f>
        <v/>
      </c>
      <c r="K2624" s="16" t="str">
        <f aca="false">IF(B2624="","",IF(AND(D2624="Formalização",E2624="Concluído"),IF(COUNTIFS($B$2:$B$5001,B2624,$E$2:$E$5001,"Em ajustes",$N$2:$N$5001,"&lt;"&amp;I2624)&gt;0,1,0),0))</f>
        <v/>
      </c>
      <c r="L2624" s="16" t="str">
        <f aca="false">IF(B2624="","",IF(N2624=_xlfn.MAXIFS($N$2:$N$5001,$B$2:$B$5001,B2624,$I$2:$I$5001,I2624),1,0))</f>
        <v/>
      </c>
      <c r="M2624" s="16" t="str">
        <f aca="false">IF(B2624="","",IF(E2624="Em ajustes",IF(N2624=_xlfn.MINIFS($N$2:$N$5001,$B$2:$B$5001,B2624,$E$2:$E$5001,"Em ajustes"),1,0),0))</f>
        <v/>
      </c>
      <c r="N2624" s="17" t="str">
        <f aca="false">IF(A2624="","",IF(ISNUMBER(A2624),A2624,IFERROR(DATE(VALUE(MID(A2624,7,4)),VALUE(MID(A2624,4,2)),VALUE(MID(A2624,1,2)))+TIME(VALUE(MID(A2624,12,2)),VALUE(MID(A2624,15,2)),VALUE(MID(A2624,18,2))),"")))</f>
        <v/>
      </c>
    </row>
    <row r="2625" customFormat="false" ht="15" hidden="false" customHeight="false" outlineLevel="0" collapsed="false">
      <c r="I2625" s="15" t="str">
        <f aca="false">IF(N2625="","",INT(N2625))</f>
        <v/>
      </c>
      <c r="J2625" s="16" t="str">
        <f aca="false">IF(B2625="","",IF(N2625=_xlfn.MINIFS($N$2:$N$5001,$B$2:$B$5001,B2625),1,0))</f>
        <v/>
      </c>
      <c r="K2625" s="16" t="str">
        <f aca="false">IF(B2625="","",IF(AND(D2625="Formalização",E2625="Concluído"),IF(COUNTIFS($B$2:$B$5001,B2625,$E$2:$E$5001,"Em ajustes",$N$2:$N$5001,"&lt;"&amp;I2625)&gt;0,1,0),0))</f>
        <v/>
      </c>
      <c r="L2625" s="16" t="str">
        <f aca="false">IF(B2625="","",IF(N2625=_xlfn.MAXIFS($N$2:$N$5001,$B$2:$B$5001,B2625,$I$2:$I$5001,I2625),1,0))</f>
        <v/>
      </c>
      <c r="M2625" s="16" t="str">
        <f aca="false">IF(B2625="","",IF(E2625="Em ajustes",IF(N2625=_xlfn.MINIFS($N$2:$N$5001,$B$2:$B$5001,B2625,$E$2:$E$5001,"Em ajustes"),1,0),0))</f>
        <v/>
      </c>
      <c r="N2625" s="17" t="str">
        <f aca="false">IF(A2625="","",IF(ISNUMBER(A2625),A2625,IFERROR(DATE(VALUE(MID(A2625,7,4)),VALUE(MID(A2625,4,2)),VALUE(MID(A2625,1,2)))+TIME(VALUE(MID(A2625,12,2)),VALUE(MID(A2625,15,2)),VALUE(MID(A2625,18,2))),"")))</f>
        <v/>
      </c>
    </row>
    <row r="2626" customFormat="false" ht="15" hidden="false" customHeight="false" outlineLevel="0" collapsed="false">
      <c r="I2626" s="15" t="str">
        <f aca="false">IF(N2626="","",INT(N2626))</f>
        <v/>
      </c>
      <c r="J2626" s="16" t="str">
        <f aca="false">IF(B2626="","",IF(N2626=_xlfn.MINIFS($N$2:$N$5001,$B$2:$B$5001,B2626),1,0))</f>
        <v/>
      </c>
      <c r="K2626" s="16" t="str">
        <f aca="false">IF(B2626="","",IF(AND(D2626="Formalização",E2626="Concluído"),IF(COUNTIFS($B$2:$B$5001,B2626,$E$2:$E$5001,"Em ajustes",$N$2:$N$5001,"&lt;"&amp;I2626)&gt;0,1,0),0))</f>
        <v/>
      </c>
      <c r="L2626" s="16" t="str">
        <f aca="false">IF(B2626="","",IF(N2626=_xlfn.MAXIFS($N$2:$N$5001,$B$2:$B$5001,B2626,$I$2:$I$5001,I2626),1,0))</f>
        <v/>
      </c>
      <c r="M2626" s="16" t="str">
        <f aca="false">IF(B2626="","",IF(E2626="Em ajustes",IF(N2626=_xlfn.MINIFS($N$2:$N$5001,$B$2:$B$5001,B2626,$E$2:$E$5001,"Em ajustes"),1,0),0))</f>
        <v/>
      </c>
      <c r="N2626" s="17" t="str">
        <f aca="false">IF(A2626="","",IF(ISNUMBER(A2626),A2626,IFERROR(DATE(VALUE(MID(A2626,7,4)),VALUE(MID(A2626,4,2)),VALUE(MID(A2626,1,2)))+TIME(VALUE(MID(A2626,12,2)),VALUE(MID(A2626,15,2)),VALUE(MID(A2626,18,2))),"")))</f>
        <v/>
      </c>
    </row>
    <row r="2627" customFormat="false" ht="15" hidden="false" customHeight="false" outlineLevel="0" collapsed="false">
      <c r="I2627" s="15" t="str">
        <f aca="false">IF(N2627="","",INT(N2627))</f>
        <v/>
      </c>
      <c r="J2627" s="16" t="str">
        <f aca="false">IF(B2627="","",IF(N2627=_xlfn.MINIFS($N$2:$N$5001,$B$2:$B$5001,B2627),1,0))</f>
        <v/>
      </c>
      <c r="K2627" s="16" t="str">
        <f aca="false">IF(B2627="","",IF(AND(D2627="Formalização",E2627="Concluído"),IF(COUNTIFS($B$2:$B$5001,B2627,$E$2:$E$5001,"Em ajustes",$N$2:$N$5001,"&lt;"&amp;I2627)&gt;0,1,0),0))</f>
        <v/>
      </c>
      <c r="L2627" s="16" t="str">
        <f aca="false">IF(B2627="","",IF(N2627=_xlfn.MAXIFS($N$2:$N$5001,$B$2:$B$5001,B2627,$I$2:$I$5001,I2627),1,0))</f>
        <v/>
      </c>
      <c r="M2627" s="16" t="str">
        <f aca="false">IF(B2627="","",IF(E2627="Em ajustes",IF(N2627=_xlfn.MINIFS($N$2:$N$5001,$B$2:$B$5001,B2627,$E$2:$E$5001,"Em ajustes"),1,0),0))</f>
        <v/>
      </c>
      <c r="N2627" s="17" t="str">
        <f aca="false">IF(A2627="","",IF(ISNUMBER(A2627),A2627,IFERROR(DATE(VALUE(MID(A2627,7,4)),VALUE(MID(A2627,4,2)),VALUE(MID(A2627,1,2)))+TIME(VALUE(MID(A2627,12,2)),VALUE(MID(A2627,15,2)),VALUE(MID(A2627,18,2))),"")))</f>
        <v/>
      </c>
    </row>
    <row r="2628" customFormat="false" ht="15" hidden="false" customHeight="false" outlineLevel="0" collapsed="false">
      <c r="I2628" s="15" t="str">
        <f aca="false">IF(N2628="","",INT(N2628))</f>
        <v/>
      </c>
      <c r="J2628" s="16" t="str">
        <f aca="false">IF(B2628="","",IF(N2628=_xlfn.MINIFS($N$2:$N$5001,$B$2:$B$5001,B2628),1,0))</f>
        <v/>
      </c>
      <c r="K2628" s="16" t="str">
        <f aca="false">IF(B2628="","",IF(AND(D2628="Formalização",E2628="Concluído"),IF(COUNTIFS($B$2:$B$5001,B2628,$E$2:$E$5001,"Em ajustes",$N$2:$N$5001,"&lt;"&amp;I2628)&gt;0,1,0),0))</f>
        <v/>
      </c>
      <c r="L2628" s="16" t="str">
        <f aca="false">IF(B2628="","",IF(N2628=_xlfn.MAXIFS($N$2:$N$5001,$B$2:$B$5001,B2628,$I$2:$I$5001,I2628),1,0))</f>
        <v/>
      </c>
      <c r="M2628" s="16" t="str">
        <f aca="false">IF(B2628="","",IF(E2628="Em ajustes",IF(N2628=_xlfn.MINIFS($N$2:$N$5001,$B$2:$B$5001,B2628,$E$2:$E$5001,"Em ajustes"),1,0),0))</f>
        <v/>
      </c>
      <c r="N2628" s="17" t="str">
        <f aca="false">IF(A2628="","",IF(ISNUMBER(A2628),A2628,IFERROR(DATE(VALUE(MID(A2628,7,4)),VALUE(MID(A2628,4,2)),VALUE(MID(A2628,1,2)))+TIME(VALUE(MID(A2628,12,2)),VALUE(MID(A2628,15,2)),VALUE(MID(A2628,18,2))),"")))</f>
        <v/>
      </c>
    </row>
    <row r="2629" customFormat="false" ht="15" hidden="false" customHeight="false" outlineLevel="0" collapsed="false">
      <c r="I2629" s="15" t="str">
        <f aca="false">IF(N2629="","",INT(N2629))</f>
        <v/>
      </c>
      <c r="J2629" s="16" t="str">
        <f aca="false">IF(B2629="","",IF(N2629=_xlfn.MINIFS($N$2:$N$5001,$B$2:$B$5001,B2629),1,0))</f>
        <v/>
      </c>
      <c r="K2629" s="16" t="str">
        <f aca="false">IF(B2629="","",IF(AND(D2629="Formalização",E2629="Concluído"),IF(COUNTIFS($B$2:$B$5001,B2629,$E$2:$E$5001,"Em ajustes",$N$2:$N$5001,"&lt;"&amp;I2629)&gt;0,1,0),0))</f>
        <v/>
      </c>
      <c r="L2629" s="16" t="str">
        <f aca="false">IF(B2629="","",IF(N2629=_xlfn.MAXIFS($N$2:$N$5001,$B$2:$B$5001,B2629,$I$2:$I$5001,I2629),1,0))</f>
        <v/>
      </c>
      <c r="M2629" s="16" t="str">
        <f aca="false">IF(B2629="","",IF(E2629="Em ajustes",IF(N2629=_xlfn.MINIFS($N$2:$N$5001,$B$2:$B$5001,B2629,$E$2:$E$5001,"Em ajustes"),1,0),0))</f>
        <v/>
      </c>
      <c r="N2629" s="17" t="str">
        <f aca="false">IF(A2629="","",IF(ISNUMBER(A2629),A2629,IFERROR(DATE(VALUE(MID(A2629,7,4)),VALUE(MID(A2629,4,2)),VALUE(MID(A2629,1,2)))+TIME(VALUE(MID(A2629,12,2)),VALUE(MID(A2629,15,2)),VALUE(MID(A2629,18,2))),"")))</f>
        <v/>
      </c>
    </row>
    <row r="2630" customFormat="false" ht="15" hidden="false" customHeight="false" outlineLevel="0" collapsed="false">
      <c r="I2630" s="15" t="str">
        <f aca="false">IF(N2630="","",INT(N2630))</f>
        <v/>
      </c>
      <c r="J2630" s="16" t="str">
        <f aca="false">IF(B2630="","",IF(N2630=_xlfn.MINIFS($N$2:$N$5001,$B$2:$B$5001,B2630),1,0))</f>
        <v/>
      </c>
      <c r="K2630" s="16" t="str">
        <f aca="false">IF(B2630="","",IF(AND(D2630="Formalização",E2630="Concluído"),IF(COUNTIFS($B$2:$B$5001,B2630,$E$2:$E$5001,"Em ajustes",$N$2:$N$5001,"&lt;"&amp;I2630)&gt;0,1,0),0))</f>
        <v/>
      </c>
      <c r="L2630" s="16" t="str">
        <f aca="false">IF(B2630="","",IF(N2630=_xlfn.MAXIFS($N$2:$N$5001,$B$2:$B$5001,B2630,$I$2:$I$5001,I2630),1,0))</f>
        <v/>
      </c>
      <c r="M2630" s="16" t="str">
        <f aca="false">IF(B2630="","",IF(E2630="Em ajustes",IF(N2630=_xlfn.MINIFS($N$2:$N$5001,$B$2:$B$5001,B2630,$E$2:$E$5001,"Em ajustes"),1,0),0))</f>
        <v/>
      </c>
      <c r="N2630" s="17" t="str">
        <f aca="false">IF(A2630="","",IF(ISNUMBER(A2630),A2630,IFERROR(DATE(VALUE(MID(A2630,7,4)),VALUE(MID(A2630,4,2)),VALUE(MID(A2630,1,2)))+TIME(VALUE(MID(A2630,12,2)),VALUE(MID(A2630,15,2)),VALUE(MID(A2630,18,2))),"")))</f>
        <v/>
      </c>
    </row>
    <row r="2631" customFormat="false" ht="15" hidden="false" customHeight="false" outlineLevel="0" collapsed="false">
      <c r="I2631" s="15" t="str">
        <f aca="false">IF(N2631="","",INT(N2631))</f>
        <v/>
      </c>
      <c r="J2631" s="16" t="str">
        <f aca="false">IF(B2631="","",IF(N2631=_xlfn.MINIFS($N$2:$N$5001,$B$2:$B$5001,B2631),1,0))</f>
        <v/>
      </c>
      <c r="K2631" s="16" t="str">
        <f aca="false">IF(B2631="","",IF(AND(D2631="Formalização",E2631="Concluído"),IF(COUNTIFS($B$2:$B$5001,B2631,$E$2:$E$5001,"Em ajustes",$N$2:$N$5001,"&lt;"&amp;I2631)&gt;0,1,0),0))</f>
        <v/>
      </c>
      <c r="L2631" s="16" t="str">
        <f aca="false">IF(B2631="","",IF(N2631=_xlfn.MAXIFS($N$2:$N$5001,$B$2:$B$5001,B2631,$I$2:$I$5001,I2631),1,0))</f>
        <v/>
      </c>
      <c r="M2631" s="16" t="str">
        <f aca="false">IF(B2631="","",IF(E2631="Em ajustes",IF(N2631=_xlfn.MINIFS($N$2:$N$5001,$B$2:$B$5001,B2631,$E$2:$E$5001,"Em ajustes"),1,0),0))</f>
        <v/>
      </c>
      <c r="N2631" s="17" t="str">
        <f aca="false">IF(A2631="","",IF(ISNUMBER(A2631),A2631,IFERROR(DATE(VALUE(MID(A2631,7,4)),VALUE(MID(A2631,4,2)),VALUE(MID(A2631,1,2)))+TIME(VALUE(MID(A2631,12,2)),VALUE(MID(A2631,15,2)),VALUE(MID(A2631,18,2))),"")))</f>
        <v/>
      </c>
    </row>
    <row r="2632" customFormat="false" ht="15" hidden="false" customHeight="false" outlineLevel="0" collapsed="false">
      <c r="I2632" s="15" t="str">
        <f aca="false">IF(N2632="","",INT(N2632))</f>
        <v/>
      </c>
      <c r="J2632" s="16" t="str">
        <f aca="false">IF(B2632="","",IF(N2632=_xlfn.MINIFS($N$2:$N$5001,$B$2:$B$5001,B2632),1,0))</f>
        <v/>
      </c>
      <c r="K2632" s="16" t="str">
        <f aca="false">IF(B2632="","",IF(AND(D2632="Formalização",E2632="Concluído"),IF(COUNTIFS($B$2:$B$5001,B2632,$E$2:$E$5001,"Em ajustes",$N$2:$N$5001,"&lt;"&amp;I2632)&gt;0,1,0),0))</f>
        <v/>
      </c>
      <c r="L2632" s="16" t="str">
        <f aca="false">IF(B2632="","",IF(N2632=_xlfn.MAXIFS($N$2:$N$5001,$B$2:$B$5001,B2632,$I$2:$I$5001,I2632),1,0))</f>
        <v/>
      </c>
      <c r="M2632" s="16" t="str">
        <f aca="false">IF(B2632="","",IF(E2632="Em ajustes",IF(N2632=_xlfn.MINIFS($N$2:$N$5001,$B$2:$B$5001,B2632,$E$2:$E$5001,"Em ajustes"),1,0),0))</f>
        <v/>
      </c>
      <c r="N2632" s="17" t="str">
        <f aca="false">IF(A2632="","",IF(ISNUMBER(A2632),A2632,IFERROR(DATE(VALUE(MID(A2632,7,4)),VALUE(MID(A2632,4,2)),VALUE(MID(A2632,1,2)))+TIME(VALUE(MID(A2632,12,2)),VALUE(MID(A2632,15,2)),VALUE(MID(A2632,18,2))),"")))</f>
        <v/>
      </c>
    </row>
    <row r="2633" customFormat="false" ht="15" hidden="false" customHeight="false" outlineLevel="0" collapsed="false">
      <c r="I2633" s="15" t="str">
        <f aca="false">IF(N2633="","",INT(N2633))</f>
        <v/>
      </c>
      <c r="J2633" s="16" t="str">
        <f aca="false">IF(B2633="","",IF(N2633=_xlfn.MINIFS($N$2:$N$5001,$B$2:$B$5001,B2633),1,0))</f>
        <v/>
      </c>
      <c r="K2633" s="16" t="str">
        <f aca="false">IF(B2633="","",IF(AND(D2633="Formalização",E2633="Concluído"),IF(COUNTIFS($B$2:$B$5001,B2633,$E$2:$E$5001,"Em ajustes",$N$2:$N$5001,"&lt;"&amp;I2633)&gt;0,1,0),0))</f>
        <v/>
      </c>
      <c r="L2633" s="16" t="str">
        <f aca="false">IF(B2633="","",IF(N2633=_xlfn.MAXIFS($N$2:$N$5001,$B$2:$B$5001,B2633,$I$2:$I$5001,I2633),1,0))</f>
        <v/>
      </c>
      <c r="M2633" s="16" t="str">
        <f aca="false">IF(B2633="","",IF(E2633="Em ajustes",IF(N2633=_xlfn.MINIFS($N$2:$N$5001,$B$2:$B$5001,B2633,$E$2:$E$5001,"Em ajustes"),1,0),0))</f>
        <v/>
      </c>
      <c r="N2633" s="17" t="str">
        <f aca="false">IF(A2633="","",IF(ISNUMBER(A2633),A2633,IFERROR(DATE(VALUE(MID(A2633,7,4)),VALUE(MID(A2633,4,2)),VALUE(MID(A2633,1,2)))+TIME(VALUE(MID(A2633,12,2)),VALUE(MID(A2633,15,2)),VALUE(MID(A2633,18,2))),"")))</f>
        <v/>
      </c>
    </row>
    <row r="2634" customFormat="false" ht="15" hidden="false" customHeight="false" outlineLevel="0" collapsed="false">
      <c r="I2634" s="15" t="str">
        <f aca="false">IF(N2634="","",INT(N2634))</f>
        <v/>
      </c>
      <c r="J2634" s="16" t="str">
        <f aca="false">IF(B2634="","",IF(N2634=_xlfn.MINIFS($N$2:$N$5001,$B$2:$B$5001,B2634),1,0))</f>
        <v/>
      </c>
      <c r="K2634" s="16" t="str">
        <f aca="false">IF(B2634="","",IF(AND(D2634="Formalização",E2634="Concluído"),IF(COUNTIFS($B$2:$B$5001,B2634,$E$2:$E$5001,"Em ajustes",$N$2:$N$5001,"&lt;"&amp;I2634)&gt;0,1,0),0))</f>
        <v/>
      </c>
      <c r="L2634" s="16" t="str">
        <f aca="false">IF(B2634="","",IF(N2634=_xlfn.MAXIFS($N$2:$N$5001,$B$2:$B$5001,B2634,$I$2:$I$5001,I2634),1,0))</f>
        <v/>
      </c>
      <c r="M2634" s="16" t="str">
        <f aca="false">IF(B2634="","",IF(E2634="Em ajustes",IF(N2634=_xlfn.MINIFS($N$2:$N$5001,$B$2:$B$5001,B2634,$E$2:$E$5001,"Em ajustes"),1,0),0))</f>
        <v/>
      </c>
      <c r="N2634" s="17" t="str">
        <f aca="false">IF(A2634="","",IF(ISNUMBER(A2634),A2634,IFERROR(DATE(VALUE(MID(A2634,7,4)),VALUE(MID(A2634,4,2)),VALUE(MID(A2634,1,2)))+TIME(VALUE(MID(A2634,12,2)),VALUE(MID(A2634,15,2)),VALUE(MID(A2634,18,2))),"")))</f>
        <v/>
      </c>
    </row>
    <row r="2635" customFormat="false" ht="15" hidden="false" customHeight="false" outlineLevel="0" collapsed="false">
      <c r="I2635" s="15" t="str">
        <f aca="false">IF(N2635="","",INT(N2635))</f>
        <v/>
      </c>
      <c r="J2635" s="16" t="str">
        <f aca="false">IF(B2635="","",IF(N2635=_xlfn.MINIFS($N$2:$N$5001,$B$2:$B$5001,B2635),1,0))</f>
        <v/>
      </c>
      <c r="K2635" s="16" t="str">
        <f aca="false">IF(B2635="","",IF(AND(D2635="Formalização",E2635="Concluído"),IF(COUNTIFS($B$2:$B$5001,B2635,$E$2:$E$5001,"Em ajustes",$N$2:$N$5001,"&lt;"&amp;I2635)&gt;0,1,0),0))</f>
        <v/>
      </c>
      <c r="L2635" s="16" t="str">
        <f aca="false">IF(B2635="","",IF(N2635=_xlfn.MAXIFS($N$2:$N$5001,$B$2:$B$5001,B2635,$I$2:$I$5001,I2635),1,0))</f>
        <v/>
      </c>
      <c r="M2635" s="16" t="str">
        <f aca="false">IF(B2635="","",IF(E2635="Em ajustes",IF(N2635=_xlfn.MINIFS($N$2:$N$5001,$B$2:$B$5001,B2635,$E$2:$E$5001,"Em ajustes"),1,0),0))</f>
        <v/>
      </c>
      <c r="N2635" s="17" t="str">
        <f aca="false">IF(A2635="","",IF(ISNUMBER(A2635),A2635,IFERROR(DATE(VALUE(MID(A2635,7,4)),VALUE(MID(A2635,4,2)),VALUE(MID(A2635,1,2)))+TIME(VALUE(MID(A2635,12,2)),VALUE(MID(A2635,15,2)),VALUE(MID(A2635,18,2))),"")))</f>
        <v/>
      </c>
    </row>
    <row r="2636" customFormat="false" ht="15" hidden="false" customHeight="false" outlineLevel="0" collapsed="false">
      <c r="I2636" s="15" t="str">
        <f aca="false">IF(N2636="","",INT(N2636))</f>
        <v/>
      </c>
      <c r="J2636" s="16" t="str">
        <f aca="false">IF(B2636="","",IF(N2636=_xlfn.MINIFS($N$2:$N$5001,$B$2:$B$5001,B2636),1,0))</f>
        <v/>
      </c>
      <c r="K2636" s="16" t="str">
        <f aca="false">IF(B2636="","",IF(AND(D2636="Formalização",E2636="Concluído"),IF(COUNTIFS($B$2:$B$5001,B2636,$E$2:$E$5001,"Em ajustes",$N$2:$N$5001,"&lt;"&amp;I2636)&gt;0,1,0),0))</f>
        <v/>
      </c>
      <c r="L2636" s="16" t="str">
        <f aca="false">IF(B2636="","",IF(N2636=_xlfn.MAXIFS($N$2:$N$5001,$B$2:$B$5001,B2636,$I$2:$I$5001,I2636),1,0))</f>
        <v/>
      </c>
      <c r="M2636" s="16" t="str">
        <f aca="false">IF(B2636="","",IF(E2636="Em ajustes",IF(N2636=_xlfn.MINIFS($N$2:$N$5001,$B$2:$B$5001,B2636,$E$2:$E$5001,"Em ajustes"),1,0),0))</f>
        <v/>
      </c>
      <c r="N2636" s="17" t="str">
        <f aca="false">IF(A2636="","",IF(ISNUMBER(A2636),A2636,IFERROR(DATE(VALUE(MID(A2636,7,4)),VALUE(MID(A2636,4,2)),VALUE(MID(A2636,1,2)))+TIME(VALUE(MID(A2636,12,2)),VALUE(MID(A2636,15,2)),VALUE(MID(A2636,18,2))),"")))</f>
        <v/>
      </c>
    </row>
    <row r="2637" customFormat="false" ht="15" hidden="false" customHeight="false" outlineLevel="0" collapsed="false">
      <c r="I2637" s="15" t="str">
        <f aca="false">IF(N2637="","",INT(N2637))</f>
        <v/>
      </c>
      <c r="J2637" s="16" t="str">
        <f aca="false">IF(B2637="","",IF(N2637=_xlfn.MINIFS($N$2:$N$5001,$B$2:$B$5001,B2637),1,0))</f>
        <v/>
      </c>
      <c r="K2637" s="16" t="str">
        <f aca="false">IF(B2637="","",IF(AND(D2637="Formalização",E2637="Concluído"),IF(COUNTIFS($B$2:$B$5001,B2637,$E$2:$E$5001,"Em ajustes",$N$2:$N$5001,"&lt;"&amp;I2637)&gt;0,1,0),0))</f>
        <v/>
      </c>
      <c r="L2637" s="16" t="str">
        <f aca="false">IF(B2637="","",IF(N2637=_xlfn.MAXIFS($N$2:$N$5001,$B$2:$B$5001,B2637,$I$2:$I$5001,I2637),1,0))</f>
        <v/>
      </c>
      <c r="M2637" s="16" t="str">
        <f aca="false">IF(B2637="","",IF(E2637="Em ajustes",IF(N2637=_xlfn.MINIFS($N$2:$N$5001,$B$2:$B$5001,B2637,$E$2:$E$5001,"Em ajustes"),1,0),0))</f>
        <v/>
      </c>
      <c r="N2637" s="17" t="str">
        <f aca="false">IF(A2637="","",IF(ISNUMBER(A2637),A2637,IFERROR(DATE(VALUE(MID(A2637,7,4)),VALUE(MID(A2637,4,2)),VALUE(MID(A2637,1,2)))+TIME(VALUE(MID(A2637,12,2)),VALUE(MID(A2637,15,2)),VALUE(MID(A2637,18,2))),"")))</f>
        <v/>
      </c>
    </row>
    <row r="2638" customFormat="false" ht="15" hidden="false" customHeight="false" outlineLevel="0" collapsed="false">
      <c r="I2638" s="15" t="str">
        <f aca="false">IF(N2638="","",INT(N2638))</f>
        <v/>
      </c>
      <c r="J2638" s="16" t="str">
        <f aca="false">IF(B2638="","",IF(N2638=_xlfn.MINIFS($N$2:$N$5001,$B$2:$B$5001,B2638),1,0))</f>
        <v/>
      </c>
      <c r="K2638" s="16" t="str">
        <f aca="false">IF(B2638="","",IF(AND(D2638="Formalização",E2638="Concluído"),IF(COUNTIFS($B$2:$B$5001,B2638,$E$2:$E$5001,"Em ajustes",$N$2:$N$5001,"&lt;"&amp;I2638)&gt;0,1,0),0))</f>
        <v/>
      </c>
      <c r="L2638" s="16" t="str">
        <f aca="false">IF(B2638="","",IF(N2638=_xlfn.MAXIFS($N$2:$N$5001,$B$2:$B$5001,B2638,$I$2:$I$5001,I2638),1,0))</f>
        <v/>
      </c>
      <c r="M2638" s="16" t="str">
        <f aca="false">IF(B2638="","",IF(E2638="Em ajustes",IF(N2638=_xlfn.MINIFS($N$2:$N$5001,$B$2:$B$5001,B2638,$E$2:$E$5001,"Em ajustes"),1,0),0))</f>
        <v/>
      </c>
      <c r="N2638" s="17" t="str">
        <f aca="false">IF(A2638="","",IF(ISNUMBER(A2638),A2638,IFERROR(DATE(VALUE(MID(A2638,7,4)),VALUE(MID(A2638,4,2)),VALUE(MID(A2638,1,2)))+TIME(VALUE(MID(A2638,12,2)),VALUE(MID(A2638,15,2)),VALUE(MID(A2638,18,2))),"")))</f>
        <v/>
      </c>
    </row>
    <row r="2639" customFormat="false" ht="15" hidden="false" customHeight="false" outlineLevel="0" collapsed="false">
      <c r="I2639" s="15" t="str">
        <f aca="false">IF(N2639="","",INT(N2639))</f>
        <v/>
      </c>
      <c r="J2639" s="16" t="str">
        <f aca="false">IF(B2639="","",IF(N2639=_xlfn.MINIFS($N$2:$N$5001,$B$2:$B$5001,B2639),1,0))</f>
        <v/>
      </c>
      <c r="K2639" s="16" t="str">
        <f aca="false">IF(B2639="","",IF(AND(D2639="Formalização",E2639="Concluído"),IF(COUNTIFS($B$2:$B$5001,B2639,$E$2:$E$5001,"Em ajustes",$N$2:$N$5001,"&lt;"&amp;I2639)&gt;0,1,0),0))</f>
        <v/>
      </c>
      <c r="L2639" s="16" t="str">
        <f aca="false">IF(B2639="","",IF(N2639=_xlfn.MAXIFS($N$2:$N$5001,$B$2:$B$5001,B2639,$I$2:$I$5001,I2639),1,0))</f>
        <v/>
      </c>
      <c r="M2639" s="16" t="str">
        <f aca="false">IF(B2639="","",IF(E2639="Em ajustes",IF(N2639=_xlfn.MINIFS($N$2:$N$5001,$B$2:$B$5001,B2639,$E$2:$E$5001,"Em ajustes"),1,0),0))</f>
        <v/>
      </c>
      <c r="N2639" s="17" t="str">
        <f aca="false">IF(A2639="","",IF(ISNUMBER(A2639),A2639,IFERROR(DATE(VALUE(MID(A2639,7,4)),VALUE(MID(A2639,4,2)),VALUE(MID(A2639,1,2)))+TIME(VALUE(MID(A2639,12,2)),VALUE(MID(A2639,15,2)),VALUE(MID(A2639,18,2))),"")))</f>
        <v/>
      </c>
    </row>
    <row r="2640" customFormat="false" ht="15" hidden="false" customHeight="false" outlineLevel="0" collapsed="false">
      <c r="I2640" s="15" t="str">
        <f aca="false">IF(N2640="","",INT(N2640))</f>
        <v/>
      </c>
      <c r="J2640" s="16" t="str">
        <f aca="false">IF(B2640="","",IF(N2640=_xlfn.MINIFS($N$2:$N$5001,$B$2:$B$5001,B2640),1,0))</f>
        <v/>
      </c>
      <c r="K2640" s="16" t="str">
        <f aca="false">IF(B2640="","",IF(AND(D2640="Formalização",E2640="Concluído"),IF(COUNTIFS($B$2:$B$5001,B2640,$E$2:$E$5001,"Em ajustes",$N$2:$N$5001,"&lt;"&amp;I2640)&gt;0,1,0),0))</f>
        <v/>
      </c>
      <c r="L2640" s="16" t="str">
        <f aca="false">IF(B2640="","",IF(N2640=_xlfn.MAXIFS($N$2:$N$5001,$B$2:$B$5001,B2640,$I$2:$I$5001,I2640),1,0))</f>
        <v/>
      </c>
      <c r="M2640" s="16" t="str">
        <f aca="false">IF(B2640="","",IF(E2640="Em ajustes",IF(N2640=_xlfn.MINIFS($N$2:$N$5001,$B$2:$B$5001,B2640,$E$2:$E$5001,"Em ajustes"),1,0),0))</f>
        <v/>
      </c>
      <c r="N2640" s="17" t="str">
        <f aca="false">IF(A2640="","",IF(ISNUMBER(A2640),A2640,IFERROR(DATE(VALUE(MID(A2640,7,4)),VALUE(MID(A2640,4,2)),VALUE(MID(A2640,1,2)))+TIME(VALUE(MID(A2640,12,2)),VALUE(MID(A2640,15,2)),VALUE(MID(A2640,18,2))),"")))</f>
        <v/>
      </c>
    </row>
    <row r="2641" customFormat="false" ht="15" hidden="false" customHeight="false" outlineLevel="0" collapsed="false">
      <c r="I2641" s="15" t="str">
        <f aca="false">IF(N2641="","",INT(N2641))</f>
        <v/>
      </c>
      <c r="J2641" s="16" t="str">
        <f aca="false">IF(B2641="","",IF(N2641=_xlfn.MINIFS($N$2:$N$5001,$B$2:$B$5001,B2641),1,0))</f>
        <v/>
      </c>
      <c r="K2641" s="16" t="str">
        <f aca="false">IF(B2641="","",IF(AND(D2641="Formalização",E2641="Concluído"),IF(COUNTIFS($B$2:$B$5001,B2641,$E$2:$E$5001,"Em ajustes",$N$2:$N$5001,"&lt;"&amp;I2641)&gt;0,1,0),0))</f>
        <v/>
      </c>
      <c r="L2641" s="16" t="str">
        <f aca="false">IF(B2641="","",IF(N2641=_xlfn.MAXIFS($N$2:$N$5001,$B$2:$B$5001,B2641,$I$2:$I$5001,I2641),1,0))</f>
        <v/>
      </c>
      <c r="M2641" s="16" t="str">
        <f aca="false">IF(B2641="","",IF(E2641="Em ajustes",IF(N2641=_xlfn.MINIFS($N$2:$N$5001,$B$2:$B$5001,B2641,$E$2:$E$5001,"Em ajustes"),1,0),0))</f>
        <v/>
      </c>
      <c r="N2641" s="17" t="str">
        <f aca="false">IF(A2641="","",IF(ISNUMBER(A2641),A2641,IFERROR(DATE(VALUE(MID(A2641,7,4)),VALUE(MID(A2641,4,2)),VALUE(MID(A2641,1,2)))+TIME(VALUE(MID(A2641,12,2)),VALUE(MID(A2641,15,2)),VALUE(MID(A2641,18,2))),"")))</f>
        <v/>
      </c>
    </row>
    <row r="2642" customFormat="false" ht="15" hidden="false" customHeight="false" outlineLevel="0" collapsed="false">
      <c r="I2642" s="15" t="str">
        <f aca="false">IF(N2642="","",INT(N2642))</f>
        <v/>
      </c>
      <c r="J2642" s="16" t="str">
        <f aca="false">IF(B2642="","",IF(N2642=_xlfn.MINIFS($N$2:$N$5001,$B$2:$B$5001,B2642),1,0))</f>
        <v/>
      </c>
      <c r="K2642" s="16" t="str">
        <f aca="false">IF(B2642="","",IF(AND(D2642="Formalização",E2642="Concluído"),IF(COUNTIFS($B$2:$B$5001,B2642,$E$2:$E$5001,"Em ajustes",$N$2:$N$5001,"&lt;"&amp;I2642)&gt;0,1,0),0))</f>
        <v/>
      </c>
      <c r="L2642" s="16" t="str">
        <f aca="false">IF(B2642="","",IF(N2642=_xlfn.MAXIFS($N$2:$N$5001,$B$2:$B$5001,B2642,$I$2:$I$5001,I2642),1,0))</f>
        <v/>
      </c>
      <c r="M2642" s="16" t="str">
        <f aca="false">IF(B2642="","",IF(E2642="Em ajustes",IF(N2642=_xlfn.MINIFS($N$2:$N$5001,$B$2:$B$5001,B2642,$E$2:$E$5001,"Em ajustes"),1,0),0))</f>
        <v/>
      </c>
      <c r="N2642" s="17" t="str">
        <f aca="false">IF(A2642="","",IF(ISNUMBER(A2642),A2642,IFERROR(DATE(VALUE(MID(A2642,7,4)),VALUE(MID(A2642,4,2)),VALUE(MID(A2642,1,2)))+TIME(VALUE(MID(A2642,12,2)),VALUE(MID(A2642,15,2)),VALUE(MID(A2642,18,2))),"")))</f>
        <v/>
      </c>
    </row>
    <row r="2643" customFormat="false" ht="15" hidden="false" customHeight="false" outlineLevel="0" collapsed="false">
      <c r="I2643" s="15" t="str">
        <f aca="false">IF(N2643="","",INT(N2643))</f>
        <v/>
      </c>
      <c r="J2643" s="16" t="str">
        <f aca="false">IF(B2643="","",IF(N2643=_xlfn.MINIFS($N$2:$N$5001,$B$2:$B$5001,B2643),1,0))</f>
        <v/>
      </c>
      <c r="K2643" s="16" t="str">
        <f aca="false">IF(B2643="","",IF(AND(D2643="Formalização",E2643="Concluído"),IF(COUNTIFS($B$2:$B$5001,B2643,$E$2:$E$5001,"Em ajustes",$N$2:$N$5001,"&lt;"&amp;I2643)&gt;0,1,0),0))</f>
        <v/>
      </c>
      <c r="L2643" s="16" t="str">
        <f aca="false">IF(B2643="","",IF(N2643=_xlfn.MAXIFS($N$2:$N$5001,$B$2:$B$5001,B2643,$I$2:$I$5001,I2643),1,0))</f>
        <v/>
      </c>
      <c r="M2643" s="16" t="str">
        <f aca="false">IF(B2643="","",IF(E2643="Em ajustes",IF(N2643=_xlfn.MINIFS($N$2:$N$5001,$B$2:$B$5001,B2643,$E$2:$E$5001,"Em ajustes"),1,0),0))</f>
        <v/>
      </c>
      <c r="N2643" s="17" t="str">
        <f aca="false">IF(A2643="","",IF(ISNUMBER(A2643),A2643,IFERROR(DATE(VALUE(MID(A2643,7,4)),VALUE(MID(A2643,4,2)),VALUE(MID(A2643,1,2)))+TIME(VALUE(MID(A2643,12,2)),VALUE(MID(A2643,15,2)),VALUE(MID(A2643,18,2))),"")))</f>
        <v/>
      </c>
    </row>
    <row r="2644" customFormat="false" ht="15" hidden="false" customHeight="false" outlineLevel="0" collapsed="false">
      <c r="I2644" s="15" t="str">
        <f aca="false">IF(N2644="","",INT(N2644))</f>
        <v/>
      </c>
      <c r="J2644" s="16" t="str">
        <f aca="false">IF(B2644="","",IF(N2644=_xlfn.MINIFS($N$2:$N$5001,$B$2:$B$5001,B2644),1,0))</f>
        <v/>
      </c>
      <c r="K2644" s="16" t="str">
        <f aca="false">IF(B2644="","",IF(AND(D2644="Formalização",E2644="Concluído"),IF(COUNTIFS($B$2:$B$5001,B2644,$E$2:$E$5001,"Em ajustes",$N$2:$N$5001,"&lt;"&amp;I2644)&gt;0,1,0),0))</f>
        <v/>
      </c>
      <c r="L2644" s="16" t="str">
        <f aca="false">IF(B2644="","",IF(N2644=_xlfn.MAXIFS($N$2:$N$5001,$B$2:$B$5001,B2644,$I$2:$I$5001,I2644),1,0))</f>
        <v/>
      </c>
      <c r="M2644" s="16" t="str">
        <f aca="false">IF(B2644="","",IF(E2644="Em ajustes",IF(N2644=_xlfn.MINIFS($N$2:$N$5001,$B$2:$B$5001,B2644,$E$2:$E$5001,"Em ajustes"),1,0),0))</f>
        <v/>
      </c>
      <c r="N2644" s="17" t="str">
        <f aca="false">IF(A2644="","",IF(ISNUMBER(A2644),A2644,IFERROR(DATE(VALUE(MID(A2644,7,4)),VALUE(MID(A2644,4,2)),VALUE(MID(A2644,1,2)))+TIME(VALUE(MID(A2644,12,2)),VALUE(MID(A2644,15,2)),VALUE(MID(A2644,18,2))),"")))</f>
        <v/>
      </c>
    </row>
    <row r="2645" customFormat="false" ht="15" hidden="false" customHeight="false" outlineLevel="0" collapsed="false">
      <c r="I2645" s="15" t="str">
        <f aca="false">IF(N2645="","",INT(N2645))</f>
        <v/>
      </c>
      <c r="J2645" s="16" t="str">
        <f aca="false">IF(B2645="","",IF(N2645=_xlfn.MINIFS($N$2:$N$5001,$B$2:$B$5001,B2645),1,0))</f>
        <v/>
      </c>
      <c r="K2645" s="16" t="str">
        <f aca="false">IF(B2645="","",IF(AND(D2645="Formalização",E2645="Concluído"),IF(COUNTIFS($B$2:$B$5001,B2645,$E$2:$E$5001,"Em ajustes",$N$2:$N$5001,"&lt;"&amp;I2645)&gt;0,1,0),0))</f>
        <v/>
      </c>
      <c r="L2645" s="16" t="str">
        <f aca="false">IF(B2645="","",IF(N2645=_xlfn.MAXIFS($N$2:$N$5001,$B$2:$B$5001,B2645,$I$2:$I$5001,I2645),1,0))</f>
        <v/>
      </c>
      <c r="M2645" s="16" t="str">
        <f aca="false">IF(B2645="","",IF(E2645="Em ajustes",IF(N2645=_xlfn.MINIFS($N$2:$N$5001,$B$2:$B$5001,B2645,$E$2:$E$5001,"Em ajustes"),1,0),0))</f>
        <v/>
      </c>
      <c r="N2645" s="17" t="str">
        <f aca="false">IF(A2645="","",IF(ISNUMBER(A2645),A2645,IFERROR(DATE(VALUE(MID(A2645,7,4)),VALUE(MID(A2645,4,2)),VALUE(MID(A2645,1,2)))+TIME(VALUE(MID(A2645,12,2)),VALUE(MID(A2645,15,2)),VALUE(MID(A2645,18,2))),"")))</f>
        <v/>
      </c>
    </row>
    <row r="2646" customFormat="false" ht="15" hidden="false" customHeight="false" outlineLevel="0" collapsed="false">
      <c r="I2646" s="15" t="str">
        <f aca="false">IF(N2646="","",INT(N2646))</f>
        <v/>
      </c>
      <c r="J2646" s="16" t="str">
        <f aca="false">IF(B2646="","",IF(N2646=_xlfn.MINIFS($N$2:$N$5001,$B$2:$B$5001,B2646),1,0))</f>
        <v/>
      </c>
      <c r="K2646" s="16" t="str">
        <f aca="false">IF(B2646="","",IF(AND(D2646="Formalização",E2646="Concluído"),IF(COUNTIFS($B$2:$B$5001,B2646,$E$2:$E$5001,"Em ajustes",$N$2:$N$5001,"&lt;"&amp;I2646)&gt;0,1,0),0))</f>
        <v/>
      </c>
      <c r="L2646" s="16" t="str">
        <f aca="false">IF(B2646="","",IF(N2646=_xlfn.MAXIFS($N$2:$N$5001,$B$2:$B$5001,B2646,$I$2:$I$5001,I2646),1,0))</f>
        <v/>
      </c>
      <c r="M2646" s="16" t="str">
        <f aca="false">IF(B2646="","",IF(E2646="Em ajustes",IF(N2646=_xlfn.MINIFS($N$2:$N$5001,$B$2:$B$5001,B2646,$E$2:$E$5001,"Em ajustes"),1,0),0))</f>
        <v/>
      </c>
      <c r="N2646" s="17" t="str">
        <f aca="false">IF(A2646="","",IF(ISNUMBER(A2646),A2646,IFERROR(DATE(VALUE(MID(A2646,7,4)),VALUE(MID(A2646,4,2)),VALUE(MID(A2646,1,2)))+TIME(VALUE(MID(A2646,12,2)),VALUE(MID(A2646,15,2)),VALUE(MID(A2646,18,2))),"")))</f>
        <v/>
      </c>
    </row>
    <row r="2647" customFormat="false" ht="15" hidden="false" customHeight="false" outlineLevel="0" collapsed="false">
      <c r="I2647" s="15" t="str">
        <f aca="false">IF(N2647="","",INT(N2647))</f>
        <v/>
      </c>
      <c r="J2647" s="16" t="str">
        <f aca="false">IF(B2647="","",IF(N2647=_xlfn.MINIFS($N$2:$N$5001,$B$2:$B$5001,B2647),1,0))</f>
        <v/>
      </c>
      <c r="K2647" s="16" t="str">
        <f aca="false">IF(B2647="","",IF(AND(D2647="Formalização",E2647="Concluído"),IF(COUNTIFS($B$2:$B$5001,B2647,$E$2:$E$5001,"Em ajustes",$N$2:$N$5001,"&lt;"&amp;I2647)&gt;0,1,0),0))</f>
        <v/>
      </c>
      <c r="L2647" s="16" t="str">
        <f aca="false">IF(B2647="","",IF(N2647=_xlfn.MAXIFS($N$2:$N$5001,$B$2:$B$5001,B2647,$I$2:$I$5001,I2647),1,0))</f>
        <v/>
      </c>
      <c r="M2647" s="16" t="str">
        <f aca="false">IF(B2647="","",IF(E2647="Em ajustes",IF(N2647=_xlfn.MINIFS($N$2:$N$5001,$B$2:$B$5001,B2647,$E$2:$E$5001,"Em ajustes"),1,0),0))</f>
        <v/>
      </c>
      <c r="N2647" s="17" t="str">
        <f aca="false">IF(A2647="","",IF(ISNUMBER(A2647),A2647,IFERROR(DATE(VALUE(MID(A2647,7,4)),VALUE(MID(A2647,4,2)),VALUE(MID(A2647,1,2)))+TIME(VALUE(MID(A2647,12,2)),VALUE(MID(A2647,15,2)),VALUE(MID(A2647,18,2))),"")))</f>
        <v/>
      </c>
    </row>
    <row r="2648" customFormat="false" ht="15" hidden="false" customHeight="false" outlineLevel="0" collapsed="false">
      <c r="I2648" s="15" t="str">
        <f aca="false">IF(N2648="","",INT(N2648))</f>
        <v/>
      </c>
      <c r="J2648" s="16" t="str">
        <f aca="false">IF(B2648="","",IF(N2648=_xlfn.MINIFS($N$2:$N$5001,$B$2:$B$5001,B2648),1,0))</f>
        <v/>
      </c>
      <c r="K2648" s="16" t="str">
        <f aca="false">IF(B2648="","",IF(AND(D2648="Formalização",E2648="Concluído"),IF(COUNTIFS($B$2:$B$5001,B2648,$E$2:$E$5001,"Em ajustes",$N$2:$N$5001,"&lt;"&amp;I2648)&gt;0,1,0),0))</f>
        <v/>
      </c>
      <c r="L2648" s="16" t="str">
        <f aca="false">IF(B2648="","",IF(N2648=_xlfn.MAXIFS($N$2:$N$5001,$B$2:$B$5001,B2648,$I$2:$I$5001,I2648),1,0))</f>
        <v/>
      </c>
      <c r="M2648" s="16" t="str">
        <f aca="false">IF(B2648="","",IF(E2648="Em ajustes",IF(N2648=_xlfn.MINIFS($N$2:$N$5001,$B$2:$B$5001,B2648,$E$2:$E$5001,"Em ajustes"),1,0),0))</f>
        <v/>
      </c>
      <c r="N2648" s="17" t="str">
        <f aca="false">IF(A2648="","",IF(ISNUMBER(A2648),A2648,IFERROR(DATE(VALUE(MID(A2648,7,4)),VALUE(MID(A2648,4,2)),VALUE(MID(A2648,1,2)))+TIME(VALUE(MID(A2648,12,2)),VALUE(MID(A2648,15,2)),VALUE(MID(A2648,18,2))),"")))</f>
        <v/>
      </c>
    </row>
    <row r="2649" customFormat="false" ht="15" hidden="false" customHeight="false" outlineLevel="0" collapsed="false">
      <c r="I2649" s="15" t="str">
        <f aca="false">IF(N2649="","",INT(N2649))</f>
        <v/>
      </c>
      <c r="J2649" s="16" t="str">
        <f aca="false">IF(B2649="","",IF(N2649=_xlfn.MINIFS($N$2:$N$5001,$B$2:$B$5001,B2649),1,0))</f>
        <v/>
      </c>
      <c r="K2649" s="16" t="str">
        <f aca="false">IF(B2649="","",IF(AND(D2649="Formalização",E2649="Concluído"),IF(COUNTIFS($B$2:$B$5001,B2649,$E$2:$E$5001,"Em ajustes",$N$2:$N$5001,"&lt;"&amp;I2649)&gt;0,1,0),0))</f>
        <v/>
      </c>
      <c r="L2649" s="16" t="str">
        <f aca="false">IF(B2649="","",IF(N2649=_xlfn.MAXIFS($N$2:$N$5001,$B$2:$B$5001,B2649,$I$2:$I$5001,I2649),1,0))</f>
        <v/>
      </c>
      <c r="M2649" s="16" t="str">
        <f aca="false">IF(B2649="","",IF(E2649="Em ajustes",IF(N2649=_xlfn.MINIFS($N$2:$N$5001,$B$2:$B$5001,B2649,$E$2:$E$5001,"Em ajustes"),1,0),0))</f>
        <v/>
      </c>
      <c r="N2649" s="17" t="str">
        <f aca="false">IF(A2649="","",IF(ISNUMBER(A2649),A2649,IFERROR(DATE(VALUE(MID(A2649,7,4)),VALUE(MID(A2649,4,2)),VALUE(MID(A2649,1,2)))+TIME(VALUE(MID(A2649,12,2)),VALUE(MID(A2649,15,2)),VALUE(MID(A2649,18,2))),"")))</f>
        <v/>
      </c>
    </row>
    <row r="2650" customFormat="false" ht="15" hidden="false" customHeight="false" outlineLevel="0" collapsed="false">
      <c r="I2650" s="15" t="str">
        <f aca="false">IF(N2650="","",INT(N2650))</f>
        <v/>
      </c>
      <c r="J2650" s="16" t="str">
        <f aca="false">IF(B2650="","",IF(N2650=_xlfn.MINIFS($N$2:$N$5001,$B$2:$B$5001,B2650),1,0))</f>
        <v/>
      </c>
      <c r="K2650" s="16" t="str">
        <f aca="false">IF(B2650="","",IF(AND(D2650="Formalização",E2650="Concluído"),IF(COUNTIFS($B$2:$B$5001,B2650,$E$2:$E$5001,"Em ajustes",$N$2:$N$5001,"&lt;"&amp;I2650)&gt;0,1,0),0))</f>
        <v/>
      </c>
      <c r="L2650" s="16" t="str">
        <f aca="false">IF(B2650="","",IF(N2650=_xlfn.MAXIFS($N$2:$N$5001,$B$2:$B$5001,B2650,$I$2:$I$5001,I2650),1,0))</f>
        <v/>
      </c>
      <c r="M2650" s="16" t="str">
        <f aca="false">IF(B2650="","",IF(E2650="Em ajustes",IF(N2650=_xlfn.MINIFS($N$2:$N$5001,$B$2:$B$5001,B2650,$E$2:$E$5001,"Em ajustes"),1,0),0))</f>
        <v/>
      </c>
      <c r="N2650" s="17" t="str">
        <f aca="false">IF(A2650="","",IF(ISNUMBER(A2650),A2650,IFERROR(DATE(VALUE(MID(A2650,7,4)),VALUE(MID(A2650,4,2)),VALUE(MID(A2650,1,2)))+TIME(VALUE(MID(A2650,12,2)),VALUE(MID(A2650,15,2)),VALUE(MID(A2650,18,2))),"")))</f>
        <v/>
      </c>
    </row>
    <row r="2651" customFormat="false" ht="15" hidden="false" customHeight="false" outlineLevel="0" collapsed="false">
      <c r="I2651" s="15" t="str">
        <f aca="false">IF(N2651="","",INT(N2651))</f>
        <v/>
      </c>
      <c r="J2651" s="16" t="str">
        <f aca="false">IF(B2651="","",IF(N2651=_xlfn.MINIFS($N$2:$N$5001,$B$2:$B$5001,B2651),1,0))</f>
        <v/>
      </c>
      <c r="K2651" s="16" t="str">
        <f aca="false">IF(B2651="","",IF(AND(D2651="Formalização",E2651="Concluído"),IF(COUNTIFS($B$2:$B$5001,B2651,$E$2:$E$5001,"Em ajustes",$N$2:$N$5001,"&lt;"&amp;I2651)&gt;0,1,0),0))</f>
        <v/>
      </c>
      <c r="L2651" s="16" t="str">
        <f aca="false">IF(B2651="","",IF(N2651=_xlfn.MAXIFS($N$2:$N$5001,$B$2:$B$5001,B2651,$I$2:$I$5001,I2651),1,0))</f>
        <v/>
      </c>
      <c r="M2651" s="16" t="str">
        <f aca="false">IF(B2651="","",IF(E2651="Em ajustes",IF(N2651=_xlfn.MINIFS($N$2:$N$5001,$B$2:$B$5001,B2651,$E$2:$E$5001,"Em ajustes"),1,0),0))</f>
        <v/>
      </c>
      <c r="N2651" s="17" t="str">
        <f aca="false">IF(A2651="","",IF(ISNUMBER(A2651),A2651,IFERROR(DATE(VALUE(MID(A2651,7,4)),VALUE(MID(A2651,4,2)),VALUE(MID(A2651,1,2)))+TIME(VALUE(MID(A2651,12,2)),VALUE(MID(A2651,15,2)),VALUE(MID(A2651,18,2))),"")))</f>
        <v/>
      </c>
    </row>
    <row r="2652" customFormat="false" ht="15" hidden="false" customHeight="false" outlineLevel="0" collapsed="false">
      <c r="I2652" s="15" t="str">
        <f aca="false">IF(N2652="","",INT(N2652))</f>
        <v/>
      </c>
      <c r="J2652" s="16" t="str">
        <f aca="false">IF(B2652="","",IF(N2652=_xlfn.MINIFS($N$2:$N$5001,$B$2:$B$5001,B2652),1,0))</f>
        <v/>
      </c>
      <c r="K2652" s="16" t="str">
        <f aca="false">IF(B2652="","",IF(AND(D2652="Formalização",E2652="Concluído"),IF(COUNTIFS($B$2:$B$5001,B2652,$E$2:$E$5001,"Em ajustes",$N$2:$N$5001,"&lt;"&amp;I2652)&gt;0,1,0),0))</f>
        <v/>
      </c>
      <c r="L2652" s="16" t="str">
        <f aca="false">IF(B2652="","",IF(N2652=_xlfn.MAXIFS($N$2:$N$5001,$B$2:$B$5001,B2652,$I$2:$I$5001,I2652),1,0))</f>
        <v/>
      </c>
      <c r="M2652" s="16" t="str">
        <f aca="false">IF(B2652="","",IF(E2652="Em ajustes",IF(N2652=_xlfn.MINIFS($N$2:$N$5001,$B$2:$B$5001,B2652,$E$2:$E$5001,"Em ajustes"),1,0),0))</f>
        <v/>
      </c>
      <c r="N2652" s="17" t="str">
        <f aca="false">IF(A2652="","",IF(ISNUMBER(A2652),A2652,IFERROR(DATE(VALUE(MID(A2652,7,4)),VALUE(MID(A2652,4,2)),VALUE(MID(A2652,1,2)))+TIME(VALUE(MID(A2652,12,2)),VALUE(MID(A2652,15,2)),VALUE(MID(A2652,18,2))),"")))</f>
        <v/>
      </c>
    </row>
    <row r="2653" customFormat="false" ht="15" hidden="false" customHeight="false" outlineLevel="0" collapsed="false">
      <c r="I2653" s="15" t="str">
        <f aca="false">IF(N2653="","",INT(N2653))</f>
        <v/>
      </c>
      <c r="J2653" s="16" t="str">
        <f aca="false">IF(B2653="","",IF(N2653=_xlfn.MINIFS($N$2:$N$5001,$B$2:$B$5001,B2653),1,0))</f>
        <v/>
      </c>
      <c r="K2653" s="16" t="str">
        <f aca="false">IF(B2653="","",IF(AND(D2653="Formalização",E2653="Concluído"),IF(COUNTIFS($B$2:$B$5001,B2653,$E$2:$E$5001,"Em ajustes",$N$2:$N$5001,"&lt;"&amp;I2653)&gt;0,1,0),0))</f>
        <v/>
      </c>
      <c r="L2653" s="16" t="str">
        <f aca="false">IF(B2653="","",IF(N2653=_xlfn.MAXIFS($N$2:$N$5001,$B$2:$B$5001,B2653,$I$2:$I$5001,I2653),1,0))</f>
        <v/>
      </c>
      <c r="M2653" s="16" t="str">
        <f aca="false">IF(B2653="","",IF(E2653="Em ajustes",IF(N2653=_xlfn.MINIFS($N$2:$N$5001,$B$2:$B$5001,B2653,$E$2:$E$5001,"Em ajustes"),1,0),0))</f>
        <v/>
      </c>
      <c r="N2653" s="17" t="str">
        <f aca="false">IF(A2653="","",IF(ISNUMBER(A2653),A2653,IFERROR(DATE(VALUE(MID(A2653,7,4)),VALUE(MID(A2653,4,2)),VALUE(MID(A2653,1,2)))+TIME(VALUE(MID(A2653,12,2)),VALUE(MID(A2653,15,2)),VALUE(MID(A2653,18,2))),"")))</f>
        <v/>
      </c>
    </row>
    <row r="2654" customFormat="false" ht="15" hidden="false" customHeight="false" outlineLevel="0" collapsed="false">
      <c r="I2654" s="15" t="str">
        <f aca="false">IF(N2654="","",INT(N2654))</f>
        <v/>
      </c>
      <c r="J2654" s="16" t="str">
        <f aca="false">IF(B2654="","",IF(N2654=_xlfn.MINIFS($N$2:$N$5001,$B$2:$B$5001,B2654),1,0))</f>
        <v/>
      </c>
      <c r="K2654" s="16" t="str">
        <f aca="false">IF(B2654="","",IF(AND(D2654="Formalização",E2654="Concluído"),IF(COUNTIFS($B$2:$B$5001,B2654,$E$2:$E$5001,"Em ajustes",$N$2:$N$5001,"&lt;"&amp;I2654)&gt;0,1,0),0))</f>
        <v/>
      </c>
      <c r="L2654" s="16" t="str">
        <f aca="false">IF(B2654="","",IF(N2654=_xlfn.MAXIFS($N$2:$N$5001,$B$2:$B$5001,B2654,$I$2:$I$5001,I2654),1,0))</f>
        <v/>
      </c>
      <c r="M2654" s="16" t="str">
        <f aca="false">IF(B2654="","",IF(E2654="Em ajustes",IF(N2654=_xlfn.MINIFS($N$2:$N$5001,$B$2:$B$5001,B2654,$E$2:$E$5001,"Em ajustes"),1,0),0))</f>
        <v/>
      </c>
      <c r="N2654" s="17" t="str">
        <f aca="false">IF(A2654="","",IF(ISNUMBER(A2654),A2654,IFERROR(DATE(VALUE(MID(A2654,7,4)),VALUE(MID(A2654,4,2)),VALUE(MID(A2654,1,2)))+TIME(VALUE(MID(A2654,12,2)),VALUE(MID(A2654,15,2)),VALUE(MID(A2654,18,2))),"")))</f>
        <v/>
      </c>
    </row>
    <row r="2655" customFormat="false" ht="15" hidden="false" customHeight="false" outlineLevel="0" collapsed="false">
      <c r="I2655" s="15" t="str">
        <f aca="false">IF(N2655="","",INT(N2655))</f>
        <v/>
      </c>
      <c r="J2655" s="16" t="str">
        <f aca="false">IF(B2655="","",IF(N2655=_xlfn.MINIFS($N$2:$N$5001,$B$2:$B$5001,B2655),1,0))</f>
        <v/>
      </c>
      <c r="K2655" s="16" t="str">
        <f aca="false">IF(B2655="","",IF(AND(D2655="Formalização",E2655="Concluído"),IF(COUNTIFS($B$2:$B$5001,B2655,$E$2:$E$5001,"Em ajustes",$N$2:$N$5001,"&lt;"&amp;I2655)&gt;0,1,0),0))</f>
        <v/>
      </c>
      <c r="L2655" s="16" t="str">
        <f aca="false">IF(B2655="","",IF(N2655=_xlfn.MAXIFS($N$2:$N$5001,$B$2:$B$5001,B2655,$I$2:$I$5001,I2655),1,0))</f>
        <v/>
      </c>
      <c r="M2655" s="16" t="str">
        <f aca="false">IF(B2655="","",IF(E2655="Em ajustes",IF(N2655=_xlfn.MINIFS($N$2:$N$5001,$B$2:$B$5001,B2655,$E$2:$E$5001,"Em ajustes"),1,0),0))</f>
        <v/>
      </c>
      <c r="N2655" s="17" t="str">
        <f aca="false">IF(A2655="","",IF(ISNUMBER(A2655),A2655,IFERROR(DATE(VALUE(MID(A2655,7,4)),VALUE(MID(A2655,4,2)),VALUE(MID(A2655,1,2)))+TIME(VALUE(MID(A2655,12,2)),VALUE(MID(A2655,15,2)),VALUE(MID(A2655,18,2))),"")))</f>
        <v/>
      </c>
    </row>
    <row r="2656" customFormat="false" ht="15" hidden="false" customHeight="false" outlineLevel="0" collapsed="false">
      <c r="I2656" s="15" t="str">
        <f aca="false">IF(N2656="","",INT(N2656))</f>
        <v/>
      </c>
      <c r="J2656" s="16" t="str">
        <f aca="false">IF(B2656="","",IF(N2656=_xlfn.MINIFS($N$2:$N$5001,$B$2:$B$5001,B2656),1,0))</f>
        <v/>
      </c>
      <c r="K2656" s="16" t="str">
        <f aca="false">IF(B2656="","",IF(AND(D2656="Formalização",E2656="Concluído"),IF(COUNTIFS($B$2:$B$5001,B2656,$E$2:$E$5001,"Em ajustes",$N$2:$N$5001,"&lt;"&amp;I2656)&gt;0,1,0),0))</f>
        <v/>
      </c>
      <c r="L2656" s="16" t="str">
        <f aca="false">IF(B2656="","",IF(N2656=_xlfn.MAXIFS($N$2:$N$5001,$B$2:$B$5001,B2656,$I$2:$I$5001,I2656),1,0))</f>
        <v/>
      </c>
      <c r="M2656" s="16" t="str">
        <f aca="false">IF(B2656="","",IF(E2656="Em ajustes",IF(N2656=_xlfn.MINIFS($N$2:$N$5001,$B$2:$B$5001,B2656,$E$2:$E$5001,"Em ajustes"),1,0),0))</f>
        <v/>
      </c>
      <c r="N2656" s="17" t="str">
        <f aca="false">IF(A2656="","",IF(ISNUMBER(A2656),A2656,IFERROR(DATE(VALUE(MID(A2656,7,4)),VALUE(MID(A2656,4,2)),VALUE(MID(A2656,1,2)))+TIME(VALUE(MID(A2656,12,2)),VALUE(MID(A2656,15,2)),VALUE(MID(A2656,18,2))),"")))</f>
        <v/>
      </c>
    </row>
    <row r="2657" customFormat="false" ht="15" hidden="false" customHeight="false" outlineLevel="0" collapsed="false">
      <c r="I2657" s="15" t="str">
        <f aca="false">IF(N2657="","",INT(N2657))</f>
        <v/>
      </c>
      <c r="J2657" s="16" t="str">
        <f aca="false">IF(B2657="","",IF(N2657=_xlfn.MINIFS($N$2:$N$5001,$B$2:$B$5001,B2657),1,0))</f>
        <v/>
      </c>
      <c r="K2657" s="16" t="str">
        <f aca="false">IF(B2657="","",IF(AND(D2657="Formalização",E2657="Concluído"),IF(COUNTIFS($B$2:$B$5001,B2657,$E$2:$E$5001,"Em ajustes",$N$2:$N$5001,"&lt;"&amp;I2657)&gt;0,1,0),0))</f>
        <v/>
      </c>
      <c r="L2657" s="16" t="str">
        <f aca="false">IF(B2657="","",IF(N2657=_xlfn.MAXIFS($N$2:$N$5001,$B$2:$B$5001,B2657,$I$2:$I$5001,I2657),1,0))</f>
        <v/>
      </c>
      <c r="M2657" s="16" t="str">
        <f aca="false">IF(B2657="","",IF(E2657="Em ajustes",IF(N2657=_xlfn.MINIFS($N$2:$N$5001,$B$2:$B$5001,B2657,$E$2:$E$5001,"Em ajustes"),1,0),0))</f>
        <v/>
      </c>
      <c r="N2657" s="17" t="str">
        <f aca="false">IF(A2657="","",IF(ISNUMBER(A2657),A2657,IFERROR(DATE(VALUE(MID(A2657,7,4)),VALUE(MID(A2657,4,2)),VALUE(MID(A2657,1,2)))+TIME(VALUE(MID(A2657,12,2)),VALUE(MID(A2657,15,2)),VALUE(MID(A2657,18,2))),"")))</f>
        <v/>
      </c>
    </row>
    <row r="2658" customFormat="false" ht="15" hidden="false" customHeight="false" outlineLevel="0" collapsed="false">
      <c r="I2658" s="15" t="str">
        <f aca="false">IF(N2658="","",INT(N2658))</f>
        <v/>
      </c>
      <c r="J2658" s="16" t="str">
        <f aca="false">IF(B2658="","",IF(N2658=_xlfn.MINIFS($N$2:$N$5001,$B$2:$B$5001,B2658),1,0))</f>
        <v/>
      </c>
      <c r="K2658" s="16" t="str">
        <f aca="false">IF(B2658="","",IF(AND(D2658="Formalização",E2658="Concluído"),IF(COUNTIFS($B$2:$B$5001,B2658,$E$2:$E$5001,"Em ajustes",$N$2:$N$5001,"&lt;"&amp;I2658)&gt;0,1,0),0))</f>
        <v/>
      </c>
      <c r="L2658" s="16" t="str">
        <f aca="false">IF(B2658="","",IF(N2658=_xlfn.MAXIFS($N$2:$N$5001,$B$2:$B$5001,B2658,$I$2:$I$5001,I2658),1,0))</f>
        <v/>
      </c>
      <c r="M2658" s="16" t="str">
        <f aca="false">IF(B2658="","",IF(E2658="Em ajustes",IF(N2658=_xlfn.MINIFS($N$2:$N$5001,$B$2:$B$5001,B2658,$E$2:$E$5001,"Em ajustes"),1,0),0))</f>
        <v/>
      </c>
      <c r="N2658" s="17" t="str">
        <f aca="false">IF(A2658="","",IF(ISNUMBER(A2658),A2658,IFERROR(DATE(VALUE(MID(A2658,7,4)),VALUE(MID(A2658,4,2)),VALUE(MID(A2658,1,2)))+TIME(VALUE(MID(A2658,12,2)),VALUE(MID(A2658,15,2)),VALUE(MID(A2658,18,2))),"")))</f>
        <v/>
      </c>
    </row>
    <row r="2659" customFormat="false" ht="15" hidden="false" customHeight="false" outlineLevel="0" collapsed="false">
      <c r="I2659" s="15" t="str">
        <f aca="false">IF(N2659="","",INT(N2659))</f>
        <v/>
      </c>
      <c r="J2659" s="16" t="str">
        <f aca="false">IF(B2659="","",IF(N2659=_xlfn.MINIFS($N$2:$N$5001,$B$2:$B$5001,B2659),1,0))</f>
        <v/>
      </c>
      <c r="K2659" s="16" t="str">
        <f aca="false">IF(B2659="","",IF(AND(D2659="Formalização",E2659="Concluído"),IF(COUNTIFS($B$2:$B$5001,B2659,$E$2:$E$5001,"Em ajustes",$N$2:$N$5001,"&lt;"&amp;I2659)&gt;0,1,0),0))</f>
        <v/>
      </c>
      <c r="L2659" s="16" t="str">
        <f aca="false">IF(B2659="","",IF(N2659=_xlfn.MAXIFS($N$2:$N$5001,$B$2:$B$5001,B2659,$I$2:$I$5001,I2659),1,0))</f>
        <v/>
      </c>
      <c r="M2659" s="16" t="str">
        <f aca="false">IF(B2659="","",IF(E2659="Em ajustes",IF(N2659=_xlfn.MINIFS($N$2:$N$5001,$B$2:$B$5001,B2659,$E$2:$E$5001,"Em ajustes"),1,0),0))</f>
        <v/>
      </c>
      <c r="N2659" s="17" t="str">
        <f aca="false">IF(A2659="","",IF(ISNUMBER(A2659),A2659,IFERROR(DATE(VALUE(MID(A2659,7,4)),VALUE(MID(A2659,4,2)),VALUE(MID(A2659,1,2)))+TIME(VALUE(MID(A2659,12,2)),VALUE(MID(A2659,15,2)),VALUE(MID(A2659,18,2))),"")))</f>
        <v/>
      </c>
    </row>
    <row r="2660" customFormat="false" ht="15" hidden="false" customHeight="false" outlineLevel="0" collapsed="false">
      <c r="I2660" s="15" t="str">
        <f aca="false">IF(N2660="","",INT(N2660))</f>
        <v/>
      </c>
      <c r="J2660" s="16" t="str">
        <f aca="false">IF(B2660="","",IF(N2660=_xlfn.MINIFS($N$2:$N$5001,$B$2:$B$5001,B2660),1,0))</f>
        <v/>
      </c>
      <c r="K2660" s="16" t="str">
        <f aca="false">IF(B2660="","",IF(AND(D2660="Formalização",E2660="Concluído"),IF(COUNTIFS($B$2:$B$5001,B2660,$E$2:$E$5001,"Em ajustes",$N$2:$N$5001,"&lt;"&amp;I2660)&gt;0,1,0),0))</f>
        <v/>
      </c>
      <c r="L2660" s="16" t="str">
        <f aca="false">IF(B2660="","",IF(N2660=_xlfn.MAXIFS($N$2:$N$5001,$B$2:$B$5001,B2660,$I$2:$I$5001,I2660),1,0))</f>
        <v/>
      </c>
      <c r="M2660" s="16" t="str">
        <f aca="false">IF(B2660="","",IF(E2660="Em ajustes",IF(N2660=_xlfn.MINIFS($N$2:$N$5001,$B$2:$B$5001,B2660,$E$2:$E$5001,"Em ajustes"),1,0),0))</f>
        <v/>
      </c>
      <c r="N2660" s="17" t="str">
        <f aca="false">IF(A2660="","",IF(ISNUMBER(A2660),A2660,IFERROR(DATE(VALUE(MID(A2660,7,4)),VALUE(MID(A2660,4,2)),VALUE(MID(A2660,1,2)))+TIME(VALUE(MID(A2660,12,2)),VALUE(MID(A2660,15,2)),VALUE(MID(A2660,18,2))),"")))</f>
        <v/>
      </c>
    </row>
    <row r="2661" customFormat="false" ht="15" hidden="false" customHeight="false" outlineLevel="0" collapsed="false">
      <c r="I2661" s="15" t="str">
        <f aca="false">IF(N2661="","",INT(N2661))</f>
        <v/>
      </c>
      <c r="J2661" s="16" t="str">
        <f aca="false">IF(B2661="","",IF(N2661=_xlfn.MINIFS($N$2:$N$5001,$B$2:$B$5001,B2661),1,0))</f>
        <v/>
      </c>
      <c r="K2661" s="16" t="str">
        <f aca="false">IF(B2661="","",IF(AND(D2661="Formalização",E2661="Concluído"),IF(COUNTIFS($B$2:$B$5001,B2661,$E$2:$E$5001,"Em ajustes",$N$2:$N$5001,"&lt;"&amp;I2661)&gt;0,1,0),0))</f>
        <v/>
      </c>
      <c r="L2661" s="16" t="str">
        <f aca="false">IF(B2661="","",IF(N2661=_xlfn.MAXIFS($N$2:$N$5001,$B$2:$B$5001,B2661,$I$2:$I$5001,I2661),1,0))</f>
        <v/>
      </c>
      <c r="M2661" s="16" t="str">
        <f aca="false">IF(B2661="","",IF(E2661="Em ajustes",IF(N2661=_xlfn.MINIFS($N$2:$N$5001,$B$2:$B$5001,B2661,$E$2:$E$5001,"Em ajustes"),1,0),0))</f>
        <v/>
      </c>
      <c r="N2661" s="17" t="str">
        <f aca="false">IF(A2661="","",IF(ISNUMBER(A2661),A2661,IFERROR(DATE(VALUE(MID(A2661,7,4)),VALUE(MID(A2661,4,2)),VALUE(MID(A2661,1,2)))+TIME(VALUE(MID(A2661,12,2)),VALUE(MID(A2661,15,2)),VALUE(MID(A2661,18,2))),"")))</f>
        <v/>
      </c>
    </row>
    <row r="2662" customFormat="false" ht="15" hidden="false" customHeight="false" outlineLevel="0" collapsed="false">
      <c r="I2662" s="15" t="str">
        <f aca="false">IF(N2662="","",INT(N2662))</f>
        <v/>
      </c>
      <c r="J2662" s="16" t="str">
        <f aca="false">IF(B2662="","",IF(N2662=_xlfn.MINIFS($N$2:$N$5001,$B$2:$B$5001,B2662),1,0))</f>
        <v/>
      </c>
      <c r="K2662" s="16" t="str">
        <f aca="false">IF(B2662="","",IF(AND(D2662="Formalização",E2662="Concluído"),IF(COUNTIFS($B$2:$B$5001,B2662,$E$2:$E$5001,"Em ajustes",$N$2:$N$5001,"&lt;"&amp;I2662)&gt;0,1,0),0))</f>
        <v/>
      </c>
      <c r="L2662" s="16" t="str">
        <f aca="false">IF(B2662="","",IF(N2662=_xlfn.MAXIFS($N$2:$N$5001,$B$2:$B$5001,B2662,$I$2:$I$5001,I2662),1,0))</f>
        <v/>
      </c>
      <c r="M2662" s="16" t="str">
        <f aca="false">IF(B2662="","",IF(E2662="Em ajustes",IF(N2662=_xlfn.MINIFS($N$2:$N$5001,$B$2:$B$5001,B2662,$E$2:$E$5001,"Em ajustes"),1,0),0))</f>
        <v/>
      </c>
      <c r="N2662" s="17" t="str">
        <f aca="false">IF(A2662="","",IF(ISNUMBER(A2662),A2662,IFERROR(DATE(VALUE(MID(A2662,7,4)),VALUE(MID(A2662,4,2)),VALUE(MID(A2662,1,2)))+TIME(VALUE(MID(A2662,12,2)),VALUE(MID(A2662,15,2)),VALUE(MID(A2662,18,2))),"")))</f>
        <v/>
      </c>
    </row>
    <row r="2663" customFormat="false" ht="15" hidden="false" customHeight="false" outlineLevel="0" collapsed="false">
      <c r="I2663" s="15" t="str">
        <f aca="false">IF(N2663="","",INT(N2663))</f>
        <v/>
      </c>
      <c r="J2663" s="16" t="str">
        <f aca="false">IF(B2663="","",IF(N2663=_xlfn.MINIFS($N$2:$N$5001,$B$2:$B$5001,B2663),1,0))</f>
        <v/>
      </c>
      <c r="K2663" s="16" t="str">
        <f aca="false">IF(B2663="","",IF(AND(D2663="Formalização",E2663="Concluído"),IF(COUNTIFS($B$2:$B$5001,B2663,$E$2:$E$5001,"Em ajustes",$N$2:$N$5001,"&lt;"&amp;I2663)&gt;0,1,0),0))</f>
        <v/>
      </c>
      <c r="L2663" s="16" t="str">
        <f aca="false">IF(B2663="","",IF(N2663=_xlfn.MAXIFS($N$2:$N$5001,$B$2:$B$5001,B2663,$I$2:$I$5001,I2663),1,0))</f>
        <v/>
      </c>
      <c r="M2663" s="16" t="str">
        <f aca="false">IF(B2663="","",IF(E2663="Em ajustes",IF(N2663=_xlfn.MINIFS($N$2:$N$5001,$B$2:$B$5001,B2663,$E$2:$E$5001,"Em ajustes"),1,0),0))</f>
        <v/>
      </c>
      <c r="N2663" s="17" t="str">
        <f aca="false">IF(A2663="","",IF(ISNUMBER(A2663),A2663,IFERROR(DATE(VALUE(MID(A2663,7,4)),VALUE(MID(A2663,4,2)),VALUE(MID(A2663,1,2)))+TIME(VALUE(MID(A2663,12,2)),VALUE(MID(A2663,15,2)),VALUE(MID(A2663,18,2))),"")))</f>
        <v/>
      </c>
    </row>
    <row r="2664" customFormat="false" ht="15" hidden="false" customHeight="false" outlineLevel="0" collapsed="false">
      <c r="I2664" s="15" t="str">
        <f aca="false">IF(N2664="","",INT(N2664))</f>
        <v/>
      </c>
      <c r="J2664" s="16" t="str">
        <f aca="false">IF(B2664="","",IF(N2664=_xlfn.MINIFS($N$2:$N$5001,$B$2:$B$5001,B2664),1,0))</f>
        <v/>
      </c>
      <c r="K2664" s="16" t="str">
        <f aca="false">IF(B2664="","",IF(AND(D2664="Formalização",E2664="Concluído"),IF(COUNTIFS($B$2:$B$5001,B2664,$E$2:$E$5001,"Em ajustes",$N$2:$N$5001,"&lt;"&amp;I2664)&gt;0,1,0),0))</f>
        <v/>
      </c>
      <c r="L2664" s="16" t="str">
        <f aca="false">IF(B2664="","",IF(N2664=_xlfn.MAXIFS($N$2:$N$5001,$B$2:$B$5001,B2664,$I$2:$I$5001,I2664),1,0))</f>
        <v/>
      </c>
      <c r="M2664" s="16" t="str">
        <f aca="false">IF(B2664="","",IF(E2664="Em ajustes",IF(N2664=_xlfn.MINIFS($N$2:$N$5001,$B$2:$B$5001,B2664,$E$2:$E$5001,"Em ajustes"),1,0),0))</f>
        <v/>
      </c>
      <c r="N2664" s="17" t="str">
        <f aca="false">IF(A2664="","",IF(ISNUMBER(A2664),A2664,IFERROR(DATE(VALUE(MID(A2664,7,4)),VALUE(MID(A2664,4,2)),VALUE(MID(A2664,1,2)))+TIME(VALUE(MID(A2664,12,2)),VALUE(MID(A2664,15,2)),VALUE(MID(A2664,18,2))),"")))</f>
        <v/>
      </c>
    </row>
    <row r="2665" customFormat="false" ht="15" hidden="false" customHeight="false" outlineLevel="0" collapsed="false">
      <c r="I2665" s="15" t="str">
        <f aca="false">IF(N2665="","",INT(N2665))</f>
        <v/>
      </c>
      <c r="J2665" s="16" t="str">
        <f aca="false">IF(B2665="","",IF(N2665=_xlfn.MINIFS($N$2:$N$5001,$B$2:$B$5001,B2665),1,0))</f>
        <v/>
      </c>
      <c r="K2665" s="16" t="str">
        <f aca="false">IF(B2665="","",IF(AND(D2665="Formalização",E2665="Concluído"),IF(COUNTIFS($B$2:$B$5001,B2665,$E$2:$E$5001,"Em ajustes",$N$2:$N$5001,"&lt;"&amp;I2665)&gt;0,1,0),0))</f>
        <v/>
      </c>
      <c r="L2665" s="16" t="str">
        <f aca="false">IF(B2665="","",IF(N2665=_xlfn.MAXIFS($N$2:$N$5001,$B$2:$B$5001,B2665,$I$2:$I$5001,I2665),1,0))</f>
        <v/>
      </c>
      <c r="M2665" s="16" t="str">
        <f aca="false">IF(B2665="","",IF(E2665="Em ajustes",IF(N2665=_xlfn.MINIFS($N$2:$N$5001,$B$2:$B$5001,B2665,$E$2:$E$5001,"Em ajustes"),1,0),0))</f>
        <v/>
      </c>
      <c r="N2665" s="17" t="str">
        <f aca="false">IF(A2665="","",IF(ISNUMBER(A2665),A2665,IFERROR(DATE(VALUE(MID(A2665,7,4)),VALUE(MID(A2665,4,2)),VALUE(MID(A2665,1,2)))+TIME(VALUE(MID(A2665,12,2)),VALUE(MID(A2665,15,2)),VALUE(MID(A2665,18,2))),"")))</f>
        <v/>
      </c>
    </row>
    <row r="2666" customFormat="false" ht="15" hidden="false" customHeight="false" outlineLevel="0" collapsed="false">
      <c r="I2666" s="15" t="str">
        <f aca="false">IF(N2666="","",INT(N2666))</f>
        <v/>
      </c>
      <c r="J2666" s="16" t="str">
        <f aca="false">IF(B2666="","",IF(N2666=_xlfn.MINIFS($N$2:$N$5001,$B$2:$B$5001,B2666),1,0))</f>
        <v/>
      </c>
      <c r="K2666" s="16" t="str">
        <f aca="false">IF(B2666="","",IF(AND(D2666="Formalização",E2666="Concluído"),IF(COUNTIFS($B$2:$B$5001,B2666,$E$2:$E$5001,"Em ajustes",$N$2:$N$5001,"&lt;"&amp;I2666)&gt;0,1,0),0))</f>
        <v/>
      </c>
      <c r="L2666" s="16" t="str">
        <f aca="false">IF(B2666="","",IF(N2666=_xlfn.MAXIFS($N$2:$N$5001,$B$2:$B$5001,B2666,$I$2:$I$5001,I2666),1,0))</f>
        <v/>
      </c>
      <c r="M2666" s="16" t="str">
        <f aca="false">IF(B2666="","",IF(E2666="Em ajustes",IF(N2666=_xlfn.MINIFS($N$2:$N$5001,$B$2:$B$5001,B2666,$E$2:$E$5001,"Em ajustes"),1,0),0))</f>
        <v/>
      </c>
      <c r="N2666" s="17" t="str">
        <f aca="false">IF(A2666="","",IF(ISNUMBER(A2666),A2666,IFERROR(DATE(VALUE(MID(A2666,7,4)),VALUE(MID(A2666,4,2)),VALUE(MID(A2666,1,2)))+TIME(VALUE(MID(A2666,12,2)),VALUE(MID(A2666,15,2)),VALUE(MID(A2666,18,2))),"")))</f>
        <v/>
      </c>
    </row>
    <row r="2667" customFormat="false" ht="15" hidden="false" customHeight="false" outlineLevel="0" collapsed="false">
      <c r="I2667" s="15" t="str">
        <f aca="false">IF(N2667="","",INT(N2667))</f>
        <v/>
      </c>
      <c r="J2667" s="16" t="str">
        <f aca="false">IF(B2667="","",IF(N2667=_xlfn.MINIFS($N$2:$N$5001,$B$2:$B$5001,B2667),1,0))</f>
        <v/>
      </c>
      <c r="K2667" s="16" t="str">
        <f aca="false">IF(B2667="","",IF(AND(D2667="Formalização",E2667="Concluído"),IF(COUNTIFS($B$2:$B$5001,B2667,$E$2:$E$5001,"Em ajustes",$N$2:$N$5001,"&lt;"&amp;I2667)&gt;0,1,0),0))</f>
        <v/>
      </c>
      <c r="L2667" s="16" t="str">
        <f aca="false">IF(B2667="","",IF(N2667=_xlfn.MAXIFS($N$2:$N$5001,$B$2:$B$5001,B2667,$I$2:$I$5001,I2667),1,0))</f>
        <v/>
      </c>
      <c r="M2667" s="16" t="str">
        <f aca="false">IF(B2667="","",IF(E2667="Em ajustes",IF(N2667=_xlfn.MINIFS($N$2:$N$5001,$B$2:$B$5001,B2667,$E$2:$E$5001,"Em ajustes"),1,0),0))</f>
        <v/>
      </c>
      <c r="N2667" s="17" t="str">
        <f aca="false">IF(A2667="","",IF(ISNUMBER(A2667),A2667,IFERROR(DATE(VALUE(MID(A2667,7,4)),VALUE(MID(A2667,4,2)),VALUE(MID(A2667,1,2)))+TIME(VALUE(MID(A2667,12,2)),VALUE(MID(A2667,15,2)),VALUE(MID(A2667,18,2))),"")))</f>
        <v/>
      </c>
    </row>
    <row r="2668" customFormat="false" ht="15" hidden="false" customHeight="false" outlineLevel="0" collapsed="false">
      <c r="I2668" s="15" t="str">
        <f aca="false">IF(N2668="","",INT(N2668))</f>
        <v/>
      </c>
      <c r="J2668" s="16" t="str">
        <f aca="false">IF(B2668="","",IF(N2668=_xlfn.MINIFS($N$2:$N$5001,$B$2:$B$5001,B2668),1,0))</f>
        <v/>
      </c>
      <c r="K2668" s="16" t="str">
        <f aca="false">IF(B2668="","",IF(AND(D2668="Formalização",E2668="Concluído"),IF(COUNTIFS($B$2:$B$5001,B2668,$E$2:$E$5001,"Em ajustes",$N$2:$N$5001,"&lt;"&amp;I2668)&gt;0,1,0),0))</f>
        <v/>
      </c>
      <c r="L2668" s="16" t="str">
        <f aca="false">IF(B2668="","",IF(N2668=_xlfn.MAXIFS($N$2:$N$5001,$B$2:$B$5001,B2668,$I$2:$I$5001,I2668),1,0))</f>
        <v/>
      </c>
      <c r="M2668" s="16" t="str">
        <f aca="false">IF(B2668="","",IF(E2668="Em ajustes",IF(N2668=_xlfn.MINIFS($N$2:$N$5001,$B$2:$B$5001,B2668,$E$2:$E$5001,"Em ajustes"),1,0),0))</f>
        <v/>
      </c>
      <c r="N2668" s="17" t="str">
        <f aca="false">IF(A2668="","",IF(ISNUMBER(A2668),A2668,IFERROR(DATE(VALUE(MID(A2668,7,4)),VALUE(MID(A2668,4,2)),VALUE(MID(A2668,1,2)))+TIME(VALUE(MID(A2668,12,2)),VALUE(MID(A2668,15,2)),VALUE(MID(A2668,18,2))),"")))</f>
        <v/>
      </c>
    </row>
    <row r="2669" customFormat="false" ht="15" hidden="false" customHeight="false" outlineLevel="0" collapsed="false">
      <c r="I2669" s="15" t="str">
        <f aca="false">IF(N2669="","",INT(N2669))</f>
        <v/>
      </c>
      <c r="J2669" s="16" t="str">
        <f aca="false">IF(B2669="","",IF(N2669=_xlfn.MINIFS($N$2:$N$5001,$B$2:$B$5001,B2669),1,0))</f>
        <v/>
      </c>
      <c r="K2669" s="16" t="str">
        <f aca="false">IF(B2669="","",IF(AND(D2669="Formalização",E2669="Concluído"),IF(COUNTIFS($B$2:$B$5001,B2669,$E$2:$E$5001,"Em ajustes",$N$2:$N$5001,"&lt;"&amp;I2669)&gt;0,1,0),0))</f>
        <v/>
      </c>
      <c r="L2669" s="16" t="str">
        <f aca="false">IF(B2669="","",IF(N2669=_xlfn.MAXIFS($N$2:$N$5001,$B$2:$B$5001,B2669,$I$2:$I$5001,I2669),1,0))</f>
        <v/>
      </c>
      <c r="M2669" s="16" t="str">
        <f aca="false">IF(B2669="","",IF(E2669="Em ajustes",IF(N2669=_xlfn.MINIFS($N$2:$N$5001,$B$2:$B$5001,B2669,$E$2:$E$5001,"Em ajustes"),1,0),0))</f>
        <v/>
      </c>
      <c r="N2669" s="17" t="str">
        <f aca="false">IF(A2669="","",IF(ISNUMBER(A2669),A2669,IFERROR(DATE(VALUE(MID(A2669,7,4)),VALUE(MID(A2669,4,2)),VALUE(MID(A2669,1,2)))+TIME(VALUE(MID(A2669,12,2)),VALUE(MID(A2669,15,2)),VALUE(MID(A2669,18,2))),"")))</f>
        <v/>
      </c>
    </row>
    <row r="2670" customFormat="false" ht="15" hidden="false" customHeight="false" outlineLevel="0" collapsed="false">
      <c r="I2670" s="15" t="str">
        <f aca="false">IF(N2670="","",INT(N2670))</f>
        <v/>
      </c>
      <c r="J2670" s="16" t="str">
        <f aca="false">IF(B2670="","",IF(N2670=_xlfn.MINIFS($N$2:$N$5001,$B$2:$B$5001,B2670),1,0))</f>
        <v/>
      </c>
      <c r="K2670" s="16" t="str">
        <f aca="false">IF(B2670="","",IF(AND(D2670="Formalização",E2670="Concluído"),IF(COUNTIFS($B$2:$B$5001,B2670,$E$2:$E$5001,"Em ajustes",$N$2:$N$5001,"&lt;"&amp;I2670)&gt;0,1,0),0))</f>
        <v/>
      </c>
      <c r="L2670" s="16" t="str">
        <f aca="false">IF(B2670="","",IF(N2670=_xlfn.MAXIFS($N$2:$N$5001,$B$2:$B$5001,B2670,$I$2:$I$5001,I2670),1,0))</f>
        <v/>
      </c>
      <c r="M2670" s="16" t="str">
        <f aca="false">IF(B2670="","",IF(E2670="Em ajustes",IF(N2670=_xlfn.MINIFS($N$2:$N$5001,$B$2:$B$5001,B2670,$E$2:$E$5001,"Em ajustes"),1,0),0))</f>
        <v/>
      </c>
      <c r="N2670" s="17" t="str">
        <f aca="false">IF(A2670="","",IF(ISNUMBER(A2670),A2670,IFERROR(DATE(VALUE(MID(A2670,7,4)),VALUE(MID(A2670,4,2)),VALUE(MID(A2670,1,2)))+TIME(VALUE(MID(A2670,12,2)),VALUE(MID(A2670,15,2)),VALUE(MID(A2670,18,2))),"")))</f>
        <v/>
      </c>
    </row>
    <row r="2671" customFormat="false" ht="15" hidden="false" customHeight="false" outlineLevel="0" collapsed="false">
      <c r="I2671" s="15" t="str">
        <f aca="false">IF(N2671="","",INT(N2671))</f>
        <v/>
      </c>
      <c r="J2671" s="16" t="str">
        <f aca="false">IF(B2671="","",IF(N2671=_xlfn.MINIFS($N$2:$N$5001,$B$2:$B$5001,B2671),1,0))</f>
        <v/>
      </c>
      <c r="K2671" s="16" t="str">
        <f aca="false">IF(B2671="","",IF(AND(D2671="Formalização",E2671="Concluído"),IF(COUNTIFS($B$2:$B$5001,B2671,$E$2:$E$5001,"Em ajustes",$N$2:$N$5001,"&lt;"&amp;I2671)&gt;0,1,0),0))</f>
        <v/>
      </c>
      <c r="L2671" s="16" t="str">
        <f aca="false">IF(B2671="","",IF(N2671=_xlfn.MAXIFS($N$2:$N$5001,$B$2:$B$5001,B2671,$I$2:$I$5001,I2671),1,0))</f>
        <v/>
      </c>
      <c r="M2671" s="16" t="str">
        <f aca="false">IF(B2671="","",IF(E2671="Em ajustes",IF(N2671=_xlfn.MINIFS($N$2:$N$5001,$B$2:$B$5001,B2671,$E$2:$E$5001,"Em ajustes"),1,0),0))</f>
        <v/>
      </c>
      <c r="N2671" s="17" t="str">
        <f aca="false">IF(A2671="","",IF(ISNUMBER(A2671),A2671,IFERROR(DATE(VALUE(MID(A2671,7,4)),VALUE(MID(A2671,4,2)),VALUE(MID(A2671,1,2)))+TIME(VALUE(MID(A2671,12,2)),VALUE(MID(A2671,15,2)),VALUE(MID(A2671,18,2))),"")))</f>
        <v/>
      </c>
    </row>
    <row r="2672" customFormat="false" ht="15" hidden="false" customHeight="false" outlineLevel="0" collapsed="false">
      <c r="I2672" s="15" t="str">
        <f aca="false">IF(N2672="","",INT(N2672))</f>
        <v/>
      </c>
      <c r="J2672" s="16" t="str">
        <f aca="false">IF(B2672="","",IF(N2672=_xlfn.MINIFS($N$2:$N$5001,$B$2:$B$5001,B2672),1,0))</f>
        <v/>
      </c>
      <c r="K2672" s="16" t="str">
        <f aca="false">IF(B2672="","",IF(AND(D2672="Formalização",E2672="Concluído"),IF(COUNTIFS($B$2:$B$5001,B2672,$E$2:$E$5001,"Em ajustes",$N$2:$N$5001,"&lt;"&amp;I2672)&gt;0,1,0),0))</f>
        <v/>
      </c>
      <c r="L2672" s="16" t="str">
        <f aca="false">IF(B2672="","",IF(N2672=_xlfn.MAXIFS($N$2:$N$5001,$B$2:$B$5001,B2672,$I$2:$I$5001,I2672),1,0))</f>
        <v/>
      </c>
      <c r="M2672" s="16" t="str">
        <f aca="false">IF(B2672="","",IF(E2672="Em ajustes",IF(N2672=_xlfn.MINIFS($N$2:$N$5001,$B$2:$B$5001,B2672,$E$2:$E$5001,"Em ajustes"),1,0),0))</f>
        <v/>
      </c>
      <c r="N2672" s="17" t="str">
        <f aca="false">IF(A2672="","",IF(ISNUMBER(A2672),A2672,IFERROR(DATE(VALUE(MID(A2672,7,4)),VALUE(MID(A2672,4,2)),VALUE(MID(A2672,1,2)))+TIME(VALUE(MID(A2672,12,2)),VALUE(MID(A2672,15,2)),VALUE(MID(A2672,18,2))),"")))</f>
        <v/>
      </c>
    </row>
    <row r="2673" customFormat="false" ht="15" hidden="false" customHeight="false" outlineLevel="0" collapsed="false">
      <c r="I2673" s="15" t="str">
        <f aca="false">IF(N2673="","",INT(N2673))</f>
        <v/>
      </c>
      <c r="J2673" s="16" t="str">
        <f aca="false">IF(B2673="","",IF(N2673=_xlfn.MINIFS($N$2:$N$5001,$B$2:$B$5001,B2673),1,0))</f>
        <v/>
      </c>
      <c r="K2673" s="16" t="str">
        <f aca="false">IF(B2673="","",IF(AND(D2673="Formalização",E2673="Concluído"),IF(COUNTIFS($B$2:$B$5001,B2673,$E$2:$E$5001,"Em ajustes",$N$2:$N$5001,"&lt;"&amp;I2673)&gt;0,1,0),0))</f>
        <v/>
      </c>
      <c r="L2673" s="16" t="str">
        <f aca="false">IF(B2673="","",IF(N2673=_xlfn.MAXIFS($N$2:$N$5001,$B$2:$B$5001,B2673,$I$2:$I$5001,I2673),1,0))</f>
        <v/>
      </c>
      <c r="M2673" s="16" t="str">
        <f aca="false">IF(B2673="","",IF(E2673="Em ajustes",IF(N2673=_xlfn.MINIFS($N$2:$N$5001,$B$2:$B$5001,B2673,$E$2:$E$5001,"Em ajustes"),1,0),0))</f>
        <v/>
      </c>
      <c r="N2673" s="17" t="str">
        <f aca="false">IF(A2673="","",IF(ISNUMBER(A2673),A2673,IFERROR(DATE(VALUE(MID(A2673,7,4)),VALUE(MID(A2673,4,2)),VALUE(MID(A2673,1,2)))+TIME(VALUE(MID(A2673,12,2)),VALUE(MID(A2673,15,2)),VALUE(MID(A2673,18,2))),"")))</f>
        <v/>
      </c>
    </row>
    <row r="2674" customFormat="false" ht="15" hidden="false" customHeight="false" outlineLevel="0" collapsed="false">
      <c r="I2674" s="15" t="str">
        <f aca="false">IF(N2674="","",INT(N2674))</f>
        <v/>
      </c>
      <c r="J2674" s="16" t="str">
        <f aca="false">IF(B2674="","",IF(N2674=_xlfn.MINIFS($N$2:$N$5001,$B$2:$B$5001,B2674),1,0))</f>
        <v/>
      </c>
      <c r="K2674" s="16" t="str">
        <f aca="false">IF(B2674="","",IF(AND(D2674="Formalização",E2674="Concluído"),IF(COUNTIFS($B$2:$B$5001,B2674,$E$2:$E$5001,"Em ajustes",$N$2:$N$5001,"&lt;"&amp;I2674)&gt;0,1,0),0))</f>
        <v/>
      </c>
      <c r="L2674" s="16" t="str">
        <f aca="false">IF(B2674="","",IF(N2674=_xlfn.MAXIFS($N$2:$N$5001,$B$2:$B$5001,B2674,$I$2:$I$5001,I2674),1,0))</f>
        <v/>
      </c>
      <c r="M2674" s="16" t="str">
        <f aca="false">IF(B2674="","",IF(E2674="Em ajustes",IF(N2674=_xlfn.MINIFS($N$2:$N$5001,$B$2:$B$5001,B2674,$E$2:$E$5001,"Em ajustes"),1,0),0))</f>
        <v/>
      </c>
      <c r="N2674" s="17" t="str">
        <f aca="false">IF(A2674="","",IF(ISNUMBER(A2674),A2674,IFERROR(DATE(VALUE(MID(A2674,7,4)),VALUE(MID(A2674,4,2)),VALUE(MID(A2674,1,2)))+TIME(VALUE(MID(A2674,12,2)),VALUE(MID(A2674,15,2)),VALUE(MID(A2674,18,2))),"")))</f>
        <v/>
      </c>
    </row>
    <row r="2675" customFormat="false" ht="15" hidden="false" customHeight="false" outlineLevel="0" collapsed="false">
      <c r="I2675" s="15" t="str">
        <f aca="false">IF(N2675="","",INT(N2675))</f>
        <v/>
      </c>
      <c r="J2675" s="16" t="str">
        <f aca="false">IF(B2675="","",IF(N2675=_xlfn.MINIFS($N$2:$N$5001,$B$2:$B$5001,B2675),1,0))</f>
        <v/>
      </c>
      <c r="K2675" s="16" t="str">
        <f aca="false">IF(B2675="","",IF(AND(D2675="Formalização",E2675="Concluído"),IF(COUNTIFS($B$2:$B$5001,B2675,$E$2:$E$5001,"Em ajustes",$N$2:$N$5001,"&lt;"&amp;I2675)&gt;0,1,0),0))</f>
        <v/>
      </c>
      <c r="L2675" s="16" t="str">
        <f aca="false">IF(B2675="","",IF(N2675=_xlfn.MAXIFS($N$2:$N$5001,$B$2:$B$5001,B2675,$I$2:$I$5001,I2675),1,0))</f>
        <v/>
      </c>
      <c r="M2675" s="16" t="str">
        <f aca="false">IF(B2675="","",IF(E2675="Em ajustes",IF(N2675=_xlfn.MINIFS($N$2:$N$5001,$B$2:$B$5001,B2675,$E$2:$E$5001,"Em ajustes"),1,0),0))</f>
        <v/>
      </c>
      <c r="N2675" s="17" t="str">
        <f aca="false">IF(A2675="","",IF(ISNUMBER(A2675),A2675,IFERROR(DATE(VALUE(MID(A2675,7,4)),VALUE(MID(A2675,4,2)),VALUE(MID(A2675,1,2)))+TIME(VALUE(MID(A2675,12,2)),VALUE(MID(A2675,15,2)),VALUE(MID(A2675,18,2))),"")))</f>
        <v/>
      </c>
    </row>
    <row r="2676" customFormat="false" ht="15" hidden="false" customHeight="false" outlineLevel="0" collapsed="false">
      <c r="I2676" s="15" t="str">
        <f aca="false">IF(N2676="","",INT(N2676))</f>
        <v/>
      </c>
      <c r="J2676" s="16" t="str">
        <f aca="false">IF(B2676="","",IF(N2676=_xlfn.MINIFS($N$2:$N$5001,$B$2:$B$5001,B2676),1,0))</f>
        <v/>
      </c>
      <c r="K2676" s="16" t="str">
        <f aca="false">IF(B2676="","",IF(AND(D2676="Formalização",E2676="Concluído"),IF(COUNTIFS($B$2:$B$5001,B2676,$E$2:$E$5001,"Em ajustes",$N$2:$N$5001,"&lt;"&amp;I2676)&gt;0,1,0),0))</f>
        <v/>
      </c>
      <c r="L2676" s="16" t="str">
        <f aca="false">IF(B2676="","",IF(N2676=_xlfn.MAXIFS($N$2:$N$5001,$B$2:$B$5001,B2676,$I$2:$I$5001,I2676),1,0))</f>
        <v/>
      </c>
      <c r="M2676" s="16" t="str">
        <f aca="false">IF(B2676="","",IF(E2676="Em ajustes",IF(N2676=_xlfn.MINIFS($N$2:$N$5001,$B$2:$B$5001,B2676,$E$2:$E$5001,"Em ajustes"),1,0),0))</f>
        <v/>
      </c>
      <c r="N2676" s="17" t="str">
        <f aca="false">IF(A2676="","",IF(ISNUMBER(A2676),A2676,IFERROR(DATE(VALUE(MID(A2676,7,4)),VALUE(MID(A2676,4,2)),VALUE(MID(A2676,1,2)))+TIME(VALUE(MID(A2676,12,2)),VALUE(MID(A2676,15,2)),VALUE(MID(A2676,18,2))),"")))</f>
        <v/>
      </c>
    </row>
    <row r="2677" customFormat="false" ht="15" hidden="false" customHeight="false" outlineLevel="0" collapsed="false">
      <c r="I2677" s="15" t="str">
        <f aca="false">IF(N2677="","",INT(N2677))</f>
        <v/>
      </c>
      <c r="J2677" s="16" t="str">
        <f aca="false">IF(B2677="","",IF(N2677=_xlfn.MINIFS($N$2:$N$5001,$B$2:$B$5001,B2677),1,0))</f>
        <v/>
      </c>
      <c r="K2677" s="16" t="str">
        <f aca="false">IF(B2677="","",IF(AND(D2677="Formalização",E2677="Concluído"),IF(COUNTIFS($B$2:$B$5001,B2677,$E$2:$E$5001,"Em ajustes",$N$2:$N$5001,"&lt;"&amp;I2677)&gt;0,1,0),0))</f>
        <v/>
      </c>
      <c r="L2677" s="16" t="str">
        <f aca="false">IF(B2677="","",IF(N2677=_xlfn.MAXIFS($N$2:$N$5001,$B$2:$B$5001,B2677,$I$2:$I$5001,I2677),1,0))</f>
        <v/>
      </c>
      <c r="M2677" s="16" t="str">
        <f aca="false">IF(B2677="","",IF(E2677="Em ajustes",IF(N2677=_xlfn.MINIFS($N$2:$N$5001,$B$2:$B$5001,B2677,$E$2:$E$5001,"Em ajustes"),1,0),0))</f>
        <v/>
      </c>
      <c r="N2677" s="17" t="str">
        <f aca="false">IF(A2677="","",IF(ISNUMBER(A2677),A2677,IFERROR(DATE(VALUE(MID(A2677,7,4)),VALUE(MID(A2677,4,2)),VALUE(MID(A2677,1,2)))+TIME(VALUE(MID(A2677,12,2)),VALUE(MID(A2677,15,2)),VALUE(MID(A2677,18,2))),"")))</f>
        <v/>
      </c>
    </row>
    <row r="2678" customFormat="false" ht="15" hidden="false" customHeight="false" outlineLevel="0" collapsed="false">
      <c r="I2678" s="15" t="str">
        <f aca="false">IF(N2678="","",INT(N2678))</f>
        <v/>
      </c>
      <c r="J2678" s="16" t="str">
        <f aca="false">IF(B2678="","",IF(N2678=_xlfn.MINIFS($N$2:$N$5001,$B$2:$B$5001,B2678),1,0))</f>
        <v/>
      </c>
      <c r="K2678" s="16" t="str">
        <f aca="false">IF(B2678="","",IF(AND(D2678="Formalização",E2678="Concluído"),IF(COUNTIFS($B$2:$B$5001,B2678,$E$2:$E$5001,"Em ajustes",$N$2:$N$5001,"&lt;"&amp;I2678)&gt;0,1,0),0))</f>
        <v/>
      </c>
      <c r="L2678" s="16" t="str">
        <f aca="false">IF(B2678="","",IF(N2678=_xlfn.MAXIFS($N$2:$N$5001,$B$2:$B$5001,B2678,$I$2:$I$5001,I2678),1,0))</f>
        <v/>
      </c>
      <c r="M2678" s="16" t="str">
        <f aca="false">IF(B2678="","",IF(E2678="Em ajustes",IF(N2678=_xlfn.MINIFS($N$2:$N$5001,$B$2:$B$5001,B2678,$E$2:$E$5001,"Em ajustes"),1,0),0))</f>
        <v/>
      </c>
      <c r="N2678" s="17" t="str">
        <f aca="false">IF(A2678="","",IF(ISNUMBER(A2678),A2678,IFERROR(DATE(VALUE(MID(A2678,7,4)),VALUE(MID(A2678,4,2)),VALUE(MID(A2678,1,2)))+TIME(VALUE(MID(A2678,12,2)),VALUE(MID(A2678,15,2)),VALUE(MID(A2678,18,2))),"")))</f>
        <v/>
      </c>
    </row>
    <row r="2679" customFormat="false" ht="15" hidden="false" customHeight="false" outlineLevel="0" collapsed="false">
      <c r="I2679" s="15" t="str">
        <f aca="false">IF(N2679="","",INT(N2679))</f>
        <v/>
      </c>
      <c r="J2679" s="16" t="str">
        <f aca="false">IF(B2679="","",IF(N2679=_xlfn.MINIFS($N$2:$N$5001,$B$2:$B$5001,B2679),1,0))</f>
        <v/>
      </c>
      <c r="K2679" s="16" t="str">
        <f aca="false">IF(B2679="","",IF(AND(D2679="Formalização",E2679="Concluído"),IF(COUNTIFS($B$2:$B$5001,B2679,$E$2:$E$5001,"Em ajustes",$N$2:$N$5001,"&lt;"&amp;I2679)&gt;0,1,0),0))</f>
        <v/>
      </c>
      <c r="L2679" s="16" t="str">
        <f aca="false">IF(B2679="","",IF(N2679=_xlfn.MAXIFS($N$2:$N$5001,$B$2:$B$5001,B2679,$I$2:$I$5001,I2679),1,0))</f>
        <v/>
      </c>
      <c r="M2679" s="16" t="str">
        <f aca="false">IF(B2679="","",IF(E2679="Em ajustes",IF(N2679=_xlfn.MINIFS($N$2:$N$5001,$B$2:$B$5001,B2679,$E$2:$E$5001,"Em ajustes"),1,0),0))</f>
        <v/>
      </c>
      <c r="N2679" s="17" t="str">
        <f aca="false">IF(A2679="","",IF(ISNUMBER(A2679),A2679,IFERROR(DATE(VALUE(MID(A2679,7,4)),VALUE(MID(A2679,4,2)),VALUE(MID(A2679,1,2)))+TIME(VALUE(MID(A2679,12,2)),VALUE(MID(A2679,15,2)),VALUE(MID(A2679,18,2))),"")))</f>
        <v/>
      </c>
    </row>
    <row r="2680" customFormat="false" ht="15" hidden="false" customHeight="false" outlineLevel="0" collapsed="false">
      <c r="I2680" s="15" t="str">
        <f aca="false">IF(N2680="","",INT(N2680))</f>
        <v/>
      </c>
      <c r="J2680" s="16" t="str">
        <f aca="false">IF(B2680="","",IF(N2680=_xlfn.MINIFS($N$2:$N$5001,$B$2:$B$5001,B2680),1,0))</f>
        <v/>
      </c>
      <c r="K2680" s="16" t="str">
        <f aca="false">IF(B2680="","",IF(AND(D2680="Formalização",E2680="Concluído"),IF(COUNTIFS($B$2:$B$5001,B2680,$E$2:$E$5001,"Em ajustes",$N$2:$N$5001,"&lt;"&amp;I2680)&gt;0,1,0),0))</f>
        <v/>
      </c>
      <c r="L2680" s="16" t="str">
        <f aca="false">IF(B2680="","",IF(N2680=_xlfn.MAXIFS($N$2:$N$5001,$B$2:$B$5001,B2680,$I$2:$I$5001,I2680),1,0))</f>
        <v/>
      </c>
      <c r="M2680" s="16" t="str">
        <f aca="false">IF(B2680="","",IF(E2680="Em ajustes",IF(N2680=_xlfn.MINIFS($N$2:$N$5001,$B$2:$B$5001,B2680,$E$2:$E$5001,"Em ajustes"),1,0),0))</f>
        <v/>
      </c>
      <c r="N2680" s="17" t="str">
        <f aca="false">IF(A2680="","",IF(ISNUMBER(A2680),A2680,IFERROR(DATE(VALUE(MID(A2680,7,4)),VALUE(MID(A2680,4,2)),VALUE(MID(A2680,1,2)))+TIME(VALUE(MID(A2680,12,2)),VALUE(MID(A2680,15,2)),VALUE(MID(A2680,18,2))),"")))</f>
        <v/>
      </c>
    </row>
    <row r="2681" customFormat="false" ht="15" hidden="false" customHeight="false" outlineLevel="0" collapsed="false">
      <c r="I2681" s="15" t="str">
        <f aca="false">IF(N2681="","",INT(N2681))</f>
        <v/>
      </c>
      <c r="J2681" s="16" t="str">
        <f aca="false">IF(B2681="","",IF(N2681=_xlfn.MINIFS($N$2:$N$5001,$B$2:$B$5001,B2681),1,0))</f>
        <v/>
      </c>
      <c r="K2681" s="16" t="str">
        <f aca="false">IF(B2681="","",IF(AND(D2681="Formalização",E2681="Concluído"),IF(COUNTIFS($B$2:$B$5001,B2681,$E$2:$E$5001,"Em ajustes",$N$2:$N$5001,"&lt;"&amp;I2681)&gt;0,1,0),0))</f>
        <v/>
      </c>
      <c r="L2681" s="16" t="str">
        <f aca="false">IF(B2681="","",IF(N2681=_xlfn.MAXIFS($N$2:$N$5001,$B$2:$B$5001,B2681,$I$2:$I$5001,I2681),1,0))</f>
        <v/>
      </c>
      <c r="M2681" s="16" t="str">
        <f aca="false">IF(B2681="","",IF(E2681="Em ajustes",IF(N2681=_xlfn.MINIFS($N$2:$N$5001,$B$2:$B$5001,B2681,$E$2:$E$5001,"Em ajustes"),1,0),0))</f>
        <v/>
      </c>
      <c r="N2681" s="17" t="str">
        <f aca="false">IF(A2681="","",IF(ISNUMBER(A2681),A2681,IFERROR(DATE(VALUE(MID(A2681,7,4)),VALUE(MID(A2681,4,2)),VALUE(MID(A2681,1,2)))+TIME(VALUE(MID(A2681,12,2)),VALUE(MID(A2681,15,2)),VALUE(MID(A2681,18,2))),"")))</f>
        <v/>
      </c>
    </row>
    <row r="2682" customFormat="false" ht="15" hidden="false" customHeight="false" outlineLevel="0" collapsed="false">
      <c r="I2682" s="15" t="str">
        <f aca="false">IF(N2682="","",INT(N2682))</f>
        <v/>
      </c>
      <c r="J2682" s="16" t="str">
        <f aca="false">IF(B2682="","",IF(N2682=_xlfn.MINIFS($N$2:$N$5001,$B$2:$B$5001,B2682),1,0))</f>
        <v/>
      </c>
      <c r="K2682" s="16" t="str">
        <f aca="false">IF(B2682="","",IF(AND(D2682="Formalização",E2682="Concluído"),IF(COUNTIFS($B$2:$B$5001,B2682,$E$2:$E$5001,"Em ajustes",$N$2:$N$5001,"&lt;"&amp;I2682)&gt;0,1,0),0))</f>
        <v/>
      </c>
      <c r="L2682" s="16" t="str">
        <f aca="false">IF(B2682="","",IF(N2682=_xlfn.MAXIFS($N$2:$N$5001,$B$2:$B$5001,B2682,$I$2:$I$5001,I2682),1,0))</f>
        <v/>
      </c>
      <c r="M2682" s="16" t="str">
        <f aca="false">IF(B2682="","",IF(E2682="Em ajustes",IF(N2682=_xlfn.MINIFS($N$2:$N$5001,$B$2:$B$5001,B2682,$E$2:$E$5001,"Em ajustes"),1,0),0))</f>
        <v/>
      </c>
      <c r="N2682" s="17" t="str">
        <f aca="false">IF(A2682="","",IF(ISNUMBER(A2682),A2682,IFERROR(DATE(VALUE(MID(A2682,7,4)),VALUE(MID(A2682,4,2)),VALUE(MID(A2682,1,2)))+TIME(VALUE(MID(A2682,12,2)),VALUE(MID(A2682,15,2)),VALUE(MID(A2682,18,2))),"")))</f>
        <v/>
      </c>
    </row>
    <row r="2683" customFormat="false" ht="15" hidden="false" customHeight="false" outlineLevel="0" collapsed="false">
      <c r="I2683" s="15" t="str">
        <f aca="false">IF(N2683="","",INT(N2683))</f>
        <v/>
      </c>
      <c r="J2683" s="16" t="str">
        <f aca="false">IF(B2683="","",IF(N2683=_xlfn.MINIFS($N$2:$N$5001,$B$2:$B$5001,B2683),1,0))</f>
        <v/>
      </c>
      <c r="K2683" s="16" t="str">
        <f aca="false">IF(B2683="","",IF(AND(D2683="Formalização",E2683="Concluído"),IF(COUNTIFS($B$2:$B$5001,B2683,$E$2:$E$5001,"Em ajustes",$N$2:$N$5001,"&lt;"&amp;I2683)&gt;0,1,0),0))</f>
        <v/>
      </c>
      <c r="L2683" s="16" t="str">
        <f aca="false">IF(B2683="","",IF(N2683=_xlfn.MAXIFS($N$2:$N$5001,$B$2:$B$5001,B2683,$I$2:$I$5001,I2683),1,0))</f>
        <v/>
      </c>
      <c r="M2683" s="16" t="str">
        <f aca="false">IF(B2683="","",IF(E2683="Em ajustes",IF(N2683=_xlfn.MINIFS($N$2:$N$5001,$B$2:$B$5001,B2683,$E$2:$E$5001,"Em ajustes"),1,0),0))</f>
        <v/>
      </c>
      <c r="N2683" s="17" t="str">
        <f aca="false">IF(A2683="","",IF(ISNUMBER(A2683),A2683,IFERROR(DATE(VALUE(MID(A2683,7,4)),VALUE(MID(A2683,4,2)),VALUE(MID(A2683,1,2)))+TIME(VALUE(MID(A2683,12,2)),VALUE(MID(A2683,15,2)),VALUE(MID(A2683,18,2))),"")))</f>
        <v/>
      </c>
    </row>
    <row r="2684" customFormat="false" ht="15" hidden="false" customHeight="false" outlineLevel="0" collapsed="false">
      <c r="I2684" s="15" t="str">
        <f aca="false">IF(N2684="","",INT(N2684))</f>
        <v/>
      </c>
      <c r="J2684" s="16" t="str">
        <f aca="false">IF(B2684="","",IF(N2684=_xlfn.MINIFS($N$2:$N$5001,$B$2:$B$5001,B2684),1,0))</f>
        <v/>
      </c>
      <c r="K2684" s="16" t="str">
        <f aca="false">IF(B2684="","",IF(AND(D2684="Formalização",E2684="Concluído"),IF(COUNTIFS($B$2:$B$5001,B2684,$E$2:$E$5001,"Em ajustes",$N$2:$N$5001,"&lt;"&amp;I2684)&gt;0,1,0),0))</f>
        <v/>
      </c>
      <c r="L2684" s="16" t="str">
        <f aca="false">IF(B2684="","",IF(N2684=_xlfn.MAXIFS($N$2:$N$5001,$B$2:$B$5001,B2684,$I$2:$I$5001,I2684),1,0))</f>
        <v/>
      </c>
      <c r="M2684" s="16" t="str">
        <f aca="false">IF(B2684="","",IF(E2684="Em ajustes",IF(N2684=_xlfn.MINIFS($N$2:$N$5001,$B$2:$B$5001,B2684,$E$2:$E$5001,"Em ajustes"),1,0),0))</f>
        <v/>
      </c>
      <c r="N2684" s="17" t="str">
        <f aca="false">IF(A2684="","",IF(ISNUMBER(A2684),A2684,IFERROR(DATE(VALUE(MID(A2684,7,4)),VALUE(MID(A2684,4,2)),VALUE(MID(A2684,1,2)))+TIME(VALUE(MID(A2684,12,2)),VALUE(MID(A2684,15,2)),VALUE(MID(A2684,18,2))),"")))</f>
        <v/>
      </c>
    </row>
    <row r="2685" customFormat="false" ht="15" hidden="false" customHeight="false" outlineLevel="0" collapsed="false">
      <c r="I2685" s="15" t="str">
        <f aca="false">IF(N2685="","",INT(N2685))</f>
        <v/>
      </c>
      <c r="J2685" s="16" t="str">
        <f aca="false">IF(B2685="","",IF(N2685=_xlfn.MINIFS($N$2:$N$5001,$B$2:$B$5001,B2685),1,0))</f>
        <v/>
      </c>
      <c r="K2685" s="16" t="str">
        <f aca="false">IF(B2685="","",IF(AND(D2685="Formalização",E2685="Concluído"),IF(COUNTIFS($B$2:$B$5001,B2685,$E$2:$E$5001,"Em ajustes",$N$2:$N$5001,"&lt;"&amp;I2685)&gt;0,1,0),0))</f>
        <v/>
      </c>
      <c r="L2685" s="16" t="str">
        <f aca="false">IF(B2685="","",IF(N2685=_xlfn.MAXIFS($N$2:$N$5001,$B$2:$B$5001,B2685,$I$2:$I$5001,I2685),1,0))</f>
        <v/>
      </c>
      <c r="M2685" s="16" t="str">
        <f aca="false">IF(B2685="","",IF(E2685="Em ajustes",IF(N2685=_xlfn.MINIFS($N$2:$N$5001,$B$2:$B$5001,B2685,$E$2:$E$5001,"Em ajustes"),1,0),0))</f>
        <v/>
      </c>
      <c r="N2685" s="17" t="str">
        <f aca="false">IF(A2685="","",IF(ISNUMBER(A2685),A2685,IFERROR(DATE(VALUE(MID(A2685,7,4)),VALUE(MID(A2685,4,2)),VALUE(MID(A2685,1,2)))+TIME(VALUE(MID(A2685,12,2)),VALUE(MID(A2685,15,2)),VALUE(MID(A2685,18,2))),"")))</f>
        <v/>
      </c>
    </row>
    <row r="2686" customFormat="false" ht="15" hidden="false" customHeight="false" outlineLevel="0" collapsed="false">
      <c r="I2686" s="15" t="str">
        <f aca="false">IF(N2686="","",INT(N2686))</f>
        <v/>
      </c>
      <c r="J2686" s="16" t="str">
        <f aca="false">IF(B2686="","",IF(N2686=_xlfn.MINIFS($N$2:$N$5001,$B$2:$B$5001,B2686),1,0))</f>
        <v/>
      </c>
      <c r="K2686" s="16" t="str">
        <f aca="false">IF(B2686="","",IF(AND(D2686="Formalização",E2686="Concluído"),IF(COUNTIFS($B$2:$B$5001,B2686,$E$2:$E$5001,"Em ajustes",$N$2:$N$5001,"&lt;"&amp;I2686)&gt;0,1,0),0))</f>
        <v/>
      </c>
      <c r="L2686" s="16" t="str">
        <f aca="false">IF(B2686="","",IF(N2686=_xlfn.MAXIFS($N$2:$N$5001,$B$2:$B$5001,B2686,$I$2:$I$5001,I2686),1,0))</f>
        <v/>
      </c>
      <c r="M2686" s="16" t="str">
        <f aca="false">IF(B2686="","",IF(E2686="Em ajustes",IF(N2686=_xlfn.MINIFS($N$2:$N$5001,$B$2:$B$5001,B2686,$E$2:$E$5001,"Em ajustes"),1,0),0))</f>
        <v/>
      </c>
      <c r="N2686" s="17" t="str">
        <f aca="false">IF(A2686="","",IF(ISNUMBER(A2686),A2686,IFERROR(DATE(VALUE(MID(A2686,7,4)),VALUE(MID(A2686,4,2)),VALUE(MID(A2686,1,2)))+TIME(VALUE(MID(A2686,12,2)),VALUE(MID(A2686,15,2)),VALUE(MID(A2686,18,2))),"")))</f>
        <v/>
      </c>
    </row>
    <row r="2687" customFormat="false" ht="15" hidden="false" customHeight="false" outlineLevel="0" collapsed="false">
      <c r="I2687" s="15" t="str">
        <f aca="false">IF(N2687="","",INT(N2687))</f>
        <v/>
      </c>
      <c r="J2687" s="16" t="str">
        <f aca="false">IF(B2687="","",IF(N2687=_xlfn.MINIFS($N$2:$N$5001,$B$2:$B$5001,B2687),1,0))</f>
        <v/>
      </c>
      <c r="K2687" s="16" t="str">
        <f aca="false">IF(B2687="","",IF(AND(D2687="Formalização",E2687="Concluído"),IF(COUNTIFS($B$2:$B$5001,B2687,$E$2:$E$5001,"Em ajustes",$N$2:$N$5001,"&lt;"&amp;I2687)&gt;0,1,0),0))</f>
        <v/>
      </c>
      <c r="L2687" s="16" t="str">
        <f aca="false">IF(B2687="","",IF(N2687=_xlfn.MAXIFS($N$2:$N$5001,$B$2:$B$5001,B2687,$I$2:$I$5001,I2687),1,0))</f>
        <v/>
      </c>
      <c r="M2687" s="16" t="str">
        <f aca="false">IF(B2687="","",IF(E2687="Em ajustes",IF(N2687=_xlfn.MINIFS($N$2:$N$5001,$B$2:$B$5001,B2687,$E$2:$E$5001,"Em ajustes"),1,0),0))</f>
        <v/>
      </c>
      <c r="N2687" s="17" t="str">
        <f aca="false">IF(A2687="","",IF(ISNUMBER(A2687),A2687,IFERROR(DATE(VALUE(MID(A2687,7,4)),VALUE(MID(A2687,4,2)),VALUE(MID(A2687,1,2)))+TIME(VALUE(MID(A2687,12,2)),VALUE(MID(A2687,15,2)),VALUE(MID(A2687,18,2))),"")))</f>
        <v/>
      </c>
    </row>
    <row r="2688" customFormat="false" ht="15" hidden="false" customHeight="false" outlineLevel="0" collapsed="false">
      <c r="I2688" s="15" t="str">
        <f aca="false">IF(N2688="","",INT(N2688))</f>
        <v/>
      </c>
      <c r="J2688" s="16" t="str">
        <f aca="false">IF(B2688="","",IF(N2688=_xlfn.MINIFS($N$2:$N$5001,$B$2:$B$5001,B2688),1,0))</f>
        <v/>
      </c>
      <c r="K2688" s="16" t="str">
        <f aca="false">IF(B2688="","",IF(AND(D2688="Formalização",E2688="Concluído"),IF(COUNTIFS($B$2:$B$5001,B2688,$E$2:$E$5001,"Em ajustes",$N$2:$N$5001,"&lt;"&amp;I2688)&gt;0,1,0),0))</f>
        <v/>
      </c>
      <c r="L2688" s="16" t="str">
        <f aca="false">IF(B2688="","",IF(N2688=_xlfn.MAXIFS($N$2:$N$5001,$B$2:$B$5001,B2688,$I$2:$I$5001,I2688),1,0))</f>
        <v/>
      </c>
      <c r="M2688" s="16" t="str">
        <f aca="false">IF(B2688="","",IF(E2688="Em ajustes",IF(N2688=_xlfn.MINIFS($N$2:$N$5001,$B$2:$B$5001,B2688,$E$2:$E$5001,"Em ajustes"),1,0),0))</f>
        <v/>
      </c>
      <c r="N2688" s="17" t="str">
        <f aca="false">IF(A2688="","",IF(ISNUMBER(A2688),A2688,IFERROR(DATE(VALUE(MID(A2688,7,4)),VALUE(MID(A2688,4,2)),VALUE(MID(A2688,1,2)))+TIME(VALUE(MID(A2688,12,2)),VALUE(MID(A2688,15,2)),VALUE(MID(A2688,18,2))),"")))</f>
        <v/>
      </c>
    </row>
    <row r="2689" customFormat="false" ht="15" hidden="false" customHeight="false" outlineLevel="0" collapsed="false">
      <c r="I2689" s="15" t="str">
        <f aca="false">IF(N2689="","",INT(N2689))</f>
        <v/>
      </c>
      <c r="J2689" s="16" t="str">
        <f aca="false">IF(B2689="","",IF(N2689=_xlfn.MINIFS($N$2:$N$5001,$B$2:$B$5001,B2689),1,0))</f>
        <v/>
      </c>
      <c r="K2689" s="16" t="str">
        <f aca="false">IF(B2689="","",IF(AND(D2689="Formalização",E2689="Concluído"),IF(COUNTIFS($B$2:$B$5001,B2689,$E$2:$E$5001,"Em ajustes",$N$2:$N$5001,"&lt;"&amp;I2689)&gt;0,1,0),0))</f>
        <v/>
      </c>
      <c r="L2689" s="16" t="str">
        <f aca="false">IF(B2689="","",IF(N2689=_xlfn.MAXIFS($N$2:$N$5001,$B$2:$B$5001,B2689,$I$2:$I$5001,I2689),1,0))</f>
        <v/>
      </c>
      <c r="M2689" s="16" t="str">
        <f aca="false">IF(B2689="","",IF(E2689="Em ajustes",IF(N2689=_xlfn.MINIFS($N$2:$N$5001,$B$2:$B$5001,B2689,$E$2:$E$5001,"Em ajustes"),1,0),0))</f>
        <v/>
      </c>
      <c r="N2689" s="17" t="str">
        <f aca="false">IF(A2689="","",IF(ISNUMBER(A2689),A2689,IFERROR(DATE(VALUE(MID(A2689,7,4)),VALUE(MID(A2689,4,2)),VALUE(MID(A2689,1,2)))+TIME(VALUE(MID(A2689,12,2)),VALUE(MID(A2689,15,2)),VALUE(MID(A2689,18,2))),"")))</f>
        <v/>
      </c>
    </row>
    <row r="2690" customFormat="false" ht="15" hidden="false" customHeight="false" outlineLevel="0" collapsed="false">
      <c r="I2690" s="15" t="str">
        <f aca="false">IF(N2690="","",INT(N2690))</f>
        <v/>
      </c>
      <c r="J2690" s="16" t="str">
        <f aca="false">IF(B2690="","",IF(N2690=_xlfn.MINIFS($N$2:$N$5001,$B$2:$B$5001,B2690),1,0))</f>
        <v/>
      </c>
      <c r="K2690" s="16" t="str">
        <f aca="false">IF(B2690="","",IF(AND(D2690="Formalização",E2690="Concluído"),IF(COUNTIFS($B$2:$B$5001,B2690,$E$2:$E$5001,"Em ajustes",$N$2:$N$5001,"&lt;"&amp;I2690)&gt;0,1,0),0))</f>
        <v/>
      </c>
      <c r="L2690" s="16" t="str">
        <f aca="false">IF(B2690="","",IF(N2690=_xlfn.MAXIFS($N$2:$N$5001,$B$2:$B$5001,B2690,$I$2:$I$5001,I2690),1,0))</f>
        <v/>
      </c>
      <c r="M2690" s="16" t="str">
        <f aca="false">IF(B2690="","",IF(E2690="Em ajustes",IF(N2690=_xlfn.MINIFS($N$2:$N$5001,$B$2:$B$5001,B2690,$E$2:$E$5001,"Em ajustes"),1,0),0))</f>
        <v/>
      </c>
      <c r="N2690" s="17" t="str">
        <f aca="false">IF(A2690="","",IF(ISNUMBER(A2690),A2690,IFERROR(DATE(VALUE(MID(A2690,7,4)),VALUE(MID(A2690,4,2)),VALUE(MID(A2690,1,2)))+TIME(VALUE(MID(A2690,12,2)),VALUE(MID(A2690,15,2)),VALUE(MID(A2690,18,2))),"")))</f>
        <v/>
      </c>
    </row>
    <row r="2691" customFormat="false" ht="15" hidden="false" customHeight="false" outlineLevel="0" collapsed="false">
      <c r="I2691" s="15" t="str">
        <f aca="false">IF(N2691="","",INT(N2691))</f>
        <v/>
      </c>
      <c r="J2691" s="16" t="str">
        <f aca="false">IF(B2691="","",IF(N2691=_xlfn.MINIFS($N$2:$N$5001,$B$2:$B$5001,B2691),1,0))</f>
        <v/>
      </c>
      <c r="K2691" s="16" t="str">
        <f aca="false">IF(B2691="","",IF(AND(D2691="Formalização",E2691="Concluído"),IF(COUNTIFS($B$2:$B$5001,B2691,$E$2:$E$5001,"Em ajustes",$N$2:$N$5001,"&lt;"&amp;I2691)&gt;0,1,0),0))</f>
        <v/>
      </c>
      <c r="L2691" s="16" t="str">
        <f aca="false">IF(B2691="","",IF(N2691=_xlfn.MAXIFS($N$2:$N$5001,$B$2:$B$5001,B2691,$I$2:$I$5001,I2691),1,0))</f>
        <v/>
      </c>
      <c r="M2691" s="16" t="str">
        <f aca="false">IF(B2691="","",IF(E2691="Em ajustes",IF(N2691=_xlfn.MINIFS($N$2:$N$5001,$B$2:$B$5001,B2691,$E$2:$E$5001,"Em ajustes"),1,0),0))</f>
        <v/>
      </c>
      <c r="N2691" s="17" t="str">
        <f aca="false">IF(A2691="","",IF(ISNUMBER(A2691),A2691,IFERROR(DATE(VALUE(MID(A2691,7,4)),VALUE(MID(A2691,4,2)),VALUE(MID(A2691,1,2)))+TIME(VALUE(MID(A2691,12,2)),VALUE(MID(A2691,15,2)),VALUE(MID(A2691,18,2))),"")))</f>
        <v/>
      </c>
    </row>
    <row r="2692" customFormat="false" ht="15" hidden="false" customHeight="false" outlineLevel="0" collapsed="false">
      <c r="I2692" s="15" t="str">
        <f aca="false">IF(N2692="","",INT(N2692))</f>
        <v/>
      </c>
      <c r="J2692" s="16" t="str">
        <f aca="false">IF(B2692="","",IF(N2692=_xlfn.MINIFS($N$2:$N$5001,$B$2:$B$5001,B2692),1,0))</f>
        <v/>
      </c>
      <c r="K2692" s="16" t="str">
        <f aca="false">IF(B2692="","",IF(AND(D2692="Formalização",E2692="Concluído"),IF(COUNTIFS($B$2:$B$5001,B2692,$E$2:$E$5001,"Em ajustes",$N$2:$N$5001,"&lt;"&amp;I2692)&gt;0,1,0),0))</f>
        <v/>
      </c>
      <c r="L2692" s="16" t="str">
        <f aca="false">IF(B2692="","",IF(N2692=_xlfn.MAXIFS($N$2:$N$5001,$B$2:$B$5001,B2692,$I$2:$I$5001,I2692),1,0))</f>
        <v/>
      </c>
      <c r="M2692" s="16" t="str">
        <f aca="false">IF(B2692="","",IF(E2692="Em ajustes",IF(N2692=_xlfn.MINIFS($N$2:$N$5001,$B$2:$B$5001,B2692,$E$2:$E$5001,"Em ajustes"),1,0),0))</f>
        <v/>
      </c>
      <c r="N2692" s="17" t="str">
        <f aca="false">IF(A2692="","",IF(ISNUMBER(A2692),A2692,IFERROR(DATE(VALUE(MID(A2692,7,4)),VALUE(MID(A2692,4,2)),VALUE(MID(A2692,1,2)))+TIME(VALUE(MID(A2692,12,2)),VALUE(MID(A2692,15,2)),VALUE(MID(A2692,18,2))),"")))</f>
        <v/>
      </c>
    </row>
    <row r="2693" customFormat="false" ht="15" hidden="false" customHeight="false" outlineLevel="0" collapsed="false">
      <c r="I2693" s="15" t="str">
        <f aca="false">IF(N2693="","",INT(N2693))</f>
        <v/>
      </c>
      <c r="J2693" s="16" t="str">
        <f aca="false">IF(B2693="","",IF(N2693=_xlfn.MINIFS($N$2:$N$5001,$B$2:$B$5001,B2693),1,0))</f>
        <v/>
      </c>
      <c r="K2693" s="16" t="str">
        <f aca="false">IF(B2693="","",IF(AND(D2693="Formalização",E2693="Concluído"),IF(COUNTIFS($B$2:$B$5001,B2693,$E$2:$E$5001,"Em ajustes",$N$2:$N$5001,"&lt;"&amp;I2693)&gt;0,1,0),0))</f>
        <v/>
      </c>
      <c r="L2693" s="16" t="str">
        <f aca="false">IF(B2693="","",IF(N2693=_xlfn.MAXIFS($N$2:$N$5001,$B$2:$B$5001,B2693,$I$2:$I$5001,I2693),1,0))</f>
        <v/>
      </c>
      <c r="M2693" s="16" t="str">
        <f aca="false">IF(B2693="","",IF(E2693="Em ajustes",IF(N2693=_xlfn.MINIFS($N$2:$N$5001,$B$2:$B$5001,B2693,$E$2:$E$5001,"Em ajustes"),1,0),0))</f>
        <v/>
      </c>
      <c r="N2693" s="17" t="str">
        <f aca="false">IF(A2693="","",IF(ISNUMBER(A2693),A2693,IFERROR(DATE(VALUE(MID(A2693,7,4)),VALUE(MID(A2693,4,2)),VALUE(MID(A2693,1,2)))+TIME(VALUE(MID(A2693,12,2)),VALUE(MID(A2693,15,2)),VALUE(MID(A2693,18,2))),"")))</f>
        <v/>
      </c>
    </row>
    <row r="2694" customFormat="false" ht="15" hidden="false" customHeight="false" outlineLevel="0" collapsed="false">
      <c r="I2694" s="15" t="str">
        <f aca="false">IF(N2694="","",INT(N2694))</f>
        <v/>
      </c>
      <c r="J2694" s="16" t="str">
        <f aca="false">IF(B2694="","",IF(N2694=_xlfn.MINIFS($N$2:$N$5001,$B$2:$B$5001,B2694),1,0))</f>
        <v/>
      </c>
      <c r="K2694" s="16" t="str">
        <f aca="false">IF(B2694="","",IF(AND(D2694="Formalização",E2694="Concluído"),IF(COUNTIFS($B$2:$B$5001,B2694,$E$2:$E$5001,"Em ajustes",$N$2:$N$5001,"&lt;"&amp;I2694)&gt;0,1,0),0))</f>
        <v/>
      </c>
      <c r="L2694" s="16" t="str">
        <f aca="false">IF(B2694="","",IF(N2694=_xlfn.MAXIFS($N$2:$N$5001,$B$2:$B$5001,B2694,$I$2:$I$5001,I2694),1,0))</f>
        <v/>
      </c>
      <c r="M2694" s="16" t="str">
        <f aca="false">IF(B2694="","",IF(E2694="Em ajustes",IF(N2694=_xlfn.MINIFS($N$2:$N$5001,$B$2:$B$5001,B2694,$E$2:$E$5001,"Em ajustes"),1,0),0))</f>
        <v/>
      </c>
      <c r="N2694" s="17" t="str">
        <f aca="false">IF(A2694="","",IF(ISNUMBER(A2694),A2694,IFERROR(DATE(VALUE(MID(A2694,7,4)),VALUE(MID(A2694,4,2)),VALUE(MID(A2694,1,2)))+TIME(VALUE(MID(A2694,12,2)),VALUE(MID(A2694,15,2)),VALUE(MID(A2694,18,2))),"")))</f>
        <v/>
      </c>
    </row>
    <row r="2695" customFormat="false" ht="15" hidden="false" customHeight="false" outlineLevel="0" collapsed="false">
      <c r="I2695" s="15" t="str">
        <f aca="false">IF(N2695="","",INT(N2695))</f>
        <v/>
      </c>
      <c r="J2695" s="16" t="str">
        <f aca="false">IF(B2695="","",IF(N2695=_xlfn.MINIFS($N$2:$N$5001,$B$2:$B$5001,B2695),1,0))</f>
        <v/>
      </c>
      <c r="K2695" s="16" t="str">
        <f aca="false">IF(B2695="","",IF(AND(D2695="Formalização",E2695="Concluído"),IF(COUNTIFS($B$2:$B$5001,B2695,$E$2:$E$5001,"Em ajustes",$N$2:$N$5001,"&lt;"&amp;I2695)&gt;0,1,0),0))</f>
        <v/>
      </c>
      <c r="L2695" s="16" t="str">
        <f aca="false">IF(B2695="","",IF(N2695=_xlfn.MAXIFS($N$2:$N$5001,$B$2:$B$5001,B2695,$I$2:$I$5001,I2695),1,0))</f>
        <v/>
      </c>
      <c r="M2695" s="16" t="str">
        <f aca="false">IF(B2695="","",IF(E2695="Em ajustes",IF(N2695=_xlfn.MINIFS($N$2:$N$5001,$B$2:$B$5001,B2695,$E$2:$E$5001,"Em ajustes"),1,0),0))</f>
        <v/>
      </c>
      <c r="N2695" s="17" t="str">
        <f aca="false">IF(A2695="","",IF(ISNUMBER(A2695),A2695,IFERROR(DATE(VALUE(MID(A2695,7,4)),VALUE(MID(A2695,4,2)),VALUE(MID(A2695,1,2)))+TIME(VALUE(MID(A2695,12,2)),VALUE(MID(A2695,15,2)),VALUE(MID(A2695,18,2))),"")))</f>
        <v/>
      </c>
    </row>
    <row r="2696" customFormat="false" ht="15" hidden="false" customHeight="false" outlineLevel="0" collapsed="false">
      <c r="I2696" s="15" t="str">
        <f aca="false">IF(N2696="","",INT(N2696))</f>
        <v/>
      </c>
      <c r="J2696" s="16" t="str">
        <f aca="false">IF(B2696="","",IF(N2696=_xlfn.MINIFS($N$2:$N$5001,$B$2:$B$5001,B2696),1,0))</f>
        <v/>
      </c>
      <c r="K2696" s="16" t="str">
        <f aca="false">IF(B2696="","",IF(AND(D2696="Formalização",E2696="Concluído"),IF(COUNTIFS($B$2:$B$5001,B2696,$E$2:$E$5001,"Em ajustes",$N$2:$N$5001,"&lt;"&amp;I2696)&gt;0,1,0),0))</f>
        <v/>
      </c>
      <c r="L2696" s="16" t="str">
        <f aca="false">IF(B2696="","",IF(N2696=_xlfn.MAXIFS($N$2:$N$5001,$B$2:$B$5001,B2696,$I$2:$I$5001,I2696),1,0))</f>
        <v/>
      </c>
      <c r="M2696" s="16" t="str">
        <f aca="false">IF(B2696="","",IF(E2696="Em ajustes",IF(N2696=_xlfn.MINIFS($N$2:$N$5001,$B$2:$B$5001,B2696,$E$2:$E$5001,"Em ajustes"),1,0),0))</f>
        <v/>
      </c>
      <c r="N2696" s="17" t="str">
        <f aca="false">IF(A2696="","",IF(ISNUMBER(A2696),A2696,IFERROR(DATE(VALUE(MID(A2696,7,4)),VALUE(MID(A2696,4,2)),VALUE(MID(A2696,1,2)))+TIME(VALUE(MID(A2696,12,2)),VALUE(MID(A2696,15,2)),VALUE(MID(A2696,18,2))),"")))</f>
        <v/>
      </c>
    </row>
    <row r="2697" customFormat="false" ht="15" hidden="false" customHeight="false" outlineLevel="0" collapsed="false">
      <c r="I2697" s="15" t="str">
        <f aca="false">IF(N2697="","",INT(N2697))</f>
        <v/>
      </c>
      <c r="J2697" s="16" t="str">
        <f aca="false">IF(B2697="","",IF(N2697=_xlfn.MINIFS($N$2:$N$5001,$B$2:$B$5001,B2697),1,0))</f>
        <v/>
      </c>
      <c r="K2697" s="16" t="str">
        <f aca="false">IF(B2697="","",IF(AND(D2697="Formalização",E2697="Concluído"),IF(COUNTIFS($B$2:$B$5001,B2697,$E$2:$E$5001,"Em ajustes",$N$2:$N$5001,"&lt;"&amp;I2697)&gt;0,1,0),0))</f>
        <v/>
      </c>
      <c r="L2697" s="16" t="str">
        <f aca="false">IF(B2697="","",IF(N2697=_xlfn.MAXIFS($N$2:$N$5001,$B$2:$B$5001,B2697,$I$2:$I$5001,I2697),1,0))</f>
        <v/>
      </c>
      <c r="M2697" s="16" t="str">
        <f aca="false">IF(B2697="","",IF(E2697="Em ajustes",IF(N2697=_xlfn.MINIFS($N$2:$N$5001,$B$2:$B$5001,B2697,$E$2:$E$5001,"Em ajustes"),1,0),0))</f>
        <v/>
      </c>
      <c r="N2697" s="17" t="str">
        <f aca="false">IF(A2697="","",IF(ISNUMBER(A2697),A2697,IFERROR(DATE(VALUE(MID(A2697,7,4)),VALUE(MID(A2697,4,2)),VALUE(MID(A2697,1,2)))+TIME(VALUE(MID(A2697,12,2)),VALUE(MID(A2697,15,2)),VALUE(MID(A2697,18,2))),"")))</f>
        <v/>
      </c>
    </row>
    <row r="2698" customFormat="false" ht="15" hidden="false" customHeight="false" outlineLevel="0" collapsed="false">
      <c r="I2698" s="15" t="str">
        <f aca="false">IF(N2698="","",INT(N2698))</f>
        <v/>
      </c>
      <c r="J2698" s="16" t="str">
        <f aca="false">IF(B2698="","",IF(N2698=_xlfn.MINIFS($N$2:$N$5001,$B$2:$B$5001,B2698),1,0))</f>
        <v/>
      </c>
      <c r="K2698" s="16" t="str">
        <f aca="false">IF(B2698="","",IF(AND(D2698="Formalização",E2698="Concluído"),IF(COUNTIFS($B$2:$B$5001,B2698,$E$2:$E$5001,"Em ajustes",$N$2:$N$5001,"&lt;"&amp;I2698)&gt;0,1,0),0))</f>
        <v/>
      </c>
      <c r="L2698" s="16" t="str">
        <f aca="false">IF(B2698="","",IF(N2698=_xlfn.MAXIFS($N$2:$N$5001,$B$2:$B$5001,B2698,$I$2:$I$5001,I2698),1,0))</f>
        <v/>
      </c>
      <c r="M2698" s="16" t="str">
        <f aca="false">IF(B2698="","",IF(E2698="Em ajustes",IF(N2698=_xlfn.MINIFS($N$2:$N$5001,$B$2:$B$5001,B2698,$E$2:$E$5001,"Em ajustes"),1,0),0))</f>
        <v/>
      </c>
      <c r="N2698" s="17" t="str">
        <f aca="false">IF(A2698="","",IF(ISNUMBER(A2698),A2698,IFERROR(DATE(VALUE(MID(A2698,7,4)),VALUE(MID(A2698,4,2)),VALUE(MID(A2698,1,2)))+TIME(VALUE(MID(A2698,12,2)),VALUE(MID(A2698,15,2)),VALUE(MID(A2698,18,2))),"")))</f>
        <v/>
      </c>
    </row>
    <row r="2699" customFormat="false" ht="15" hidden="false" customHeight="false" outlineLevel="0" collapsed="false">
      <c r="I2699" s="15" t="str">
        <f aca="false">IF(N2699="","",INT(N2699))</f>
        <v/>
      </c>
      <c r="J2699" s="16" t="str">
        <f aca="false">IF(B2699="","",IF(N2699=_xlfn.MINIFS($N$2:$N$5001,$B$2:$B$5001,B2699),1,0))</f>
        <v/>
      </c>
      <c r="K2699" s="16" t="str">
        <f aca="false">IF(B2699="","",IF(AND(D2699="Formalização",E2699="Concluído"),IF(COUNTIFS($B$2:$B$5001,B2699,$E$2:$E$5001,"Em ajustes",$N$2:$N$5001,"&lt;"&amp;I2699)&gt;0,1,0),0))</f>
        <v/>
      </c>
      <c r="L2699" s="16" t="str">
        <f aca="false">IF(B2699="","",IF(N2699=_xlfn.MAXIFS($N$2:$N$5001,$B$2:$B$5001,B2699,$I$2:$I$5001,I2699),1,0))</f>
        <v/>
      </c>
      <c r="M2699" s="16" t="str">
        <f aca="false">IF(B2699="","",IF(E2699="Em ajustes",IF(N2699=_xlfn.MINIFS($N$2:$N$5001,$B$2:$B$5001,B2699,$E$2:$E$5001,"Em ajustes"),1,0),0))</f>
        <v/>
      </c>
      <c r="N2699" s="17" t="str">
        <f aca="false">IF(A2699="","",IF(ISNUMBER(A2699),A2699,IFERROR(DATE(VALUE(MID(A2699,7,4)),VALUE(MID(A2699,4,2)),VALUE(MID(A2699,1,2)))+TIME(VALUE(MID(A2699,12,2)),VALUE(MID(A2699,15,2)),VALUE(MID(A2699,18,2))),"")))</f>
        <v/>
      </c>
    </row>
    <row r="2700" customFormat="false" ht="15" hidden="false" customHeight="false" outlineLevel="0" collapsed="false">
      <c r="I2700" s="15" t="str">
        <f aca="false">IF(N2700="","",INT(N2700))</f>
        <v/>
      </c>
      <c r="J2700" s="16" t="str">
        <f aca="false">IF(B2700="","",IF(N2700=_xlfn.MINIFS($N$2:$N$5001,$B$2:$B$5001,B2700),1,0))</f>
        <v/>
      </c>
      <c r="K2700" s="16" t="str">
        <f aca="false">IF(B2700="","",IF(AND(D2700="Formalização",E2700="Concluído"),IF(COUNTIFS($B$2:$B$5001,B2700,$E$2:$E$5001,"Em ajustes",$N$2:$N$5001,"&lt;"&amp;I2700)&gt;0,1,0),0))</f>
        <v/>
      </c>
      <c r="L2700" s="16" t="str">
        <f aca="false">IF(B2700="","",IF(N2700=_xlfn.MAXIFS($N$2:$N$5001,$B$2:$B$5001,B2700,$I$2:$I$5001,I2700),1,0))</f>
        <v/>
      </c>
      <c r="M2700" s="16" t="str">
        <f aca="false">IF(B2700="","",IF(E2700="Em ajustes",IF(N2700=_xlfn.MINIFS($N$2:$N$5001,$B$2:$B$5001,B2700,$E$2:$E$5001,"Em ajustes"),1,0),0))</f>
        <v/>
      </c>
      <c r="N2700" s="17" t="str">
        <f aca="false">IF(A2700="","",IF(ISNUMBER(A2700),A2700,IFERROR(DATE(VALUE(MID(A2700,7,4)),VALUE(MID(A2700,4,2)),VALUE(MID(A2700,1,2)))+TIME(VALUE(MID(A2700,12,2)),VALUE(MID(A2700,15,2)),VALUE(MID(A2700,18,2))),"")))</f>
        <v/>
      </c>
    </row>
    <row r="2701" customFormat="false" ht="15" hidden="false" customHeight="false" outlineLevel="0" collapsed="false">
      <c r="I2701" s="15" t="str">
        <f aca="false">IF(N2701="","",INT(N2701))</f>
        <v/>
      </c>
      <c r="J2701" s="16" t="str">
        <f aca="false">IF(B2701="","",IF(N2701=_xlfn.MINIFS($N$2:$N$5001,$B$2:$B$5001,B2701),1,0))</f>
        <v/>
      </c>
      <c r="K2701" s="16" t="str">
        <f aca="false">IF(B2701="","",IF(AND(D2701="Formalização",E2701="Concluído"),IF(COUNTIFS($B$2:$B$5001,B2701,$E$2:$E$5001,"Em ajustes",$N$2:$N$5001,"&lt;"&amp;I2701)&gt;0,1,0),0))</f>
        <v/>
      </c>
      <c r="L2701" s="16" t="str">
        <f aca="false">IF(B2701="","",IF(N2701=_xlfn.MAXIFS($N$2:$N$5001,$B$2:$B$5001,B2701,$I$2:$I$5001,I2701),1,0))</f>
        <v/>
      </c>
      <c r="M2701" s="16" t="str">
        <f aca="false">IF(B2701="","",IF(E2701="Em ajustes",IF(N2701=_xlfn.MINIFS($N$2:$N$5001,$B$2:$B$5001,B2701,$E$2:$E$5001,"Em ajustes"),1,0),0))</f>
        <v/>
      </c>
      <c r="N2701" s="17" t="str">
        <f aca="false">IF(A2701="","",IF(ISNUMBER(A2701),A2701,IFERROR(DATE(VALUE(MID(A2701,7,4)),VALUE(MID(A2701,4,2)),VALUE(MID(A2701,1,2)))+TIME(VALUE(MID(A2701,12,2)),VALUE(MID(A2701,15,2)),VALUE(MID(A2701,18,2))),"")))</f>
        <v/>
      </c>
    </row>
    <row r="2702" customFormat="false" ht="15" hidden="false" customHeight="false" outlineLevel="0" collapsed="false">
      <c r="I2702" s="15" t="str">
        <f aca="false">IF(N2702="","",INT(N2702))</f>
        <v/>
      </c>
      <c r="J2702" s="16" t="str">
        <f aca="false">IF(B2702="","",IF(N2702=_xlfn.MINIFS($N$2:$N$5001,$B$2:$B$5001,B2702),1,0))</f>
        <v/>
      </c>
      <c r="K2702" s="16" t="str">
        <f aca="false">IF(B2702="","",IF(AND(D2702="Formalização",E2702="Concluído"),IF(COUNTIFS($B$2:$B$5001,B2702,$E$2:$E$5001,"Em ajustes",$N$2:$N$5001,"&lt;"&amp;I2702)&gt;0,1,0),0))</f>
        <v/>
      </c>
      <c r="L2702" s="16" t="str">
        <f aca="false">IF(B2702="","",IF(N2702=_xlfn.MAXIFS($N$2:$N$5001,$B$2:$B$5001,B2702,$I$2:$I$5001,I2702),1,0))</f>
        <v/>
      </c>
      <c r="M2702" s="16" t="str">
        <f aca="false">IF(B2702="","",IF(E2702="Em ajustes",IF(N2702=_xlfn.MINIFS($N$2:$N$5001,$B$2:$B$5001,B2702,$E$2:$E$5001,"Em ajustes"),1,0),0))</f>
        <v/>
      </c>
      <c r="N2702" s="17" t="str">
        <f aca="false">IF(A2702="","",IF(ISNUMBER(A2702),A2702,IFERROR(DATE(VALUE(MID(A2702,7,4)),VALUE(MID(A2702,4,2)),VALUE(MID(A2702,1,2)))+TIME(VALUE(MID(A2702,12,2)),VALUE(MID(A2702,15,2)),VALUE(MID(A2702,18,2))),"")))</f>
        <v/>
      </c>
    </row>
    <row r="2703" customFormat="false" ht="15" hidden="false" customHeight="false" outlineLevel="0" collapsed="false">
      <c r="I2703" s="15" t="str">
        <f aca="false">IF(N2703="","",INT(N2703))</f>
        <v/>
      </c>
      <c r="J2703" s="16" t="str">
        <f aca="false">IF(B2703="","",IF(N2703=_xlfn.MINIFS($N$2:$N$5001,$B$2:$B$5001,B2703),1,0))</f>
        <v/>
      </c>
      <c r="K2703" s="16" t="str">
        <f aca="false">IF(B2703="","",IF(AND(D2703="Formalização",E2703="Concluído"),IF(COUNTIFS($B$2:$B$5001,B2703,$E$2:$E$5001,"Em ajustes",$N$2:$N$5001,"&lt;"&amp;I2703)&gt;0,1,0),0))</f>
        <v/>
      </c>
      <c r="L2703" s="16" t="str">
        <f aca="false">IF(B2703="","",IF(N2703=_xlfn.MAXIFS($N$2:$N$5001,$B$2:$B$5001,B2703,$I$2:$I$5001,I2703),1,0))</f>
        <v/>
      </c>
      <c r="M2703" s="16" t="str">
        <f aca="false">IF(B2703="","",IF(E2703="Em ajustes",IF(N2703=_xlfn.MINIFS($N$2:$N$5001,$B$2:$B$5001,B2703,$E$2:$E$5001,"Em ajustes"),1,0),0))</f>
        <v/>
      </c>
      <c r="N2703" s="17" t="str">
        <f aca="false">IF(A2703="","",IF(ISNUMBER(A2703),A2703,IFERROR(DATE(VALUE(MID(A2703,7,4)),VALUE(MID(A2703,4,2)),VALUE(MID(A2703,1,2)))+TIME(VALUE(MID(A2703,12,2)),VALUE(MID(A2703,15,2)),VALUE(MID(A2703,18,2))),"")))</f>
        <v/>
      </c>
    </row>
    <row r="2704" customFormat="false" ht="15" hidden="false" customHeight="false" outlineLevel="0" collapsed="false">
      <c r="I2704" s="15" t="str">
        <f aca="false">IF(N2704="","",INT(N2704))</f>
        <v/>
      </c>
      <c r="J2704" s="16" t="str">
        <f aca="false">IF(B2704="","",IF(N2704=_xlfn.MINIFS($N$2:$N$5001,$B$2:$B$5001,B2704),1,0))</f>
        <v/>
      </c>
      <c r="K2704" s="16" t="str">
        <f aca="false">IF(B2704="","",IF(AND(D2704="Formalização",E2704="Concluído"),IF(COUNTIFS($B$2:$B$5001,B2704,$E$2:$E$5001,"Em ajustes",$N$2:$N$5001,"&lt;"&amp;I2704)&gt;0,1,0),0))</f>
        <v/>
      </c>
      <c r="L2704" s="16" t="str">
        <f aca="false">IF(B2704="","",IF(N2704=_xlfn.MAXIFS($N$2:$N$5001,$B$2:$B$5001,B2704,$I$2:$I$5001,I2704),1,0))</f>
        <v/>
      </c>
      <c r="M2704" s="16" t="str">
        <f aca="false">IF(B2704="","",IF(E2704="Em ajustes",IF(N2704=_xlfn.MINIFS($N$2:$N$5001,$B$2:$B$5001,B2704,$E$2:$E$5001,"Em ajustes"),1,0),0))</f>
        <v/>
      </c>
      <c r="N2704" s="17" t="str">
        <f aca="false">IF(A2704="","",IF(ISNUMBER(A2704),A2704,IFERROR(DATE(VALUE(MID(A2704,7,4)),VALUE(MID(A2704,4,2)),VALUE(MID(A2704,1,2)))+TIME(VALUE(MID(A2704,12,2)),VALUE(MID(A2704,15,2)),VALUE(MID(A2704,18,2))),"")))</f>
        <v/>
      </c>
    </row>
    <row r="2705" customFormat="false" ht="15" hidden="false" customHeight="false" outlineLevel="0" collapsed="false">
      <c r="I2705" s="15" t="str">
        <f aca="false">IF(N2705="","",INT(N2705))</f>
        <v/>
      </c>
      <c r="J2705" s="16" t="str">
        <f aca="false">IF(B2705="","",IF(N2705=_xlfn.MINIFS($N$2:$N$5001,$B$2:$B$5001,B2705),1,0))</f>
        <v/>
      </c>
      <c r="K2705" s="16" t="str">
        <f aca="false">IF(B2705="","",IF(AND(D2705="Formalização",E2705="Concluído"),IF(COUNTIFS($B$2:$B$5001,B2705,$E$2:$E$5001,"Em ajustes",$N$2:$N$5001,"&lt;"&amp;I2705)&gt;0,1,0),0))</f>
        <v/>
      </c>
      <c r="L2705" s="16" t="str">
        <f aca="false">IF(B2705="","",IF(N2705=_xlfn.MAXIFS($N$2:$N$5001,$B$2:$B$5001,B2705,$I$2:$I$5001,I2705),1,0))</f>
        <v/>
      </c>
      <c r="M2705" s="16" t="str">
        <f aca="false">IF(B2705="","",IF(E2705="Em ajustes",IF(N2705=_xlfn.MINIFS($N$2:$N$5001,$B$2:$B$5001,B2705,$E$2:$E$5001,"Em ajustes"),1,0),0))</f>
        <v/>
      </c>
      <c r="N2705" s="17" t="str">
        <f aca="false">IF(A2705="","",IF(ISNUMBER(A2705),A2705,IFERROR(DATE(VALUE(MID(A2705,7,4)),VALUE(MID(A2705,4,2)),VALUE(MID(A2705,1,2)))+TIME(VALUE(MID(A2705,12,2)),VALUE(MID(A2705,15,2)),VALUE(MID(A2705,18,2))),"")))</f>
        <v/>
      </c>
    </row>
    <row r="2706" customFormat="false" ht="15" hidden="false" customHeight="false" outlineLevel="0" collapsed="false">
      <c r="I2706" s="15" t="str">
        <f aca="false">IF(N2706="","",INT(N2706))</f>
        <v/>
      </c>
      <c r="J2706" s="16" t="str">
        <f aca="false">IF(B2706="","",IF(N2706=_xlfn.MINIFS($N$2:$N$5001,$B$2:$B$5001,B2706),1,0))</f>
        <v/>
      </c>
      <c r="K2706" s="16" t="str">
        <f aca="false">IF(B2706="","",IF(AND(D2706="Formalização",E2706="Concluído"),IF(COUNTIFS($B$2:$B$5001,B2706,$E$2:$E$5001,"Em ajustes",$N$2:$N$5001,"&lt;"&amp;I2706)&gt;0,1,0),0))</f>
        <v/>
      </c>
      <c r="L2706" s="16" t="str">
        <f aca="false">IF(B2706="","",IF(N2706=_xlfn.MAXIFS($N$2:$N$5001,$B$2:$B$5001,B2706,$I$2:$I$5001,I2706),1,0))</f>
        <v/>
      </c>
      <c r="M2706" s="16" t="str">
        <f aca="false">IF(B2706="","",IF(E2706="Em ajustes",IF(N2706=_xlfn.MINIFS($N$2:$N$5001,$B$2:$B$5001,B2706,$E$2:$E$5001,"Em ajustes"),1,0),0))</f>
        <v/>
      </c>
      <c r="N2706" s="17" t="str">
        <f aca="false">IF(A2706="","",IF(ISNUMBER(A2706),A2706,IFERROR(DATE(VALUE(MID(A2706,7,4)),VALUE(MID(A2706,4,2)),VALUE(MID(A2706,1,2)))+TIME(VALUE(MID(A2706,12,2)),VALUE(MID(A2706,15,2)),VALUE(MID(A2706,18,2))),"")))</f>
        <v/>
      </c>
    </row>
    <row r="2707" customFormat="false" ht="15" hidden="false" customHeight="false" outlineLevel="0" collapsed="false">
      <c r="I2707" s="15" t="str">
        <f aca="false">IF(N2707="","",INT(N2707))</f>
        <v/>
      </c>
      <c r="J2707" s="16" t="str">
        <f aca="false">IF(B2707="","",IF(N2707=_xlfn.MINIFS($N$2:$N$5001,$B$2:$B$5001,B2707),1,0))</f>
        <v/>
      </c>
      <c r="K2707" s="16" t="str">
        <f aca="false">IF(B2707="","",IF(AND(D2707="Formalização",E2707="Concluído"),IF(COUNTIFS($B$2:$B$5001,B2707,$E$2:$E$5001,"Em ajustes",$N$2:$N$5001,"&lt;"&amp;I2707)&gt;0,1,0),0))</f>
        <v/>
      </c>
      <c r="L2707" s="16" t="str">
        <f aca="false">IF(B2707="","",IF(N2707=_xlfn.MAXIFS($N$2:$N$5001,$B$2:$B$5001,B2707,$I$2:$I$5001,I2707),1,0))</f>
        <v/>
      </c>
      <c r="M2707" s="16" t="str">
        <f aca="false">IF(B2707="","",IF(E2707="Em ajustes",IF(N2707=_xlfn.MINIFS($N$2:$N$5001,$B$2:$B$5001,B2707,$E$2:$E$5001,"Em ajustes"),1,0),0))</f>
        <v/>
      </c>
      <c r="N2707" s="17" t="str">
        <f aca="false">IF(A2707="","",IF(ISNUMBER(A2707),A2707,IFERROR(DATE(VALUE(MID(A2707,7,4)),VALUE(MID(A2707,4,2)),VALUE(MID(A2707,1,2)))+TIME(VALUE(MID(A2707,12,2)),VALUE(MID(A2707,15,2)),VALUE(MID(A2707,18,2))),"")))</f>
        <v/>
      </c>
    </row>
    <row r="2708" customFormat="false" ht="15" hidden="false" customHeight="false" outlineLevel="0" collapsed="false">
      <c r="I2708" s="15" t="str">
        <f aca="false">IF(N2708="","",INT(N2708))</f>
        <v/>
      </c>
      <c r="J2708" s="16" t="str">
        <f aca="false">IF(B2708="","",IF(N2708=_xlfn.MINIFS($N$2:$N$5001,$B$2:$B$5001,B2708),1,0))</f>
        <v/>
      </c>
      <c r="K2708" s="16" t="str">
        <f aca="false">IF(B2708="","",IF(AND(D2708="Formalização",E2708="Concluído"),IF(COUNTIFS($B$2:$B$5001,B2708,$E$2:$E$5001,"Em ajustes",$N$2:$N$5001,"&lt;"&amp;I2708)&gt;0,1,0),0))</f>
        <v/>
      </c>
      <c r="L2708" s="16" t="str">
        <f aca="false">IF(B2708="","",IF(N2708=_xlfn.MAXIFS($N$2:$N$5001,$B$2:$B$5001,B2708,$I$2:$I$5001,I2708),1,0))</f>
        <v/>
      </c>
      <c r="M2708" s="16" t="str">
        <f aca="false">IF(B2708="","",IF(E2708="Em ajustes",IF(N2708=_xlfn.MINIFS($N$2:$N$5001,$B$2:$B$5001,B2708,$E$2:$E$5001,"Em ajustes"),1,0),0))</f>
        <v/>
      </c>
      <c r="N2708" s="17" t="str">
        <f aca="false">IF(A2708="","",IF(ISNUMBER(A2708),A2708,IFERROR(DATE(VALUE(MID(A2708,7,4)),VALUE(MID(A2708,4,2)),VALUE(MID(A2708,1,2)))+TIME(VALUE(MID(A2708,12,2)),VALUE(MID(A2708,15,2)),VALUE(MID(A2708,18,2))),"")))</f>
        <v/>
      </c>
    </row>
    <row r="2709" customFormat="false" ht="15" hidden="false" customHeight="false" outlineLevel="0" collapsed="false">
      <c r="I2709" s="15" t="str">
        <f aca="false">IF(N2709="","",INT(N2709))</f>
        <v/>
      </c>
      <c r="J2709" s="16" t="str">
        <f aca="false">IF(B2709="","",IF(N2709=_xlfn.MINIFS($N$2:$N$5001,$B$2:$B$5001,B2709),1,0))</f>
        <v/>
      </c>
      <c r="K2709" s="16" t="str">
        <f aca="false">IF(B2709="","",IF(AND(D2709="Formalização",E2709="Concluído"),IF(COUNTIFS($B$2:$B$5001,B2709,$E$2:$E$5001,"Em ajustes",$N$2:$N$5001,"&lt;"&amp;I2709)&gt;0,1,0),0))</f>
        <v/>
      </c>
      <c r="L2709" s="16" t="str">
        <f aca="false">IF(B2709="","",IF(N2709=_xlfn.MAXIFS($N$2:$N$5001,$B$2:$B$5001,B2709,$I$2:$I$5001,I2709),1,0))</f>
        <v/>
      </c>
      <c r="M2709" s="16" t="str">
        <f aca="false">IF(B2709="","",IF(E2709="Em ajustes",IF(N2709=_xlfn.MINIFS($N$2:$N$5001,$B$2:$B$5001,B2709,$E$2:$E$5001,"Em ajustes"),1,0),0))</f>
        <v/>
      </c>
      <c r="N2709" s="17" t="str">
        <f aca="false">IF(A2709="","",IF(ISNUMBER(A2709),A2709,IFERROR(DATE(VALUE(MID(A2709,7,4)),VALUE(MID(A2709,4,2)),VALUE(MID(A2709,1,2)))+TIME(VALUE(MID(A2709,12,2)),VALUE(MID(A2709,15,2)),VALUE(MID(A2709,18,2))),"")))</f>
        <v/>
      </c>
    </row>
    <row r="2710" customFormat="false" ht="15" hidden="false" customHeight="false" outlineLevel="0" collapsed="false">
      <c r="I2710" s="15" t="str">
        <f aca="false">IF(N2710="","",INT(N2710))</f>
        <v/>
      </c>
      <c r="J2710" s="16" t="str">
        <f aca="false">IF(B2710="","",IF(N2710=_xlfn.MINIFS($N$2:$N$5001,$B$2:$B$5001,B2710),1,0))</f>
        <v/>
      </c>
      <c r="K2710" s="16" t="str">
        <f aca="false">IF(B2710="","",IF(AND(D2710="Formalização",E2710="Concluído"),IF(COUNTIFS($B$2:$B$5001,B2710,$E$2:$E$5001,"Em ajustes",$N$2:$N$5001,"&lt;"&amp;I2710)&gt;0,1,0),0))</f>
        <v/>
      </c>
      <c r="L2710" s="16" t="str">
        <f aca="false">IF(B2710="","",IF(N2710=_xlfn.MAXIFS($N$2:$N$5001,$B$2:$B$5001,B2710,$I$2:$I$5001,I2710),1,0))</f>
        <v/>
      </c>
      <c r="M2710" s="16" t="str">
        <f aca="false">IF(B2710="","",IF(E2710="Em ajustes",IF(N2710=_xlfn.MINIFS($N$2:$N$5001,$B$2:$B$5001,B2710,$E$2:$E$5001,"Em ajustes"),1,0),0))</f>
        <v/>
      </c>
      <c r="N2710" s="17" t="str">
        <f aca="false">IF(A2710="","",IF(ISNUMBER(A2710),A2710,IFERROR(DATE(VALUE(MID(A2710,7,4)),VALUE(MID(A2710,4,2)),VALUE(MID(A2710,1,2)))+TIME(VALUE(MID(A2710,12,2)),VALUE(MID(A2710,15,2)),VALUE(MID(A2710,18,2))),"")))</f>
        <v/>
      </c>
    </row>
    <row r="2711" customFormat="false" ht="15" hidden="false" customHeight="false" outlineLevel="0" collapsed="false">
      <c r="I2711" s="15" t="str">
        <f aca="false">IF(N2711="","",INT(N2711))</f>
        <v/>
      </c>
      <c r="J2711" s="16" t="str">
        <f aca="false">IF(B2711="","",IF(N2711=_xlfn.MINIFS($N$2:$N$5001,$B$2:$B$5001,B2711),1,0))</f>
        <v/>
      </c>
      <c r="K2711" s="16" t="str">
        <f aca="false">IF(B2711="","",IF(AND(D2711="Formalização",E2711="Concluído"),IF(COUNTIFS($B$2:$B$5001,B2711,$E$2:$E$5001,"Em ajustes",$N$2:$N$5001,"&lt;"&amp;I2711)&gt;0,1,0),0))</f>
        <v/>
      </c>
      <c r="L2711" s="16" t="str">
        <f aca="false">IF(B2711="","",IF(N2711=_xlfn.MAXIFS($N$2:$N$5001,$B$2:$B$5001,B2711,$I$2:$I$5001,I2711),1,0))</f>
        <v/>
      </c>
      <c r="M2711" s="16" t="str">
        <f aca="false">IF(B2711="","",IF(E2711="Em ajustes",IF(N2711=_xlfn.MINIFS($N$2:$N$5001,$B$2:$B$5001,B2711,$E$2:$E$5001,"Em ajustes"),1,0),0))</f>
        <v/>
      </c>
      <c r="N2711" s="17" t="str">
        <f aca="false">IF(A2711="","",IF(ISNUMBER(A2711),A2711,IFERROR(DATE(VALUE(MID(A2711,7,4)),VALUE(MID(A2711,4,2)),VALUE(MID(A2711,1,2)))+TIME(VALUE(MID(A2711,12,2)),VALUE(MID(A2711,15,2)),VALUE(MID(A2711,18,2))),"")))</f>
        <v/>
      </c>
    </row>
    <row r="2712" customFormat="false" ht="15" hidden="false" customHeight="false" outlineLevel="0" collapsed="false">
      <c r="I2712" s="15" t="str">
        <f aca="false">IF(N2712="","",INT(N2712))</f>
        <v/>
      </c>
      <c r="J2712" s="16" t="str">
        <f aca="false">IF(B2712="","",IF(N2712=_xlfn.MINIFS($N$2:$N$5001,$B$2:$B$5001,B2712),1,0))</f>
        <v/>
      </c>
      <c r="K2712" s="16" t="str">
        <f aca="false">IF(B2712="","",IF(AND(D2712="Formalização",E2712="Concluído"),IF(COUNTIFS($B$2:$B$5001,B2712,$E$2:$E$5001,"Em ajustes",$N$2:$N$5001,"&lt;"&amp;I2712)&gt;0,1,0),0))</f>
        <v/>
      </c>
      <c r="L2712" s="16" t="str">
        <f aca="false">IF(B2712="","",IF(N2712=_xlfn.MAXIFS($N$2:$N$5001,$B$2:$B$5001,B2712,$I$2:$I$5001,I2712),1,0))</f>
        <v/>
      </c>
      <c r="M2712" s="16" t="str">
        <f aca="false">IF(B2712="","",IF(E2712="Em ajustes",IF(N2712=_xlfn.MINIFS($N$2:$N$5001,$B$2:$B$5001,B2712,$E$2:$E$5001,"Em ajustes"),1,0),0))</f>
        <v/>
      </c>
      <c r="N2712" s="17" t="str">
        <f aca="false">IF(A2712="","",IF(ISNUMBER(A2712),A2712,IFERROR(DATE(VALUE(MID(A2712,7,4)),VALUE(MID(A2712,4,2)),VALUE(MID(A2712,1,2)))+TIME(VALUE(MID(A2712,12,2)),VALUE(MID(A2712,15,2)),VALUE(MID(A2712,18,2))),"")))</f>
        <v/>
      </c>
    </row>
    <row r="2713" customFormat="false" ht="15" hidden="false" customHeight="false" outlineLevel="0" collapsed="false">
      <c r="I2713" s="15" t="str">
        <f aca="false">IF(N2713="","",INT(N2713))</f>
        <v/>
      </c>
      <c r="J2713" s="16" t="str">
        <f aca="false">IF(B2713="","",IF(N2713=_xlfn.MINIFS($N$2:$N$5001,$B$2:$B$5001,B2713),1,0))</f>
        <v/>
      </c>
      <c r="K2713" s="16" t="str">
        <f aca="false">IF(B2713="","",IF(AND(D2713="Formalização",E2713="Concluído"),IF(COUNTIFS($B$2:$B$5001,B2713,$E$2:$E$5001,"Em ajustes",$N$2:$N$5001,"&lt;"&amp;I2713)&gt;0,1,0),0))</f>
        <v/>
      </c>
      <c r="L2713" s="16" t="str">
        <f aca="false">IF(B2713="","",IF(N2713=_xlfn.MAXIFS($N$2:$N$5001,$B$2:$B$5001,B2713,$I$2:$I$5001,I2713),1,0))</f>
        <v/>
      </c>
      <c r="M2713" s="16" t="str">
        <f aca="false">IF(B2713="","",IF(E2713="Em ajustes",IF(N2713=_xlfn.MINIFS($N$2:$N$5001,$B$2:$B$5001,B2713,$E$2:$E$5001,"Em ajustes"),1,0),0))</f>
        <v/>
      </c>
      <c r="N2713" s="17" t="str">
        <f aca="false">IF(A2713="","",IF(ISNUMBER(A2713),A2713,IFERROR(DATE(VALUE(MID(A2713,7,4)),VALUE(MID(A2713,4,2)),VALUE(MID(A2713,1,2)))+TIME(VALUE(MID(A2713,12,2)),VALUE(MID(A2713,15,2)),VALUE(MID(A2713,18,2))),"")))</f>
        <v/>
      </c>
    </row>
    <row r="2714" customFormat="false" ht="15" hidden="false" customHeight="false" outlineLevel="0" collapsed="false">
      <c r="I2714" s="15" t="str">
        <f aca="false">IF(N2714="","",INT(N2714))</f>
        <v/>
      </c>
      <c r="J2714" s="16" t="str">
        <f aca="false">IF(B2714="","",IF(N2714=_xlfn.MINIFS($N$2:$N$5001,$B$2:$B$5001,B2714),1,0))</f>
        <v/>
      </c>
      <c r="K2714" s="16" t="str">
        <f aca="false">IF(B2714="","",IF(AND(D2714="Formalização",E2714="Concluído"),IF(COUNTIFS($B$2:$B$5001,B2714,$E$2:$E$5001,"Em ajustes",$N$2:$N$5001,"&lt;"&amp;I2714)&gt;0,1,0),0))</f>
        <v/>
      </c>
      <c r="L2714" s="16" t="str">
        <f aca="false">IF(B2714="","",IF(N2714=_xlfn.MAXIFS($N$2:$N$5001,$B$2:$B$5001,B2714,$I$2:$I$5001,I2714),1,0))</f>
        <v/>
      </c>
      <c r="M2714" s="16" t="str">
        <f aca="false">IF(B2714="","",IF(E2714="Em ajustes",IF(N2714=_xlfn.MINIFS($N$2:$N$5001,$B$2:$B$5001,B2714,$E$2:$E$5001,"Em ajustes"),1,0),0))</f>
        <v/>
      </c>
      <c r="N2714" s="17" t="str">
        <f aca="false">IF(A2714="","",IF(ISNUMBER(A2714),A2714,IFERROR(DATE(VALUE(MID(A2714,7,4)),VALUE(MID(A2714,4,2)),VALUE(MID(A2714,1,2)))+TIME(VALUE(MID(A2714,12,2)),VALUE(MID(A2714,15,2)),VALUE(MID(A2714,18,2))),"")))</f>
        <v/>
      </c>
    </row>
    <row r="2715" customFormat="false" ht="15" hidden="false" customHeight="false" outlineLevel="0" collapsed="false">
      <c r="I2715" s="15" t="str">
        <f aca="false">IF(N2715="","",INT(N2715))</f>
        <v/>
      </c>
      <c r="J2715" s="16" t="str">
        <f aca="false">IF(B2715="","",IF(N2715=_xlfn.MINIFS($N$2:$N$5001,$B$2:$B$5001,B2715),1,0))</f>
        <v/>
      </c>
      <c r="K2715" s="16" t="str">
        <f aca="false">IF(B2715="","",IF(AND(D2715="Formalização",E2715="Concluído"),IF(COUNTIFS($B$2:$B$5001,B2715,$E$2:$E$5001,"Em ajustes",$N$2:$N$5001,"&lt;"&amp;I2715)&gt;0,1,0),0))</f>
        <v/>
      </c>
      <c r="L2715" s="16" t="str">
        <f aca="false">IF(B2715="","",IF(N2715=_xlfn.MAXIFS($N$2:$N$5001,$B$2:$B$5001,B2715,$I$2:$I$5001,I2715),1,0))</f>
        <v/>
      </c>
      <c r="M2715" s="16" t="str">
        <f aca="false">IF(B2715="","",IF(E2715="Em ajustes",IF(N2715=_xlfn.MINIFS($N$2:$N$5001,$B$2:$B$5001,B2715,$E$2:$E$5001,"Em ajustes"),1,0),0))</f>
        <v/>
      </c>
      <c r="N2715" s="17" t="str">
        <f aca="false">IF(A2715="","",IF(ISNUMBER(A2715),A2715,IFERROR(DATE(VALUE(MID(A2715,7,4)),VALUE(MID(A2715,4,2)),VALUE(MID(A2715,1,2)))+TIME(VALUE(MID(A2715,12,2)),VALUE(MID(A2715,15,2)),VALUE(MID(A2715,18,2))),"")))</f>
        <v/>
      </c>
    </row>
    <row r="2716" customFormat="false" ht="15" hidden="false" customHeight="false" outlineLevel="0" collapsed="false">
      <c r="I2716" s="15" t="str">
        <f aca="false">IF(N2716="","",INT(N2716))</f>
        <v/>
      </c>
      <c r="J2716" s="16" t="str">
        <f aca="false">IF(B2716="","",IF(N2716=_xlfn.MINIFS($N$2:$N$5001,$B$2:$B$5001,B2716),1,0))</f>
        <v/>
      </c>
      <c r="K2716" s="16" t="str">
        <f aca="false">IF(B2716="","",IF(AND(D2716="Formalização",E2716="Concluído"),IF(COUNTIFS($B$2:$B$5001,B2716,$E$2:$E$5001,"Em ajustes",$N$2:$N$5001,"&lt;"&amp;I2716)&gt;0,1,0),0))</f>
        <v/>
      </c>
      <c r="L2716" s="16" t="str">
        <f aca="false">IF(B2716="","",IF(N2716=_xlfn.MAXIFS($N$2:$N$5001,$B$2:$B$5001,B2716,$I$2:$I$5001,I2716),1,0))</f>
        <v/>
      </c>
      <c r="M2716" s="16" t="str">
        <f aca="false">IF(B2716="","",IF(E2716="Em ajustes",IF(N2716=_xlfn.MINIFS($N$2:$N$5001,$B$2:$B$5001,B2716,$E$2:$E$5001,"Em ajustes"),1,0),0))</f>
        <v/>
      </c>
      <c r="N2716" s="17" t="str">
        <f aca="false">IF(A2716="","",IF(ISNUMBER(A2716),A2716,IFERROR(DATE(VALUE(MID(A2716,7,4)),VALUE(MID(A2716,4,2)),VALUE(MID(A2716,1,2)))+TIME(VALUE(MID(A2716,12,2)),VALUE(MID(A2716,15,2)),VALUE(MID(A2716,18,2))),"")))</f>
        <v/>
      </c>
    </row>
    <row r="2717" customFormat="false" ht="15" hidden="false" customHeight="false" outlineLevel="0" collapsed="false">
      <c r="I2717" s="15" t="str">
        <f aca="false">IF(N2717="","",INT(N2717))</f>
        <v/>
      </c>
      <c r="J2717" s="16" t="str">
        <f aca="false">IF(B2717="","",IF(N2717=_xlfn.MINIFS($N$2:$N$5001,$B$2:$B$5001,B2717),1,0))</f>
        <v/>
      </c>
      <c r="K2717" s="16" t="str">
        <f aca="false">IF(B2717="","",IF(AND(D2717="Formalização",E2717="Concluído"),IF(COUNTIFS($B$2:$B$5001,B2717,$E$2:$E$5001,"Em ajustes",$N$2:$N$5001,"&lt;"&amp;I2717)&gt;0,1,0),0))</f>
        <v/>
      </c>
      <c r="L2717" s="16" t="str">
        <f aca="false">IF(B2717="","",IF(N2717=_xlfn.MAXIFS($N$2:$N$5001,$B$2:$B$5001,B2717,$I$2:$I$5001,I2717),1,0))</f>
        <v/>
      </c>
      <c r="M2717" s="16" t="str">
        <f aca="false">IF(B2717="","",IF(E2717="Em ajustes",IF(N2717=_xlfn.MINIFS($N$2:$N$5001,$B$2:$B$5001,B2717,$E$2:$E$5001,"Em ajustes"),1,0),0))</f>
        <v/>
      </c>
      <c r="N2717" s="17" t="str">
        <f aca="false">IF(A2717="","",IF(ISNUMBER(A2717),A2717,IFERROR(DATE(VALUE(MID(A2717,7,4)),VALUE(MID(A2717,4,2)),VALUE(MID(A2717,1,2)))+TIME(VALUE(MID(A2717,12,2)),VALUE(MID(A2717,15,2)),VALUE(MID(A2717,18,2))),"")))</f>
        <v/>
      </c>
    </row>
    <row r="2718" customFormat="false" ht="15" hidden="false" customHeight="false" outlineLevel="0" collapsed="false">
      <c r="I2718" s="15" t="str">
        <f aca="false">IF(N2718="","",INT(N2718))</f>
        <v/>
      </c>
      <c r="J2718" s="16" t="str">
        <f aca="false">IF(B2718="","",IF(N2718=_xlfn.MINIFS($N$2:$N$5001,$B$2:$B$5001,B2718),1,0))</f>
        <v/>
      </c>
      <c r="K2718" s="16" t="str">
        <f aca="false">IF(B2718="","",IF(AND(D2718="Formalização",E2718="Concluído"),IF(COUNTIFS($B$2:$B$5001,B2718,$E$2:$E$5001,"Em ajustes",$N$2:$N$5001,"&lt;"&amp;I2718)&gt;0,1,0),0))</f>
        <v/>
      </c>
      <c r="L2718" s="16" t="str">
        <f aca="false">IF(B2718="","",IF(N2718=_xlfn.MAXIFS($N$2:$N$5001,$B$2:$B$5001,B2718,$I$2:$I$5001,I2718),1,0))</f>
        <v/>
      </c>
      <c r="M2718" s="16" t="str">
        <f aca="false">IF(B2718="","",IF(E2718="Em ajustes",IF(N2718=_xlfn.MINIFS($N$2:$N$5001,$B$2:$B$5001,B2718,$E$2:$E$5001,"Em ajustes"),1,0),0))</f>
        <v/>
      </c>
      <c r="N2718" s="17" t="str">
        <f aca="false">IF(A2718="","",IF(ISNUMBER(A2718),A2718,IFERROR(DATE(VALUE(MID(A2718,7,4)),VALUE(MID(A2718,4,2)),VALUE(MID(A2718,1,2)))+TIME(VALUE(MID(A2718,12,2)),VALUE(MID(A2718,15,2)),VALUE(MID(A2718,18,2))),"")))</f>
        <v/>
      </c>
    </row>
    <row r="2719" customFormat="false" ht="15" hidden="false" customHeight="false" outlineLevel="0" collapsed="false">
      <c r="I2719" s="15" t="str">
        <f aca="false">IF(N2719="","",INT(N2719))</f>
        <v/>
      </c>
      <c r="J2719" s="16" t="str">
        <f aca="false">IF(B2719="","",IF(N2719=_xlfn.MINIFS($N$2:$N$5001,$B$2:$B$5001,B2719),1,0))</f>
        <v/>
      </c>
      <c r="K2719" s="16" t="str">
        <f aca="false">IF(B2719="","",IF(AND(D2719="Formalização",E2719="Concluído"),IF(COUNTIFS($B$2:$B$5001,B2719,$E$2:$E$5001,"Em ajustes",$N$2:$N$5001,"&lt;"&amp;I2719)&gt;0,1,0),0))</f>
        <v/>
      </c>
      <c r="L2719" s="16" t="str">
        <f aca="false">IF(B2719="","",IF(N2719=_xlfn.MAXIFS($N$2:$N$5001,$B$2:$B$5001,B2719,$I$2:$I$5001,I2719),1,0))</f>
        <v/>
      </c>
      <c r="M2719" s="16" t="str">
        <f aca="false">IF(B2719="","",IF(E2719="Em ajustes",IF(N2719=_xlfn.MINIFS($N$2:$N$5001,$B$2:$B$5001,B2719,$E$2:$E$5001,"Em ajustes"),1,0),0))</f>
        <v/>
      </c>
      <c r="N2719" s="17" t="str">
        <f aca="false">IF(A2719="","",IF(ISNUMBER(A2719),A2719,IFERROR(DATE(VALUE(MID(A2719,7,4)),VALUE(MID(A2719,4,2)),VALUE(MID(A2719,1,2)))+TIME(VALUE(MID(A2719,12,2)),VALUE(MID(A2719,15,2)),VALUE(MID(A2719,18,2))),"")))</f>
        <v/>
      </c>
    </row>
    <row r="2720" customFormat="false" ht="15" hidden="false" customHeight="false" outlineLevel="0" collapsed="false">
      <c r="I2720" s="15" t="str">
        <f aca="false">IF(N2720="","",INT(N2720))</f>
        <v/>
      </c>
      <c r="J2720" s="16" t="str">
        <f aca="false">IF(B2720="","",IF(N2720=_xlfn.MINIFS($N$2:$N$5001,$B$2:$B$5001,B2720),1,0))</f>
        <v/>
      </c>
      <c r="K2720" s="16" t="str">
        <f aca="false">IF(B2720="","",IF(AND(D2720="Formalização",E2720="Concluído"),IF(COUNTIFS($B$2:$B$5001,B2720,$E$2:$E$5001,"Em ajustes",$N$2:$N$5001,"&lt;"&amp;I2720)&gt;0,1,0),0))</f>
        <v/>
      </c>
      <c r="L2720" s="16" t="str">
        <f aca="false">IF(B2720="","",IF(N2720=_xlfn.MAXIFS($N$2:$N$5001,$B$2:$B$5001,B2720,$I$2:$I$5001,I2720),1,0))</f>
        <v/>
      </c>
      <c r="M2720" s="16" t="str">
        <f aca="false">IF(B2720="","",IF(E2720="Em ajustes",IF(N2720=_xlfn.MINIFS($N$2:$N$5001,$B$2:$B$5001,B2720,$E$2:$E$5001,"Em ajustes"),1,0),0))</f>
        <v/>
      </c>
      <c r="N2720" s="17" t="str">
        <f aca="false">IF(A2720="","",IF(ISNUMBER(A2720),A2720,IFERROR(DATE(VALUE(MID(A2720,7,4)),VALUE(MID(A2720,4,2)),VALUE(MID(A2720,1,2)))+TIME(VALUE(MID(A2720,12,2)),VALUE(MID(A2720,15,2)),VALUE(MID(A2720,18,2))),"")))</f>
        <v/>
      </c>
    </row>
    <row r="2721" customFormat="false" ht="15" hidden="false" customHeight="false" outlineLevel="0" collapsed="false">
      <c r="I2721" s="15" t="str">
        <f aca="false">IF(N2721="","",INT(N2721))</f>
        <v/>
      </c>
      <c r="J2721" s="16" t="str">
        <f aca="false">IF(B2721="","",IF(N2721=_xlfn.MINIFS($N$2:$N$5001,$B$2:$B$5001,B2721),1,0))</f>
        <v/>
      </c>
      <c r="K2721" s="16" t="str">
        <f aca="false">IF(B2721="","",IF(AND(D2721="Formalização",E2721="Concluído"),IF(COUNTIFS($B$2:$B$5001,B2721,$E$2:$E$5001,"Em ajustes",$N$2:$N$5001,"&lt;"&amp;I2721)&gt;0,1,0),0))</f>
        <v/>
      </c>
      <c r="L2721" s="16" t="str">
        <f aca="false">IF(B2721="","",IF(N2721=_xlfn.MAXIFS($N$2:$N$5001,$B$2:$B$5001,B2721,$I$2:$I$5001,I2721),1,0))</f>
        <v/>
      </c>
      <c r="M2721" s="16" t="str">
        <f aca="false">IF(B2721="","",IF(E2721="Em ajustes",IF(N2721=_xlfn.MINIFS($N$2:$N$5001,$B$2:$B$5001,B2721,$E$2:$E$5001,"Em ajustes"),1,0),0))</f>
        <v/>
      </c>
      <c r="N2721" s="17" t="str">
        <f aca="false">IF(A2721="","",IF(ISNUMBER(A2721),A2721,IFERROR(DATE(VALUE(MID(A2721,7,4)),VALUE(MID(A2721,4,2)),VALUE(MID(A2721,1,2)))+TIME(VALUE(MID(A2721,12,2)),VALUE(MID(A2721,15,2)),VALUE(MID(A2721,18,2))),"")))</f>
        <v/>
      </c>
    </row>
    <row r="2722" customFormat="false" ht="15" hidden="false" customHeight="false" outlineLevel="0" collapsed="false">
      <c r="I2722" s="15" t="str">
        <f aca="false">IF(N2722="","",INT(N2722))</f>
        <v/>
      </c>
      <c r="J2722" s="16" t="str">
        <f aca="false">IF(B2722="","",IF(N2722=_xlfn.MINIFS($N$2:$N$5001,$B$2:$B$5001,B2722),1,0))</f>
        <v/>
      </c>
      <c r="K2722" s="16" t="str">
        <f aca="false">IF(B2722="","",IF(AND(D2722="Formalização",E2722="Concluído"),IF(COUNTIFS($B$2:$B$5001,B2722,$E$2:$E$5001,"Em ajustes",$N$2:$N$5001,"&lt;"&amp;I2722)&gt;0,1,0),0))</f>
        <v/>
      </c>
      <c r="L2722" s="16" t="str">
        <f aca="false">IF(B2722="","",IF(N2722=_xlfn.MAXIFS($N$2:$N$5001,$B$2:$B$5001,B2722,$I$2:$I$5001,I2722),1,0))</f>
        <v/>
      </c>
      <c r="M2722" s="16" t="str">
        <f aca="false">IF(B2722="","",IF(E2722="Em ajustes",IF(N2722=_xlfn.MINIFS($N$2:$N$5001,$B$2:$B$5001,B2722,$E$2:$E$5001,"Em ajustes"),1,0),0))</f>
        <v/>
      </c>
      <c r="N2722" s="17" t="str">
        <f aca="false">IF(A2722="","",IF(ISNUMBER(A2722),A2722,IFERROR(DATE(VALUE(MID(A2722,7,4)),VALUE(MID(A2722,4,2)),VALUE(MID(A2722,1,2)))+TIME(VALUE(MID(A2722,12,2)),VALUE(MID(A2722,15,2)),VALUE(MID(A2722,18,2))),"")))</f>
        <v/>
      </c>
    </row>
    <row r="2723" customFormat="false" ht="15" hidden="false" customHeight="false" outlineLevel="0" collapsed="false">
      <c r="I2723" s="15" t="str">
        <f aca="false">IF(N2723="","",INT(N2723))</f>
        <v/>
      </c>
      <c r="J2723" s="16" t="str">
        <f aca="false">IF(B2723="","",IF(N2723=_xlfn.MINIFS($N$2:$N$5001,$B$2:$B$5001,B2723),1,0))</f>
        <v/>
      </c>
      <c r="K2723" s="16" t="str">
        <f aca="false">IF(B2723="","",IF(AND(D2723="Formalização",E2723="Concluído"),IF(COUNTIFS($B$2:$B$5001,B2723,$E$2:$E$5001,"Em ajustes",$N$2:$N$5001,"&lt;"&amp;I2723)&gt;0,1,0),0))</f>
        <v/>
      </c>
      <c r="L2723" s="16" t="str">
        <f aca="false">IF(B2723="","",IF(N2723=_xlfn.MAXIFS($N$2:$N$5001,$B$2:$B$5001,B2723,$I$2:$I$5001,I2723),1,0))</f>
        <v/>
      </c>
      <c r="M2723" s="16" t="str">
        <f aca="false">IF(B2723="","",IF(E2723="Em ajustes",IF(N2723=_xlfn.MINIFS($N$2:$N$5001,$B$2:$B$5001,B2723,$E$2:$E$5001,"Em ajustes"),1,0),0))</f>
        <v/>
      </c>
      <c r="N2723" s="17" t="str">
        <f aca="false">IF(A2723="","",IF(ISNUMBER(A2723),A2723,IFERROR(DATE(VALUE(MID(A2723,7,4)),VALUE(MID(A2723,4,2)),VALUE(MID(A2723,1,2)))+TIME(VALUE(MID(A2723,12,2)),VALUE(MID(A2723,15,2)),VALUE(MID(A2723,18,2))),"")))</f>
        <v/>
      </c>
    </row>
    <row r="2724" customFormat="false" ht="15" hidden="false" customHeight="false" outlineLevel="0" collapsed="false">
      <c r="I2724" s="15" t="str">
        <f aca="false">IF(N2724="","",INT(N2724))</f>
        <v/>
      </c>
      <c r="J2724" s="16" t="str">
        <f aca="false">IF(B2724="","",IF(N2724=_xlfn.MINIFS($N$2:$N$5001,$B$2:$B$5001,B2724),1,0))</f>
        <v/>
      </c>
      <c r="K2724" s="16" t="str">
        <f aca="false">IF(B2724="","",IF(AND(D2724="Formalização",E2724="Concluído"),IF(COUNTIFS($B$2:$B$5001,B2724,$E$2:$E$5001,"Em ajustes",$N$2:$N$5001,"&lt;"&amp;I2724)&gt;0,1,0),0))</f>
        <v/>
      </c>
      <c r="L2724" s="16" t="str">
        <f aca="false">IF(B2724="","",IF(N2724=_xlfn.MAXIFS($N$2:$N$5001,$B$2:$B$5001,B2724,$I$2:$I$5001,I2724),1,0))</f>
        <v/>
      </c>
      <c r="M2724" s="16" t="str">
        <f aca="false">IF(B2724="","",IF(E2724="Em ajustes",IF(N2724=_xlfn.MINIFS($N$2:$N$5001,$B$2:$B$5001,B2724,$E$2:$E$5001,"Em ajustes"),1,0),0))</f>
        <v/>
      </c>
      <c r="N2724" s="17" t="str">
        <f aca="false">IF(A2724="","",IF(ISNUMBER(A2724),A2724,IFERROR(DATE(VALUE(MID(A2724,7,4)),VALUE(MID(A2724,4,2)),VALUE(MID(A2724,1,2)))+TIME(VALUE(MID(A2724,12,2)),VALUE(MID(A2724,15,2)),VALUE(MID(A2724,18,2))),"")))</f>
        <v/>
      </c>
    </row>
    <row r="2725" customFormat="false" ht="15" hidden="false" customHeight="false" outlineLevel="0" collapsed="false">
      <c r="I2725" s="15" t="str">
        <f aca="false">IF(N2725="","",INT(N2725))</f>
        <v/>
      </c>
      <c r="J2725" s="16" t="str">
        <f aca="false">IF(B2725="","",IF(N2725=_xlfn.MINIFS($N$2:$N$5001,$B$2:$B$5001,B2725),1,0))</f>
        <v/>
      </c>
      <c r="K2725" s="16" t="str">
        <f aca="false">IF(B2725="","",IF(AND(D2725="Formalização",E2725="Concluído"),IF(COUNTIFS($B$2:$B$5001,B2725,$E$2:$E$5001,"Em ajustes",$N$2:$N$5001,"&lt;"&amp;I2725)&gt;0,1,0),0))</f>
        <v/>
      </c>
      <c r="L2725" s="16" t="str">
        <f aca="false">IF(B2725="","",IF(N2725=_xlfn.MAXIFS($N$2:$N$5001,$B$2:$B$5001,B2725,$I$2:$I$5001,I2725),1,0))</f>
        <v/>
      </c>
      <c r="M2725" s="16" t="str">
        <f aca="false">IF(B2725="","",IF(E2725="Em ajustes",IF(N2725=_xlfn.MINIFS($N$2:$N$5001,$B$2:$B$5001,B2725,$E$2:$E$5001,"Em ajustes"),1,0),0))</f>
        <v/>
      </c>
      <c r="N2725" s="17" t="str">
        <f aca="false">IF(A2725="","",IF(ISNUMBER(A2725),A2725,IFERROR(DATE(VALUE(MID(A2725,7,4)),VALUE(MID(A2725,4,2)),VALUE(MID(A2725,1,2)))+TIME(VALUE(MID(A2725,12,2)),VALUE(MID(A2725,15,2)),VALUE(MID(A2725,18,2))),"")))</f>
        <v/>
      </c>
    </row>
    <row r="2726" customFormat="false" ht="15" hidden="false" customHeight="false" outlineLevel="0" collapsed="false">
      <c r="I2726" s="15" t="str">
        <f aca="false">IF(N2726="","",INT(N2726))</f>
        <v/>
      </c>
      <c r="J2726" s="16" t="str">
        <f aca="false">IF(B2726="","",IF(N2726=_xlfn.MINIFS($N$2:$N$5001,$B$2:$B$5001,B2726),1,0))</f>
        <v/>
      </c>
      <c r="K2726" s="16" t="str">
        <f aca="false">IF(B2726="","",IF(AND(D2726="Formalização",E2726="Concluído"),IF(COUNTIFS($B$2:$B$5001,B2726,$E$2:$E$5001,"Em ajustes",$N$2:$N$5001,"&lt;"&amp;I2726)&gt;0,1,0),0))</f>
        <v/>
      </c>
      <c r="L2726" s="16" t="str">
        <f aca="false">IF(B2726="","",IF(N2726=_xlfn.MAXIFS($N$2:$N$5001,$B$2:$B$5001,B2726,$I$2:$I$5001,I2726),1,0))</f>
        <v/>
      </c>
      <c r="M2726" s="16" t="str">
        <f aca="false">IF(B2726="","",IF(E2726="Em ajustes",IF(N2726=_xlfn.MINIFS($N$2:$N$5001,$B$2:$B$5001,B2726,$E$2:$E$5001,"Em ajustes"),1,0),0))</f>
        <v/>
      </c>
      <c r="N2726" s="17" t="str">
        <f aca="false">IF(A2726="","",IF(ISNUMBER(A2726),A2726,IFERROR(DATE(VALUE(MID(A2726,7,4)),VALUE(MID(A2726,4,2)),VALUE(MID(A2726,1,2)))+TIME(VALUE(MID(A2726,12,2)),VALUE(MID(A2726,15,2)),VALUE(MID(A2726,18,2))),"")))</f>
        <v/>
      </c>
    </row>
    <row r="2727" customFormat="false" ht="15" hidden="false" customHeight="false" outlineLevel="0" collapsed="false">
      <c r="I2727" s="15" t="str">
        <f aca="false">IF(N2727="","",INT(N2727))</f>
        <v/>
      </c>
      <c r="J2727" s="16" t="str">
        <f aca="false">IF(B2727="","",IF(N2727=_xlfn.MINIFS($N$2:$N$5001,$B$2:$B$5001,B2727),1,0))</f>
        <v/>
      </c>
      <c r="K2727" s="16" t="str">
        <f aca="false">IF(B2727="","",IF(AND(D2727="Formalização",E2727="Concluído"),IF(COUNTIFS($B$2:$B$5001,B2727,$E$2:$E$5001,"Em ajustes",$N$2:$N$5001,"&lt;"&amp;I2727)&gt;0,1,0),0))</f>
        <v/>
      </c>
      <c r="L2727" s="16" t="str">
        <f aca="false">IF(B2727="","",IF(N2727=_xlfn.MAXIFS($N$2:$N$5001,$B$2:$B$5001,B2727,$I$2:$I$5001,I2727),1,0))</f>
        <v/>
      </c>
      <c r="M2727" s="16" t="str">
        <f aca="false">IF(B2727="","",IF(E2727="Em ajustes",IF(N2727=_xlfn.MINIFS($N$2:$N$5001,$B$2:$B$5001,B2727,$E$2:$E$5001,"Em ajustes"),1,0),0))</f>
        <v/>
      </c>
      <c r="N2727" s="17" t="str">
        <f aca="false">IF(A2727="","",IF(ISNUMBER(A2727),A2727,IFERROR(DATE(VALUE(MID(A2727,7,4)),VALUE(MID(A2727,4,2)),VALUE(MID(A2727,1,2)))+TIME(VALUE(MID(A2727,12,2)),VALUE(MID(A2727,15,2)),VALUE(MID(A2727,18,2))),"")))</f>
        <v/>
      </c>
    </row>
    <row r="2728" customFormat="false" ht="15" hidden="false" customHeight="false" outlineLevel="0" collapsed="false">
      <c r="I2728" s="15" t="str">
        <f aca="false">IF(N2728="","",INT(N2728))</f>
        <v/>
      </c>
      <c r="J2728" s="16" t="str">
        <f aca="false">IF(B2728="","",IF(N2728=_xlfn.MINIFS($N$2:$N$5001,$B$2:$B$5001,B2728),1,0))</f>
        <v/>
      </c>
      <c r="K2728" s="16" t="str">
        <f aca="false">IF(B2728="","",IF(AND(D2728="Formalização",E2728="Concluído"),IF(COUNTIFS($B$2:$B$5001,B2728,$E$2:$E$5001,"Em ajustes",$N$2:$N$5001,"&lt;"&amp;I2728)&gt;0,1,0),0))</f>
        <v/>
      </c>
      <c r="L2728" s="16" t="str">
        <f aca="false">IF(B2728="","",IF(N2728=_xlfn.MAXIFS($N$2:$N$5001,$B$2:$B$5001,B2728,$I$2:$I$5001,I2728),1,0))</f>
        <v/>
      </c>
      <c r="M2728" s="16" t="str">
        <f aca="false">IF(B2728="","",IF(E2728="Em ajustes",IF(N2728=_xlfn.MINIFS($N$2:$N$5001,$B$2:$B$5001,B2728,$E$2:$E$5001,"Em ajustes"),1,0),0))</f>
        <v/>
      </c>
      <c r="N2728" s="17" t="str">
        <f aca="false">IF(A2728="","",IF(ISNUMBER(A2728),A2728,IFERROR(DATE(VALUE(MID(A2728,7,4)),VALUE(MID(A2728,4,2)),VALUE(MID(A2728,1,2)))+TIME(VALUE(MID(A2728,12,2)),VALUE(MID(A2728,15,2)),VALUE(MID(A2728,18,2))),"")))</f>
        <v/>
      </c>
    </row>
    <row r="2729" customFormat="false" ht="15" hidden="false" customHeight="false" outlineLevel="0" collapsed="false">
      <c r="I2729" s="15" t="str">
        <f aca="false">IF(N2729="","",INT(N2729))</f>
        <v/>
      </c>
      <c r="J2729" s="16" t="str">
        <f aca="false">IF(B2729="","",IF(N2729=_xlfn.MINIFS($N$2:$N$5001,$B$2:$B$5001,B2729),1,0))</f>
        <v/>
      </c>
      <c r="K2729" s="16" t="str">
        <f aca="false">IF(B2729="","",IF(AND(D2729="Formalização",E2729="Concluído"),IF(COUNTIFS($B$2:$B$5001,B2729,$E$2:$E$5001,"Em ajustes",$N$2:$N$5001,"&lt;"&amp;I2729)&gt;0,1,0),0))</f>
        <v/>
      </c>
      <c r="L2729" s="16" t="str">
        <f aca="false">IF(B2729="","",IF(N2729=_xlfn.MAXIFS($N$2:$N$5001,$B$2:$B$5001,B2729,$I$2:$I$5001,I2729),1,0))</f>
        <v/>
      </c>
      <c r="M2729" s="16" t="str">
        <f aca="false">IF(B2729="","",IF(E2729="Em ajustes",IF(N2729=_xlfn.MINIFS($N$2:$N$5001,$B$2:$B$5001,B2729,$E$2:$E$5001,"Em ajustes"),1,0),0))</f>
        <v/>
      </c>
      <c r="N2729" s="17" t="str">
        <f aca="false">IF(A2729="","",IF(ISNUMBER(A2729),A2729,IFERROR(DATE(VALUE(MID(A2729,7,4)),VALUE(MID(A2729,4,2)),VALUE(MID(A2729,1,2)))+TIME(VALUE(MID(A2729,12,2)),VALUE(MID(A2729,15,2)),VALUE(MID(A2729,18,2))),"")))</f>
        <v/>
      </c>
    </row>
    <row r="2730" customFormat="false" ht="15" hidden="false" customHeight="false" outlineLevel="0" collapsed="false">
      <c r="I2730" s="15" t="str">
        <f aca="false">IF(N2730="","",INT(N2730))</f>
        <v/>
      </c>
      <c r="J2730" s="16" t="str">
        <f aca="false">IF(B2730="","",IF(N2730=_xlfn.MINIFS($N$2:$N$5001,$B$2:$B$5001,B2730),1,0))</f>
        <v/>
      </c>
      <c r="K2730" s="16" t="str">
        <f aca="false">IF(B2730="","",IF(AND(D2730="Formalização",E2730="Concluído"),IF(COUNTIFS($B$2:$B$5001,B2730,$E$2:$E$5001,"Em ajustes",$N$2:$N$5001,"&lt;"&amp;I2730)&gt;0,1,0),0))</f>
        <v/>
      </c>
      <c r="L2730" s="16" t="str">
        <f aca="false">IF(B2730="","",IF(N2730=_xlfn.MAXIFS($N$2:$N$5001,$B$2:$B$5001,B2730,$I$2:$I$5001,I2730),1,0))</f>
        <v/>
      </c>
      <c r="M2730" s="16" t="str">
        <f aca="false">IF(B2730="","",IF(E2730="Em ajustes",IF(N2730=_xlfn.MINIFS($N$2:$N$5001,$B$2:$B$5001,B2730,$E$2:$E$5001,"Em ajustes"),1,0),0))</f>
        <v/>
      </c>
      <c r="N2730" s="17" t="str">
        <f aca="false">IF(A2730="","",IF(ISNUMBER(A2730),A2730,IFERROR(DATE(VALUE(MID(A2730,7,4)),VALUE(MID(A2730,4,2)),VALUE(MID(A2730,1,2)))+TIME(VALUE(MID(A2730,12,2)),VALUE(MID(A2730,15,2)),VALUE(MID(A2730,18,2))),"")))</f>
        <v/>
      </c>
    </row>
    <row r="2731" customFormat="false" ht="15" hidden="false" customHeight="false" outlineLevel="0" collapsed="false">
      <c r="I2731" s="15" t="str">
        <f aca="false">IF(N2731="","",INT(N2731))</f>
        <v/>
      </c>
      <c r="J2731" s="16" t="str">
        <f aca="false">IF(B2731="","",IF(N2731=_xlfn.MINIFS($N$2:$N$5001,$B$2:$B$5001,B2731),1,0))</f>
        <v/>
      </c>
      <c r="K2731" s="16" t="str">
        <f aca="false">IF(B2731="","",IF(AND(D2731="Formalização",E2731="Concluído"),IF(COUNTIFS($B$2:$B$5001,B2731,$E$2:$E$5001,"Em ajustes",$N$2:$N$5001,"&lt;"&amp;I2731)&gt;0,1,0),0))</f>
        <v/>
      </c>
      <c r="L2731" s="16" t="str">
        <f aca="false">IF(B2731="","",IF(N2731=_xlfn.MAXIFS($N$2:$N$5001,$B$2:$B$5001,B2731,$I$2:$I$5001,I2731),1,0))</f>
        <v/>
      </c>
      <c r="M2731" s="16" t="str">
        <f aca="false">IF(B2731="","",IF(E2731="Em ajustes",IF(N2731=_xlfn.MINIFS($N$2:$N$5001,$B$2:$B$5001,B2731,$E$2:$E$5001,"Em ajustes"),1,0),0))</f>
        <v/>
      </c>
      <c r="N2731" s="17" t="str">
        <f aca="false">IF(A2731="","",IF(ISNUMBER(A2731),A2731,IFERROR(DATE(VALUE(MID(A2731,7,4)),VALUE(MID(A2731,4,2)),VALUE(MID(A2731,1,2)))+TIME(VALUE(MID(A2731,12,2)),VALUE(MID(A2731,15,2)),VALUE(MID(A2731,18,2))),"")))</f>
        <v/>
      </c>
    </row>
    <row r="2732" customFormat="false" ht="15" hidden="false" customHeight="false" outlineLevel="0" collapsed="false">
      <c r="I2732" s="15" t="str">
        <f aca="false">IF(N2732="","",INT(N2732))</f>
        <v/>
      </c>
      <c r="J2732" s="16" t="str">
        <f aca="false">IF(B2732="","",IF(N2732=_xlfn.MINIFS($N$2:$N$5001,$B$2:$B$5001,B2732),1,0))</f>
        <v/>
      </c>
      <c r="K2732" s="16" t="str">
        <f aca="false">IF(B2732="","",IF(AND(D2732="Formalização",E2732="Concluído"),IF(COUNTIFS($B$2:$B$5001,B2732,$E$2:$E$5001,"Em ajustes",$N$2:$N$5001,"&lt;"&amp;I2732)&gt;0,1,0),0))</f>
        <v/>
      </c>
      <c r="L2732" s="16" t="str">
        <f aca="false">IF(B2732="","",IF(N2732=_xlfn.MAXIFS($N$2:$N$5001,$B$2:$B$5001,B2732,$I$2:$I$5001,I2732),1,0))</f>
        <v/>
      </c>
      <c r="M2732" s="16" t="str">
        <f aca="false">IF(B2732="","",IF(E2732="Em ajustes",IF(N2732=_xlfn.MINIFS($N$2:$N$5001,$B$2:$B$5001,B2732,$E$2:$E$5001,"Em ajustes"),1,0),0))</f>
        <v/>
      </c>
      <c r="N2732" s="17" t="str">
        <f aca="false">IF(A2732="","",IF(ISNUMBER(A2732),A2732,IFERROR(DATE(VALUE(MID(A2732,7,4)),VALUE(MID(A2732,4,2)),VALUE(MID(A2732,1,2)))+TIME(VALUE(MID(A2732,12,2)),VALUE(MID(A2732,15,2)),VALUE(MID(A2732,18,2))),"")))</f>
        <v/>
      </c>
    </row>
    <row r="2733" customFormat="false" ht="15" hidden="false" customHeight="false" outlineLevel="0" collapsed="false">
      <c r="I2733" s="15" t="str">
        <f aca="false">IF(N2733="","",INT(N2733))</f>
        <v/>
      </c>
      <c r="J2733" s="16" t="str">
        <f aca="false">IF(B2733="","",IF(N2733=_xlfn.MINIFS($N$2:$N$5001,$B$2:$B$5001,B2733),1,0))</f>
        <v/>
      </c>
      <c r="K2733" s="16" t="str">
        <f aca="false">IF(B2733="","",IF(AND(D2733="Formalização",E2733="Concluído"),IF(COUNTIFS($B$2:$B$5001,B2733,$E$2:$E$5001,"Em ajustes",$N$2:$N$5001,"&lt;"&amp;I2733)&gt;0,1,0),0))</f>
        <v/>
      </c>
      <c r="L2733" s="16" t="str">
        <f aca="false">IF(B2733="","",IF(N2733=_xlfn.MAXIFS($N$2:$N$5001,$B$2:$B$5001,B2733,$I$2:$I$5001,I2733),1,0))</f>
        <v/>
      </c>
      <c r="M2733" s="16" t="str">
        <f aca="false">IF(B2733="","",IF(E2733="Em ajustes",IF(N2733=_xlfn.MINIFS($N$2:$N$5001,$B$2:$B$5001,B2733,$E$2:$E$5001,"Em ajustes"),1,0),0))</f>
        <v/>
      </c>
      <c r="N2733" s="17" t="str">
        <f aca="false">IF(A2733="","",IF(ISNUMBER(A2733),A2733,IFERROR(DATE(VALUE(MID(A2733,7,4)),VALUE(MID(A2733,4,2)),VALUE(MID(A2733,1,2)))+TIME(VALUE(MID(A2733,12,2)),VALUE(MID(A2733,15,2)),VALUE(MID(A2733,18,2))),"")))</f>
        <v/>
      </c>
    </row>
    <row r="2734" customFormat="false" ht="15" hidden="false" customHeight="false" outlineLevel="0" collapsed="false">
      <c r="I2734" s="15" t="str">
        <f aca="false">IF(N2734="","",INT(N2734))</f>
        <v/>
      </c>
      <c r="J2734" s="16" t="str">
        <f aca="false">IF(B2734="","",IF(N2734=_xlfn.MINIFS($N$2:$N$5001,$B$2:$B$5001,B2734),1,0))</f>
        <v/>
      </c>
      <c r="K2734" s="16" t="str">
        <f aca="false">IF(B2734="","",IF(AND(D2734="Formalização",E2734="Concluído"),IF(COUNTIFS($B$2:$B$5001,B2734,$E$2:$E$5001,"Em ajustes",$N$2:$N$5001,"&lt;"&amp;I2734)&gt;0,1,0),0))</f>
        <v/>
      </c>
      <c r="L2734" s="16" t="str">
        <f aca="false">IF(B2734="","",IF(N2734=_xlfn.MAXIFS($N$2:$N$5001,$B$2:$B$5001,B2734,$I$2:$I$5001,I2734),1,0))</f>
        <v/>
      </c>
      <c r="M2734" s="16" t="str">
        <f aca="false">IF(B2734="","",IF(E2734="Em ajustes",IF(N2734=_xlfn.MINIFS($N$2:$N$5001,$B$2:$B$5001,B2734,$E$2:$E$5001,"Em ajustes"),1,0),0))</f>
        <v/>
      </c>
      <c r="N2734" s="17" t="str">
        <f aca="false">IF(A2734="","",IF(ISNUMBER(A2734),A2734,IFERROR(DATE(VALUE(MID(A2734,7,4)),VALUE(MID(A2734,4,2)),VALUE(MID(A2734,1,2)))+TIME(VALUE(MID(A2734,12,2)),VALUE(MID(A2734,15,2)),VALUE(MID(A2734,18,2))),"")))</f>
        <v/>
      </c>
    </row>
    <row r="2735" customFormat="false" ht="15" hidden="false" customHeight="false" outlineLevel="0" collapsed="false">
      <c r="I2735" s="15" t="str">
        <f aca="false">IF(N2735="","",INT(N2735))</f>
        <v/>
      </c>
      <c r="J2735" s="16" t="str">
        <f aca="false">IF(B2735="","",IF(N2735=_xlfn.MINIFS($N$2:$N$5001,$B$2:$B$5001,B2735),1,0))</f>
        <v/>
      </c>
      <c r="K2735" s="16" t="str">
        <f aca="false">IF(B2735="","",IF(AND(D2735="Formalização",E2735="Concluído"),IF(COUNTIFS($B$2:$B$5001,B2735,$E$2:$E$5001,"Em ajustes",$N$2:$N$5001,"&lt;"&amp;I2735)&gt;0,1,0),0))</f>
        <v/>
      </c>
      <c r="L2735" s="16" t="str">
        <f aca="false">IF(B2735="","",IF(N2735=_xlfn.MAXIFS($N$2:$N$5001,$B$2:$B$5001,B2735,$I$2:$I$5001,I2735),1,0))</f>
        <v/>
      </c>
      <c r="M2735" s="16" t="str">
        <f aca="false">IF(B2735="","",IF(E2735="Em ajustes",IF(N2735=_xlfn.MINIFS($N$2:$N$5001,$B$2:$B$5001,B2735,$E$2:$E$5001,"Em ajustes"),1,0),0))</f>
        <v/>
      </c>
      <c r="N2735" s="17" t="str">
        <f aca="false">IF(A2735="","",IF(ISNUMBER(A2735),A2735,IFERROR(DATE(VALUE(MID(A2735,7,4)),VALUE(MID(A2735,4,2)),VALUE(MID(A2735,1,2)))+TIME(VALUE(MID(A2735,12,2)),VALUE(MID(A2735,15,2)),VALUE(MID(A2735,18,2))),"")))</f>
        <v/>
      </c>
    </row>
    <row r="2736" customFormat="false" ht="15" hidden="false" customHeight="false" outlineLevel="0" collapsed="false">
      <c r="I2736" s="15" t="str">
        <f aca="false">IF(N2736="","",INT(N2736))</f>
        <v/>
      </c>
      <c r="J2736" s="16" t="str">
        <f aca="false">IF(B2736="","",IF(N2736=_xlfn.MINIFS($N$2:$N$5001,$B$2:$B$5001,B2736),1,0))</f>
        <v/>
      </c>
      <c r="K2736" s="16" t="str">
        <f aca="false">IF(B2736="","",IF(AND(D2736="Formalização",E2736="Concluído"),IF(COUNTIFS($B$2:$B$5001,B2736,$E$2:$E$5001,"Em ajustes",$N$2:$N$5001,"&lt;"&amp;I2736)&gt;0,1,0),0))</f>
        <v/>
      </c>
      <c r="L2736" s="16" t="str">
        <f aca="false">IF(B2736="","",IF(N2736=_xlfn.MAXIFS($N$2:$N$5001,$B$2:$B$5001,B2736,$I$2:$I$5001,I2736),1,0))</f>
        <v/>
      </c>
      <c r="M2736" s="16" t="str">
        <f aca="false">IF(B2736="","",IF(E2736="Em ajustes",IF(N2736=_xlfn.MINIFS($N$2:$N$5001,$B$2:$B$5001,B2736,$E$2:$E$5001,"Em ajustes"),1,0),0))</f>
        <v/>
      </c>
      <c r="N2736" s="17" t="str">
        <f aca="false">IF(A2736="","",IF(ISNUMBER(A2736),A2736,IFERROR(DATE(VALUE(MID(A2736,7,4)),VALUE(MID(A2736,4,2)),VALUE(MID(A2736,1,2)))+TIME(VALUE(MID(A2736,12,2)),VALUE(MID(A2736,15,2)),VALUE(MID(A2736,18,2))),"")))</f>
        <v/>
      </c>
    </row>
    <row r="2737" customFormat="false" ht="15" hidden="false" customHeight="false" outlineLevel="0" collapsed="false">
      <c r="I2737" s="15" t="str">
        <f aca="false">IF(N2737="","",INT(N2737))</f>
        <v/>
      </c>
      <c r="J2737" s="16" t="str">
        <f aca="false">IF(B2737="","",IF(N2737=_xlfn.MINIFS($N$2:$N$5001,$B$2:$B$5001,B2737),1,0))</f>
        <v/>
      </c>
      <c r="K2737" s="16" t="str">
        <f aca="false">IF(B2737="","",IF(AND(D2737="Formalização",E2737="Concluído"),IF(COUNTIFS($B$2:$B$5001,B2737,$E$2:$E$5001,"Em ajustes",$N$2:$N$5001,"&lt;"&amp;I2737)&gt;0,1,0),0))</f>
        <v/>
      </c>
      <c r="L2737" s="16" t="str">
        <f aca="false">IF(B2737="","",IF(N2737=_xlfn.MAXIFS($N$2:$N$5001,$B$2:$B$5001,B2737,$I$2:$I$5001,I2737),1,0))</f>
        <v/>
      </c>
      <c r="M2737" s="16" t="str">
        <f aca="false">IF(B2737="","",IF(E2737="Em ajustes",IF(N2737=_xlfn.MINIFS($N$2:$N$5001,$B$2:$B$5001,B2737,$E$2:$E$5001,"Em ajustes"),1,0),0))</f>
        <v/>
      </c>
      <c r="N2737" s="17" t="str">
        <f aca="false">IF(A2737="","",IF(ISNUMBER(A2737),A2737,IFERROR(DATE(VALUE(MID(A2737,7,4)),VALUE(MID(A2737,4,2)),VALUE(MID(A2737,1,2)))+TIME(VALUE(MID(A2737,12,2)),VALUE(MID(A2737,15,2)),VALUE(MID(A2737,18,2))),"")))</f>
        <v/>
      </c>
    </row>
    <row r="2738" customFormat="false" ht="15" hidden="false" customHeight="false" outlineLevel="0" collapsed="false">
      <c r="I2738" s="15" t="str">
        <f aca="false">IF(N2738="","",INT(N2738))</f>
        <v/>
      </c>
      <c r="J2738" s="16" t="str">
        <f aca="false">IF(B2738="","",IF(N2738=_xlfn.MINIFS($N$2:$N$5001,$B$2:$B$5001,B2738),1,0))</f>
        <v/>
      </c>
      <c r="K2738" s="16" t="str">
        <f aca="false">IF(B2738="","",IF(AND(D2738="Formalização",E2738="Concluído"),IF(COUNTIFS($B$2:$B$5001,B2738,$E$2:$E$5001,"Em ajustes",$N$2:$N$5001,"&lt;"&amp;I2738)&gt;0,1,0),0))</f>
        <v/>
      </c>
      <c r="L2738" s="16" t="str">
        <f aca="false">IF(B2738="","",IF(N2738=_xlfn.MAXIFS($N$2:$N$5001,$B$2:$B$5001,B2738,$I$2:$I$5001,I2738),1,0))</f>
        <v/>
      </c>
      <c r="M2738" s="16" t="str">
        <f aca="false">IF(B2738="","",IF(E2738="Em ajustes",IF(N2738=_xlfn.MINIFS($N$2:$N$5001,$B$2:$B$5001,B2738,$E$2:$E$5001,"Em ajustes"),1,0),0))</f>
        <v/>
      </c>
      <c r="N2738" s="17" t="str">
        <f aca="false">IF(A2738="","",IF(ISNUMBER(A2738),A2738,IFERROR(DATE(VALUE(MID(A2738,7,4)),VALUE(MID(A2738,4,2)),VALUE(MID(A2738,1,2)))+TIME(VALUE(MID(A2738,12,2)),VALUE(MID(A2738,15,2)),VALUE(MID(A2738,18,2))),"")))</f>
        <v/>
      </c>
    </row>
    <row r="2739" customFormat="false" ht="15" hidden="false" customHeight="false" outlineLevel="0" collapsed="false">
      <c r="I2739" s="15" t="str">
        <f aca="false">IF(N2739="","",INT(N2739))</f>
        <v/>
      </c>
      <c r="J2739" s="16" t="str">
        <f aca="false">IF(B2739="","",IF(N2739=_xlfn.MINIFS($N$2:$N$5001,$B$2:$B$5001,B2739),1,0))</f>
        <v/>
      </c>
      <c r="K2739" s="16" t="str">
        <f aca="false">IF(B2739="","",IF(AND(D2739="Formalização",E2739="Concluído"),IF(COUNTIFS($B$2:$B$5001,B2739,$E$2:$E$5001,"Em ajustes",$N$2:$N$5001,"&lt;"&amp;I2739)&gt;0,1,0),0))</f>
        <v/>
      </c>
      <c r="L2739" s="16" t="str">
        <f aca="false">IF(B2739="","",IF(N2739=_xlfn.MAXIFS($N$2:$N$5001,$B$2:$B$5001,B2739,$I$2:$I$5001,I2739),1,0))</f>
        <v/>
      </c>
      <c r="M2739" s="16" t="str">
        <f aca="false">IF(B2739="","",IF(E2739="Em ajustes",IF(N2739=_xlfn.MINIFS($N$2:$N$5001,$B$2:$B$5001,B2739,$E$2:$E$5001,"Em ajustes"),1,0),0))</f>
        <v/>
      </c>
      <c r="N2739" s="17" t="str">
        <f aca="false">IF(A2739="","",IF(ISNUMBER(A2739),A2739,IFERROR(DATE(VALUE(MID(A2739,7,4)),VALUE(MID(A2739,4,2)),VALUE(MID(A2739,1,2)))+TIME(VALUE(MID(A2739,12,2)),VALUE(MID(A2739,15,2)),VALUE(MID(A2739,18,2))),"")))</f>
        <v/>
      </c>
    </row>
    <row r="2740" customFormat="false" ht="15" hidden="false" customHeight="false" outlineLevel="0" collapsed="false">
      <c r="I2740" s="15" t="str">
        <f aca="false">IF(N2740="","",INT(N2740))</f>
        <v/>
      </c>
      <c r="J2740" s="16" t="str">
        <f aca="false">IF(B2740="","",IF(N2740=_xlfn.MINIFS($N$2:$N$5001,$B$2:$B$5001,B2740),1,0))</f>
        <v/>
      </c>
      <c r="K2740" s="16" t="str">
        <f aca="false">IF(B2740="","",IF(AND(D2740="Formalização",E2740="Concluído"),IF(COUNTIFS($B$2:$B$5001,B2740,$E$2:$E$5001,"Em ajustes",$N$2:$N$5001,"&lt;"&amp;I2740)&gt;0,1,0),0))</f>
        <v/>
      </c>
      <c r="L2740" s="16" t="str">
        <f aca="false">IF(B2740="","",IF(N2740=_xlfn.MAXIFS($N$2:$N$5001,$B$2:$B$5001,B2740,$I$2:$I$5001,I2740),1,0))</f>
        <v/>
      </c>
      <c r="M2740" s="16" t="str">
        <f aca="false">IF(B2740="","",IF(E2740="Em ajustes",IF(N2740=_xlfn.MINIFS($N$2:$N$5001,$B$2:$B$5001,B2740,$E$2:$E$5001,"Em ajustes"),1,0),0))</f>
        <v/>
      </c>
      <c r="N2740" s="17" t="str">
        <f aca="false">IF(A2740="","",IF(ISNUMBER(A2740),A2740,IFERROR(DATE(VALUE(MID(A2740,7,4)),VALUE(MID(A2740,4,2)),VALUE(MID(A2740,1,2)))+TIME(VALUE(MID(A2740,12,2)),VALUE(MID(A2740,15,2)),VALUE(MID(A2740,18,2))),"")))</f>
        <v/>
      </c>
    </row>
    <row r="2741" customFormat="false" ht="15" hidden="false" customHeight="false" outlineLevel="0" collapsed="false">
      <c r="I2741" s="15" t="str">
        <f aca="false">IF(N2741="","",INT(N2741))</f>
        <v/>
      </c>
      <c r="J2741" s="16" t="str">
        <f aca="false">IF(B2741="","",IF(N2741=_xlfn.MINIFS($N$2:$N$5001,$B$2:$B$5001,B2741),1,0))</f>
        <v/>
      </c>
      <c r="K2741" s="16" t="str">
        <f aca="false">IF(B2741="","",IF(AND(D2741="Formalização",E2741="Concluído"),IF(COUNTIFS($B$2:$B$5001,B2741,$E$2:$E$5001,"Em ajustes",$N$2:$N$5001,"&lt;"&amp;I2741)&gt;0,1,0),0))</f>
        <v/>
      </c>
      <c r="L2741" s="16" t="str">
        <f aca="false">IF(B2741="","",IF(N2741=_xlfn.MAXIFS($N$2:$N$5001,$B$2:$B$5001,B2741,$I$2:$I$5001,I2741),1,0))</f>
        <v/>
      </c>
      <c r="M2741" s="16" t="str">
        <f aca="false">IF(B2741="","",IF(E2741="Em ajustes",IF(N2741=_xlfn.MINIFS($N$2:$N$5001,$B$2:$B$5001,B2741,$E$2:$E$5001,"Em ajustes"),1,0),0))</f>
        <v/>
      </c>
      <c r="N2741" s="17" t="str">
        <f aca="false">IF(A2741="","",IF(ISNUMBER(A2741),A2741,IFERROR(DATE(VALUE(MID(A2741,7,4)),VALUE(MID(A2741,4,2)),VALUE(MID(A2741,1,2)))+TIME(VALUE(MID(A2741,12,2)),VALUE(MID(A2741,15,2)),VALUE(MID(A2741,18,2))),"")))</f>
        <v/>
      </c>
    </row>
    <row r="2742" customFormat="false" ht="15" hidden="false" customHeight="false" outlineLevel="0" collapsed="false">
      <c r="I2742" s="15" t="str">
        <f aca="false">IF(N2742="","",INT(N2742))</f>
        <v/>
      </c>
      <c r="J2742" s="16" t="str">
        <f aca="false">IF(B2742="","",IF(N2742=_xlfn.MINIFS($N$2:$N$5001,$B$2:$B$5001,B2742),1,0))</f>
        <v/>
      </c>
      <c r="K2742" s="16" t="str">
        <f aca="false">IF(B2742="","",IF(AND(D2742="Formalização",E2742="Concluído"),IF(COUNTIFS($B$2:$B$5001,B2742,$E$2:$E$5001,"Em ajustes",$N$2:$N$5001,"&lt;"&amp;I2742)&gt;0,1,0),0))</f>
        <v/>
      </c>
      <c r="L2742" s="16" t="str">
        <f aca="false">IF(B2742="","",IF(N2742=_xlfn.MAXIFS($N$2:$N$5001,$B$2:$B$5001,B2742,$I$2:$I$5001,I2742),1,0))</f>
        <v/>
      </c>
      <c r="M2742" s="16" t="str">
        <f aca="false">IF(B2742="","",IF(E2742="Em ajustes",IF(N2742=_xlfn.MINIFS($N$2:$N$5001,$B$2:$B$5001,B2742,$E$2:$E$5001,"Em ajustes"),1,0),0))</f>
        <v/>
      </c>
      <c r="N2742" s="17" t="str">
        <f aca="false">IF(A2742="","",IF(ISNUMBER(A2742),A2742,IFERROR(DATE(VALUE(MID(A2742,7,4)),VALUE(MID(A2742,4,2)),VALUE(MID(A2742,1,2)))+TIME(VALUE(MID(A2742,12,2)),VALUE(MID(A2742,15,2)),VALUE(MID(A2742,18,2))),"")))</f>
        <v/>
      </c>
    </row>
    <row r="2743" customFormat="false" ht="15" hidden="false" customHeight="false" outlineLevel="0" collapsed="false">
      <c r="I2743" s="15" t="str">
        <f aca="false">IF(N2743="","",INT(N2743))</f>
        <v/>
      </c>
      <c r="J2743" s="16" t="str">
        <f aca="false">IF(B2743="","",IF(N2743=_xlfn.MINIFS($N$2:$N$5001,$B$2:$B$5001,B2743),1,0))</f>
        <v/>
      </c>
      <c r="K2743" s="16" t="str">
        <f aca="false">IF(B2743="","",IF(AND(D2743="Formalização",E2743="Concluído"),IF(COUNTIFS($B$2:$B$5001,B2743,$E$2:$E$5001,"Em ajustes",$N$2:$N$5001,"&lt;"&amp;I2743)&gt;0,1,0),0))</f>
        <v/>
      </c>
      <c r="L2743" s="16" t="str">
        <f aca="false">IF(B2743="","",IF(N2743=_xlfn.MAXIFS($N$2:$N$5001,$B$2:$B$5001,B2743,$I$2:$I$5001,I2743),1,0))</f>
        <v/>
      </c>
      <c r="M2743" s="16" t="str">
        <f aca="false">IF(B2743="","",IF(E2743="Em ajustes",IF(N2743=_xlfn.MINIFS($N$2:$N$5001,$B$2:$B$5001,B2743,$E$2:$E$5001,"Em ajustes"),1,0),0))</f>
        <v/>
      </c>
      <c r="N2743" s="17" t="str">
        <f aca="false">IF(A2743="","",IF(ISNUMBER(A2743),A2743,IFERROR(DATE(VALUE(MID(A2743,7,4)),VALUE(MID(A2743,4,2)),VALUE(MID(A2743,1,2)))+TIME(VALUE(MID(A2743,12,2)),VALUE(MID(A2743,15,2)),VALUE(MID(A2743,18,2))),"")))</f>
        <v/>
      </c>
    </row>
    <row r="2744" customFormat="false" ht="15" hidden="false" customHeight="false" outlineLevel="0" collapsed="false">
      <c r="I2744" s="15" t="str">
        <f aca="false">IF(N2744="","",INT(N2744))</f>
        <v/>
      </c>
      <c r="J2744" s="16" t="str">
        <f aca="false">IF(B2744="","",IF(N2744=_xlfn.MINIFS($N$2:$N$5001,$B$2:$B$5001,B2744),1,0))</f>
        <v/>
      </c>
      <c r="K2744" s="16" t="str">
        <f aca="false">IF(B2744="","",IF(AND(D2744="Formalização",E2744="Concluído"),IF(COUNTIFS($B$2:$B$5001,B2744,$E$2:$E$5001,"Em ajustes",$N$2:$N$5001,"&lt;"&amp;I2744)&gt;0,1,0),0))</f>
        <v/>
      </c>
      <c r="L2744" s="16" t="str">
        <f aca="false">IF(B2744="","",IF(N2744=_xlfn.MAXIFS($N$2:$N$5001,$B$2:$B$5001,B2744,$I$2:$I$5001,I2744),1,0))</f>
        <v/>
      </c>
      <c r="M2744" s="16" t="str">
        <f aca="false">IF(B2744="","",IF(E2744="Em ajustes",IF(N2744=_xlfn.MINIFS($N$2:$N$5001,$B$2:$B$5001,B2744,$E$2:$E$5001,"Em ajustes"),1,0),0))</f>
        <v/>
      </c>
      <c r="N2744" s="17" t="str">
        <f aca="false">IF(A2744="","",IF(ISNUMBER(A2744),A2744,IFERROR(DATE(VALUE(MID(A2744,7,4)),VALUE(MID(A2744,4,2)),VALUE(MID(A2744,1,2)))+TIME(VALUE(MID(A2744,12,2)),VALUE(MID(A2744,15,2)),VALUE(MID(A2744,18,2))),"")))</f>
        <v/>
      </c>
    </row>
    <row r="2745" customFormat="false" ht="15" hidden="false" customHeight="false" outlineLevel="0" collapsed="false">
      <c r="I2745" s="15" t="str">
        <f aca="false">IF(N2745="","",INT(N2745))</f>
        <v/>
      </c>
      <c r="J2745" s="16" t="str">
        <f aca="false">IF(B2745="","",IF(N2745=_xlfn.MINIFS($N$2:$N$5001,$B$2:$B$5001,B2745),1,0))</f>
        <v/>
      </c>
      <c r="K2745" s="16" t="str">
        <f aca="false">IF(B2745="","",IF(AND(D2745="Formalização",E2745="Concluído"),IF(COUNTIFS($B$2:$B$5001,B2745,$E$2:$E$5001,"Em ajustes",$N$2:$N$5001,"&lt;"&amp;I2745)&gt;0,1,0),0))</f>
        <v/>
      </c>
      <c r="L2745" s="16" t="str">
        <f aca="false">IF(B2745="","",IF(N2745=_xlfn.MAXIFS($N$2:$N$5001,$B$2:$B$5001,B2745,$I$2:$I$5001,I2745),1,0))</f>
        <v/>
      </c>
      <c r="M2745" s="16" t="str">
        <f aca="false">IF(B2745="","",IF(E2745="Em ajustes",IF(N2745=_xlfn.MINIFS($N$2:$N$5001,$B$2:$B$5001,B2745,$E$2:$E$5001,"Em ajustes"),1,0),0))</f>
        <v/>
      </c>
      <c r="N2745" s="17" t="str">
        <f aca="false">IF(A2745="","",IF(ISNUMBER(A2745),A2745,IFERROR(DATE(VALUE(MID(A2745,7,4)),VALUE(MID(A2745,4,2)),VALUE(MID(A2745,1,2)))+TIME(VALUE(MID(A2745,12,2)),VALUE(MID(A2745,15,2)),VALUE(MID(A2745,18,2))),"")))</f>
        <v/>
      </c>
    </row>
    <row r="2746" customFormat="false" ht="15" hidden="false" customHeight="false" outlineLevel="0" collapsed="false">
      <c r="I2746" s="15" t="str">
        <f aca="false">IF(N2746="","",INT(N2746))</f>
        <v/>
      </c>
      <c r="J2746" s="16" t="str">
        <f aca="false">IF(B2746="","",IF(N2746=_xlfn.MINIFS($N$2:$N$5001,$B$2:$B$5001,B2746),1,0))</f>
        <v/>
      </c>
      <c r="K2746" s="16" t="str">
        <f aca="false">IF(B2746="","",IF(AND(D2746="Formalização",E2746="Concluído"),IF(COUNTIFS($B$2:$B$5001,B2746,$E$2:$E$5001,"Em ajustes",$N$2:$N$5001,"&lt;"&amp;I2746)&gt;0,1,0),0))</f>
        <v/>
      </c>
      <c r="L2746" s="16" t="str">
        <f aca="false">IF(B2746="","",IF(N2746=_xlfn.MAXIFS($N$2:$N$5001,$B$2:$B$5001,B2746,$I$2:$I$5001,I2746),1,0))</f>
        <v/>
      </c>
      <c r="M2746" s="16" t="str">
        <f aca="false">IF(B2746="","",IF(E2746="Em ajustes",IF(N2746=_xlfn.MINIFS($N$2:$N$5001,$B$2:$B$5001,B2746,$E$2:$E$5001,"Em ajustes"),1,0),0))</f>
        <v/>
      </c>
      <c r="N2746" s="17" t="str">
        <f aca="false">IF(A2746="","",IF(ISNUMBER(A2746),A2746,IFERROR(DATE(VALUE(MID(A2746,7,4)),VALUE(MID(A2746,4,2)),VALUE(MID(A2746,1,2)))+TIME(VALUE(MID(A2746,12,2)),VALUE(MID(A2746,15,2)),VALUE(MID(A2746,18,2))),"")))</f>
        <v/>
      </c>
    </row>
    <row r="2747" customFormat="false" ht="15" hidden="false" customHeight="false" outlineLevel="0" collapsed="false">
      <c r="I2747" s="15" t="str">
        <f aca="false">IF(N2747="","",INT(N2747))</f>
        <v/>
      </c>
      <c r="J2747" s="16" t="str">
        <f aca="false">IF(B2747="","",IF(N2747=_xlfn.MINIFS($N$2:$N$5001,$B$2:$B$5001,B2747),1,0))</f>
        <v/>
      </c>
      <c r="K2747" s="16" t="str">
        <f aca="false">IF(B2747="","",IF(AND(D2747="Formalização",E2747="Concluído"),IF(COUNTIFS($B$2:$B$5001,B2747,$E$2:$E$5001,"Em ajustes",$N$2:$N$5001,"&lt;"&amp;I2747)&gt;0,1,0),0))</f>
        <v/>
      </c>
      <c r="L2747" s="16" t="str">
        <f aca="false">IF(B2747="","",IF(N2747=_xlfn.MAXIFS($N$2:$N$5001,$B$2:$B$5001,B2747,$I$2:$I$5001,I2747),1,0))</f>
        <v/>
      </c>
      <c r="M2747" s="16" t="str">
        <f aca="false">IF(B2747="","",IF(E2747="Em ajustes",IF(N2747=_xlfn.MINIFS($N$2:$N$5001,$B$2:$B$5001,B2747,$E$2:$E$5001,"Em ajustes"),1,0),0))</f>
        <v/>
      </c>
      <c r="N2747" s="17" t="str">
        <f aca="false">IF(A2747="","",IF(ISNUMBER(A2747),A2747,IFERROR(DATE(VALUE(MID(A2747,7,4)),VALUE(MID(A2747,4,2)),VALUE(MID(A2747,1,2)))+TIME(VALUE(MID(A2747,12,2)),VALUE(MID(A2747,15,2)),VALUE(MID(A2747,18,2))),"")))</f>
        <v/>
      </c>
    </row>
    <row r="2748" customFormat="false" ht="15" hidden="false" customHeight="false" outlineLevel="0" collapsed="false">
      <c r="I2748" s="15" t="str">
        <f aca="false">IF(N2748="","",INT(N2748))</f>
        <v/>
      </c>
      <c r="J2748" s="16" t="str">
        <f aca="false">IF(B2748="","",IF(N2748=_xlfn.MINIFS($N$2:$N$5001,$B$2:$B$5001,B2748),1,0))</f>
        <v/>
      </c>
      <c r="K2748" s="16" t="str">
        <f aca="false">IF(B2748="","",IF(AND(D2748="Formalização",E2748="Concluído"),IF(COUNTIFS($B$2:$B$5001,B2748,$E$2:$E$5001,"Em ajustes",$N$2:$N$5001,"&lt;"&amp;I2748)&gt;0,1,0),0))</f>
        <v/>
      </c>
      <c r="L2748" s="16" t="str">
        <f aca="false">IF(B2748="","",IF(N2748=_xlfn.MAXIFS($N$2:$N$5001,$B$2:$B$5001,B2748,$I$2:$I$5001,I2748),1,0))</f>
        <v/>
      </c>
      <c r="M2748" s="16" t="str">
        <f aca="false">IF(B2748="","",IF(E2748="Em ajustes",IF(N2748=_xlfn.MINIFS($N$2:$N$5001,$B$2:$B$5001,B2748,$E$2:$E$5001,"Em ajustes"),1,0),0))</f>
        <v/>
      </c>
      <c r="N2748" s="17" t="str">
        <f aca="false">IF(A2748="","",IF(ISNUMBER(A2748),A2748,IFERROR(DATE(VALUE(MID(A2748,7,4)),VALUE(MID(A2748,4,2)),VALUE(MID(A2748,1,2)))+TIME(VALUE(MID(A2748,12,2)),VALUE(MID(A2748,15,2)),VALUE(MID(A2748,18,2))),"")))</f>
        <v/>
      </c>
    </row>
    <row r="2749" customFormat="false" ht="15" hidden="false" customHeight="false" outlineLevel="0" collapsed="false">
      <c r="I2749" s="15" t="str">
        <f aca="false">IF(N2749="","",INT(N2749))</f>
        <v/>
      </c>
      <c r="J2749" s="16" t="str">
        <f aca="false">IF(B2749="","",IF(N2749=_xlfn.MINIFS($N$2:$N$5001,$B$2:$B$5001,B2749),1,0))</f>
        <v/>
      </c>
      <c r="K2749" s="16" t="str">
        <f aca="false">IF(B2749="","",IF(AND(D2749="Formalização",E2749="Concluído"),IF(COUNTIFS($B$2:$B$5001,B2749,$E$2:$E$5001,"Em ajustes",$N$2:$N$5001,"&lt;"&amp;I2749)&gt;0,1,0),0))</f>
        <v/>
      </c>
      <c r="L2749" s="16" t="str">
        <f aca="false">IF(B2749="","",IF(N2749=_xlfn.MAXIFS($N$2:$N$5001,$B$2:$B$5001,B2749,$I$2:$I$5001,I2749),1,0))</f>
        <v/>
      </c>
      <c r="M2749" s="16" t="str">
        <f aca="false">IF(B2749="","",IF(E2749="Em ajustes",IF(N2749=_xlfn.MINIFS($N$2:$N$5001,$B$2:$B$5001,B2749,$E$2:$E$5001,"Em ajustes"),1,0),0))</f>
        <v/>
      </c>
      <c r="N2749" s="17" t="str">
        <f aca="false">IF(A2749="","",IF(ISNUMBER(A2749),A2749,IFERROR(DATE(VALUE(MID(A2749,7,4)),VALUE(MID(A2749,4,2)),VALUE(MID(A2749,1,2)))+TIME(VALUE(MID(A2749,12,2)),VALUE(MID(A2749,15,2)),VALUE(MID(A2749,18,2))),"")))</f>
        <v/>
      </c>
    </row>
    <row r="2750" customFormat="false" ht="15" hidden="false" customHeight="false" outlineLevel="0" collapsed="false">
      <c r="I2750" s="15" t="str">
        <f aca="false">IF(N2750="","",INT(N2750))</f>
        <v/>
      </c>
      <c r="J2750" s="16" t="str">
        <f aca="false">IF(B2750="","",IF(N2750=_xlfn.MINIFS($N$2:$N$5001,$B$2:$B$5001,B2750),1,0))</f>
        <v/>
      </c>
      <c r="K2750" s="16" t="str">
        <f aca="false">IF(B2750="","",IF(AND(D2750="Formalização",E2750="Concluído"),IF(COUNTIFS($B$2:$B$5001,B2750,$E$2:$E$5001,"Em ajustes",$N$2:$N$5001,"&lt;"&amp;I2750)&gt;0,1,0),0))</f>
        <v/>
      </c>
      <c r="L2750" s="16" t="str">
        <f aca="false">IF(B2750="","",IF(N2750=_xlfn.MAXIFS($N$2:$N$5001,$B$2:$B$5001,B2750,$I$2:$I$5001,I2750),1,0))</f>
        <v/>
      </c>
      <c r="M2750" s="16" t="str">
        <f aca="false">IF(B2750="","",IF(E2750="Em ajustes",IF(N2750=_xlfn.MINIFS($N$2:$N$5001,$B$2:$B$5001,B2750,$E$2:$E$5001,"Em ajustes"),1,0),0))</f>
        <v/>
      </c>
      <c r="N2750" s="17" t="str">
        <f aca="false">IF(A2750="","",IF(ISNUMBER(A2750),A2750,IFERROR(DATE(VALUE(MID(A2750,7,4)),VALUE(MID(A2750,4,2)),VALUE(MID(A2750,1,2)))+TIME(VALUE(MID(A2750,12,2)),VALUE(MID(A2750,15,2)),VALUE(MID(A2750,18,2))),"")))</f>
        <v/>
      </c>
    </row>
    <row r="2751" customFormat="false" ht="15" hidden="false" customHeight="false" outlineLevel="0" collapsed="false">
      <c r="I2751" s="15" t="str">
        <f aca="false">IF(N2751="","",INT(N2751))</f>
        <v/>
      </c>
      <c r="J2751" s="16" t="str">
        <f aca="false">IF(B2751="","",IF(N2751=_xlfn.MINIFS($N$2:$N$5001,$B$2:$B$5001,B2751),1,0))</f>
        <v/>
      </c>
      <c r="K2751" s="16" t="str">
        <f aca="false">IF(B2751="","",IF(AND(D2751="Formalização",E2751="Concluído"),IF(COUNTIFS($B$2:$B$5001,B2751,$E$2:$E$5001,"Em ajustes",$N$2:$N$5001,"&lt;"&amp;I2751)&gt;0,1,0),0))</f>
        <v/>
      </c>
      <c r="L2751" s="16" t="str">
        <f aca="false">IF(B2751="","",IF(N2751=_xlfn.MAXIFS($N$2:$N$5001,$B$2:$B$5001,B2751,$I$2:$I$5001,I2751),1,0))</f>
        <v/>
      </c>
      <c r="M2751" s="16" t="str">
        <f aca="false">IF(B2751="","",IF(E2751="Em ajustes",IF(N2751=_xlfn.MINIFS($N$2:$N$5001,$B$2:$B$5001,B2751,$E$2:$E$5001,"Em ajustes"),1,0),0))</f>
        <v/>
      </c>
      <c r="N2751" s="17" t="str">
        <f aca="false">IF(A2751="","",IF(ISNUMBER(A2751),A2751,IFERROR(DATE(VALUE(MID(A2751,7,4)),VALUE(MID(A2751,4,2)),VALUE(MID(A2751,1,2)))+TIME(VALUE(MID(A2751,12,2)),VALUE(MID(A2751,15,2)),VALUE(MID(A2751,18,2))),"")))</f>
        <v/>
      </c>
    </row>
    <row r="2752" customFormat="false" ht="15" hidden="false" customHeight="false" outlineLevel="0" collapsed="false">
      <c r="I2752" s="15" t="str">
        <f aca="false">IF(N2752="","",INT(N2752))</f>
        <v/>
      </c>
      <c r="J2752" s="16" t="str">
        <f aca="false">IF(B2752="","",IF(N2752=_xlfn.MINIFS($N$2:$N$5001,$B$2:$B$5001,B2752),1,0))</f>
        <v/>
      </c>
      <c r="K2752" s="16" t="str">
        <f aca="false">IF(B2752="","",IF(AND(D2752="Formalização",E2752="Concluído"),IF(COUNTIFS($B$2:$B$5001,B2752,$E$2:$E$5001,"Em ajustes",$N$2:$N$5001,"&lt;"&amp;I2752)&gt;0,1,0),0))</f>
        <v/>
      </c>
      <c r="L2752" s="16" t="str">
        <f aca="false">IF(B2752="","",IF(N2752=_xlfn.MAXIFS($N$2:$N$5001,$B$2:$B$5001,B2752,$I$2:$I$5001,I2752),1,0))</f>
        <v/>
      </c>
      <c r="M2752" s="16" t="str">
        <f aca="false">IF(B2752="","",IF(E2752="Em ajustes",IF(N2752=_xlfn.MINIFS($N$2:$N$5001,$B$2:$B$5001,B2752,$E$2:$E$5001,"Em ajustes"),1,0),0))</f>
        <v/>
      </c>
      <c r="N2752" s="17" t="str">
        <f aca="false">IF(A2752="","",IF(ISNUMBER(A2752),A2752,IFERROR(DATE(VALUE(MID(A2752,7,4)),VALUE(MID(A2752,4,2)),VALUE(MID(A2752,1,2)))+TIME(VALUE(MID(A2752,12,2)),VALUE(MID(A2752,15,2)),VALUE(MID(A2752,18,2))),"")))</f>
        <v/>
      </c>
    </row>
    <row r="2753" customFormat="false" ht="15" hidden="false" customHeight="false" outlineLevel="0" collapsed="false">
      <c r="I2753" s="15" t="str">
        <f aca="false">IF(N2753="","",INT(N2753))</f>
        <v/>
      </c>
      <c r="J2753" s="16" t="str">
        <f aca="false">IF(B2753="","",IF(N2753=_xlfn.MINIFS($N$2:$N$5001,$B$2:$B$5001,B2753),1,0))</f>
        <v/>
      </c>
      <c r="K2753" s="16" t="str">
        <f aca="false">IF(B2753="","",IF(AND(D2753="Formalização",E2753="Concluído"),IF(COUNTIFS($B$2:$B$5001,B2753,$E$2:$E$5001,"Em ajustes",$N$2:$N$5001,"&lt;"&amp;I2753)&gt;0,1,0),0))</f>
        <v/>
      </c>
      <c r="L2753" s="16" t="str">
        <f aca="false">IF(B2753="","",IF(N2753=_xlfn.MAXIFS($N$2:$N$5001,$B$2:$B$5001,B2753,$I$2:$I$5001,I2753),1,0))</f>
        <v/>
      </c>
      <c r="M2753" s="16" t="str">
        <f aca="false">IF(B2753="","",IF(E2753="Em ajustes",IF(N2753=_xlfn.MINIFS($N$2:$N$5001,$B$2:$B$5001,B2753,$E$2:$E$5001,"Em ajustes"),1,0),0))</f>
        <v/>
      </c>
      <c r="N2753" s="17" t="str">
        <f aca="false">IF(A2753="","",IF(ISNUMBER(A2753),A2753,IFERROR(DATE(VALUE(MID(A2753,7,4)),VALUE(MID(A2753,4,2)),VALUE(MID(A2753,1,2)))+TIME(VALUE(MID(A2753,12,2)),VALUE(MID(A2753,15,2)),VALUE(MID(A2753,18,2))),"")))</f>
        <v/>
      </c>
    </row>
    <row r="2754" customFormat="false" ht="15" hidden="false" customHeight="false" outlineLevel="0" collapsed="false">
      <c r="I2754" s="15" t="str">
        <f aca="false">IF(N2754="","",INT(N2754))</f>
        <v/>
      </c>
      <c r="J2754" s="16" t="str">
        <f aca="false">IF(B2754="","",IF(N2754=_xlfn.MINIFS($N$2:$N$5001,$B$2:$B$5001,B2754),1,0))</f>
        <v/>
      </c>
      <c r="K2754" s="16" t="str">
        <f aca="false">IF(B2754="","",IF(AND(D2754="Formalização",E2754="Concluído"),IF(COUNTIFS($B$2:$B$5001,B2754,$E$2:$E$5001,"Em ajustes",$N$2:$N$5001,"&lt;"&amp;I2754)&gt;0,1,0),0))</f>
        <v/>
      </c>
      <c r="L2754" s="16" t="str">
        <f aca="false">IF(B2754="","",IF(N2754=_xlfn.MAXIFS($N$2:$N$5001,$B$2:$B$5001,B2754,$I$2:$I$5001,I2754),1,0))</f>
        <v/>
      </c>
      <c r="M2754" s="16" t="str">
        <f aca="false">IF(B2754="","",IF(E2754="Em ajustes",IF(N2754=_xlfn.MINIFS($N$2:$N$5001,$B$2:$B$5001,B2754,$E$2:$E$5001,"Em ajustes"),1,0),0))</f>
        <v/>
      </c>
      <c r="N2754" s="17" t="str">
        <f aca="false">IF(A2754="","",IF(ISNUMBER(A2754),A2754,IFERROR(DATE(VALUE(MID(A2754,7,4)),VALUE(MID(A2754,4,2)),VALUE(MID(A2754,1,2)))+TIME(VALUE(MID(A2754,12,2)),VALUE(MID(A2754,15,2)),VALUE(MID(A2754,18,2))),"")))</f>
        <v/>
      </c>
    </row>
    <row r="2755" customFormat="false" ht="15" hidden="false" customHeight="false" outlineLevel="0" collapsed="false">
      <c r="I2755" s="15" t="str">
        <f aca="false">IF(N2755="","",INT(N2755))</f>
        <v/>
      </c>
      <c r="J2755" s="16" t="str">
        <f aca="false">IF(B2755="","",IF(N2755=_xlfn.MINIFS($N$2:$N$5001,$B$2:$B$5001,B2755),1,0))</f>
        <v/>
      </c>
      <c r="K2755" s="16" t="str">
        <f aca="false">IF(B2755="","",IF(AND(D2755="Formalização",E2755="Concluído"),IF(COUNTIFS($B$2:$B$5001,B2755,$E$2:$E$5001,"Em ajustes",$N$2:$N$5001,"&lt;"&amp;I2755)&gt;0,1,0),0))</f>
        <v/>
      </c>
      <c r="L2755" s="16" t="str">
        <f aca="false">IF(B2755="","",IF(N2755=_xlfn.MAXIFS($N$2:$N$5001,$B$2:$B$5001,B2755,$I$2:$I$5001,I2755),1,0))</f>
        <v/>
      </c>
      <c r="M2755" s="16" t="str">
        <f aca="false">IF(B2755="","",IF(E2755="Em ajustes",IF(N2755=_xlfn.MINIFS($N$2:$N$5001,$B$2:$B$5001,B2755,$E$2:$E$5001,"Em ajustes"),1,0),0))</f>
        <v/>
      </c>
      <c r="N2755" s="17" t="str">
        <f aca="false">IF(A2755="","",IF(ISNUMBER(A2755),A2755,IFERROR(DATE(VALUE(MID(A2755,7,4)),VALUE(MID(A2755,4,2)),VALUE(MID(A2755,1,2)))+TIME(VALUE(MID(A2755,12,2)),VALUE(MID(A2755,15,2)),VALUE(MID(A2755,18,2))),"")))</f>
        <v/>
      </c>
    </row>
    <row r="2756" customFormat="false" ht="15" hidden="false" customHeight="false" outlineLevel="0" collapsed="false">
      <c r="I2756" s="15" t="str">
        <f aca="false">IF(N2756="","",INT(N2756))</f>
        <v/>
      </c>
      <c r="J2756" s="16" t="str">
        <f aca="false">IF(B2756="","",IF(N2756=_xlfn.MINIFS($N$2:$N$5001,$B$2:$B$5001,B2756),1,0))</f>
        <v/>
      </c>
      <c r="K2756" s="16" t="str">
        <f aca="false">IF(B2756="","",IF(AND(D2756="Formalização",E2756="Concluído"),IF(COUNTIFS($B$2:$B$5001,B2756,$E$2:$E$5001,"Em ajustes",$N$2:$N$5001,"&lt;"&amp;I2756)&gt;0,1,0),0))</f>
        <v/>
      </c>
      <c r="L2756" s="16" t="str">
        <f aca="false">IF(B2756="","",IF(N2756=_xlfn.MAXIFS($N$2:$N$5001,$B$2:$B$5001,B2756,$I$2:$I$5001,I2756),1,0))</f>
        <v/>
      </c>
      <c r="M2756" s="16" t="str">
        <f aca="false">IF(B2756="","",IF(E2756="Em ajustes",IF(N2756=_xlfn.MINIFS($N$2:$N$5001,$B$2:$B$5001,B2756,$E$2:$E$5001,"Em ajustes"),1,0),0))</f>
        <v/>
      </c>
      <c r="N2756" s="17" t="str">
        <f aca="false">IF(A2756="","",IF(ISNUMBER(A2756),A2756,IFERROR(DATE(VALUE(MID(A2756,7,4)),VALUE(MID(A2756,4,2)),VALUE(MID(A2756,1,2)))+TIME(VALUE(MID(A2756,12,2)),VALUE(MID(A2756,15,2)),VALUE(MID(A2756,18,2))),"")))</f>
        <v/>
      </c>
    </row>
    <row r="2757" customFormat="false" ht="15" hidden="false" customHeight="false" outlineLevel="0" collapsed="false">
      <c r="I2757" s="15" t="str">
        <f aca="false">IF(N2757="","",INT(N2757))</f>
        <v/>
      </c>
      <c r="J2757" s="16" t="str">
        <f aca="false">IF(B2757="","",IF(N2757=_xlfn.MINIFS($N$2:$N$5001,$B$2:$B$5001,B2757),1,0))</f>
        <v/>
      </c>
      <c r="K2757" s="16" t="str">
        <f aca="false">IF(B2757="","",IF(AND(D2757="Formalização",E2757="Concluído"),IF(COUNTIFS($B$2:$B$5001,B2757,$E$2:$E$5001,"Em ajustes",$N$2:$N$5001,"&lt;"&amp;I2757)&gt;0,1,0),0))</f>
        <v/>
      </c>
      <c r="L2757" s="16" t="str">
        <f aca="false">IF(B2757="","",IF(N2757=_xlfn.MAXIFS($N$2:$N$5001,$B$2:$B$5001,B2757,$I$2:$I$5001,I2757),1,0))</f>
        <v/>
      </c>
      <c r="M2757" s="16" t="str">
        <f aca="false">IF(B2757="","",IF(E2757="Em ajustes",IF(N2757=_xlfn.MINIFS($N$2:$N$5001,$B$2:$B$5001,B2757,$E$2:$E$5001,"Em ajustes"),1,0),0))</f>
        <v/>
      </c>
      <c r="N2757" s="17" t="str">
        <f aca="false">IF(A2757="","",IF(ISNUMBER(A2757),A2757,IFERROR(DATE(VALUE(MID(A2757,7,4)),VALUE(MID(A2757,4,2)),VALUE(MID(A2757,1,2)))+TIME(VALUE(MID(A2757,12,2)),VALUE(MID(A2757,15,2)),VALUE(MID(A2757,18,2))),"")))</f>
        <v/>
      </c>
    </row>
    <row r="2758" customFormat="false" ht="15" hidden="false" customHeight="false" outlineLevel="0" collapsed="false">
      <c r="I2758" s="15" t="str">
        <f aca="false">IF(N2758="","",INT(N2758))</f>
        <v/>
      </c>
      <c r="J2758" s="16" t="str">
        <f aca="false">IF(B2758="","",IF(N2758=_xlfn.MINIFS($N$2:$N$5001,$B$2:$B$5001,B2758),1,0))</f>
        <v/>
      </c>
      <c r="K2758" s="16" t="str">
        <f aca="false">IF(B2758="","",IF(AND(D2758="Formalização",E2758="Concluído"),IF(COUNTIFS($B$2:$B$5001,B2758,$E$2:$E$5001,"Em ajustes",$N$2:$N$5001,"&lt;"&amp;I2758)&gt;0,1,0),0))</f>
        <v/>
      </c>
      <c r="L2758" s="16" t="str">
        <f aca="false">IF(B2758="","",IF(N2758=_xlfn.MAXIFS($N$2:$N$5001,$B$2:$B$5001,B2758,$I$2:$I$5001,I2758),1,0))</f>
        <v/>
      </c>
      <c r="M2758" s="16" t="str">
        <f aca="false">IF(B2758="","",IF(E2758="Em ajustes",IF(N2758=_xlfn.MINIFS($N$2:$N$5001,$B$2:$B$5001,B2758,$E$2:$E$5001,"Em ajustes"),1,0),0))</f>
        <v/>
      </c>
      <c r="N2758" s="17" t="str">
        <f aca="false">IF(A2758="","",IF(ISNUMBER(A2758),A2758,IFERROR(DATE(VALUE(MID(A2758,7,4)),VALUE(MID(A2758,4,2)),VALUE(MID(A2758,1,2)))+TIME(VALUE(MID(A2758,12,2)),VALUE(MID(A2758,15,2)),VALUE(MID(A2758,18,2))),"")))</f>
        <v/>
      </c>
    </row>
    <row r="2759" customFormat="false" ht="15" hidden="false" customHeight="false" outlineLevel="0" collapsed="false">
      <c r="I2759" s="15" t="str">
        <f aca="false">IF(N2759="","",INT(N2759))</f>
        <v/>
      </c>
      <c r="J2759" s="16" t="str">
        <f aca="false">IF(B2759="","",IF(N2759=_xlfn.MINIFS($N$2:$N$5001,$B$2:$B$5001,B2759),1,0))</f>
        <v/>
      </c>
      <c r="K2759" s="16" t="str">
        <f aca="false">IF(B2759="","",IF(AND(D2759="Formalização",E2759="Concluído"),IF(COUNTIFS($B$2:$B$5001,B2759,$E$2:$E$5001,"Em ajustes",$N$2:$N$5001,"&lt;"&amp;I2759)&gt;0,1,0),0))</f>
        <v/>
      </c>
      <c r="L2759" s="16" t="str">
        <f aca="false">IF(B2759="","",IF(N2759=_xlfn.MAXIFS($N$2:$N$5001,$B$2:$B$5001,B2759,$I$2:$I$5001,I2759),1,0))</f>
        <v/>
      </c>
      <c r="M2759" s="16" t="str">
        <f aca="false">IF(B2759="","",IF(E2759="Em ajustes",IF(N2759=_xlfn.MINIFS($N$2:$N$5001,$B$2:$B$5001,B2759,$E$2:$E$5001,"Em ajustes"),1,0),0))</f>
        <v/>
      </c>
      <c r="N2759" s="17" t="str">
        <f aca="false">IF(A2759="","",IF(ISNUMBER(A2759),A2759,IFERROR(DATE(VALUE(MID(A2759,7,4)),VALUE(MID(A2759,4,2)),VALUE(MID(A2759,1,2)))+TIME(VALUE(MID(A2759,12,2)),VALUE(MID(A2759,15,2)),VALUE(MID(A2759,18,2))),"")))</f>
        <v/>
      </c>
    </row>
    <row r="2760" customFormat="false" ht="15" hidden="false" customHeight="false" outlineLevel="0" collapsed="false">
      <c r="I2760" s="15" t="str">
        <f aca="false">IF(N2760="","",INT(N2760))</f>
        <v/>
      </c>
      <c r="J2760" s="16" t="str">
        <f aca="false">IF(B2760="","",IF(N2760=_xlfn.MINIFS($N$2:$N$5001,$B$2:$B$5001,B2760),1,0))</f>
        <v/>
      </c>
      <c r="K2760" s="16" t="str">
        <f aca="false">IF(B2760="","",IF(AND(D2760="Formalização",E2760="Concluído"),IF(COUNTIFS($B$2:$B$5001,B2760,$E$2:$E$5001,"Em ajustes",$N$2:$N$5001,"&lt;"&amp;I2760)&gt;0,1,0),0))</f>
        <v/>
      </c>
      <c r="L2760" s="16" t="str">
        <f aca="false">IF(B2760="","",IF(N2760=_xlfn.MAXIFS($N$2:$N$5001,$B$2:$B$5001,B2760,$I$2:$I$5001,I2760),1,0))</f>
        <v/>
      </c>
      <c r="M2760" s="16" t="str">
        <f aca="false">IF(B2760="","",IF(E2760="Em ajustes",IF(N2760=_xlfn.MINIFS($N$2:$N$5001,$B$2:$B$5001,B2760,$E$2:$E$5001,"Em ajustes"),1,0),0))</f>
        <v/>
      </c>
      <c r="N2760" s="17" t="str">
        <f aca="false">IF(A2760="","",IF(ISNUMBER(A2760),A2760,IFERROR(DATE(VALUE(MID(A2760,7,4)),VALUE(MID(A2760,4,2)),VALUE(MID(A2760,1,2)))+TIME(VALUE(MID(A2760,12,2)),VALUE(MID(A2760,15,2)),VALUE(MID(A2760,18,2))),"")))</f>
        <v/>
      </c>
    </row>
    <row r="2761" customFormat="false" ht="15" hidden="false" customHeight="false" outlineLevel="0" collapsed="false">
      <c r="I2761" s="15" t="str">
        <f aca="false">IF(N2761="","",INT(N2761))</f>
        <v/>
      </c>
      <c r="J2761" s="16" t="str">
        <f aca="false">IF(B2761="","",IF(N2761=_xlfn.MINIFS($N$2:$N$5001,$B$2:$B$5001,B2761),1,0))</f>
        <v/>
      </c>
      <c r="K2761" s="16" t="str">
        <f aca="false">IF(B2761="","",IF(AND(D2761="Formalização",E2761="Concluído"),IF(COUNTIFS($B$2:$B$5001,B2761,$E$2:$E$5001,"Em ajustes",$N$2:$N$5001,"&lt;"&amp;I2761)&gt;0,1,0),0))</f>
        <v/>
      </c>
      <c r="L2761" s="16" t="str">
        <f aca="false">IF(B2761="","",IF(N2761=_xlfn.MAXIFS($N$2:$N$5001,$B$2:$B$5001,B2761,$I$2:$I$5001,I2761),1,0))</f>
        <v/>
      </c>
      <c r="M2761" s="16" t="str">
        <f aca="false">IF(B2761="","",IF(E2761="Em ajustes",IF(N2761=_xlfn.MINIFS($N$2:$N$5001,$B$2:$B$5001,B2761,$E$2:$E$5001,"Em ajustes"),1,0),0))</f>
        <v/>
      </c>
      <c r="N2761" s="17" t="str">
        <f aca="false">IF(A2761="","",IF(ISNUMBER(A2761),A2761,IFERROR(DATE(VALUE(MID(A2761,7,4)),VALUE(MID(A2761,4,2)),VALUE(MID(A2761,1,2)))+TIME(VALUE(MID(A2761,12,2)),VALUE(MID(A2761,15,2)),VALUE(MID(A2761,18,2))),"")))</f>
        <v/>
      </c>
    </row>
    <row r="2762" customFormat="false" ht="15" hidden="false" customHeight="false" outlineLevel="0" collapsed="false">
      <c r="I2762" s="15" t="str">
        <f aca="false">IF(N2762="","",INT(N2762))</f>
        <v/>
      </c>
      <c r="J2762" s="16" t="str">
        <f aca="false">IF(B2762="","",IF(N2762=_xlfn.MINIFS($N$2:$N$5001,$B$2:$B$5001,B2762),1,0))</f>
        <v/>
      </c>
      <c r="K2762" s="16" t="str">
        <f aca="false">IF(B2762="","",IF(AND(D2762="Formalização",E2762="Concluído"),IF(COUNTIFS($B$2:$B$5001,B2762,$E$2:$E$5001,"Em ajustes",$N$2:$N$5001,"&lt;"&amp;I2762)&gt;0,1,0),0))</f>
        <v/>
      </c>
      <c r="L2762" s="16" t="str">
        <f aca="false">IF(B2762="","",IF(N2762=_xlfn.MAXIFS($N$2:$N$5001,$B$2:$B$5001,B2762,$I$2:$I$5001,I2762),1,0))</f>
        <v/>
      </c>
      <c r="M2762" s="16" t="str">
        <f aca="false">IF(B2762="","",IF(E2762="Em ajustes",IF(N2762=_xlfn.MINIFS($N$2:$N$5001,$B$2:$B$5001,B2762,$E$2:$E$5001,"Em ajustes"),1,0),0))</f>
        <v/>
      </c>
      <c r="N2762" s="17" t="str">
        <f aca="false">IF(A2762="","",IF(ISNUMBER(A2762),A2762,IFERROR(DATE(VALUE(MID(A2762,7,4)),VALUE(MID(A2762,4,2)),VALUE(MID(A2762,1,2)))+TIME(VALUE(MID(A2762,12,2)),VALUE(MID(A2762,15,2)),VALUE(MID(A2762,18,2))),"")))</f>
        <v/>
      </c>
    </row>
    <row r="2763" customFormat="false" ht="15" hidden="false" customHeight="false" outlineLevel="0" collapsed="false">
      <c r="I2763" s="15" t="str">
        <f aca="false">IF(N2763="","",INT(N2763))</f>
        <v/>
      </c>
      <c r="J2763" s="16" t="str">
        <f aca="false">IF(B2763="","",IF(N2763=_xlfn.MINIFS($N$2:$N$5001,$B$2:$B$5001,B2763),1,0))</f>
        <v/>
      </c>
      <c r="K2763" s="16" t="str">
        <f aca="false">IF(B2763="","",IF(AND(D2763="Formalização",E2763="Concluído"),IF(COUNTIFS($B$2:$B$5001,B2763,$E$2:$E$5001,"Em ajustes",$N$2:$N$5001,"&lt;"&amp;I2763)&gt;0,1,0),0))</f>
        <v/>
      </c>
      <c r="L2763" s="16" t="str">
        <f aca="false">IF(B2763="","",IF(N2763=_xlfn.MAXIFS($N$2:$N$5001,$B$2:$B$5001,B2763,$I$2:$I$5001,I2763),1,0))</f>
        <v/>
      </c>
      <c r="M2763" s="16" t="str">
        <f aca="false">IF(B2763="","",IF(E2763="Em ajustes",IF(N2763=_xlfn.MINIFS($N$2:$N$5001,$B$2:$B$5001,B2763,$E$2:$E$5001,"Em ajustes"),1,0),0))</f>
        <v/>
      </c>
      <c r="N2763" s="17" t="str">
        <f aca="false">IF(A2763="","",IF(ISNUMBER(A2763),A2763,IFERROR(DATE(VALUE(MID(A2763,7,4)),VALUE(MID(A2763,4,2)),VALUE(MID(A2763,1,2)))+TIME(VALUE(MID(A2763,12,2)),VALUE(MID(A2763,15,2)),VALUE(MID(A2763,18,2))),"")))</f>
        <v/>
      </c>
    </row>
    <row r="2764" customFormat="false" ht="15" hidden="false" customHeight="false" outlineLevel="0" collapsed="false">
      <c r="I2764" s="15" t="str">
        <f aca="false">IF(N2764="","",INT(N2764))</f>
        <v/>
      </c>
      <c r="J2764" s="16" t="str">
        <f aca="false">IF(B2764="","",IF(N2764=_xlfn.MINIFS($N$2:$N$5001,$B$2:$B$5001,B2764),1,0))</f>
        <v/>
      </c>
      <c r="K2764" s="16" t="str">
        <f aca="false">IF(B2764="","",IF(AND(D2764="Formalização",E2764="Concluído"),IF(COUNTIFS($B$2:$B$5001,B2764,$E$2:$E$5001,"Em ajustes",$N$2:$N$5001,"&lt;"&amp;I2764)&gt;0,1,0),0))</f>
        <v/>
      </c>
      <c r="L2764" s="16" t="str">
        <f aca="false">IF(B2764="","",IF(N2764=_xlfn.MAXIFS($N$2:$N$5001,$B$2:$B$5001,B2764,$I$2:$I$5001,I2764),1,0))</f>
        <v/>
      </c>
      <c r="M2764" s="16" t="str">
        <f aca="false">IF(B2764="","",IF(E2764="Em ajustes",IF(N2764=_xlfn.MINIFS($N$2:$N$5001,$B$2:$B$5001,B2764,$E$2:$E$5001,"Em ajustes"),1,0),0))</f>
        <v/>
      </c>
      <c r="N2764" s="17" t="str">
        <f aca="false">IF(A2764="","",IF(ISNUMBER(A2764),A2764,IFERROR(DATE(VALUE(MID(A2764,7,4)),VALUE(MID(A2764,4,2)),VALUE(MID(A2764,1,2)))+TIME(VALUE(MID(A2764,12,2)),VALUE(MID(A2764,15,2)),VALUE(MID(A2764,18,2))),"")))</f>
        <v/>
      </c>
    </row>
    <row r="2765" customFormat="false" ht="15" hidden="false" customHeight="false" outlineLevel="0" collapsed="false">
      <c r="I2765" s="15" t="str">
        <f aca="false">IF(N2765="","",INT(N2765))</f>
        <v/>
      </c>
      <c r="J2765" s="16" t="str">
        <f aca="false">IF(B2765="","",IF(N2765=_xlfn.MINIFS($N$2:$N$5001,$B$2:$B$5001,B2765),1,0))</f>
        <v/>
      </c>
      <c r="K2765" s="16" t="str">
        <f aca="false">IF(B2765="","",IF(AND(D2765="Formalização",E2765="Concluído"),IF(COUNTIFS($B$2:$B$5001,B2765,$E$2:$E$5001,"Em ajustes",$N$2:$N$5001,"&lt;"&amp;I2765)&gt;0,1,0),0))</f>
        <v/>
      </c>
      <c r="L2765" s="16" t="str">
        <f aca="false">IF(B2765="","",IF(N2765=_xlfn.MAXIFS($N$2:$N$5001,$B$2:$B$5001,B2765,$I$2:$I$5001,I2765),1,0))</f>
        <v/>
      </c>
      <c r="M2765" s="16" t="str">
        <f aca="false">IF(B2765="","",IF(E2765="Em ajustes",IF(N2765=_xlfn.MINIFS($N$2:$N$5001,$B$2:$B$5001,B2765,$E$2:$E$5001,"Em ajustes"),1,0),0))</f>
        <v/>
      </c>
      <c r="N2765" s="17" t="str">
        <f aca="false">IF(A2765="","",IF(ISNUMBER(A2765),A2765,IFERROR(DATE(VALUE(MID(A2765,7,4)),VALUE(MID(A2765,4,2)),VALUE(MID(A2765,1,2)))+TIME(VALUE(MID(A2765,12,2)),VALUE(MID(A2765,15,2)),VALUE(MID(A2765,18,2))),"")))</f>
        <v/>
      </c>
    </row>
    <row r="2766" customFormat="false" ht="15" hidden="false" customHeight="false" outlineLevel="0" collapsed="false">
      <c r="I2766" s="15" t="str">
        <f aca="false">IF(N2766="","",INT(N2766))</f>
        <v/>
      </c>
      <c r="J2766" s="16" t="str">
        <f aca="false">IF(B2766="","",IF(N2766=_xlfn.MINIFS($N$2:$N$5001,$B$2:$B$5001,B2766),1,0))</f>
        <v/>
      </c>
      <c r="K2766" s="16" t="str">
        <f aca="false">IF(B2766="","",IF(AND(D2766="Formalização",E2766="Concluído"),IF(COUNTIFS($B$2:$B$5001,B2766,$E$2:$E$5001,"Em ajustes",$N$2:$N$5001,"&lt;"&amp;I2766)&gt;0,1,0),0))</f>
        <v/>
      </c>
      <c r="L2766" s="16" t="str">
        <f aca="false">IF(B2766="","",IF(N2766=_xlfn.MAXIFS($N$2:$N$5001,$B$2:$B$5001,B2766,$I$2:$I$5001,I2766),1,0))</f>
        <v/>
      </c>
      <c r="M2766" s="16" t="str">
        <f aca="false">IF(B2766="","",IF(E2766="Em ajustes",IF(N2766=_xlfn.MINIFS($N$2:$N$5001,$B$2:$B$5001,B2766,$E$2:$E$5001,"Em ajustes"),1,0),0))</f>
        <v/>
      </c>
      <c r="N2766" s="17" t="str">
        <f aca="false">IF(A2766="","",IF(ISNUMBER(A2766),A2766,IFERROR(DATE(VALUE(MID(A2766,7,4)),VALUE(MID(A2766,4,2)),VALUE(MID(A2766,1,2)))+TIME(VALUE(MID(A2766,12,2)),VALUE(MID(A2766,15,2)),VALUE(MID(A2766,18,2))),"")))</f>
        <v/>
      </c>
    </row>
    <row r="2767" customFormat="false" ht="15" hidden="false" customHeight="false" outlineLevel="0" collapsed="false">
      <c r="I2767" s="15" t="str">
        <f aca="false">IF(N2767="","",INT(N2767))</f>
        <v/>
      </c>
      <c r="J2767" s="16" t="str">
        <f aca="false">IF(B2767="","",IF(N2767=_xlfn.MINIFS($N$2:$N$5001,$B$2:$B$5001,B2767),1,0))</f>
        <v/>
      </c>
      <c r="K2767" s="16" t="str">
        <f aca="false">IF(B2767="","",IF(AND(D2767="Formalização",E2767="Concluído"),IF(COUNTIFS($B$2:$B$5001,B2767,$E$2:$E$5001,"Em ajustes",$N$2:$N$5001,"&lt;"&amp;I2767)&gt;0,1,0),0))</f>
        <v/>
      </c>
      <c r="L2767" s="16" t="str">
        <f aca="false">IF(B2767="","",IF(N2767=_xlfn.MAXIFS($N$2:$N$5001,$B$2:$B$5001,B2767,$I$2:$I$5001,I2767),1,0))</f>
        <v/>
      </c>
      <c r="M2767" s="16" t="str">
        <f aca="false">IF(B2767="","",IF(E2767="Em ajustes",IF(N2767=_xlfn.MINIFS($N$2:$N$5001,$B$2:$B$5001,B2767,$E$2:$E$5001,"Em ajustes"),1,0),0))</f>
        <v/>
      </c>
      <c r="N2767" s="17" t="str">
        <f aca="false">IF(A2767="","",IF(ISNUMBER(A2767),A2767,IFERROR(DATE(VALUE(MID(A2767,7,4)),VALUE(MID(A2767,4,2)),VALUE(MID(A2767,1,2)))+TIME(VALUE(MID(A2767,12,2)),VALUE(MID(A2767,15,2)),VALUE(MID(A2767,18,2))),"")))</f>
        <v/>
      </c>
    </row>
    <row r="2768" customFormat="false" ht="15" hidden="false" customHeight="false" outlineLevel="0" collapsed="false">
      <c r="I2768" s="15" t="str">
        <f aca="false">IF(N2768="","",INT(N2768))</f>
        <v/>
      </c>
      <c r="J2768" s="16" t="str">
        <f aca="false">IF(B2768="","",IF(N2768=_xlfn.MINIFS($N$2:$N$5001,$B$2:$B$5001,B2768),1,0))</f>
        <v/>
      </c>
      <c r="K2768" s="16" t="str">
        <f aca="false">IF(B2768="","",IF(AND(D2768="Formalização",E2768="Concluído"),IF(COUNTIFS($B$2:$B$5001,B2768,$E$2:$E$5001,"Em ajustes",$N$2:$N$5001,"&lt;"&amp;I2768)&gt;0,1,0),0))</f>
        <v/>
      </c>
      <c r="L2768" s="16" t="str">
        <f aca="false">IF(B2768="","",IF(N2768=_xlfn.MAXIFS($N$2:$N$5001,$B$2:$B$5001,B2768,$I$2:$I$5001,I2768),1,0))</f>
        <v/>
      </c>
      <c r="M2768" s="16" t="str">
        <f aca="false">IF(B2768="","",IF(E2768="Em ajustes",IF(N2768=_xlfn.MINIFS($N$2:$N$5001,$B$2:$B$5001,B2768,$E$2:$E$5001,"Em ajustes"),1,0),0))</f>
        <v/>
      </c>
      <c r="N2768" s="17" t="str">
        <f aca="false">IF(A2768="","",IF(ISNUMBER(A2768),A2768,IFERROR(DATE(VALUE(MID(A2768,7,4)),VALUE(MID(A2768,4,2)),VALUE(MID(A2768,1,2)))+TIME(VALUE(MID(A2768,12,2)),VALUE(MID(A2768,15,2)),VALUE(MID(A2768,18,2))),"")))</f>
        <v/>
      </c>
    </row>
    <row r="2769" customFormat="false" ht="15" hidden="false" customHeight="false" outlineLevel="0" collapsed="false">
      <c r="I2769" s="15" t="str">
        <f aca="false">IF(N2769="","",INT(N2769))</f>
        <v/>
      </c>
      <c r="J2769" s="16" t="str">
        <f aca="false">IF(B2769="","",IF(N2769=_xlfn.MINIFS($N$2:$N$5001,$B$2:$B$5001,B2769),1,0))</f>
        <v/>
      </c>
      <c r="K2769" s="16" t="str">
        <f aca="false">IF(B2769="","",IF(AND(D2769="Formalização",E2769="Concluído"),IF(COUNTIFS($B$2:$B$5001,B2769,$E$2:$E$5001,"Em ajustes",$N$2:$N$5001,"&lt;"&amp;I2769)&gt;0,1,0),0))</f>
        <v/>
      </c>
      <c r="L2769" s="16" t="str">
        <f aca="false">IF(B2769="","",IF(N2769=_xlfn.MAXIFS($N$2:$N$5001,$B$2:$B$5001,B2769,$I$2:$I$5001,I2769),1,0))</f>
        <v/>
      </c>
      <c r="M2769" s="16" t="str">
        <f aca="false">IF(B2769="","",IF(E2769="Em ajustes",IF(N2769=_xlfn.MINIFS($N$2:$N$5001,$B$2:$B$5001,B2769,$E$2:$E$5001,"Em ajustes"),1,0),0))</f>
        <v/>
      </c>
      <c r="N2769" s="17" t="str">
        <f aca="false">IF(A2769="","",IF(ISNUMBER(A2769),A2769,IFERROR(DATE(VALUE(MID(A2769,7,4)),VALUE(MID(A2769,4,2)),VALUE(MID(A2769,1,2)))+TIME(VALUE(MID(A2769,12,2)),VALUE(MID(A2769,15,2)),VALUE(MID(A2769,18,2))),"")))</f>
        <v/>
      </c>
    </row>
    <row r="2770" customFormat="false" ht="15" hidden="false" customHeight="false" outlineLevel="0" collapsed="false">
      <c r="I2770" s="15" t="str">
        <f aca="false">IF(N2770="","",INT(N2770))</f>
        <v/>
      </c>
      <c r="J2770" s="16" t="str">
        <f aca="false">IF(B2770="","",IF(N2770=_xlfn.MINIFS($N$2:$N$5001,$B$2:$B$5001,B2770),1,0))</f>
        <v/>
      </c>
      <c r="K2770" s="16" t="str">
        <f aca="false">IF(B2770="","",IF(AND(D2770="Formalização",E2770="Concluído"),IF(COUNTIFS($B$2:$B$5001,B2770,$E$2:$E$5001,"Em ajustes",$N$2:$N$5001,"&lt;"&amp;I2770)&gt;0,1,0),0))</f>
        <v/>
      </c>
      <c r="L2770" s="16" t="str">
        <f aca="false">IF(B2770="","",IF(N2770=_xlfn.MAXIFS($N$2:$N$5001,$B$2:$B$5001,B2770,$I$2:$I$5001,I2770),1,0))</f>
        <v/>
      </c>
      <c r="M2770" s="16" t="str">
        <f aca="false">IF(B2770="","",IF(E2770="Em ajustes",IF(N2770=_xlfn.MINIFS($N$2:$N$5001,$B$2:$B$5001,B2770,$E$2:$E$5001,"Em ajustes"),1,0),0))</f>
        <v/>
      </c>
      <c r="N2770" s="17" t="str">
        <f aca="false">IF(A2770="","",IF(ISNUMBER(A2770),A2770,IFERROR(DATE(VALUE(MID(A2770,7,4)),VALUE(MID(A2770,4,2)),VALUE(MID(A2770,1,2)))+TIME(VALUE(MID(A2770,12,2)),VALUE(MID(A2770,15,2)),VALUE(MID(A2770,18,2))),"")))</f>
        <v/>
      </c>
    </row>
    <row r="2771" customFormat="false" ht="15" hidden="false" customHeight="false" outlineLevel="0" collapsed="false">
      <c r="I2771" s="15" t="str">
        <f aca="false">IF(N2771="","",INT(N2771))</f>
        <v/>
      </c>
      <c r="J2771" s="16" t="str">
        <f aca="false">IF(B2771="","",IF(N2771=_xlfn.MINIFS($N$2:$N$5001,$B$2:$B$5001,B2771),1,0))</f>
        <v/>
      </c>
      <c r="K2771" s="16" t="str">
        <f aca="false">IF(B2771="","",IF(AND(D2771="Formalização",E2771="Concluído"),IF(COUNTIFS($B$2:$B$5001,B2771,$E$2:$E$5001,"Em ajustes",$N$2:$N$5001,"&lt;"&amp;I2771)&gt;0,1,0),0))</f>
        <v/>
      </c>
      <c r="L2771" s="16" t="str">
        <f aca="false">IF(B2771="","",IF(N2771=_xlfn.MAXIFS($N$2:$N$5001,$B$2:$B$5001,B2771,$I$2:$I$5001,I2771),1,0))</f>
        <v/>
      </c>
      <c r="M2771" s="16" t="str">
        <f aca="false">IF(B2771="","",IF(E2771="Em ajustes",IF(N2771=_xlfn.MINIFS($N$2:$N$5001,$B$2:$B$5001,B2771,$E$2:$E$5001,"Em ajustes"),1,0),0))</f>
        <v/>
      </c>
      <c r="N2771" s="17" t="str">
        <f aca="false">IF(A2771="","",IF(ISNUMBER(A2771),A2771,IFERROR(DATE(VALUE(MID(A2771,7,4)),VALUE(MID(A2771,4,2)),VALUE(MID(A2771,1,2)))+TIME(VALUE(MID(A2771,12,2)),VALUE(MID(A2771,15,2)),VALUE(MID(A2771,18,2))),"")))</f>
        <v/>
      </c>
    </row>
    <row r="2772" customFormat="false" ht="15" hidden="false" customHeight="false" outlineLevel="0" collapsed="false">
      <c r="I2772" s="15" t="str">
        <f aca="false">IF(N2772="","",INT(N2772))</f>
        <v/>
      </c>
      <c r="J2772" s="16" t="str">
        <f aca="false">IF(B2772="","",IF(N2772=_xlfn.MINIFS($N$2:$N$5001,$B$2:$B$5001,B2772),1,0))</f>
        <v/>
      </c>
      <c r="K2772" s="16" t="str">
        <f aca="false">IF(B2772="","",IF(AND(D2772="Formalização",E2772="Concluído"),IF(COUNTIFS($B$2:$B$5001,B2772,$E$2:$E$5001,"Em ajustes",$N$2:$N$5001,"&lt;"&amp;I2772)&gt;0,1,0),0))</f>
        <v/>
      </c>
      <c r="L2772" s="16" t="str">
        <f aca="false">IF(B2772="","",IF(N2772=_xlfn.MAXIFS($N$2:$N$5001,$B$2:$B$5001,B2772,$I$2:$I$5001,I2772),1,0))</f>
        <v/>
      </c>
      <c r="M2772" s="16" t="str">
        <f aca="false">IF(B2772="","",IF(E2772="Em ajustes",IF(N2772=_xlfn.MINIFS($N$2:$N$5001,$B$2:$B$5001,B2772,$E$2:$E$5001,"Em ajustes"),1,0),0))</f>
        <v/>
      </c>
      <c r="N2772" s="17" t="str">
        <f aca="false">IF(A2772="","",IF(ISNUMBER(A2772),A2772,IFERROR(DATE(VALUE(MID(A2772,7,4)),VALUE(MID(A2772,4,2)),VALUE(MID(A2772,1,2)))+TIME(VALUE(MID(A2772,12,2)),VALUE(MID(A2772,15,2)),VALUE(MID(A2772,18,2))),"")))</f>
        <v/>
      </c>
    </row>
    <row r="2773" customFormat="false" ht="15" hidden="false" customHeight="false" outlineLevel="0" collapsed="false">
      <c r="I2773" s="15" t="str">
        <f aca="false">IF(N2773="","",INT(N2773))</f>
        <v/>
      </c>
      <c r="J2773" s="16" t="str">
        <f aca="false">IF(B2773="","",IF(N2773=_xlfn.MINIFS($N$2:$N$5001,$B$2:$B$5001,B2773),1,0))</f>
        <v/>
      </c>
      <c r="K2773" s="16" t="str">
        <f aca="false">IF(B2773="","",IF(AND(D2773="Formalização",E2773="Concluído"),IF(COUNTIFS($B$2:$B$5001,B2773,$E$2:$E$5001,"Em ajustes",$N$2:$N$5001,"&lt;"&amp;I2773)&gt;0,1,0),0))</f>
        <v/>
      </c>
      <c r="L2773" s="16" t="str">
        <f aca="false">IF(B2773="","",IF(N2773=_xlfn.MAXIFS($N$2:$N$5001,$B$2:$B$5001,B2773,$I$2:$I$5001,I2773),1,0))</f>
        <v/>
      </c>
      <c r="M2773" s="16" t="str">
        <f aca="false">IF(B2773="","",IF(E2773="Em ajustes",IF(N2773=_xlfn.MINIFS($N$2:$N$5001,$B$2:$B$5001,B2773,$E$2:$E$5001,"Em ajustes"),1,0),0))</f>
        <v/>
      </c>
      <c r="N2773" s="17" t="str">
        <f aca="false">IF(A2773="","",IF(ISNUMBER(A2773),A2773,IFERROR(DATE(VALUE(MID(A2773,7,4)),VALUE(MID(A2773,4,2)),VALUE(MID(A2773,1,2)))+TIME(VALUE(MID(A2773,12,2)),VALUE(MID(A2773,15,2)),VALUE(MID(A2773,18,2))),"")))</f>
        <v/>
      </c>
    </row>
    <row r="2774" customFormat="false" ht="15" hidden="false" customHeight="false" outlineLevel="0" collapsed="false">
      <c r="I2774" s="15" t="str">
        <f aca="false">IF(N2774="","",INT(N2774))</f>
        <v/>
      </c>
      <c r="J2774" s="16" t="str">
        <f aca="false">IF(B2774="","",IF(N2774=_xlfn.MINIFS($N$2:$N$5001,$B$2:$B$5001,B2774),1,0))</f>
        <v/>
      </c>
      <c r="K2774" s="16" t="str">
        <f aca="false">IF(B2774="","",IF(AND(D2774="Formalização",E2774="Concluído"),IF(COUNTIFS($B$2:$B$5001,B2774,$E$2:$E$5001,"Em ajustes",$N$2:$N$5001,"&lt;"&amp;I2774)&gt;0,1,0),0))</f>
        <v/>
      </c>
      <c r="L2774" s="16" t="str">
        <f aca="false">IF(B2774="","",IF(N2774=_xlfn.MAXIFS($N$2:$N$5001,$B$2:$B$5001,B2774,$I$2:$I$5001,I2774),1,0))</f>
        <v/>
      </c>
      <c r="M2774" s="16" t="str">
        <f aca="false">IF(B2774="","",IF(E2774="Em ajustes",IF(N2774=_xlfn.MINIFS($N$2:$N$5001,$B$2:$B$5001,B2774,$E$2:$E$5001,"Em ajustes"),1,0),0))</f>
        <v/>
      </c>
      <c r="N2774" s="17" t="str">
        <f aca="false">IF(A2774="","",IF(ISNUMBER(A2774),A2774,IFERROR(DATE(VALUE(MID(A2774,7,4)),VALUE(MID(A2774,4,2)),VALUE(MID(A2774,1,2)))+TIME(VALUE(MID(A2774,12,2)),VALUE(MID(A2774,15,2)),VALUE(MID(A2774,18,2))),"")))</f>
        <v/>
      </c>
    </row>
    <row r="2775" customFormat="false" ht="15" hidden="false" customHeight="false" outlineLevel="0" collapsed="false">
      <c r="I2775" s="15" t="str">
        <f aca="false">IF(N2775="","",INT(N2775))</f>
        <v/>
      </c>
      <c r="J2775" s="16" t="str">
        <f aca="false">IF(B2775="","",IF(N2775=_xlfn.MINIFS($N$2:$N$5001,$B$2:$B$5001,B2775),1,0))</f>
        <v/>
      </c>
      <c r="K2775" s="16" t="str">
        <f aca="false">IF(B2775="","",IF(AND(D2775="Formalização",E2775="Concluído"),IF(COUNTIFS($B$2:$B$5001,B2775,$E$2:$E$5001,"Em ajustes",$N$2:$N$5001,"&lt;"&amp;I2775)&gt;0,1,0),0))</f>
        <v/>
      </c>
      <c r="L2775" s="16" t="str">
        <f aca="false">IF(B2775="","",IF(N2775=_xlfn.MAXIFS($N$2:$N$5001,$B$2:$B$5001,B2775,$I$2:$I$5001,I2775),1,0))</f>
        <v/>
      </c>
      <c r="M2775" s="16" t="str">
        <f aca="false">IF(B2775="","",IF(E2775="Em ajustes",IF(N2775=_xlfn.MINIFS($N$2:$N$5001,$B$2:$B$5001,B2775,$E$2:$E$5001,"Em ajustes"),1,0),0))</f>
        <v/>
      </c>
      <c r="N2775" s="17" t="str">
        <f aca="false">IF(A2775="","",IF(ISNUMBER(A2775),A2775,IFERROR(DATE(VALUE(MID(A2775,7,4)),VALUE(MID(A2775,4,2)),VALUE(MID(A2775,1,2)))+TIME(VALUE(MID(A2775,12,2)),VALUE(MID(A2775,15,2)),VALUE(MID(A2775,18,2))),"")))</f>
        <v/>
      </c>
    </row>
    <row r="2776" customFormat="false" ht="15" hidden="false" customHeight="false" outlineLevel="0" collapsed="false">
      <c r="I2776" s="15" t="str">
        <f aca="false">IF(N2776="","",INT(N2776))</f>
        <v/>
      </c>
      <c r="J2776" s="16" t="str">
        <f aca="false">IF(B2776="","",IF(N2776=_xlfn.MINIFS($N$2:$N$5001,$B$2:$B$5001,B2776),1,0))</f>
        <v/>
      </c>
      <c r="K2776" s="16" t="str">
        <f aca="false">IF(B2776="","",IF(AND(D2776="Formalização",E2776="Concluído"),IF(COUNTIFS($B$2:$B$5001,B2776,$E$2:$E$5001,"Em ajustes",$N$2:$N$5001,"&lt;"&amp;I2776)&gt;0,1,0),0))</f>
        <v/>
      </c>
      <c r="L2776" s="16" t="str">
        <f aca="false">IF(B2776="","",IF(N2776=_xlfn.MAXIFS($N$2:$N$5001,$B$2:$B$5001,B2776,$I$2:$I$5001,I2776),1,0))</f>
        <v/>
      </c>
      <c r="M2776" s="16" t="str">
        <f aca="false">IF(B2776="","",IF(E2776="Em ajustes",IF(N2776=_xlfn.MINIFS($N$2:$N$5001,$B$2:$B$5001,B2776,$E$2:$E$5001,"Em ajustes"),1,0),0))</f>
        <v/>
      </c>
      <c r="N2776" s="17" t="str">
        <f aca="false">IF(A2776="","",IF(ISNUMBER(A2776),A2776,IFERROR(DATE(VALUE(MID(A2776,7,4)),VALUE(MID(A2776,4,2)),VALUE(MID(A2776,1,2)))+TIME(VALUE(MID(A2776,12,2)),VALUE(MID(A2776,15,2)),VALUE(MID(A2776,18,2))),"")))</f>
        <v/>
      </c>
    </row>
    <row r="2777" customFormat="false" ht="15" hidden="false" customHeight="false" outlineLevel="0" collapsed="false">
      <c r="I2777" s="15" t="str">
        <f aca="false">IF(N2777="","",INT(N2777))</f>
        <v/>
      </c>
      <c r="J2777" s="16" t="str">
        <f aca="false">IF(B2777="","",IF(N2777=_xlfn.MINIFS($N$2:$N$5001,$B$2:$B$5001,B2777),1,0))</f>
        <v/>
      </c>
      <c r="K2777" s="16" t="str">
        <f aca="false">IF(B2777="","",IF(AND(D2777="Formalização",E2777="Concluído"),IF(COUNTIFS($B$2:$B$5001,B2777,$E$2:$E$5001,"Em ajustes",$N$2:$N$5001,"&lt;"&amp;I2777)&gt;0,1,0),0))</f>
        <v/>
      </c>
      <c r="L2777" s="16" t="str">
        <f aca="false">IF(B2777="","",IF(N2777=_xlfn.MAXIFS($N$2:$N$5001,$B$2:$B$5001,B2777,$I$2:$I$5001,I2777),1,0))</f>
        <v/>
      </c>
      <c r="M2777" s="16" t="str">
        <f aca="false">IF(B2777="","",IF(E2777="Em ajustes",IF(N2777=_xlfn.MINIFS($N$2:$N$5001,$B$2:$B$5001,B2777,$E$2:$E$5001,"Em ajustes"),1,0),0))</f>
        <v/>
      </c>
      <c r="N2777" s="17" t="str">
        <f aca="false">IF(A2777="","",IF(ISNUMBER(A2777),A2777,IFERROR(DATE(VALUE(MID(A2777,7,4)),VALUE(MID(A2777,4,2)),VALUE(MID(A2777,1,2)))+TIME(VALUE(MID(A2777,12,2)),VALUE(MID(A2777,15,2)),VALUE(MID(A2777,18,2))),"")))</f>
        <v/>
      </c>
    </row>
    <row r="2778" customFormat="false" ht="15" hidden="false" customHeight="false" outlineLevel="0" collapsed="false">
      <c r="I2778" s="15" t="str">
        <f aca="false">IF(N2778="","",INT(N2778))</f>
        <v/>
      </c>
      <c r="J2778" s="16" t="str">
        <f aca="false">IF(B2778="","",IF(N2778=_xlfn.MINIFS($N$2:$N$5001,$B$2:$B$5001,B2778),1,0))</f>
        <v/>
      </c>
      <c r="K2778" s="16" t="str">
        <f aca="false">IF(B2778="","",IF(AND(D2778="Formalização",E2778="Concluído"),IF(COUNTIFS($B$2:$B$5001,B2778,$E$2:$E$5001,"Em ajustes",$N$2:$N$5001,"&lt;"&amp;I2778)&gt;0,1,0),0))</f>
        <v/>
      </c>
      <c r="L2778" s="16" t="str">
        <f aca="false">IF(B2778="","",IF(N2778=_xlfn.MAXIFS($N$2:$N$5001,$B$2:$B$5001,B2778,$I$2:$I$5001,I2778),1,0))</f>
        <v/>
      </c>
      <c r="M2778" s="16" t="str">
        <f aca="false">IF(B2778="","",IF(E2778="Em ajustes",IF(N2778=_xlfn.MINIFS($N$2:$N$5001,$B$2:$B$5001,B2778,$E$2:$E$5001,"Em ajustes"),1,0),0))</f>
        <v/>
      </c>
      <c r="N2778" s="17" t="str">
        <f aca="false">IF(A2778="","",IF(ISNUMBER(A2778),A2778,IFERROR(DATE(VALUE(MID(A2778,7,4)),VALUE(MID(A2778,4,2)),VALUE(MID(A2778,1,2)))+TIME(VALUE(MID(A2778,12,2)),VALUE(MID(A2778,15,2)),VALUE(MID(A2778,18,2))),"")))</f>
        <v/>
      </c>
    </row>
    <row r="2779" customFormat="false" ht="15" hidden="false" customHeight="false" outlineLevel="0" collapsed="false">
      <c r="I2779" s="15" t="str">
        <f aca="false">IF(N2779="","",INT(N2779))</f>
        <v/>
      </c>
      <c r="J2779" s="16" t="str">
        <f aca="false">IF(B2779="","",IF(N2779=_xlfn.MINIFS($N$2:$N$5001,$B$2:$B$5001,B2779),1,0))</f>
        <v/>
      </c>
      <c r="K2779" s="16" t="str">
        <f aca="false">IF(B2779="","",IF(AND(D2779="Formalização",E2779="Concluído"),IF(COUNTIFS($B$2:$B$5001,B2779,$E$2:$E$5001,"Em ajustes",$N$2:$N$5001,"&lt;"&amp;I2779)&gt;0,1,0),0))</f>
        <v/>
      </c>
      <c r="L2779" s="16" t="str">
        <f aca="false">IF(B2779="","",IF(N2779=_xlfn.MAXIFS($N$2:$N$5001,$B$2:$B$5001,B2779,$I$2:$I$5001,I2779),1,0))</f>
        <v/>
      </c>
      <c r="M2779" s="16" t="str">
        <f aca="false">IF(B2779="","",IF(E2779="Em ajustes",IF(N2779=_xlfn.MINIFS($N$2:$N$5001,$B$2:$B$5001,B2779,$E$2:$E$5001,"Em ajustes"),1,0),0))</f>
        <v/>
      </c>
      <c r="N2779" s="17" t="str">
        <f aca="false">IF(A2779="","",IF(ISNUMBER(A2779),A2779,IFERROR(DATE(VALUE(MID(A2779,7,4)),VALUE(MID(A2779,4,2)),VALUE(MID(A2779,1,2)))+TIME(VALUE(MID(A2779,12,2)),VALUE(MID(A2779,15,2)),VALUE(MID(A2779,18,2))),"")))</f>
        <v/>
      </c>
    </row>
    <row r="2780" customFormat="false" ht="15" hidden="false" customHeight="false" outlineLevel="0" collapsed="false">
      <c r="I2780" s="15" t="str">
        <f aca="false">IF(N2780="","",INT(N2780))</f>
        <v/>
      </c>
      <c r="J2780" s="16" t="str">
        <f aca="false">IF(B2780="","",IF(N2780=_xlfn.MINIFS($N$2:$N$5001,$B$2:$B$5001,B2780),1,0))</f>
        <v/>
      </c>
      <c r="K2780" s="16" t="str">
        <f aca="false">IF(B2780="","",IF(AND(D2780="Formalização",E2780="Concluído"),IF(COUNTIFS($B$2:$B$5001,B2780,$E$2:$E$5001,"Em ajustes",$N$2:$N$5001,"&lt;"&amp;I2780)&gt;0,1,0),0))</f>
        <v/>
      </c>
      <c r="L2780" s="16" t="str">
        <f aca="false">IF(B2780="","",IF(N2780=_xlfn.MAXIFS($N$2:$N$5001,$B$2:$B$5001,B2780,$I$2:$I$5001,I2780),1,0))</f>
        <v/>
      </c>
      <c r="M2780" s="16" t="str">
        <f aca="false">IF(B2780="","",IF(E2780="Em ajustes",IF(N2780=_xlfn.MINIFS($N$2:$N$5001,$B$2:$B$5001,B2780,$E$2:$E$5001,"Em ajustes"),1,0),0))</f>
        <v/>
      </c>
      <c r="N2780" s="17" t="str">
        <f aca="false">IF(A2780="","",IF(ISNUMBER(A2780),A2780,IFERROR(DATE(VALUE(MID(A2780,7,4)),VALUE(MID(A2780,4,2)),VALUE(MID(A2780,1,2)))+TIME(VALUE(MID(A2780,12,2)),VALUE(MID(A2780,15,2)),VALUE(MID(A2780,18,2))),"")))</f>
        <v/>
      </c>
    </row>
    <row r="2781" customFormat="false" ht="15" hidden="false" customHeight="false" outlineLevel="0" collapsed="false">
      <c r="I2781" s="15" t="str">
        <f aca="false">IF(N2781="","",INT(N2781))</f>
        <v/>
      </c>
      <c r="J2781" s="16" t="str">
        <f aca="false">IF(B2781="","",IF(N2781=_xlfn.MINIFS($N$2:$N$5001,$B$2:$B$5001,B2781),1,0))</f>
        <v/>
      </c>
      <c r="K2781" s="16" t="str">
        <f aca="false">IF(B2781="","",IF(AND(D2781="Formalização",E2781="Concluído"),IF(COUNTIFS($B$2:$B$5001,B2781,$E$2:$E$5001,"Em ajustes",$N$2:$N$5001,"&lt;"&amp;I2781)&gt;0,1,0),0))</f>
        <v/>
      </c>
      <c r="L2781" s="16" t="str">
        <f aca="false">IF(B2781="","",IF(N2781=_xlfn.MAXIFS($N$2:$N$5001,$B$2:$B$5001,B2781,$I$2:$I$5001,I2781),1,0))</f>
        <v/>
      </c>
      <c r="M2781" s="16" t="str">
        <f aca="false">IF(B2781="","",IF(E2781="Em ajustes",IF(N2781=_xlfn.MINIFS($N$2:$N$5001,$B$2:$B$5001,B2781,$E$2:$E$5001,"Em ajustes"),1,0),0))</f>
        <v/>
      </c>
      <c r="N2781" s="17" t="str">
        <f aca="false">IF(A2781="","",IF(ISNUMBER(A2781),A2781,IFERROR(DATE(VALUE(MID(A2781,7,4)),VALUE(MID(A2781,4,2)),VALUE(MID(A2781,1,2)))+TIME(VALUE(MID(A2781,12,2)),VALUE(MID(A2781,15,2)),VALUE(MID(A2781,18,2))),"")))</f>
        <v/>
      </c>
    </row>
    <row r="2782" customFormat="false" ht="15" hidden="false" customHeight="false" outlineLevel="0" collapsed="false">
      <c r="I2782" s="15" t="str">
        <f aca="false">IF(N2782="","",INT(N2782))</f>
        <v/>
      </c>
      <c r="J2782" s="16" t="str">
        <f aca="false">IF(B2782="","",IF(N2782=_xlfn.MINIFS($N$2:$N$5001,$B$2:$B$5001,B2782),1,0))</f>
        <v/>
      </c>
      <c r="K2782" s="16" t="str">
        <f aca="false">IF(B2782="","",IF(AND(D2782="Formalização",E2782="Concluído"),IF(COUNTIFS($B$2:$B$5001,B2782,$E$2:$E$5001,"Em ajustes",$N$2:$N$5001,"&lt;"&amp;I2782)&gt;0,1,0),0))</f>
        <v/>
      </c>
      <c r="L2782" s="16" t="str">
        <f aca="false">IF(B2782="","",IF(N2782=_xlfn.MAXIFS($N$2:$N$5001,$B$2:$B$5001,B2782,$I$2:$I$5001,I2782),1,0))</f>
        <v/>
      </c>
      <c r="M2782" s="16" t="str">
        <f aca="false">IF(B2782="","",IF(E2782="Em ajustes",IF(N2782=_xlfn.MINIFS($N$2:$N$5001,$B$2:$B$5001,B2782,$E$2:$E$5001,"Em ajustes"),1,0),0))</f>
        <v/>
      </c>
      <c r="N2782" s="17" t="str">
        <f aca="false">IF(A2782="","",IF(ISNUMBER(A2782),A2782,IFERROR(DATE(VALUE(MID(A2782,7,4)),VALUE(MID(A2782,4,2)),VALUE(MID(A2782,1,2)))+TIME(VALUE(MID(A2782,12,2)),VALUE(MID(A2782,15,2)),VALUE(MID(A2782,18,2))),"")))</f>
        <v/>
      </c>
    </row>
    <row r="2783" customFormat="false" ht="15" hidden="false" customHeight="false" outlineLevel="0" collapsed="false">
      <c r="I2783" s="15" t="str">
        <f aca="false">IF(N2783="","",INT(N2783))</f>
        <v/>
      </c>
      <c r="J2783" s="16" t="str">
        <f aca="false">IF(B2783="","",IF(N2783=_xlfn.MINIFS($N$2:$N$5001,$B$2:$B$5001,B2783),1,0))</f>
        <v/>
      </c>
      <c r="K2783" s="16" t="str">
        <f aca="false">IF(B2783="","",IF(AND(D2783="Formalização",E2783="Concluído"),IF(COUNTIFS($B$2:$B$5001,B2783,$E$2:$E$5001,"Em ajustes",$N$2:$N$5001,"&lt;"&amp;I2783)&gt;0,1,0),0))</f>
        <v/>
      </c>
      <c r="L2783" s="16" t="str">
        <f aca="false">IF(B2783="","",IF(N2783=_xlfn.MAXIFS($N$2:$N$5001,$B$2:$B$5001,B2783,$I$2:$I$5001,I2783),1,0))</f>
        <v/>
      </c>
      <c r="M2783" s="16" t="str">
        <f aca="false">IF(B2783="","",IF(E2783="Em ajustes",IF(N2783=_xlfn.MINIFS($N$2:$N$5001,$B$2:$B$5001,B2783,$E$2:$E$5001,"Em ajustes"),1,0),0))</f>
        <v/>
      </c>
      <c r="N2783" s="17" t="str">
        <f aca="false">IF(A2783="","",IF(ISNUMBER(A2783),A2783,IFERROR(DATE(VALUE(MID(A2783,7,4)),VALUE(MID(A2783,4,2)),VALUE(MID(A2783,1,2)))+TIME(VALUE(MID(A2783,12,2)),VALUE(MID(A2783,15,2)),VALUE(MID(A2783,18,2))),"")))</f>
        <v/>
      </c>
    </row>
    <row r="2784" customFormat="false" ht="15" hidden="false" customHeight="false" outlineLevel="0" collapsed="false">
      <c r="I2784" s="15" t="str">
        <f aca="false">IF(N2784="","",INT(N2784))</f>
        <v/>
      </c>
      <c r="J2784" s="16" t="str">
        <f aca="false">IF(B2784="","",IF(N2784=_xlfn.MINIFS($N$2:$N$5001,$B$2:$B$5001,B2784),1,0))</f>
        <v/>
      </c>
      <c r="K2784" s="16" t="str">
        <f aca="false">IF(B2784="","",IF(AND(D2784="Formalização",E2784="Concluído"),IF(COUNTIFS($B$2:$B$5001,B2784,$E$2:$E$5001,"Em ajustes",$N$2:$N$5001,"&lt;"&amp;I2784)&gt;0,1,0),0))</f>
        <v/>
      </c>
      <c r="L2784" s="16" t="str">
        <f aca="false">IF(B2784="","",IF(N2784=_xlfn.MAXIFS($N$2:$N$5001,$B$2:$B$5001,B2784,$I$2:$I$5001,I2784),1,0))</f>
        <v/>
      </c>
      <c r="M2784" s="16" t="str">
        <f aca="false">IF(B2784="","",IF(E2784="Em ajustes",IF(N2784=_xlfn.MINIFS($N$2:$N$5001,$B$2:$B$5001,B2784,$E$2:$E$5001,"Em ajustes"),1,0),0))</f>
        <v/>
      </c>
      <c r="N2784" s="17" t="str">
        <f aca="false">IF(A2784="","",IF(ISNUMBER(A2784),A2784,IFERROR(DATE(VALUE(MID(A2784,7,4)),VALUE(MID(A2784,4,2)),VALUE(MID(A2784,1,2)))+TIME(VALUE(MID(A2784,12,2)),VALUE(MID(A2784,15,2)),VALUE(MID(A2784,18,2))),"")))</f>
        <v/>
      </c>
    </row>
    <row r="2785" customFormat="false" ht="15" hidden="false" customHeight="false" outlineLevel="0" collapsed="false">
      <c r="I2785" s="15" t="str">
        <f aca="false">IF(N2785="","",INT(N2785))</f>
        <v/>
      </c>
      <c r="J2785" s="16" t="str">
        <f aca="false">IF(B2785="","",IF(N2785=_xlfn.MINIFS($N$2:$N$5001,$B$2:$B$5001,B2785),1,0))</f>
        <v/>
      </c>
      <c r="K2785" s="16" t="str">
        <f aca="false">IF(B2785="","",IF(AND(D2785="Formalização",E2785="Concluído"),IF(COUNTIFS($B$2:$B$5001,B2785,$E$2:$E$5001,"Em ajustes",$N$2:$N$5001,"&lt;"&amp;I2785)&gt;0,1,0),0))</f>
        <v/>
      </c>
      <c r="L2785" s="16" t="str">
        <f aca="false">IF(B2785="","",IF(N2785=_xlfn.MAXIFS($N$2:$N$5001,$B$2:$B$5001,B2785,$I$2:$I$5001,I2785),1,0))</f>
        <v/>
      </c>
      <c r="M2785" s="16" t="str">
        <f aca="false">IF(B2785="","",IF(E2785="Em ajustes",IF(N2785=_xlfn.MINIFS($N$2:$N$5001,$B$2:$B$5001,B2785,$E$2:$E$5001,"Em ajustes"),1,0),0))</f>
        <v/>
      </c>
      <c r="N2785" s="17" t="str">
        <f aca="false">IF(A2785="","",IF(ISNUMBER(A2785),A2785,IFERROR(DATE(VALUE(MID(A2785,7,4)),VALUE(MID(A2785,4,2)),VALUE(MID(A2785,1,2)))+TIME(VALUE(MID(A2785,12,2)),VALUE(MID(A2785,15,2)),VALUE(MID(A2785,18,2))),"")))</f>
        <v/>
      </c>
    </row>
    <row r="2786" customFormat="false" ht="15" hidden="false" customHeight="false" outlineLevel="0" collapsed="false">
      <c r="I2786" s="15" t="str">
        <f aca="false">IF(N2786="","",INT(N2786))</f>
        <v/>
      </c>
      <c r="J2786" s="16" t="str">
        <f aca="false">IF(B2786="","",IF(N2786=_xlfn.MINIFS($N$2:$N$5001,$B$2:$B$5001,B2786),1,0))</f>
        <v/>
      </c>
      <c r="K2786" s="16" t="str">
        <f aca="false">IF(B2786="","",IF(AND(D2786="Formalização",E2786="Concluído"),IF(COUNTIFS($B$2:$B$5001,B2786,$E$2:$E$5001,"Em ajustes",$N$2:$N$5001,"&lt;"&amp;I2786)&gt;0,1,0),0))</f>
        <v/>
      </c>
      <c r="L2786" s="16" t="str">
        <f aca="false">IF(B2786="","",IF(N2786=_xlfn.MAXIFS($N$2:$N$5001,$B$2:$B$5001,B2786,$I$2:$I$5001,I2786),1,0))</f>
        <v/>
      </c>
      <c r="M2786" s="16" t="str">
        <f aca="false">IF(B2786="","",IF(E2786="Em ajustes",IF(N2786=_xlfn.MINIFS($N$2:$N$5001,$B$2:$B$5001,B2786,$E$2:$E$5001,"Em ajustes"),1,0),0))</f>
        <v/>
      </c>
      <c r="N2786" s="17" t="str">
        <f aca="false">IF(A2786="","",IF(ISNUMBER(A2786),A2786,IFERROR(DATE(VALUE(MID(A2786,7,4)),VALUE(MID(A2786,4,2)),VALUE(MID(A2786,1,2)))+TIME(VALUE(MID(A2786,12,2)),VALUE(MID(A2786,15,2)),VALUE(MID(A2786,18,2))),"")))</f>
        <v/>
      </c>
    </row>
    <row r="2787" customFormat="false" ht="15" hidden="false" customHeight="false" outlineLevel="0" collapsed="false">
      <c r="I2787" s="15" t="str">
        <f aca="false">IF(N2787="","",INT(N2787))</f>
        <v/>
      </c>
      <c r="J2787" s="16" t="str">
        <f aca="false">IF(B2787="","",IF(N2787=_xlfn.MINIFS($N$2:$N$5001,$B$2:$B$5001,B2787),1,0))</f>
        <v/>
      </c>
      <c r="K2787" s="16" t="str">
        <f aca="false">IF(B2787="","",IF(AND(D2787="Formalização",E2787="Concluído"),IF(COUNTIFS($B$2:$B$5001,B2787,$E$2:$E$5001,"Em ajustes",$N$2:$N$5001,"&lt;"&amp;I2787)&gt;0,1,0),0))</f>
        <v/>
      </c>
      <c r="L2787" s="16" t="str">
        <f aca="false">IF(B2787="","",IF(N2787=_xlfn.MAXIFS($N$2:$N$5001,$B$2:$B$5001,B2787,$I$2:$I$5001,I2787),1,0))</f>
        <v/>
      </c>
      <c r="M2787" s="16" t="str">
        <f aca="false">IF(B2787="","",IF(E2787="Em ajustes",IF(N2787=_xlfn.MINIFS($N$2:$N$5001,$B$2:$B$5001,B2787,$E$2:$E$5001,"Em ajustes"),1,0),0))</f>
        <v/>
      </c>
      <c r="N2787" s="17" t="str">
        <f aca="false">IF(A2787="","",IF(ISNUMBER(A2787),A2787,IFERROR(DATE(VALUE(MID(A2787,7,4)),VALUE(MID(A2787,4,2)),VALUE(MID(A2787,1,2)))+TIME(VALUE(MID(A2787,12,2)),VALUE(MID(A2787,15,2)),VALUE(MID(A2787,18,2))),"")))</f>
        <v/>
      </c>
    </row>
    <row r="2788" customFormat="false" ht="15" hidden="false" customHeight="false" outlineLevel="0" collapsed="false">
      <c r="I2788" s="15" t="str">
        <f aca="false">IF(N2788="","",INT(N2788))</f>
        <v/>
      </c>
      <c r="J2788" s="16" t="str">
        <f aca="false">IF(B2788="","",IF(N2788=_xlfn.MINIFS($N$2:$N$5001,$B$2:$B$5001,B2788),1,0))</f>
        <v/>
      </c>
      <c r="K2788" s="16" t="str">
        <f aca="false">IF(B2788="","",IF(AND(D2788="Formalização",E2788="Concluído"),IF(COUNTIFS($B$2:$B$5001,B2788,$E$2:$E$5001,"Em ajustes",$N$2:$N$5001,"&lt;"&amp;I2788)&gt;0,1,0),0))</f>
        <v/>
      </c>
      <c r="L2788" s="16" t="str">
        <f aca="false">IF(B2788="","",IF(N2788=_xlfn.MAXIFS($N$2:$N$5001,$B$2:$B$5001,B2788,$I$2:$I$5001,I2788),1,0))</f>
        <v/>
      </c>
      <c r="M2788" s="16" t="str">
        <f aca="false">IF(B2788="","",IF(E2788="Em ajustes",IF(N2788=_xlfn.MINIFS($N$2:$N$5001,$B$2:$B$5001,B2788,$E$2:$E$5001,"Em ajustes"),1,0),0))</f>
        <v/>
      </c>
      <c r="N2788" s="17" t="str">
        <f aca="false">IF(A2788="","",IF(ISNUMBER(A2788),A2788,IFERROR(DATE(VALUE(MID(A2788,7,4)),VALUE(MID(A2788,4,2)),VALUE(MID(A2788,1,2)))+TIME(VALUE(MID(A2788,12,2)),VALUE(MID(A2788,15,2)),VALUE(MID(A2788,18,2))),"")))</f>
        <v/>
      </c>
    </row>
    <row r="2789" customFormat="false" ht="15" hidden="false" customHeight="false" outlineLevel="0" collapsed="false">
      <c r="I2789" s="15" t="str">
        <f aca="false">IF(N2789="","",INT(N2789))</f>
        <v/>
      </c>
      <c r="J2789" s="16" t="str">
        <f aca="false">IF(B2789="","",IF(N2789=_xlfn.MINIFS($N$2:$N$5001,$B$2:$B$5001,B2789),1,0))</f>
        <v/>
      </c>
      <c r="K2789" s="16" t="str">
        <f aca="false">IF(B2789="","",IF(AND(D2789="Formalização",E2789="Concluído"),IF(COUNTIFS($B$2:$B$5001,B2789,$E$2:$E$5001,"Em ajustes",$N$2:$N$5001,"&lt;"&amp;I2789)&gt;0,1,0),0))</f>
        <v/>
      </c>
      <c r="L2789" s="16" t="str">
        <f aca="false">IF(B2789="","",IF(N2789=_xlfn.MAXIFS($N$2:$N$5001,$B$2:$B$5001,B2789,$I$2:$I$5001,I2789),1,0))</f>
        <v/>
      </c>
      <c r="M2789" s="16" t="str">
        <f aca="false">IF(B2789="","",IF(E2789="Em ajustes",IF(N2789=_xlfn.MINIFS($N$2:$N$5001,$B$2:$B$5001,B2789,$E$2:$E$5001,"Em ajustes"),1,0),0))</f>
        <v/>
      </c>
      <c r="N2789" s="17" t="str">
        <f aca="false">IF(A2789="","",IF(ISNUMBER(A2789),A2789,IFERROR(DATE(VALUE(MID(A2789,7,4)),VALUE(MID(A2789,4,2)),VALUE(MID(A2789,1,2)))+TIME(VALUE(MID(A2789,12,2)),VALUE(MID(A2789,15,2)),VALUE(MID(A2789,18,2))),"")))</f>
        <v/>
      </c>
    </row>
    <row r="2790" customFormat="false" ht="15" hidden="false" customHeight="false" outlineLevel="0" collapsed="false">
      <c r="I2790" s="15" t="str">
        <f aca="false">IF(N2790="","",INT(N2790))</f>
        <v/>
      </c>
      <c r="J2790" s="16" t="str">
        <f aca="false">IF(B2790="","",IF(N2790=_xlfn.MINIFS($N$2:$N$5001,$B$2:$B$5001,B2790),1,0))</f>
        <v/>
      </c>
      <c r="K2790" s="16" t="str">
        <f aca="false">IF(B2790="","",IF(AND(D2790="Formalização",E2790="Concluído"),IF(COUNTIFS($B$2:$B$5001,B2790,$E$2:$E$5001,"Em ajustes",$N$2:$N$5001,"&lt;"&amp;I2790)&gt;0,1,0),0))</f>
        <v/>
      </c>
      <c r="L2790" s="16" t="str">
        <f aca="false">IF(B2790="","",IF(N2790=_xlfn.MAXIFS($N$2:$N$5001,$B$2:$B$5001,B2790,$I$2:$I$5001,I2790),1,0))</f>
        <v/>
      </c>
      <c r="M2790" s="16" t="str">
        <f aca="false">IF(B2790="","",IF(E2790="Em ajustes",IF(N2790=_xlfn.MINIFS($N$2:$N$5001,$B$2:$B$5001,B2790,$E$2:$E$5001,"Em ajustes"),1,0),0))</f>
        <v/>
      </c>
      <c r="N2790" s="17" t="str">
        <f aca="false">IF(A2790="","",IF(ISNUMBER(A2790),A2790,IFERROR(DATE(VALUE(MID(A2790,7,4)),VALUE(MID(A2790,4,2)),VALUE(MID(A2790,1,2)))+TIME(VALUE(MID(A2790,12,2)),VALUE(MID(A2790,15,2)),VALUE(MID(A2790,18,2))),"")))</f>
        <v/>
      </c>
    </row>
    <row r="2791" customFormat="false" ht="15" hidden="false" customHeight="false" outlineLevel="0" collapsed="false">
      <c r="I2791" s="15" t="str">
        <f aca="false">IF(N2791="","",INT(N2791))</f>
        <v/>
      </c>
      <c r="J2791" s="16" t="str">
        <f aca="false">IF(B2791="","",IF(N2791=_xlfn.MINIFS($N$2:$N$5001,$B$2:$B$5001,B2791),1,0))</f>
        <v/>
      </c>
      <c r="K2791" s="16" t="str">
        <f aca="false">IF(B2791="","",IF(AND(D2791="Formalização",E2791="Concluído"),IF(COUNTIFS($B$2:$B$5001,B2791,$E$2:$E$5001,"Em ajustes",$N$2:$N$5001,"&lt;"&amp;I2791)&gt;0,1,0),0))</f>
        <v/>
      </c>
      <c r="L2791" s="16" t="str">
        <f aca="false">IF(B2791="","",IF(N2791=_xlfn.MAXIFS($N$2:$N$5001,$B$2:$B$5001,B2791,$I$2:$I$5001,I2791),1,0))</f>
        <v/>
      </c>
      <c r="M2791" s="16" t="str">
        <f aca="false">IF(B2791="","",IF(E2791="Em ajustes",IF(N2791=_xlfn.MINIFS($N$2:$N$5001,$B$2:$B$5001,B2791,$E$2:$E$5001,"Em ajustes"),1,0),0))</f>
        <v/>
      </c>
      <c r="N2791" s="17" t="str">
        <f aca="false">IF(A2791="","",IF(ISNUMBER(A2791),A2791,IFERROR(DATE(VALUE(MID(A2791,7,4)),VALUE(MID(A2791,4,2)),VALUE(MID(A2791,1,2)))+TIME(VALUE(MID(A2791,12,2)),VALUE(MID(A2791,15,2)),VALUE(MID(A2791,18,2))),"")))</f>
        <v/>
      </c>
    </row>
    <row r="2792" customFormat="false" ht="15" hidden="false" customHeight="false" outlineLevel="0" collapsed="false">
      <c r="I2792" s="15" t="str">
        <f aca="false">IF(N2792="","",INT(N2792))</f>
        <v/>
      </c>
      <c r="J2792" s="16" t="str">
        <f aca="false">IF(B2792="","",IF(N2792=_xlfn.MINIFS($N$2:$N$5001,$B$2:$B$5001,B2792),1,0))</f>
        <v/>
      </c>
      <c r="K2792" s="16" t="str">
        <f aca="false">IF(B2792="","",IF(AND(D2792="Formalização",E2792="Concluído"),IF(COUNTIFS($B$2:$B$5001,B2792,$E$2:$E$5001,"Em ajustes",$N$2:$N$5001,"&lt;"&amp;I2792)&gt;0,1,0),0))</f>
        <v/>
      </c>
      <c r="L2792" s="16" t="str">
        <f aca="false">IF(B2792="","",IF(N2792=_xlfn.MAXIFS($N$2:$N$5001,$B$2:$B$5001,B2792,$I$2:$I$5001,I2792),1,0))</f>
        <v/>
      </c>
      <c r="M2792" s="16" t="str">
        <f aca="false">IF(B2792="","",IF(E2792="Em ajustes",IF(N2792=_xlfn.MINIFS($N$2:$N$5001,$B$2:$B$5001,B2792,$E$2:$E$5001,"Em ajustes"),1,0),0))</f>
        <v/>
      </c>
      <c r="N2792" s="17" t="str">
        <f aca="false">IF(A2792="","",IF(ISNUMBER(A2792),A2792,IFERROR(DATE(VALUE(MID(A2792,7,4)),VALUE(MID(A2792,4,2)),VALUE(MID(A2792,1,2)))+TIME(VALUE(MID(A2792,12,2)),VALUE(MID(A2792,15,2)),VALUE(MID(A2792,18,2))),"")))</f>
        <v/>
      </c>
    </row>
    <row r="2793" customFormat="false" ht="15" hidden="false" customHeight="false" outlineLevel="0" collapsed="false">
      <c r="I2793" s="15" t="str">
        <f aca="false">IF(N2793="","",INT(N2793))</f>
        <v/>
      </c>
      <c r="J2793" s="16" t="str">
        <f aca="false">IF(B2793="","",IF(N2793=_xlfn.MINIFS($N$2:$N$5001,$B$2:$B$5001,B2793),1,0))</f>
        <v/>
      </c>
      <c r="K2793" s="16" t="str">
        <f aca="false">IF(B2793="","",IF(AND(D2793="Formalização",E2793="Concluído"),IF(COUNTIFS($B$2:$B$5001,B2793,$E$2:$E$5001,"Em ajustes",$N$2:$N$5001,"&lt;"&amp;I2793)&gt;0,1,0),0))</f>
        <v/>
      </c>
      <c r="L2793" s="16" t="str">
        <f aca="false">IF(B2793="","",IF(N2793=_xlfn.MAXIFS($N$2:$N$5001,$B$2:$B$5001,B2793,$I$2:$I$5001,I2793),1,0))</f>
        <v/>
      </c>
      <c r="M2793" s="16" t="str">
        <f aca="false">IF(B2793="","",IF(E2793="Em ajustes",IF(N2793=_xlfn.MINIFS($N$2:$N$5001,$B$2:$B$5001,B2793,$E$2:$E$5001,"Em ajustes"),1,0),0))</f>
        <v/>
      </c>
      <c r="N2793" s="17" t="str">
        <f aca="false">IF(A2793="","",IF(ISNUMBER(A2793),A2793,IFERROR(DATE(VALUE(MID(A2793,7,4)),VALUE(MID(A2793,4,2)),VALUE(MID(A2793,1,2)))+TIME(VALUE(MID(A2793,12,2)),VALUE(MID(A2793,15,2)),VALUE(MID(A2793,18,2))),"")))</f>
        <v/>
      </c>
    </row>
    <row r="2794" customFormat="false" ht="15" hidden="false" customHeight="false" outlineLevel="0" collapsed="false">
      <c r="I2794" s="15" t="str">
        <f aca="false">IF(N2794="","",INT(N2794))</f>
        <v/>
      </c>
      <c r="J2794" s="16" t="str">
        <f aca="false">IF(B2794="","",IF(N2794=_xlfn.MINIFS($N$2:$N$5001,$B$2:$B$5001,B2794),1,0))</f>
        <v/>
      </c>
      <c r="K2794" s="16" t="str">
        <f aca="false">IF(B2794="","",IF(AND(D2794="Formalização",E2794="Concluído"),IF(COUNTIFS($B$2:$B$5001,B2794,$E$2:$E$5001,"Em ajustes",$N$2:$N$5001,"&lt;"&amp;I2794)&gt;0,1,0),0))</f>
        <v/>
      </c>
      <c r="L2794" s="16" t="str">
        <f aca="false">IF(B2794="","",IF(N2794=_xlfn.MAXIFS($N$2:$N$5001,$B$2:$B$5001,B2794,$I$2:$I$5001,I2794),1,0))</f>
        <v/>
      </c>
      <c r="M2794" s="16" t="str">
        <f aca="false">IF(B2794="","",IF(E2794="Em ajustes",IF(N2794=_xlfn.MINIFS($N$2:$N$5001,$B$2:$B$5001,B2794,$E$2:$E$5001,"Em ajustes"),1,0),0))</f>
        <v/>
      </c>
      <c r="N2794" s="17" t="str">
        <f aca="false">IF(A2794="","",IF(ISNUMBER(A2794),A2794,IFERROR(DATE(VALUE(MID(A2794,7,4)),VALUE(MID(A2794,4,2)),VALUE(MID(A2794,1,2)))+TIME(VALUE(MID(A2794,12,2)),VALUE(MID(A2794,15,2)),VALUE(MID(A2794,18,2))),"")))</f>
        <v/>
      </c>
    </row>
    <row r="2795" customFormat="false" ht="15" hidden="false" customHeight="false" outlineLevel="0" collapsed="false">
      <c r="I2795" s="15" t="str">
        <f aca="false">IF(N2795="","",INT(N2795))</f>
        <v/>
      </c>
      <c r="J2795" s="16" t="str">
        <f aca="false">IF(B2795="","",IF(N2795=_xlfn.MINIFS($N$2:$N$5001,$B$2:$B$5001,B2795),1,0))</f>
        <v/>
      </c>
      <c r="K2795" s="16" t="str">
        <f aca="false">IF(B2795="","",IF(AND(D2795="Formalização",E2795="Concluído"),IF(COUNTIFS($B$2:$B$5001,B2795,$E$2:$E$5001,"Em ajustes",$N$2:$N$5001,"&lt;"&amp;I2795)&gt;0,1,0),0))</f>
        <v/>
      </c>
      <c r="L2795" s="16" t="str">
        <f aca="false">IF(B2795="","",IF(N2795=_xlfn.MAXIFS($N$2:$N$5001,$B$2:$B$5001,B2795,$I$2:$I$5001,I2795),1,0))</f>
        <v/>
      </c>
      <c r="M2795" s="16" t="str">
        <f aca="false">IF(B2795="","",IF(E2795="Em ajustes",IF(N2795=_xlfn.MINIFS($N$2:$N$5001,$B$2:$B$5001,B2795,$E$2:$E$5001,"Em ajustes"),1,0),0))</f>
        <v/>
      </c>
      <c r="N2795" s="17" t="str">
        <f aca="false">IF(A2795="","",IF(ISNUMBER(A2795),A2795,IFERROR(DATE(VALUE(MID(A2795,7,4)),VALUE(MID(A2795,4,2)),VALUE(MID(A2795,1,2)))+TIME(VALUE(MID(A2795,12,2)),VALUE(MID(A2795,15,2)),VALUE(MID(A2795,18,2))),"")))</f>
        <v/>
      </c>
    </row>
    <row r="2796" customFormat="false" ht="15" hidden="false" customHeight="false" outlineLevel="0" collapsed="false">
      <c r="I2796" s="15" t="str">
        <f aca="false">IF(N2796="","",INT(N2796))</f>
        <v/>
      </c>
      <c r="J2796" s="16" t="str">
        <f aca="false">IF(B2796="","",IF(N2796=_xlfn.MINIFS($N$2:$N$5001,$B$2:$B$5001,B2796),1,0))</f>
        <v/>
      </c>
      <c r="K2796" s="16" t="str">
        <f aca="false">IF(B2796="","",IF(AND(D2796="Formalização",E2796="Concluído"),IF(COUNTIFS($B$2:$B$5001,B2796,$E$2:$E$5001,"Em ajustes",$N$2:$N$5001,"&lt;"&amp;I2796)&gt;0,1,0),0))</f>
        <v/>
      </c>
      <c r="L2796" s="16" t="str">
        <f aca="false">IF(B2796="","",IF(N2796=_xlfn.MAXIFS($N$2:$N$5001,$B$2:$B$5001,B2796,$I$2:$I$5001,I2796),1,0))</f>
        <v/>
      </c>
      <c r="M2796" s="16" t="str">
        <f aca="false">IF(B2796="","",IF(E2796="Em ajustes",IF(N2796=_xlfn.MINIFS($N$2:$N$5001,$B$2:$B$5001,B2796,$E$2:$E$5001,"Em ajustes"),1,0),0))</f>
        <v/>
      </c>
      <c r="N2796" s="17" t="str">
        <f aca="false">IF(A2796="","",IF(ISNUMBER(A2796),A2796,IFERROR(DATE(VALUE(MID(A2796,7,4)),VALUE(MID(A2796,4,2)),VALUE(MID(A2796,1,2)))+TIME(VALUE(MID(A2796,12,2)),VALUE(MID(A2796,15,2)),VALUE(MID(A2796,18,2))),"")))</f>
        <v/>
      </c>
    </row>
    <row r="2797" customFormat="false" ht="15" hidden="false" customHeight="false" outlineLevel="0" collapsed="false">
      <c r="I2797" s="15" t="str">
        <f aca="false">IF(N2797="","",INT(N2797))</f>
        <v/>
      </c>
      <c r="J2797" s="16" t="str">
        <f aca="false">IF(B2797="","",IF(N2797=_xlfn.MINIFS($N$2:$N$5001,$B$2:$B$5001,B2797),1,0))</f>
        <v/>
      </c>
      <c r="K2797" s="16" t="str">
        <f aca="false">IF(B2797="","",IF(AND(D2797="Formalização",E2797="Concluído"),IF(COUNTIFS($B$2:$B$5001,B2797,$E$2:$E$5001,"Em ajustes",$N$2:$N$5001,"&lt;"&amp;I2797)&gt;0,1,0),0))</f>
        <v/>
      </c>
      <c r="L2797" s="16" t="str">
        <f aca="false">IF(B2797="","",IF(N2797=_xlfn.MAXIFS($N$2:$N$5001,$B$2:$B$5001,B2797,$I$2:$I$5001,I2797),1,0))</f>
        <v/>
      </c>
      <c r="M2797" s="16" t="str">
        <f aca="false">IF(B2797="","",IF(E2797="Em ajustes",IF(N2797=_xlfn.MINIFS($N$2:$N$5001,$B$2:$B$5001,B2797,$E$2:$E$5001,"Em ajustes"),1,0),0))</f>
        <v/>
      </c>
      <c r="N2797" s="17" t="str">
        <f aca="false">IF(A2797="","",IF(ISNUMBER(A2797),A2797,IFERROR(DATE(VALUE(MID(A2797,7,4)),VALUE(MID(A2797,4,2)),VALUE(MID(A2797,1,2)))+TIME(VALUE(MID(A2797,12,2)),VALUE(MID(A2797,15,2)),VALUE(MID(A2797,18,2))),"")))</f>
        <v/>
      </c>
    </row>
    <row r="2798" customFormat="false" ht="15" hidden="false" customHeight="false" outlineLevel="0" collapsed="false">
      <c r="I2798" s="15" t="str">
        <f aca="false">IF(N2798="","",INT(N2798))</f>
        <v/>
      </c>
      <c r="J2798" s="16" t="str">
        <f aca="false">IF(B2798="","",IF(N2798=_xlfn.MINIFS($N$2:$N$5001,$B$2:$B$5001,B2798),1,0))</f>
        <v/>
      </c>
      <c r="K2798" s="16" t="str">
        <f aca="false">IF(B2798="","",IF(AND(D2798="Formalização",E2798="Concluído"),IF(COUNTIFS($B$2:$B$5001,B2798,$E$2:$E$5001,"Em ajustes",$N$2:$N$5001,"&lt;"&amp;I2798)&gt;0,1,0),0))</f>
        <v/>
      </c>
      <c r="L2798" s="16" t="str">
        <f aca="false">IF(B2798="","",IF(N2798=_xlfn.MAXIFS($N$2:$N$5001,$B$2:$B$5001,B2798,$I$2:$I$5001,I2798),1,0))</f>
        <v/>
      </c>
      <c r="M2798" s="16" t="str">
        <f aca="false">IF(B2798="","",IF(E2798="Em ajustes",IF(N2798=_xlfn.MINIFS($N$2:$N$5001,$B$2:$B$5001,B2798,$E$2:$E$5001,"Em ajustes"),1,0),0))</f>
        <v/>
      </c>
      <c r="N2798" s="17" t="str">
        <f aca="false">IF(A2798="","",IF(ISNUMBER(A2798),A2798,IFERROR(DATE(VALUE(MID(A2798,7,4)),VALUE(MID(A2798,4,2)),VALUE(MID(A2798,1,2)))+TIME(VALUE(MID(A2798,12,2)),VALUE(MID(A2798,15,2)),VALUE(MID(A2798,18,2))),"")))</f>
        <v/>
      </c>
    </row>
    <row r="2799" customFormat="false" ht="15" hidden="false" customHeight="false" outlineLevel="0" collapsed="false">
      <c r="I2799" s="15" t="str">
        <f aca="false">IF(N2799="","",INT(N2799))</f>
        <v/>
      </c>
      <c r="J2799" s="16" t="str">
        <f aca="false">IF(B2799="","",IF(N2799=_xlfn.MINIFS($N$2:$N$5001,$B$2:$B$5001,B2799),1,0))</f>
        <v/>
      </c>
      <c r="K2799" s="16" t="str">
        <f aca="false">IF(B2799="","",IF(AND(D2799="Formalização",E2799="Concluído"),IF(COUNTIFS($B$2:$B$5001,B2799,$E$2:$E$5001,"Em ajustes",$N$2:$N$5001,"&lt;"&amp;I2799)&gt;0,1,0),0))</f>
        <v/>
      </c>
      <c r="L2799" s="16" t="str">
        <f aca="false">IF(B2799="","",IF(N2799=_xlfn.MAXIFS($N$2:$N$5001,$B$2:$B$5001,B2799,$I$2:$I$5001,I2799),1,0))</f>
        <v/>
      </c>
      <c r="M2799" s="16" t="str">
        <f aca="false">IF(B2799="","",IF(E2799="Em ajustes",IF(N2799=_xlfn.MINIFS($N$2:$N$5001,$B$2:$B$5001,B2799,$E$2:$E$5001,"Em ajustes"),1,0),0))</f>
        <v/>
      </c>
      <c r="N2799" s="17" t="str">
        <f aca="false">IF(A2799="","",IF(ISNUMBER(A2799),A2799,IFERROR(DATE(VALUE(MID(A2799,7,4)),VALUE(MID(A2799,4,2)),VALUE(MID(A2799,1,2)))+TIME(VALUE(MID(A2799,12,2)),VALUE(MID(A2799,15,2)),VALUE(MID(A2799,18,2))),"")))</f>
        <v/>
      </c>
    </row>
    <row r="2800" customFormat="false" ht="15" hidden="false" customHeight="false" outlineLevel="0" collapsed="false">
      <c r="I2800" s="15" t="str">
        <f aca="false">IF(N2800="","",INT(N2800))</f>
        <v/>
      </c>
      <c r="J2800" s="16" t="str">
        <f aca="false">IF(B2800="","",IF(N2800=_xlfn.MINIFS($N$2:$N$5001,$B$2:$B$5001,B2800),1,0))</f>
        <v/>
      </c>
      <c r="K2800" s="16" t="str">
        <f aca="false">IF(B2800="","",IF(AND(D2800="Formalização",E2800="Concluído"),IF(COUNTIFS($B$2:$B$5001,B2800,$E$2:$E$5001,"Em ajustes",$N$2:$N$5001,"&lt;"&amp;I2800)&gt;0,1,0),0))</f>
        <v/>
      </c>
      <c r="L2800" s="16" t="str">
        <f aca="false">IF(B2800="","",IF(N2800=_xlfn.MAXIFS($N$2:$N$5001,$B$2:$B$5001,B2800,$I$2:$I$5001,I2800),1,0))</f>
        <v/>
      </c>
      <c r="M2800" s="16" t="str">
        <f aca="false">IF(B2800="","",IF(E2800="Em ajustes",IF(N2800=_xlfn.MINIFS($N$2:$N$5001,$B$2:$B$5001,B2800,$E$2:$E$5001,"Em ajustes"),1,0),0))</f>
        <v/>
      </c>
      <c r="N2800" s="17" t="str">
        <f aca="false">IF(A2800="","",IF(ISNUMBER(A2800),A2800,IFERROR(DATE(VALUE(MID(A2800,7,4)),VALUE(MID(A2800,4,2)),VALUE(MID(A2800,1,2)))+TIME(VALUE(MID(A2800,12,2)),VALUE(MID(A2800,15,2)),VALUE(MID(A2800,18,2))),"")))</f>
        <v/>
      </c>
    </row>
    <row r="2801" customFormat="false" ht="15" hidden="false" customHeight="false" outlineLevel="0" collapsed="false">
      <c r="I2801" s="15" t="str">
        <f aca="false">IF(N2801="","",INT(N2801))</f>
        <v/>
      </c>
      <c r="J2801" s="16" t="str">
        <f aca="false">IF(B2801="","",IF(N2801=_xlfn.MINIFS($N$2:$N$5001,$B$2:$B$5001,B2801),1,0))</f>
        <v/>
      </c>
      <c r="K2801" s="16" t="str">
        <f aca="false">IF(B2801="","",IF(AND(D2801="Formalização",E2801="Concluído"),IF(COUNTIFS($B$2:$B$5001,B2801,$E$2:$E$5001,"Em ajustes",$N$2:$N$5001,"&lt;"&amp;I2801)&gt;0,1,0),0))</f>
        <v/>
      </c>
      <c r="L2801" s="16" t="str">
        <f aca="false">IF(B2801="","",IF(N2801=_xlfn.MAXIFS($N$2:$N$5001,$B$2:$B$5001,B2801,$I$2:$I$5001,I2801),1,0))</f>
        <v/>
      </c>
      <c r="M2801" s="16" t="str">
        <f aca="false">IF(B2801="","",IF(E2801="Em ajustes",IF(N2801=_xlfn.MINIFS($N$2:$N$5001,$B$2:$B$5001,B2801,$E$2:$E$5001,"Em ajustes"),1,0),0))</f>
        <v/>
      </c>
      <c r="N2801" s="17" t="str">
        <f aca="false">IF(A2801="","",IF(ISNUMBER(A2801),A2801,IFERROR(DATE(VALUE(MID(A2801,7,4)),VALUE(MID(A2801,4,2)),VALUE(MID(A2801,1,2)))+TIME(VALUE(MID(A2801,12,2)),VALUE(MID(A2801,15,2)),VALUE(MID(A2801,18,2))),"")))</f>
        <v/>
      </c>
    </row>
    <row r="2802" customFormat="false" ht="15" hidden="false" customHeight="false" outlineLevel="0" collapsed="false">
      <c r="I2802" s="15" t="str">
        <f aca="false">IF(N2802="","",INT(N2802))</f>
        <v/>
      </c>
      <c r="J2802" s="16" t="str">
        <f aca="false">IF(B2802="","",IF(N2802=_xlfn.MINIFS($N$2:$N$5001,$B$2:$B$5001,B2802),1,0))</f>
        <v/>
      </c>
      <c r="K2802" s="16" t="str">
        <f aca="false">IF(B2802="","",IF(AND(D2802="Formalização",E2802="Concluído"),IF(COUNTIFS($B$2:$B$5001,B2802,$E$2:$E$5001,"Em ajustes",$N$2:$N$5001,"&lt;"&amp;I2802)&gt;0,1,0),0))</f>
        <v/>
      </c>
      <c r="L2802" s="16" t="str">
        <f aca="false">IF(B2802="","",IF(N2802=_xlfn.MAXIFS($N$2:$N$5001,$B$2:$B$5001,B2802,$I$2:$I$5001,I2802),1,0))</f>
        <v/>
      </c>
      <c r="M2802" s="16" t="str">
        <f aca="false">IF(B2802="","",IF(E2802="Em ajustes",IF(N2802=_xlfn.MINIFS($N$2:$N$5001,$B$2:$B$5001,B2802,$E$2:$E$5001,"Em ajustes"),1,0),0))</f>
        <v/>
      </c>
      <c r="N2802" s="17" t="str">
        <f aca="false">IF(A2802="","",IF(ISNUMBER(A2802),A2802,IFERROR(DATE(VALUE(MID(A2802,7,4)),VALUE(MID(A2802,4,2)),VALUE(MID(A2802,1,2)))+TIME(VALUE(MID(A2802,12,2)),VALUE(MID(A2802,15,2)),VALUE(MID(A2802,18,2))),"")))</f>
        <v/>
      </c>
    </row>
    <row r="2803" customFormat="false" ht="15" hidden="false" customHeight="false" outlineLevel="0" collapsed="false">
      <c r="I2803" s="15" t="str">
        <f aca="false">IF(N2803="","",INT(N2803))</f>
        <v/>
      </c>
      <c r="J2803" s="16" t="str">
        <f aca="false">IF(B2803="","",IF(N2803=_xlfn.MINIFS($N$2:$N$5001,$B$2:$B$5001,B2803),1,0))</f>
        <v/>
      </c>
      <c r="K2803" s="16" t="str">
        <f aca="false">IF(B2803="","",IF(AND(D2803="Formalização",E2803="Concluído"),IF(COUNTIFS($B$2:$B$5001,B2803,$E$2:$E$5001,"Em ajustes",$N$2:$N$5001,"&lt;"&amp;I2803)&gt;0,1,0),0))</f>
        <v/>
      </c>
      <c r="L2803" s="16" t="str">
        <f aca="false">IF(B2803="","",IF(N2803=_xlfn.MAXIFS($N$2:$N$5001,$B$2:$B$5001,B2803,$I$2:$I$5001,I2803),1,0))</f>
        <v/>
      </c>
      <c r="M2803" s="16" t="str">
        <f aca="false">IF(B2803="","",IF(E2803="Em ajustes",IF(N2803=_xlfn.MINIFS($N$2:$N$5001,$B$2:$B$5001,B2803,$E$2:$E$5001,"Em ajustes"),1,0),0))</f>
        <v/>
      </c>
      <c r="N2803" s="17" t="str">
        <f aca="false">IF(A2803="","",IF(ISNUMBER(A2803),A2803,IFERROR(DATE(VALUE(MID(A2803,7,4)),VALUE(MID(A2803,4,2)),VALUE(MID(A2803,1,2)))+TIME(VALUE(MID(A2803,12,2)),VALUE(MID(A2803,15,2)),VALUE(MID(A2803,18,2))),"")))</f>
        <v/>
      </c>
    </row>
    <row r="2804" customFormat="false" ht="15" hidden="false" customHeight="false" outlineLevel="0" collapsed="false">
      <c r="I2804" s="15" t="str">
        <f aca="false">IF(N2804="","",INT(N2804))</f>
        <v/>
      </c>
      <c r="J2804" s="16" t="str">
        <f aca="false">IF(B2804="","",IF(N2804=_xlfn.MINIFS($N$2:$N$5001,$B$2:$B$5001,B2804),1,0))</f>
        <v/>
      </c>
      <c r="K2804" s="16" t="str">
        <f aca="false">IF(B2804="","",IF(AND(D2804="Formalização",E2804="Concluído"),IF(COUNTIFS($B$2:$B$5001,B2804,$E$2:$E$5001,"Em ajustes",$N$2:$N$5001,"&lt;"&amp;I2804)&gt;0,1,0),0))</f>
        <v/>
      </c>
      <c r="L2804" s="16" t="str">
        <f aca="false">IF(B2804="","",IF(N2804=_xlfn.MAXIFS($N$2:$N$5001,$B$2:$B$5001,B2804,$I$2:$I$5001,I2804),1,0))</f>
        <v/>
      </c>
      <c r="M2804" s="16" t="str">
        <f aca="false">IF(B2804="","",IF(E2804="Em ajustes",IF(N2804=_xlfn.MINIFS($N$2:$N$5001,$B$2:$B$5001,B2804,$E$2:$E$5001,"Em ajustes"),1,0),0))</f>
        <v/>
      </c>
      <c r="N2804" s="17" t="str">
        <f aca="false">IF(A2804="","",IF(ISNUMBER(A2804),A2804,IFERROR(DATE(VALUE(MID(A2804,7,4)),VALUE(MID(A2804,4,2)),VALUE(MID(A2804,1,2)))+TIME(VALUE(MID(A2804,12,2)),VALUE(MID(A2804,15,2)),VALUE(MID(A2804,18,2))),"")))</f>
        <v/>
      </c>
    </row>
    <row r="2805" customFormat="false" ht="15" hidden="false" customHeight="false" outlineLevel="0" collapsed="false">
      <c r="I2805" s="15" t="str">
        <f aca="false">IF(N2805="","",INT(N2805))</f>
        <v/>
      </c>
      <c r="J2805" s="16" t="str">
        <f aca="false">IF(B2805="","",IF(N2805=_xlfn.MINIFS($N$2:$N$5001,$B$2:$B$5001,B2805),1,0))</f>
        <v/>
      </c>
      <c r="K2805" s="16" t="str">
        <f aca="false">IF(B2805="","",IF(AND(D2805="Formalização",E2805="Concluído"),IF(COUNTIFS($B$2:$B$5001,B2805,$E$2:$E$5001,"Em ajustes",$N$2:$N$5001,"&lt;"&amp;I2805)&gt;0,1,0),0))</f>
        <v/>
      </c>
      <c r="L2805" s="16" t="str">
        <f aca="false">IF(B2805="","",IF(N2805=_xlfn.MAXIFS($N$2:$N$5001,$B$2:$B$5001,B2805,$I$2:$I$5001,I2805),1,0))</f>
        <v/>
      </c>
      <c r="M2805" s="16" t="str">
        <f aca="false">IF(B2805="","",IF(E2805="Em ajustes",IF(N2805=_xlfn.MINIFS($N$2:$N$5001,$B$2:$B$5001,B2805,$E$2:$E$5001,"Em ajustes"),1,0),0))</f>
        <v/>
      </c>
      <c r="N2805" s="17" t="str">
        <f aca="false">IF(A2805="","",IF(ISNUMBER(A2805),A2805,IFERROR(DATE(VALUE(MID(A2805,7,4)),VALUE(MID(A2805,4,2)),VALUE(MID(A2805,1,2)))+TIME(VALUE(MID(A2805,12,2)),VALUE(MID(A2805,15,2)),VALUE(MID(A2805,18,2))),"")))</f>
        <v/>
      </c>
    </row>
    <row r="2806" customFormat="false" ht="15" hidden="false" customHeight="false" outlineLevel="0" collapsed="false">
      <c r="I2806" s="15" t="str">
        <f aca="false">IF(N2806="","",INT(N2806))</f>
        <v/>
      </c>
      <c r="J2806" s="16" t="str">
        <f aca="false">IF(B2806="","",IF(N2806=_xlfn.MINIFS($N$2:$N$5001,$B$2:$B$5001,B2806),1,0))</f>
        <v/>
      </c>
      <c r="K2806" s="16" t="str">
        <f aca="false">IF(B2806="","",IF(AND(D2806="Formalização",E2806="Concluído"),IF(COUNTIFS($B$2:$B$5001,B2806,$E$2:$E$5001,"Em ajustes",$N$2:$N$5001,"&lt;"&amp;I2806)&gt;0,1,0),0))</f>
        <v/>
      </c>
      <c r="L2806" s="16" t="str">
        <f aca="false">IF(B2806="","",IF(N2806=_xlfn.MAXIFS($N$2:$N$5001,$B$2:$B$5001,B2806,$I$2:$I$5001,I2806),1,0))</f>
        <v/>
      </c>
      <c r="M2806" s="16" t="str">
        <f aca="false">IF(B2806="","",IF(E2806="Em ajustes",IF(N2806=_xlfn.MINIFS($N$2:$N$5001,$B$2:$B$5001,B2806,$E$2:$E$5001,"Em ajustes"),1,0),0))</f>
        <v/>
      </c>
      <c r="N2806" s="17" t="str">
        <f aca="false">IF(A2806="","",IF(ISNUMBER(A2806),A2806,IFERROR(DATE(VALUE(MID(A2806,7,4)),VALUE(MID(A2806,4,2)),VALUE(MID(A2806,1,2)))+TIME(VALUE(MID(A2806,12,2)),VALUE(MID(A2806,15,2)),VALUE(MID(A2806,18,2))),"")))</f>
        <v/>
      </c>
    </row>
    <row r="2807" customFormat="false" ht="15" hidden="false" customHeight="false" outlineLevel="0" collapsed="false">
      <c r="I2807" s="15" t="str">
        <f aca="false">IF(N2807="","",INT(N2807))</f>
        <v/>
      </c>
      <c r="J2807" s="16" t="str">
        <f aca="false">IF(B2807="","",IF(N2807=_xlfn.MINIFS($N$2:$N$5001,$B$2:$B$5001,B2807),1,0))</f>
        <v/>
      </c>
      <c r="K2807" s="16" t="str">
        <f aca="false">IF(B2807="","",IF(AND(D2807="Formalização",E2807="Concluído"),IF(COUNTIFS($B$2:$B$5001,B2807,$E$2:$E$5001,"Em ajustes",$N$2:$N$5001,"&lt;"&amp;I2807)&gt;0,1,0),0))</f>
        <v/>
      </c>
      <c r="L2807" s="16" t="str">
        <f aca="false">IF(B2807="","",IF(N2807=_xlfn.MAXIFS($N$2:$N$5001,$B$2:$B$5001,B2807,$I$2:$I$5001,I2807),1,0))</f>
        <v/>
      </c>
      <c r="M2807" s="16" t="str">
        <f aca="false">IF(B2807="","",IF(E2807="Em ajustes",IF(N2807=_xlfn.MINIFS($N$2:$N$5001,$B$2:$B$5001,B2807,$E$2:$E$5001,"Em ajustes"),1,0),0))</f>
        <v/>
      </c>
      <c r="N2807" s="17" t="str">
        <f aca="false">IF(A2807="","",IF(ISNUMBER(A2807),A2807,IFERROR(DATE(VALUE(MID(A2807,7,4)),VALUE(MID(A2807,4,2)),VALUE(MID(A2807,1,2)))+TIME(VALUE(MID(A2807,12,2)),VALUE(MID(A2807,15,2)),VALUE(MID(A2807,18,2))),"")))</f>
        <v/>
      </c>
    </row>
    <row r="2808" customFormat="false" ht="15" hidden="false" customHeight="false" outlineLevel="0" collapsed="false">
      <c r="I2808" s="15" t="str">
        <f aca="false">IF(N2808="","",INT(N2808))</f>
        <v/>
      </c>
      <c r="J2808" s="16" t="str">
        <f aca="false">IF(B2808="","",IF(N2808=_xlfn.MINIFS($N$2:$N$5001,$B$2:$B$5001,B2808),1,0))</f>
        <v/>
      </c>
      <c r="K2808" s="16" t="str">
        <f aca="false">IF(B2808="","",IF(AND(D2808="Formalização",E2808="Concluído"),IF(COUNTIFS($B$2:$B$5001,B2808,$E$2:$E$5001,"Em ajustes",$N$2:$N$5001,"&lt;"&amp;I2808)&gt;0,1,0),0))</f>
        <v/>
      </c>
      <c r="L2808" s="16" t="str">
        <f aca="false">IF(B2808="","",IF(N2808=_xlfn.MAXIFS($N$2:$N$5001,$B$2:$B$5001,B2808,$I$2:$I$5001,I2808),1,0))</f>
        <v/>
      </c>
      <c r="M2808" s="16" t="str">
        <f aca="false">IF(B2808="","",IF(E2808="Em ajustes",IF(N2808=_xlfn.MINIFS($N$2:$N$5001,$B$2:$B$5001,B2808,$E$2:$E$5001,"Em ajustes"),1,0),0))</f>
        <v/>
      </c>
      <c r="N2808" s="17" t="str">
        <f aca="false">IF(A2808="","",IF(ISNUMBER(A2808),A2808,IFERROR(DATE(VALUE(MID(A2808,7,4)),VALUE(MID(A2808,4,2)),VALUE(MID(A2808,1,2)))+TIME(VALUE(MID(A2808,12,2)),VALUE(MID(A2808,15,2)),VALUE(MID(A2808,18,2))),"")))</f>
        <v/>
      </c>
    </row>
    <row r="2809" customFormat="false" ht="15" hidden="false" customHeight="false" outlineLevel="0" collapsed="false">
      <c r="I2809" s="15" t="str">
        <f aca="false">IF(N2809="","",INT(N2809))</f>
        <v/>
      </c>
      <c r="J2809" s="16" t="str">
        <f aca="false">IF(B2809="","",IF(N2809=_xlfn.MINIFS($N$2:$N$5001,$B$2:$B$5001,B2809),1,0))</f>
        <v/>
      </c>
      <c r="K2809" s="16" t="str">
        <f aca="false">IF(B2809="","",IF(AND(D2809="Formalização",E2809="Concluído"),IF(COUNTIFS($B$2:$B$5001,B2809,$E$2:$E$5001,"Em ajustes",$N$2:$N$5001,"&lt;"&amp;I2809)&gt;0,1,0),0))</f>
        <v/>
      </c>
      <c r="L2809" s="16" t="str">
        <f aca="false">IF(B2809="","",IF(N2809=_xlfn.MAXIFS($N$2:$N$5001,$B$2:$B$5001,B2809,$I$2:$I$5001,I2809),1,0))</f>
        <v/>
      </c>
      <c r="M2809" s="16" t="str">
        <f aca="false">IF(B2809="","",IF(E2809="Em ajustes",IF(N2809=_xlfn.MINIFS($N$2:$N$5001,$B$2:$B$5001,B2809,$E$2:$E$5001,"Em ajustes"),1,0),0))</f>
        <v/>
      </c>
      <c r="N2809" s="17" t="str">
        <f aca="false">IF(A2809="","",IF(ISNUMBER(A2809),A2809,IFERROR(DATE(VALUE(MID(A2809,7,4)),VALUE(MID(A2809,4,2)),VALUE(MID(A2809,1,2)))+TIME(VALUE(MID(A2809,12,2)),VALUE(MID(A2809,15,2)),VALUE(MID(A2809,18,2))),"")))</f>
        <v/>
      </c>
    </row>
    <row r="2810" customFormat="false" ht="15" hidden="false" customHeight="false" outlineLevel="0" collapsed="false">
      <c r="I2810" s="15" t="str">
        <f aca="false">IF(N2810="","",INT(N2810))</f>
        <v/>
      </c>
      <c r="J2810" s="16" t="str">
        <f aca="false">IF(B2810="","",IF(N2810=_xlfn.MINIFS($N$2:$N$5001,$B$2:$B$5001,B2810),1,0))</f>
        <v/>
      </c>
      <c r="K2810" s="16" t="str">
        <f aca="false">IF(B2810="","",IF(AND(D2810="Formalização",E2810="Concluído"),IF(COUNTIFS($B$2:$B$5001,B2810,$E$2:$E$5001,"Em ajustes",$N$2:$N$5001,"&lt;"&amp;I2810)&gt;0,1,0),0))</f>
        <v/>
      </c>
      <c r="L2810" s="16" t="str">
        <f aca="false">IF(B2810="","",IF(N2810=_xlfn.MAXIFS($N$2:$N$5001,$B$2:$B$5001,B2810,$I$2:$I$5001,I2810),1,0))</f>
        <v/>
      </c>
      <c r="M2810" s="16" t="str">
        <f aca="false">IF(B2810="","",IF(E2810="Em ajustes",IF(N2810=_xlfn.MINIFS($N$2:$N$5001,$B$2:$B$5001,B2810,$E$2:$E$5001,"Em ajustes"),1,0),0))</f>
        <v/>
      </c>
      <c r="N2810" s="17" t="str">
        <f aca="false">IF(A2810="","",IF(ISNUMBER(A2810),A2810,IFERROR(DATE(VALUE(MID(A2810,7,4)),VALUE(MID(A2810,4,2)),VALUE(MID(A2810,1,2)))+TIME(VALUE(MID(A2810,12,2)),VALUE(MID(A2810,15,2)),VALUE(MID(A2810,18,2))),"")))</f>
        <v/>
      </c>
    </row>
    <row r="2811" customFormat="false" ht="15" hidden="false" customHeight="false" outlineLevel="0" collapsed="false">
      <c r="I2811" s="15" t="str">
        <f aca="false">IF(N2811="","",INT(N2811))</f>
        <v/>
      </c>
      <c r="J2811" s="16" t="str">
        <f aca="false">IF(B2811="","",IF(N2811=_xlfn.MINIFS($N$2:$N$5001,$B$2:$B$5001,B2811),1,0))</f>
        <v/>
      </c>
      <c r="K2811" s="16" t="str">
        <f aca="false">IF(B2811="","",IF(AND(D2811="Formalização",E2811="Concluído"),IF(COUNTIFS($B$2:$B$5001,B2811,$E$2:$E$5001,"Em ajustes",$N$2:$N$5001,"&lt;"&amp;I2811)&gt;0,1,0),0))</f>
        <v/>
      </c>
      <c r="L2811" s="16" t="str">
        <f aca="false">IF(B2811="","",IF(N2811=_xlfn.MAXIFS($N$2:$N$5001,$B$2:$B$5001,B2811,$I$2:$I$5001,I2811),1,0))</f>
        <v/>
      </c>
      <c r="M2811" s="16" t="str">
        <f aca="false">IF(B2811="","",IF(E2811="Em ajustes",IF(N2811=_xlfn.MINIFS($N$2:$N$5001,$B$2:$B$5001,B2811,$E$2:$E$5001,"Em ajustes"),1,0),0))</f>
        <v/>
      </c>
      <c r="N2811" s="17" t="str">
        <f aca="false">IF(A2811="","",IF(ISNUMBER(A2811),A2811,IFERROR(DATE(VALUE(MID(A2811,7,4)),VALUE(MID(A2811,4,2)),VALUE(MID(A2811,1,2)))+TIME(VALUE(MID(A2811,12,2)),VALUE(MID(A2811,15,2)),VALUE(MID(A2811,18,2))),"")))</f>
        <v/>
      </c>
    </row>
    <row r="2812" customFormat="false" ht="15" hidden="false" customHeight="false" outlineLevel="0" collapsed="false">
      <c r="I2812" s="15" t="str">
        <f aca="false">IF(N2812="","",INT(N2812))</f>
        <v/>
      </c>
      <c r="J2812" s="16" t="str">
        <f aca="false">IF(B2812="","",IF(N2812=_xlfn.MINIFS($N$2:$N$5001,$B$2:$B$5001,B2812),1,0))</f>
        <v/>
      </c>
      <c r="K2812" s="16" t="str">
        <f aca="false">IF(B2812="","",IF(AND(D2812="Formalização",E2812="Concluído"),IF(COUNTIFS($B$2:$B$5001,B2812,$E$2:$E$5001,"Em ajustes",$N$2:$N$5001,"&lt;"&amp;I2812)&gt;0,1,0),0))</f>
        <v/>
      </c>
      <c r="L2812" s="16" t="str">
        <f aca="false">IF(B2812="","",IF(N2812=_xlfn.MAXIFS($N$2:$N$5001,$B$2:$B$5001,B2812,$I$2:$I$5001,I2812),1,0))</f>
        <v/>
      </c>
      <c r="M2812" s="16" t="str">
        <f aca="false">IF(B2812="","",IF(E2812="Em ajustes",IF(N2812=_xlfn.MINIFS($N$2:$N$5001,$B$2:$B$5001,B2812,$E$2:$E$5001,"Em ajustes"),1,0),0))</f>
        <v/>
      </c>
      <c r="N2812" s="17" t="str">
        <f aca="false">IF(A2812="","",IF(ISNUMBER(A2812),A2812,IFERROR(DATE(VALUE(MID(A2812,7,4)),VALUE(MID(A2812,4,2)),VALUE(MID(A2812,1,2)))+TIME(VALUE(MID(A2812,12,2)),VALUE(MID(A2812,15,2)),VALUE(MID(A2812,18,2))),"")))</f>
        <v/>
      </c>
    </row>
    <row r="2813" customFormat="false" ht="15" hidden="false" customHeight="false" outlineLevel="0" collapsed="false">
      <c r="I2813" s="15" t="str">
        <f aca="false">IF(N2813="","",INT(N2813))</f>
        <v/>
      </c>
      <c r="J2813" s="16" t="str">
        <f aca="false">IF(B2813="","",IF(N2813=_xlfn.MINIFS($N$2:$N$5001,$B$2:$B$5001,B2813),1,0))</f>
        <v/>
      </c>
      <c r="K2813" s="16" t="str">
        <f aca="false">IF(B2813="","",IF(AND(D2813="Formalização",E2813="Concluído"),IF(COUNTIFS($B$2:$B$5001,B2813,$E$2:$E$5001,"Em ajustes",$N$2:$N$5001,"&lt;"&amp;I2813)&gt;0,1,0),0))</f>
        <v/>
      </c>
      <c r="L2813" s="16" t="str">
        <f aca="false">IF(B2813="","",IF(N2813=_xlfn.MAXIFS($N$2:$N$5001,$B$2:$B$5001,B2813,$I$2:$I$5001,I2813),1,0))</f>
        <v/>
      </c>
      <c r="M2813" s="16" t="str">
        <f aca="false">IF(B2813="","",IF(E2813="Em ajustes",IF(N2813=_xlfn.MINIFS($N$2:$N$5001,$B$2:$B$5001,B2813,$E$2:$E$5001,"Em ajustes"),1,0),0))</f>
        <v/>
      </c>
      <c r="N2813" s="17" t="str">
        <f aca="false">IF(A2813="","",IF(ISNUMBER(A2813),A2813,IFERROR(DATE(VALUE(MID(A2813,7,4)),VALUE(MID(A2813,4,2)),VALUE(MID(A2813,1,2)))+TIME(VALUE(MID(A2813,12,2)),VALUE(MID(A2813,15,2)),VALUE(MID(A2813,18,2))),"")))</f>
        <v/>
      </c>
    </row>
    <row r="2814" customFormat="false" ht="15" hidden="false" customHeight="false" outlineLevel="0" collapsed="false">
      <c r="I2814" s="15" t="str">
        <f aca="false">IF(N2814="","",INT(N2814))</f>
        <v/>
      </c>
      <c r="J2814" s="16" t="str">
        <f aca="false">IF(B2814="","",IF(N2814=_xlfn.MINIFS($N$2:$N$5001,$B$2:$B$5001,B2814),1,0))</f>
        <v/>
      </c>
      <c r="K2814" s="16" t="str">
        <f aca="false">IF(B2814="","",IF(AND(D2814="Formalização",E2814="Concluído"),IF(COUNTIFS($B$2:$B$5001,B2814,$E$2:$E$5001,"Em ajustes",$N$2:$N$5001,"&lt;"&amp;I2814)&gt;0,1,0),0))</f>
        <v/>
      </c>
      <c r="L2814" s="16" t="str">
        <f aca="false">IF(B2814="","",IF(N2814=_xlfn.MAXIFS($N$2:$N$5001,$B$2:$B$5001,B2814,$I$2:$I$5001,I2814),1,0))</f>
        <v/>
      </c>
      <c r="M2814" s="16" t="str">
        <f aca="false">IF(B2814="","",IF(E2814="Em ajustes",IF(N2814=_xlfn.MINIFS($N$2:$N$5001,$B$2:$B$5001,B2814,$E$2:$E$5001,"Em ajustes"),1,0),0))</f>
        <v/>
      </c>
      <c r="N2814" s="17" t="str">
        <f aca="false">IF(A2814="","",IF(ISNUMBER(A2814),A2814,IFERROR(DATE(VALUE(MID(A2814,7,4)),VALUE(MID(A2814,4,2)),VALUE(MID(A2814,1,2)))+TIME(VALUE(MID(A2814,12,2)),VALUE(MID(A2814,15,2)),VALUE(MID(A2814,18,2))),"")))</f>
        <v/>
      </c>
    </row>
    <row r="2815" customFormat="false" ht="15" hidden="false" customHeight="false" outlineLevel="0" collapsed="false">
      <c r="I2815" s="15" t="str">
        <f aca="false">IF(N2815="","",INT(N2815))</f>
        <v/>
      </c>
      <c r="J2815" s="16" t="str">
        <f aca="false">IF(B2815="","",IF(N2815=_xlfn.MINIFS($N$2:$N$5001,$B$2:$B$5001,B2815),1,0))</f>
        <v/>
      </c>
      <c r="K2815" s="16" t="str">
        <f aca="false">IF(B2815="","",IF(AND(D2815="Formalização",E2815="Concluído"),IF(COUNTIFS($B$2:$B$5001,B2815,$E$2:$E$5001,"Em ajustes",$N$2:$N$5001,"&lt;"&amp;I2815)&gt;0,1,0),0))</f>
        <v/>
      </c>
      <c r="L2815" s="16" t="str">
        <f aca="false">IF(B2815="","",IF(N2815=_xlfn.MAXIFS($N$2:$N$5001,$B$2:$B$5001,B2815,$I$2:$I$5001,I2815),1,0))</f>
        <v/>
      </c>
      <c r="M2815" s="16" t="str">
        <f aca="false">IF(B2815="","",IF(E2815="Em ajustes",IF(N2815=_xlfn.MINIFS($N$2:$N$5001,$B$2:$B$5001,B2815,$E$2:$E$5001,"Em ajustes"),1,0),0))</f>
        <v/>
      </c>
      <c r="N2815" s="17" t="str">
        <f aca="false">IF(A2815="","",IF(ISNUMBER(A2815),A2815,IFERROR(DATE(VALUE(MID(A2815,7,4)),VALUE(MID(A2815,4,2)),VALUE(MID(A2815,1,2)))+TIME(VALUE(MID(A2815,12,2)),VALUE(MID(A2815,15,2)),VALUE(MID(A2815,18,2))),"")))</f>
        <v/>
      </c>
    </row>
    <row r="2816" customFormat="false" ht="15" hidden="false" customHeight="false" outlineLevel="0" collapsed="false">
      <c r="I2816" s="15" t="str">
        <f aca="false">IF(N2816="","",INT(N2816))</f>
        <v/>
      </c>
      <c r="J2816" s="16" t="str">
        <f aca="false">IF(B2816="","",IF(N2816=_xlfn.MINIFS($N$2:$N$5001,$B$2:$B$5001,B2816),1,0))</f>
        <v/>
      </c>
      <c r="K2816" s="16" t="str">
        <f aca="false">IF(B2816="","",IF(AND(D2816="Formalização",E2816="Concluído"),IF(COUNTIFS($B$2:$B$5001,B2816,$E$2:$E$5001,"Em ajustes",$N$2:$N$5001,"&lt;"&amp;I2816)&gt;0,1,0),0))</f>
        <v/>
      </c>
      <c r="L2816" s="16" t="str">
        <f aca="false">IF(B2816="","",IF(N2816=_xlfn.MAXIFS($N$2:$N$5001,$B$2:$B$5001,B2816,$I$2:$I$5001,I2816),1,0))</f>
        <v/>
      </c>
      <c r="M2816" s="16" t="str">
        <f aca="false">IF(B2816="","",IF(E2816="Em ajustes",IF(N2816=_xlfn.MINIFS($N$2:$N$5001,$B$2:$B$5001,B2816,$E$2:$E$5001,"Em ajustes"),1,0),0))</f>
        <v/>
      </c>
      <c r="N2816" s="17" t="str">
        <f aca="false">IF(A2816="","",IF(ISNUMBER(A2816),A2816,IFERROR(DATE(VALUE(MID(A2816,7,4)),VALUE(MID(A2816,4,2)),VALUE(MID(A2816,1,2)))+TIME(VALUE(MID(A2816,12,2)),VALUE(MID(A2816,15,2)),VALUE(MID(A2816,18,2))),"")))</f>
        <v/>
      </c>
    </row>
    <row r="2817" customFormat="false" ht="15" hidden="false" customHeight="false" outlineLevel="0" collapsed="false">
      <c r="I2817" s="15" t="str">
        <f aca="false">IF(N2817="","",INT(N2817))</f>
        <v/>
      </c>
      <c r="J2817" s="16" t="str">
        <f aca="false">IF(B2817="","",IF(N2817=_xlfn.MINIFS($N$2:$N$5001,$B$2:$B$5001,B2817),1,0))</f>
        <v/>
      </c>
      <c r="K2817" s="16" t="str">
        <f aca="false">IF(B2817="","",IF(AND(D2817="Formalização",E2817="Concluído"),IF(COUNTIFS($B$2:$B$5001,B2817,$E$2:$E$5001,"Em ajustes",$N$2:$N$5001,"&lt;"&amp;I2817)&gt;0,1,0),0))</f>
        <v/>
      </c>
      <c r="L2817" s="16" t="str">
        <f aca="false">IF(B2817="","",IF(N2817=_xlfn.MAXIFS($N$2:$N$5001,$B$2:$B$5001,B2817,$I$2:$I$5001,I2817),1,0))</f>
        <v/>
      </c>
      <c r="M2817" s="16" t="str">
        <f aca="false">IF(B2817="","",IF(E2817="Em ajustes",IF(N2817=_xlfn.MINIFS($N$2:$N$5001,$B$2:$B$5001,B2817,$E$2:$E$5001,"Em ajustes"),1,0),0))</f>
        <v/>
      </c>
      <c r="N2817" s="17" t="str">
        <f aca="false">IF(A2817="","",IF(ISNUMBER(A2817),A2817,IFERROR(DATE(VALUE(MID(A2817,7,4)),VALUE(MID(A2817,4,2)),VALUE(MID(A2817,1,2)))+TIME(VALUE(MID(A2817,12,2)),VALUE(MID(A2817,15,2)),VALUE(MID(A2817,18,2))),"")))</f>
        <v/>
      </c>
    </row>
    <row r="2818" customFormat="false" ht="15" hidden="false" customHeight="false" outlineLevel="0" collapsed="false">
      <c r="I2818" s="15" t="str">
        <f aca="false">IF(N2818="","",INT(N2818))</f>
        <v/>
      </c>
      <c r="J2818" s="16" t="str">
        <f aca="false">IF(B2818="","",IF(N2818=_xlfn.MINIFS($N$2:$N$5001,$B$2:$B$5001,B2818),1,0))</f>
        <v/>
      </c>
      <c r="K2818" s="16" t="str">
        <f aca="false">IF(B2818="","",IF(AND(D2818="Formalização",E2818="Concluído"),IF(COUNTIFS($B$2:$B$5001,B2818,$E$2:$E$5001,"Em ajustes",$N$2:$N$5001,"&lt;"&amp;I2818)&gt;0,1,0),0))</f>
        <v/>
      </c>
      <c r="L2818" s="16" t="str">
        <f aca="false">IF(B2818="","",IF(N2818=_xlfn.MAXIFS($N$2:$N$5001,$B$2:$B$5001,B2818,$I$2:$I$5001,I2818),1,0))</f>
        <v/>
      </c>
      <c r="M2818" s="16" t="str">
        <f aca="false">IF(B2818="","",IF(E2818="Em ajustes",IF(N2818=_xlfn.MINIFS($N$2:$N$5001,$B$2:$B$5001,B2818,$E$2:$E$5001,"Em ajustes"),1,0),0))</f>
        <v/>
      </c>
      <c r="N2818" s="17" t="str">
        <f aca="false">IF(A2818="","",IF(ISNUMBER(A2818),A2818,IFERROR(DATE(VALUE(MID(A2818,7,4)),VALUE(MID(A2818,4,2)),VALUE(MID(A2818,1,2)))+TIME(VALUE(MID(A2818,12,2)),VALUE(MID(A2818,15,2)),VALUE(MID(A2818,18,2))),"")))</f>
        <v/>
      </c>
    </row>
    <row r="2819" customFormat="false" ht="15" hidden="false" customHeight="false" outlineLevel="0" collapsed="false">
      <c r="I2819" s="15" t="str">
        <f aca="false">IF(N2819="","",INT(N2819))</f>
        <v/>
      </c>
      <c r="J2819" s="16" t="str">
        <f aca="false">IF(B2819="","",IF(N2819=_xlfn.MINIFS($N$2:$N$5001,$B$2:$B$5001,B2819),1,0))</f>
        <v/>
      </c>
      <c r="K2819" s="16" t="str">
        <f aca="false">IF(B2819="","",IF(AND(D2819="Formalização",E2819="Concluído"),IF(COUNTIFS($B$2:$B$5001,B2819,$E$2:$E$5001,"Em ajustes",$N$2:$N$5001,"&lt;"&amp;I2819)&gt;0,1,0),0))</f>
        <v/>
      </c>
      <c r="L2819" s="16" t="str">
        <f aca="false">IF(B2819="","",IF(N2819=_xlfn.MAXIFS($N$2:$N$5001,$B$2:$B$5001,B2819,$I$2:$I$5001,I2819),1,0))</f>
        <v/>
      </c>
      <c r="M2819" s="16" t="str">
        <f aca="false">IF(B2819="","",IF(E2819="Em ajustes",IF(N2819=_xlfn.MINIFS($N$2:$N$5001,$B$2:$B$5001,B2819,$E$2:$E$5001,"Em ajustes"),1,0),0))</f>
        <v/>
      </c>
      <c r="N2819" s="17" t="str">
        <f aca="false">IF(A2819="","",IF(ISNUMBER(A2819),A2819,IFERROR(DATE(VALUE(MID(A2819,7,4)),VALUE(MID(A2819,4,2)),VALUE(MID(A2819,1,2)))+TIME(VALUE(MID(A2819,12,2)),VALUE(MID(A2819,15,2)),VALUE(MID(A2819,18,2))),"")))</f>
        <v/>
      </c>
    </row>
    <row r="2820" customFormat="false" ht="15" hidden="false" customHeight="false" outlineLevel="0" collapsed="false">
      <c r="I2820" s="15" t="str">
        <f aca="false">IF(N2820="","",INT(N2820))</f>
        <v/>
      </c>
      <c r="J2820" s="16" t="str">
        <f aca="false">IF(B2820="","",IF(N2820=_xlfn.MINIFS($N$2:$N$5001,$B$2:$B$5001,B2820),1,0))</f>
        <v/>
      </c>
      <c r="K2820" s="16" t="str">
        <f aca="false">IF(B2820="","",IF(AND(D2820="Formalização",E2820="Concluído"),IF(COUNTIFS($B$2:$B$5001,B2820,$E$2:$E$5001,"Em ajustes",$N$2:$N$5001,"&lt;"&amp;I2820)&gt;0,1,0),0))</f>
        <v/>
      </c>
      <c r="L2820" s="16" t="str">
        <f aca="false">IF(B2820="","",IF(N2820=_xlfn.MAXIFS($N$2:$N$5001,$B$2:$B$5001,B2820,$I$2:$I$5001,I2820),1,0))</f>
        <v/>
      </c>
      <c r="M2820" s="16" t="str">
        <f aca="false">IF(B2820="","",IF(E2820="Em ajustes",IF(N2820=_xlfn.MINIFS($N$2:$N$5001,$B$2:$B$5001,B2820,$E$2:$E$5001,"Em ajustes"),1,0),0))</f>
        <v/>
      </c>
      <c r="N2820" s="17" t="str">
        <f aca="false">IF(A2820="","",IF(ISNUMBER(A2820),A2820,IFERROR(DATE(VALUE(MID(A2820,7,4)),VALUE(MID(A2820,4,2)),VALUE(MID(A2820,1,2)))+TIME(VALUE(MID(A2820,12,2)),VALUE(MID(A2820,15,2)),VALUE(MID(A2820,18,2))),"")))</f>
        <v/>
      </c>
    </row>
    <row r="2821" customFormat="false" ht="15" hidden="false" customHeight="false" outlineLevel="0" collapsed="false">
      <c r="I2821" s="15" t="str">
        <f aca="false">IF(N2821="","",INT(N2821))</f>
        <v/>
      </c>
      <c r="J2821" s="16" t="str">
        <f aca="false">IF(B2821="","",IF(N2821=_xlfn.MINIFS($N$2:$N$5001,$B$2:$B$5001,B2821),1,0))</f>
        <v/>
      </c>
      <c r="K2821" s="16" t="str">
        <f aca="false">IF(B2821="","",IF(AND(D2821="Formalização",E2821="Concluído"),IF(COUNTIFS($B$2:$B$5001,B2821,$E$2:$E$5001,"Em ajustes",$N$2:$N$5001,"&lt;"&amp;I2821)&gt;0,1,0),0))</f>
        <v/>
      </c>
      <c r="L2821" s="16" t="str">
        <f aca="false">IF(B2821="","",IF(N2821=_xlfn.MAXIFS($N$2:$N$5001,$B$2:$B$5001,B2821,$I$2:$I$5001,I2821),1,0))</f>
        <v/>
      </c>
      <c r="M2821" s="16" t="str">
        <f aca="false">IF(B2821="","",IF(E2821="Em ajustes",IF(N2821=_xlfn.MINIFS($N$2:$N$5001,$B$2:$B$5001,B2821,$E$2:$E$5001,"Em ajustes"),1,0),0))</f>
        <v/>
      </c>
      <c r="N2821" s="17" t="str">
        <f aca="false">IF(A2821="","",IF(ISNUMBER(A2821),A2821,IFERROR(DATE(VALUE(MID(A2821,7,4)),VALUE(MID(A2821,4,2)),VALUE(MID(A2821,1,2)))+TIME(VALUE(MID(A2821,12,2)),VALUE(MID(A2821,15,2)),VALUE(MID(A2821,18,2))),"")))</f>
        <v/>
      </c>
    </row>
    <row r="2822" customFormat="false" ht="15" hidden="false" customHeight="false" outlineLevel="0" collapsed="false">
      <c r="I2822" s="15" t="str">
        <f aca="false">IF(N2822="","",INT(N2822))</f>
        <v/>
      </c>
      <c r="J2822" s="16" t="str">
        <f aca="false">IF(B2822="","",IF(N2822=_xlfn.MINIFS($N$2:$N$5001,$B$2:$B$5001,B2822),1,0))</f>
        <v/>
      </c>
      <c r="K2822" s="16" t="str">
        <f aca="false">IF(B2822="","",IF(AND(D2822="Formalização",E2822="Concluído"),IF(COUNTIFS($B$2:$B$5001,B2822,$E$2:$E$5001,"Em ajustes",$N$2:$N$5001,"&lt;"&amp;I2822)&gt;0,1,0),0))</f>
        <v/>
      </c>
      <c r="L2822" s="16" t="str">
        <f aca="false">IF(B2822="","",IF(N2822=_xlfn.MAXIFS($N$2:$N$5001,$B$2:$B$5001,B2822,$I$2:$I$5001,I2822),1,0))</f>
        <v/>
      </c>
      <c r="M2822" s="16" t="str">
        <f aca="false">IF(B2822="","",IF(E2822="Em ajustes",IF(N2822=_xlfn.MINIFS($N$2:$N$5001,$B$2:$B$5001,B2822,$E$2:$E$5001,"Em ajustes"),1,0),0))</f>
        <v/>
      </c>
      <c r="N2822" s="17" t="str">
        <f aca="false">IF(A2822="","",IF(ISNUMBER(A2822),A2822,IFERROR(DATE(VALUE(MID(A2822,7,4)),VALUE(MID(A2822,4,2)),VALUE(MID(A2822,1,2)))+TIME(VALUE(MID(A2822,12,2)),VALUE(MID(A2822,15,2)),VALUE(MID(A2822,18,2))),"")))</f>
        <v/>
      </c>
    </row>
    <row r="2823" customFormat="false" ht="15" hidden="false" customHeight="false" outlineLevel="0" collapsed="false">
      <c r="I2823" s="15" t="str">
        <f aca="false">IF(N2823="","",INT(N2823))</f>
        <v/>
      </c>
      <c r="J2823" s="16" t="str">
        <f aca="false">IF(B2823="","",IF(N2823=_xlfn.MINIFS($N$2:$N$5001,$B$2:$B$5001,B2823),1,0))</f>
        <v/>
      </c>
      <c r="K2823" s="16" t="str">
        <f aca="false">IF(B2823="","",IF(AND(D2823="Formalização",E2823="Concluído"),IF(COUNTIFS($B$2:$B$5001,B2823,$E$2:$E$5001,"Em ajustes",$N$2:$N$5001,"&lt;"&amp;I2823)&gt;0,1,0),0))</f>
        <v/>
      </c>
      <c r="L2823" s="16" t="str">
        <f aca="false">IF(B2823="","",IF(N2823=_xlfn.MAXIFS($N$2:$N$5001,$B$2:$B$5001,B2823,$I$2:$I$5001,I2823),1,0))</f>
        <v/>
      </c>
      <c r="M2823" s="16" t="str">
        <f aca="false">IF(B2823="","",IF(E2823="Em ajustes",IF(N2823=_xlfn.MINIFS($N$2:$N$5001,$B$2:$B$5001,B2823,$E$2:$E$5001,"Em ajustes"),1,0),0))</f>
        <v/>
      </c>
      <c r="N2823" s="17" t="str">
        <f aca="false">IF(A2823="","",IF(ISNUMBER(A2823),A2823,IFERROR(DATE(VALUE(MID(A2823,7,4)),VALUE(MID(A2823,4,2)),VALUE(MID(A2823,1,2)))+TIME(VALUE(MID(A2823,12,2)),VALUE(MID(A2823,15,2)),VALUE(MID(A2823,18,2))),"")))</f>
        <v/>
      </c>
    </row>
    <row r="2824" customFormat="false" ht="15" hidden="false" customHeight="false" outlineLevel="0" collapsed="false">
      <c r="I2824" s="15" t="str">
        <f aca="false">IF(N2824="","",INT(N2824))</f>
        <v/>
      </c>
      <c r="J2824" s="16" t="str">
        <f aca="false">IF(B2824="","",IF(N2824=_xlfn.MINIFS($N$2:$N$5001,$B$2:$B$5001,B2824),1,0))</f>
        <v/>
      </c>
      <c r="K2824" s="16" t="str">
        <f aca="false">IF(B2824="","",IF(AND(D2824="Formalização",E2824="Concluído"),IF(COUNTIFS($B$2:$B$5001,B2824,$E$2:$E$5001,"Em ajustes",$N$2:$N$5001,"&lt;"&amp;I2824)&gt;0,1,0),0))</f>
        <v/>
      </c>
      <c r="L2824" s="16" t="str">
        <f aca="false">IF(B2824="","",IF(N2824=_xlfn.MAXIFS($N$2:$N$5001,$B$2:$B$5001,B2824,$I$2:$I$5001,I2824),1,0))</f>
        <v/>
      </c>
      <c r="M2824" s="16" t="str">
        <f aca="false">IF(B2824="","",IF(E2824="Em ajustes",IF(N2824=_xlfn.MINIFS($N$2:$N$5001,$B$2:$B$5001,B2824,$E$2:$E$5001,"Em ajustes"),1,0),0))</f>
        <v/>
      </c>
      <c r="N2824" s="17" t="str">
        <f aca="false">IF(A2824="","",IF(ISNUMBER(A2824),A2824,IFERROR(DATE(VALUE(MID(A2824,7,4)),VALUE(MID(A2824,4,2)),VALUE(MID(A2824,1,2)))+TIME(VALUE(MID(A2824,12,2)),VALUE(MID(A2824,15,2)),VALUE(MID(A2824,18,2))),"")))</f>
        <v/>
      </c>
    </row>
    <row r="2825" customFormat="false" ht="15" hidden="false" customHeight="false" outlineLevel="0" collapsed="false">
      <c r="I2825" s="15" t="str">
        <f aca="false">IF(N2825="","",INT(N2825))</f>
        <v/>
      </c>
      <c r="J2825" s="16" t="str">
        <f aca="false">IF(B2825="","",IF(N2825=_xlfn.MINIFS($N$2:$N$5001,$B$2:$B$5001,B2825),1,0))</f>
        <v/>
      </c>
      <c r="K2825" s="16" t="str">
        <f aca="false">IF(B2825="","",IF(AND(D2825="Formalização",E2825="Concluído"),IF(COUNTIFS($B$2:$B$5001,B2825,$E$2:$E$5001,"Em ajustes",$N$2:$N$5001,"&lt;"&amp;I2825)&gt;0,1,0),0))</f>
        <v/>
      </c>
      <c r="L2825" s="16" t="str">
        <f aca="false">IF(B2825="","",IF(N2825=_xlfn.MAXIFS($N$2:$N$5001,$B$2:$B$5001,B2825,$I$2:$I$5001,I2825),1,0))</f>
        <v/>
      </c>
      <c r="M2825" s="16" t="str">
        <f aca="false">IF(B2825="","",IF(E2825="Em ajustes",IF(N2825=_xlfn.MINIFS($N$2:$N$5001,$B$2:$B$5001,B2825,$E$2:$E$5001,"Em ajustes"),1,0),0))</f>
        <v/>
      </c>
      <c r="N2825" s="17" t="str">
        <f aca="false">IF(A2825="","",IF(ISNUMBER(A2825),A2825,IFERROR(DATE(VALUE(MID(A2825,7,4)),VALUE(MID(A2825,4,2)),VALUE(MID(A2825,1,2)))+TIME(VALUE(MID(A2825,12,2)),VALUE(MID(A2825,15,2)),VALUE(MID(A2825,18,2))),"")))</f>
        <v/>
      </c>
    </row>
    <row r="2826" customFormat="false" ht="15" hidden="false" customHeight="false" outlineLevel="0" collapsed="false">
      <c r="I2826" s="15" t="str">
        <f aca="false">IF(N2826="","",INT(N2826))</f>
        <v/>
      </c>
      <c r="J2826" s="16" t="str">
        <f aca="false">IF(B2826="","",IF(N2826=_xlfn.MINIFS($N$2:$N$5001,$B$2:$B$5001,B2826),1,0))</f>
        <v/>
      </c>
      <c r="K2826" s="16" t="str">
        <f aca="false">IF(B2826="","",IF(AND(D2826="Formalização",E2826="Concluído"),IF(COUNTIFS($B$2:$B$5001,B2826,$E$2:$E$5001,"Em ajustes",$N$2:$N$5001,"&lt;"&amp;I2826)&gt;0,1,0),0))</f>
        <v/>
      </c>
      <c r="L2826" s="16" t="str">
        <f aca="false">IF(B2826="","",IF(N2826=_xlfn.MAXIFS($N$2:$N$5001,$B$2:$B$5001,B2826,$I$2:$I$5001,I2826),1,0))</f>
        <v/>
      </c>
      <c r="M2826" s="16" t="str">
        <f aca="false">IF(B2826="","",IF(E2826="Em ajustes",IF(N2826=_xlfn.MINIFS($N$2:$N$5001,$B$2:$B$5001,B2826,$E$2:$E$5001,"Em ajustes"),1,0),0))</f>
        <v/>
      </c>
      <c r="N2826" s="17" t="str">
        <f aca="false">IF(A2826="","",IF(ISNUMBER(A2826),A2826,IFERROR(DATE(VALUE(MID(A2826,7,4)),VALUE(MID(A2826,4,2)),VALUE(MID(A2826,1,2)))+TIME(VALUE(MID(A2826,12,2)),VALUE(MID(A2826,15,2)),VALUE(MID(A2826,18,2))),"")))</f>
        <v/>
      </c>
    </row>
    <row r="2827" customFormat="false" ht="15" hidden="false" customHeight="false" outlineLevel="0" collapsed="false">
      <c r="I2827" s="15" t="str">
        <f aca="false">IF(N2827="","",INT(N2827))</f>
        <v/>
      </c>
      <c r="J2827" s="16" t="str">
        <f aca="false">IF(B2827="","",IF(N2827=_xlfn.MINIFS($N$2:$N$5001,$B$2:$B$5001,B2827),1,0))</f>
        <v/>
      </c>
      <c r="K2827" s="16" t="str">
        <f aca="false">IF(B2827="","",IF(AND(D2827="Formalização",E2827="Concluído"),IF(COUNTIFS($B$2:$B$5001,B2827,$E$2:$E$5001,"Em ajustes",$N$2:$N$5001,"&lt;"&amp;I2827)&gt;0,1,0),0))</f>
        <v/>
      </c>
      <c r="L2827" s="16" t="str">
        <f aca="false">IF(B2827="","",IF(N2827=_xlfn.MAXIFS($N$2:$N$5001,$B$2:$B$5001,B2827,$I$2:$I$5001,I2827),1,0))</f>
        <v/>
      </c>
      <c r="M2827" s="16" t="str">
        <f aca="false">IF(B2827="","",IF(E2827="Em ajustes",IF(N2827=_xlfn.MINIFS($N$2:$N$5001,$B$2:$B$5001,B2827,$E$2:$E$5001,"Em ajustes"),1,0),0))</f>
        <v/>
      </c>
      <c r="N2827" s="17" t="str">
        <f aca="false">IF(A2827="","",IF(ISNUMBER(A2827),A2827,IFERROR(DATE(VALUE(MID(A2827,7,4)),VALUE(MID(A2827,4,2)),VALUE(MID(A2827,1,2)))+TIME(VALUE(MID(A2827,12,2)),VALUE(MID(A2827,15,2)),VALUE(MID(A2827,18,2))),"")))</f>
        <v/>
      </c>
    </row>
    <row r="2828" customFormat="false" ht="15" hidden="false" customHeight="false" outlineLevel="0" collapsed="false">
      <c r="I2828" s="15" t="str">
        <f aca="false">IF(N2828="","",INT(N2828))</f>
        <v/>
      </c>
      <c r="J2828" s="16" t="str">
        <f aca="false">IF(B2828="","",IF(N2828=_xlfn.MINIFS($N$2:$N$5001,$B$2:$B$5001,B2828),1,0))</f>
        <v/>
      </c>
      <c r="K2828" s="16" t="str">
        <f aca="false">IF(B2828="","",IF(AND(D2828="Formalização",E2828="Concluído"),IF(COUNTIFS($B$2:$B$5001,B2828,$E$2:$E$5001,"Em ajustes",$N$2:$N$5001,"&lt;"&amp;I2828)&gt;0,1,0),0))</f>
        <v/>
      </c>
      <c r="L2828" s="16" t="str">
        <f aca="false">IF(B2828="","",IF(N2828=_xlfn.MAXIFS($N$2:$N$5001,$B$2:$B$5001,B2828,$I$2:$I$5001,I2828),1,0))</f>
        <v/>
      </c>
      <c r="M2828" s="16" t="str">
        <f aca="false">IF(B2828="","",IF(E2828="Em ajustes",IF(N2828=_xlfn.MINIFS($N$2:$N$5001,$B$2:$B$5001,B2828,$E$2:$E$5001,"Em ajustes"),1,0),0))</f>
        <v/>
      </c>
      <c r="N2828" s="17" t="str">
        <f aca="false">IF(A2828="","",IF(ISNUMBER(A2828),A2828,IFERROR(DATE(VALUE(MID(A2828,7,4)),VALUE(MID(A2828,4,2)),VALUE(MID(A2828,1,2)))+TIME(VALUE(MID(A2828,12,2)),VALUE(MID(A2828,15,2)),VALUE(MID(A2828,18,2))),"")))</f>
        <v/>
      </c>
    </row>
    <row r="2829" customFormat="false" ht="15" hidden="false" customHeight="false" outlineLevel="0" collapsed="false">
      <c r="I2829" s="15" t="str">
        <f aca="false">IF(N2829="","",INT(N2829))</f>
        <v/>
      </c>
      <c r="J2829" s="16" t="str">
        <f aca="false">IF(B2829="","",IF(N2829=_xlfn.MINIFS($N$2:$N$5001,$B$2:$B$5001,B2829),1,0))</f>
        <v/>
      </c>
      <c r="K2829" s="16" t="str">
        <f aca="false">IF(B2829="","",IF(AND(D2829="Formalização",E2829="Concluído"),IF(COUNTIFS($B$2:$B$5001,B2829,$E$2:$E$5001,"Em ajustes",$N$2:$N$5001,"&lt;"&amp;I2829)&gt;0,1,0),0))</f>
        <v/>
      </c>
      <c r="L2829" s="16" t="str">
        <f aca="false">IF(B2829="","",IF(N2829=_xlfn.MAXIFS($N$2:$N$5001,$B$2:$B$5001,B2829,$I$2:$I$5001,I2829),1,0))</f>
        <v/>
      </c>
      <c r="M2829" s="16" t="str">
        <f aca="false">IF(B2829="","",IF(E2829="Em ajustes",IF(N2829=_xlfn.MINIFS($N$2:$N$5001,$B$2:$B$5001,B2829,$E$2:$E$5001,"Em ajustes"),1,0),0))</f>
        <v/>
      </c>
      <c r="N2829" s="17" t="str">
        <f aca="false">IF(A2829="","",IF(ISNUMBER(A2829),A2829,IFERROR(DATE(VALUE(MID(A2829,7,4)),VALUE(MID(A2829,4,2)),VALUE(MID(A2829,1,2)))+TIME(VALUE(MID(A2829,12,2)),VALUE(MID(A2829,15,2)),VALUE(MID(A2829,18,2))),"")))</f>
        <v/>
      </c>
    </row>
    <row r="2830" customFormat="false" ht="15" hidden="false" customHeight="false" outlineLevel="0" collapsed="false">
      <c r="I2830" s="15" t="str">
        <f aca="false">IF(N2830="","",INT(N2830))</f>
        <v/>
      </c>
      <c r="J2830" s="16" t="str">
        <f aca="false">IF(B2830="","",IF(N2830=_xlfn.MINIFS($N$2:$N$5001,$B$2:$B$5001,B2830),1,0))</f>
        <v/>
      </c>
      <c r="K2830" s="16" t="str">
        <f aca="false">IF(B2830="","",IF(AND(D2830="Formalização",E2830="Concluído"),IF(COUNTIFS($B$2:$B$5001,B2830,$E$2:$E$5001,"Em ajustes",$N$2:$N$5001,"&lt;"&amp;I2830)&gt;0,1,0),0))</f>
        <v/>
      </c>
      <c r="L2830" s="16" t="str">
        <f aca="false">IF(B2830="","",IF(N2830=_xlfn.MAXIFS($N$2:$N$5001,$B$2:$B$5001,B2830,$I$2:$I$5001,I2830),1,0))</f>
        <v/>
      </c>
      <c r="M2830" s="16" t="str">
        <f aca="false">IF(B2830="","",IF(E2830="Em ajustes",IF(N2830=_xlfn.MINIFS($N$2:$N$5001,$B$2:$B$5001,B2830,$E$2:$E$5001,"Em ajustes"),1,0),0))</f>
        <v/>
      </c>
      <c r="N2830" s="17" t="str">
        <f aca="false">IF(A2830="","",IF(ISNUMBER(A2830),A2830,IFERROR(DATE(VALUE(MID(A2830,7,4)),VALUE(MID(A2830,4,2)),VALUE(MID(A2830,1,2)))+TIME(VALUE(MID(A2830,12,2)),VALUE(MID(A2830,15,2)),VALUE(MID(A2830,18,2))),"")))</f>
        <v/>
      </c>
    </row>
    <row r="2831" customFormat="false" ht="15" hidden="false" customHeight="false" outlineLevel="0" collapsed="false">
      <c r="I2831" s="15" t="str">
        <f aca="false">IF(N2831="","",INT(N2831))</f>
        <v/>
      </c>
      <c r="J2831" s="16" t="str">
        <f aca="false">IF(B2831="","",IF(N2831=_xlfn.MINIFS($N$2:$N$5001,$B$2:$B$5001,B2831),1,0))</f>
        <v/>
      </c>
      <c r="K2831" s="16" t="str">
        <f aca="false">IF(B2831="","",IF(AND(D2831="Formalização",E2831="Concluído"),IF(COUNTIFS($B$2:$B$5001,B2831,$E$2:$E$5001,"Em ajustes",$N$2:$N$5001,"&lt;"&amp;I2831)&gt;0,1,0),0))</f>
        <v/>
      </c>
      <c r="L2831" s="16" t="str">
        <f aca="false">IF(B2831="","",IF(N2831=_xlfn.MAXIFS($N$2:$N$5001,$B$2:$B$5001,B2831,$I$2:$I$5001,I2831),1,0))</f>
        <v/>
      </c>
      <c r="M2831" s="16" t="str">
        <f aca="false">IF(B2831="","",IF(E2831="Em ajustes",IF(N2831=_xlfn.MINIFS($N$2:$N$5001,$B$2:$B$5001,B2831,$E$2:$E$5001,"Em ajustes"),1,0),0))</f>
        <v/>
      </c>
      <c r="N2831" s="17" t="str">
        <f aca="false">IF(A2831="","",IF(ISNUMBER(A2831),A2831,IFERROR(DATE(VALUE(MID(A2831,7,4)),VALUE(MID(A2831,4,2)),VALUE(MID(A2831,1,2)))+TIME(VALUE(MID(A2831,12,2)),VALUE(MID(A2831,15,2)),VALUE(MID(A2831,18,2))),"")))</f>
        <v/>
      </c>
    </row>
    <row r="2832" customFormat="false" ht="15" hidden="false" customHeight="false" outlineLevel="0" collapsed="false">
      <c r="I2832" s="15" t="str">
        <f aca="false">IF(N2832="","",INT(N2832))</f>
        <v/>
      </c>
      <c r="J2832" s="16" t="str">
        <f aca="false">IF(B2832="","",IF(N2832=_xlfn.MINIFS($N$2:$N$5001,$B$2:$B$5001,B2832),1,0))</f>
        <v/>
      </c>
      <c r="K2832" s="16" t="str">
        <f aca="false">IF(B2832="","",IF(AND(D2832="Formalização",E2832="Concluído"),IF(COUNTIFS($B$2:$B$5001,B2832,$E$2:$E$5001,"Em ajustes",$N$2:$N$5001,"&lt;"&amp;I2832)&gt;0,1,0),0))</f>
        <v/>
      </c>
      <c r="L2832" s="16" t="str">
        <f aca="false">IF(B2832="","",IF(N2832=_xlfn.MAXIFS($N$2:$N$5001,$B$2:$B$5001,B2832,$I$2:$I$5001,I2832),1,0))</f>
        <v/>
      </c>
      <c r="M2832" s="16" t="str">
        <f aca="false">IF(B2832="","",IF(E2832="Em ajustes",IF(N2832=_xlfn.MINIFS($N$2:$N$5001,$B$2:$B$5001,B2832,$E$2:$E$5001,"Em ajustes"),1,0),0))</f>
        <v/>
      </c>
      <c r="N2832" s="17" t="str">
        <f aca="false">IF(A2832="","",IF(ISNUMBER(A2832),A2832,IFERROR(DATE(VALUE(MID(A2832,7,4)),VALUE(MID(A2832,4,2)),VALUE(MID(A2832,1,2)))+TIME(VALUE(MID(A2832,12,2)),VALUE(MID(A2832,15,2)),VALUE(MID(A2832,18,2))),"")))</f>
        <v/>
      </c>
    </row>
    <row r="2833" customFormat="false" ht="15" hidden="false" customHeight="false" outlineLevel="0" collapsed="false">
      <c r="I2833" s="15" t="str">
        <f aca="false">IF(N2833="","",INT(N2833))</f>
        <v/>
      </c>
      <c r="J2833" s="16" t="str">
        <f aca="false">IF(B2833="","",IF(N2833=_xlfn.MINIFS($N$2:$N$5001,$B$2:$B$5001,B2833),1,0))</f>
        <v/>
      </c>
      <c r="K2833" s="16" t="str">
        <f aca="false">IF(B2833="","",IF(AND(D2833="Formalização",E2833="Concluído"),IF(COUNTIFS($B$2:$B$5001,B2833,$E$2:$E$5001,"Em ajustes",$N$2:$N$5001,"&lt;"&amp;I2833)&gt;0,1,0),0))</f>
        <v/>
      </c>
      <c r="L2833" s="16" t="str">
        <f aca="false">IF(B2833="","",IF(N2833=_xlfn.MAXIFS($N$2:$N$5001,$B$2:$B$5001,B2833,$I$2:$I$5001,I2833),1,0))</f>
        <v/>
      </c>
      <c r="M2833" s="16" t="str">
        <f aca="false">IF(B2833="","",IF(E2833="Em ajustes",IF(N2833=_xlfn.MINIFS($N$2:$N$5001,$B$2:$B$5001,B2833,$E$2:$E$5001,"Em ajustes"),1,0),0))</f>
        <v/>
      </c>
      <c r="N2833" s="17" t="str">
        <f aca="false">IF(A2833="","",IF(ISNUMBER(A2833),A2833,IFERROR(DATE(VALUE(MID(A2833,7,4)),VALUE(MID(A2833,4,2)),VALUE(MID(A2833,1,2)))+TIME(VALUE(MID(A2833,12,2)),VALUE(MID(A2833,15,2)),VALUE(MID(A2833,18,2))),"")))</f>
        <v/>
      </c>
    </row>
    <row r="2834" customFormat="false" ht="15" hidden="false" customHeight="false" outlineLevel="0" collapsed="false">
      <c r="I2834" s="15" t="str">
        <f aca="false">IF(N2834="","",INT(N2834))</f>
        <v/>
      </c>
      <c r="J2834" s="16" t="str">
        <f aca="false">IF(B2834="","",IF(N2834=_xlfn.MINIFS($N$2:$N$5001,$B$2:$B$5001,B2834),1,0))</f>
        <v/>
      </c>
      <c r="K2834" s="16" t="str">
        <f aca="false">IF(B2834="","",IF(AND(D2834="Formalização",E2834="Concluído"),IF(COUNTIFS($B$2:$B$5001,B2834,$E$2:$E$5001,"Em ajustes",$N$2:$N$5001,"&lt;"&amp;I2834)&gt;0,1,0),0))</f>
        <v/>
      </c>
      <c r="L2834" s="16" t="str">
        <f aca="false">IF(B2834="","",IF(N2834=_xlfn.MAXIFS($N$2:$N$5001,$B$2:$B$5001,B2834,$I$2:$I$5001,I2834),1,0))</f>
        <v/>
      </c>
      <c r="M2834" s="16" t="str">
        <f aca="false">IF(B2834="","",IF(E2834="Em ajustes",IF(N2834=_xlfn.MINIFS($N$2:$N$5001,$B$2:$B$5001,B2834,$E$2:$E$5001,"Em ajustes"),1,0),0))</f>
        <v/>
      </c>
      <c r="N2834" s="17" t="str">
        <f aca="false">IF(A2834="","",IF(ISNUMBER(A2834),A2834,IFERROR(DATE(VALUE(MID(A2834,7,4)),VALUE(MID(A2834,4,2)),VALUE(MID(A2834,1,2)))+TIME(VALUE(MID(A2834,12,2)),VALUE(MID(A2834,15,2)),VALUE(MID(A2834,18,2))),"")))</f>
        <v/>
      </c>
    </row>
    <row r="2835" customFormat="false" ht="15" hidden="false" customHeight="false" outlineLevel="0" collapsed="false">
      <c r="I2835" s="15" t="str">
        <f aca="false">IF(N2835="","",INT(N2835))</f>
        <v/>
      </c>
      <c r="J2835" s="16" t="str">
        <f aca="false">IF(B2835="","",IF(N2835=_xlfn.MINIFS($N$2:$N$5001,$B$2:$B$5001,B2835),1,0))</f>
        <v/>
      </c>
      <c r="K2835" s="16" t="str">
        <f aca="false">IF(B2835="","",IF(AND(D2835="Formalização",E2835="Concluído"),IF(COUNTIFS($B$2:$B$5001,B2835,$E$2:$E$5001,"Em ajustes",$N$2:$N$5001,"&lt;"&amp;I2835)&gt;0,1,0),0))</f>
        <v/>
      </c>
      <c r="L2835" s="16" t="str">
        <f aca="false">IF(B2835="","",IF(N2835=_xlfn.MAXIFS($N$2:$N$5001,$B$2:$B$5001,B2835,$I$2:$I$5001,I2835),1,0))</f>
        <v/>
      </c>
      <c r="M2835" s="16" t="str">
        <f aca="false">IF(B2835="","",IF(E2835="Em ajustes",IF(N2835=_xlfn.MINIFS($N$2:$N$5001,$B$2:$B$5001,B2835,$E$2:$E$5001,"Em ajustes"),1,0),0))</f>
        <v/>
      </c>
      <c r="N2835" s="17" t="str">
        <f aca="false">IF(A2835="","",IF(ISNUMBER(A2835),A2835,IFERROR(DATE(VALUE(MID(A2835,7,4)),VALUE(MID(A2835,4,2)),VALUE(MID(A2835,1,2)))+TIME(VALUE(MID(A2835,12,2)),VALUE(MID(A2835,15,2)),VALUE(MID(A2835,18,2))),"")))</f>
        <v/>
      </c>
    </row>
    <row r="2836" customFormat="false" ht="15" hidden="false" customHeight="false" outlineLevel="0" collapsed="false">
      <c r="I2836" s="15" t="str">
        <f aca="false">IF(N2836="","",INT(N2836))</f>
        <v/>
      </c>
      <c r="J2836" s="16" t="str">
        <f aca="false">IF(B2836="","",IF(N2836=_xlfn.MINIFS($N$2:$N$5001,$B$2:$B$5001,B2836),1,0))</f>
        <v/>
      </c>
      <c r="K2836" s="16" t="str">
        <f aca="false">IF(B2836="","",IF(AND(D2836="Formalização",E2836="Concluído"),IF(COUNTIFS($B$2:$B$5001,B2836,$E$2:$E$5001,"Em ajustes",$N$2:$N$5001,"&lt;"&amp;I2836)&gt;0,1,0),0))</f>
        <v/>
      </c>
      <c r="L2836" s="16" t="str">
        <f aca="false">IF(B2836="","",IF(N2836=_xlfn.MAXIFS($N$2:$N$5001,$B$2:$B$5001,B2836,$I$2:$I$5001,I2836),1,0))</f>
        <v/>
      </c>
      <c r="M2836" s="16" t="str">
        <f aca="false">IF(B2836="","",IF(E2836="Em ajustes",IF(N2836=_xlfn.MINIFS($N$2:$N$5001,$B$2:$B$5001,B2836,$E$2:$E$5001,"Em ajustes"),1,0),0))</f>
        <v/>
      </c>
      <c r="N2836" s="17" t="str">
        <f aca="false">IF(A2836="","",IF(ISNUMBER(A2836),A2836,IFERROR(DATE(VALUE(MID(A2836,7,4)),VALUE(MID(A2836,4,2)),VALUE(MID(A2836,1,2)))+TIME(VALUE(MID(A2836,12,2)),VALUE(MID(A2836,15,2)),VALUE(MID(A2836,18,2))),"")))</f>
        <v/>
      </c>
    </row>
    <row r="2837" customFormat="false" ht="15" hidden="false" customHeight="false" outlineLevel="0" collapsed="false">
      <c r="I2837" s="15" t="str">
        <f aca="false">IF(N2837="","",INT(N2837))</f>
        <v/>
      </c>
      <c r="J2837" s="16" t="str">
        <f aca="false">IF(B2837="","",IF(N2837=_xlfn.MINIFS($N$2:$N$5001,$B$2:$B$5001,B2837),1,0))</f>
        <v/>
      </c>
      <c r="K2837" s="16" t="str">
        <f aca="false">IF(B2837="","",IF(AND(D2837="Formalização",E2837="Concluído"),IF(COUNTIFS($B$2:$B$5001,B2837,$E$2:$E$5001,"Em ajustes",$N$2:$N$5001,"&lt;"&amp;I2837)&gt;0,1,0),0))</f>
        <v/>
      </c>
      <c r="L2837" s="16" t="str">
        <f aca="false">IF(B2837="","",IF(N2837=_xlfn.MAXIFS($N$2:$N$5001,$B$2:$B$5001,B2837,$I$2:$I$5001,I2837),1,0))</f>
        <v/>
      </c>
      <c r="M2837" s="16" t="str">
        <f aca="false">IF(B2837="","",IF(E2837="Em ajustes",IF(N2837=_xlfn.MINIFS($N$2:$N$5001,$B$2:$B$5001,B2837,$E$2:$E$5001,"Em ajustes"),1,0),0))</f>
        <v/>
      </c>
      <c r="N2837" s="17" t="str">
        <f aca="false">IF(A2837="","",IF(ISNUMBER(A2837),A2837,IFERROR(DATE(VALUE(MID(A2837,7,4)),VALUE(MID(A2837,4,2)),VALUE(MID(A2837,1,2)))+TIME(VALUE(MID(A2837,12,2)),VALUE(MID(A2837,15,2)),VALUE(MID(A2837,18,2))),"")))</f>
        <v/>
      </c>
    </row>
    <row r="2838" customFormat="false" ht="15" hidden="false" customHeight="false" outlineLevel="0" collapsed="false">
      <c r="I2838" s="15" t="str">
        <f aca="false">IF(N2838="","",INT(N2838))</f>
        <v/>
      </c>
      <c r="J2838" s="16" t="str">
        <f aca="false">IF(B2838="","",IF(N2838=_xlfn.MINIFS($N$2:$N$5001,$B$2:$B$5001,B2838),1,0))</f>
        <v/>
      </c>
      <c r="K2838" s="16" t="str">
        <f aca="false">IF(B2838="","",IF(AND(D2838="Formalização",E2838="Concluído"),IF(COUNTIFS($B$2:$B$5001,B2838,$E$2:$E$5001,"Em ajustes",$N$2:$N$5001,"&lt;"&amp;I2838)&gt;0,1,0),0))</f>
        <v/>
      </c>
      <c r="L2838" s="16" t="str">
        <f aca="false">IF(B2838="","",IF(N2838=_xlfn.MAXIFS($N$2:$N$5001,$B$2:$B$5001,B2838,$I$2:$I$5001,I2838),1,0))</f>
        <v/>
      </c>
      <c r="M2838" s="16" t="str">
        <f aca="false">IF(B2838="","",IF(E2838="Em ajustes",IF(N2838=_xlfn.MINIFS($N$2:$N$5001,$B$2:$B$5001,B2838,$E$2:$E$5001,"Em ajustes"),1,0),0))</f>
        <v/>
      </c>
      <c r="N2838" s="17" t="str">
        <f aca="false">IF(A2838="","",IF(ISNUMBER(A2838),A2838,IFERROR(DATE(VALUE(MID(A2838,7,4)),VALUE(MID(A2838,4,2)),VALUE(MID(A2838,1,2)))+TIME(VALUE(MID(A2838,12,2)),VALUE(MID(A2838,15,2)),VALUE(MID(A2838,18,2))),"")))</f>
        <v/>
      </c>
    </row>
    <row r="2839" customFormat="false" ht="15" hidden="false" customHeight="false" outlineLevel="0" collapsed="false">
      <c r="I2839" s="15" t="str">
        <f aca="false">IF(N2839="","",INT(N2839))</f>
        <v/>
      </c>
      <c r="J2839" s="16" t="str">
        <f aca="false">IF(B2839="","",IF(N2839=_xlfn.MINIFS($N$2:$N$5001,$B$2:$B$5001,B2839),1,0))</f>
        <v/>
      </c>
      <c r="K2839" s="16" t="str">
        <f aca="false">IF(B2839="","",IF(AND(D2839="Formalização",E2839="Concluído"),IF(COUNTIFS($B$2:$B$5001,B2839,$E$2:$E$5001,"Em ajustes",$N$2:$N$5001,"&lt;"&amp;I2839)&gt;0,1,0),0))</f>
        <v/>
      </c>
      <c r="L2839" s="16" t="str">
        <f aca="false">IF(B2839="","",IF(N2839=_xlfn.MAXIFS($N$2:$N$5001,$B$2:$B$5001,B2839,$I$2:$I$5001,I2839),1,0))</f>
        <v/>
      </c>
      <c r="M2839" s="16" t="str">
        <f aca="false">IF(B2839="","",IF(E2839="Em ajustes",IF(N2839=_xlfn.MINIFS($N$2:$N$5001,$B$2:$B$5001,B2839,$E$2:$E$5001,"Em ajustes"),1,0),0))</f>
        <v/>
      </c>
      <c r="N2839" s="17" t="str">
        <f aca="false">IF(A2839="","",IF(ISNUMBER(A2839),A2839,IFERROR(DATE(VALUE(MID(A2839,7,4)),VALUE(MID(A2839,4,2)),VALUE(MID(A2839,1,2)))+TIME(VALUE(MID(A2839,12,2)),VALUE(MID(A2839,15,2)),VALUE(MID(A2839,18,2))),"")))</f>
        <v/>
      </c>
    </row>
    <row r="2840" customFormat="false" ht="15" hidden="false" customHeight="false" outlineLevel="0" collapsed="false">
      <c r="I2840" s="15" t="str">
        <f aca="false">IF(N2840="","",INT(N2840))</f>
        <v/>
      </c>
      <c r="J2840" s="16" t="str">
        <f aca="false">IF(B2840="","",IF(N2840=_xlfn.MINIFS($N$2:$N$5001,$B$2:$B$5001,B2840),1,0))</f>
        <v/>
      </c>
      <c r="K2840" s="16" t="str">
        <f aca="false">IF(B2840="","",IF(AND(D2840="Formalização",E2840="Concluído"),IF(COUNTIFS($B$2:$B$5001,B2840,$E$2:$E$5001,"Em ajustes",$N$2:$N$5001,"&lt;"&amp;I2840)&gt;0,1,0),0))</f>
        <v/>
      </c>
      <c r="L2840" s="16" t="str">
        <f aca="false">IF(B2840="","",IF(N2840=_xlfn.MAXIFS($N$2:$N$5001,$B$2:$B$5001,B2840,$I$2:$I$5001,I2840),1,0))</f>
        <v/>
      </c>
      <c r="M2840" s="16" t="str">
        <f aca="false">IF(B2840="","",IF(E2840="Em ajustes",IF(N2840=_xlfn.MINIFS($N$2:$N$5001,$B$2:$B$5001,B2840,$E$2:$E$5001,"Em ajustes"),1,0),0))</f>
        <v/>
      </c>
      <c r="N2840" s="17" t="str">
        <f aca="false">IF(A2840="","",IF(ISNUMBER(A2840),A2840,IFERROR(DATE(VALUE(MID(A2840,7,4)),VALUE(MID(A2840,4,2)),VALUE(MID(A2840,1,2)))+TIME(VALUE(MID(A2840,12,2)),VALUE(MID(A2840,15,2)),VALUE(MID(A2840,18,2))),"")))</f>
        <v/>
      </c>
    </row>
    <row r="2841" customFormat="false" ht="15" hidden="false" customHeight="false" outlineLevel="0" collapsed="false">
      <c r="I2841" s="15" t="str">
        <f aca="false">IF(N2841="","",INT(N2841))</f>
        <v/>
      </c>
      <c r="J2841" s="16" t="str">
        <f aca="false">IF(B2841="","",IF(N2841=_xlfn.MINIFS($N$2:$N$5001,$B$2:$B$5001,B2841),1,0))</f>
        <v/>
      </c>
      <c r="K2841" s="16" t="str">
        <f aca="false">IF(B2841="","",IF(AND(D2841="Formalização",E2841="Concluído"),IF(COUNTIFS($B$2:$B$5001,B2841,$E$2:$E$5001,"Em ajustes",$N$2:$N$5001,"&lt;"&amp;I2841)&gt;0,1,0),0))</f>
        <v/>
      </c>
      <c r="L2841" s="16" t="str">
        <f aca="false">IF(B2841="","",IF(N2841=_xlfn.MAXIFS($N$2:$N$5001,$B$2:$B$5001,B2841,$I$2:$I$5001,I2841),1,0))</f>
        <v/>
      </c>
      <c r="M2841" s="16" t="str">
        <f aca="false">IF(B2841="","",IF(E2841="Em ajustes",IF(N2841=_xlfn.MINIFS($N$2:$N$5001,$B$2:$B$5001,B2841,$E$2:$E$5001,"Em ajustes"),1,0),0))</f>
        <v/>
      </c>
      <c r="N2841" s="17" t="str">
        <f aca="false">IF(A2841="","",IF(ISNUMBER(A2841),A2841,IFERROR(DATE(VALUE(MID(A2841,7,4)),VALUE(MID(A2841,4,2)),VALUE(MID(A2841,1,2)))+TIME(VALUE(MID(A2841,12,2)),VALUE(MID(A2841,15,2)),VALUE(MID(A2841,18,2))),"")))</f>
        <v/>
      </c>
    </row>
    <row r="2842" customFormat="false" ht="15" hidden="false" customHeight="false" outlineLevel="0" collapsed="false">
      <c r="I2842" s="15" t="str">
        <f aca="false">IF(N2842="","",INT(N2842))</f>
        <v/>
      </c>
      <c r="J2842" s="16" t="str">
        <f aca="false">IF(B2842="","",IF(N2842=_xlfn.MINIFS($N$2:$N$5001,$B$2:$B$5001,B2842),1,0))</f>
        <v/>
      </c>
      <c r="K2842" s="16" t="str">
        <f aca="false">IF(B2842="","",IF(AND(D2842="Formalização",E2842="Concluído"),IF(COUNTIFS($B$2:$B$5001,B2842,$E$2:$E$5001,"Em ajustes",$N$2:$N$5001,"&lt;"&amp;I2842)&gt;0,1,0),0))</f>
        <v/>
      </c>
      <c r="L2842" s="16" t="str">
        <f aca="false">IF(B2842="","",IF(N2842=_xlfn.MAXIFS($N$2:$N$5001,$B$2:$B$5001,B2842,$I$2:$I$5001,I2842),1,0))</f>
        <v/>
      </c>
      <c r="M2842" s="16" t="str">
        <f aca="false">IF(B2842="","",IF(E2842="Em ajustes",IF(N2842=_xlfn.MINIFS($N$2:$N$5001,$B$2:$B$5001,B2842,$E$2:$E$5001,"Em ajustes"),1,0),0))</f>
        <v/>
      </c>
      <c r="N2842" s="17" t="str">
        <f aca="false">IF(A2842="","",IF(ISNUMBER(A2842),A2842,IFERROR(DATE(VALUE(MID(A2842,7,4)),VALUE(MID(A2842,4,2)),VALUE(MID(A2842,1,2)))+TIME(VALUE(MID(A2842,12,2)),VALUE(MID(A2842,15,2)),VALUE(MID(A2842,18,2))),"")))</f>
        <v/>
      </c>
    </row>
    <row r="2843" customFormat="false" ht="15" hidden="false" customHeight="false" outlineLevel="0" collapsed="false">
      <c r="I2843" s="15" t="str">
        <f aca="false">IF(N2843="","",INT(N2843))</f>
        <v/>
      </c>
      <c r="J2843" s="16" t="str">
        <f aca="false">IF(B2843="","",IF(N2843=_xlfn.MINIFS($N$2:$N$5001,$B$2:$B$5001,B2843),1,0))</f>
        <v/>
      </c>
      <c r="K2843" s="16" t="str">
        <f aca="false">IF(B2843="","",IF(AND(D2843="Formalização",E2843="Concluído"),IF(COUNTIFS($B$2:$B$5001,B2843,$E$2:$E$5001,"Em ajustes",$N$2:$N$5001,"&lt;"&amp;I2843)&gt;0,1,0),0))</f>
        <v/>
      </c>
      <c r="L2843" s="16" t="str">
        <f aca="false">IF(B2843="","",IF(N2843=_xlfn.MAXIFS($N$2:$N$5001,$B$2:$B$5001,B2843,$I$2:$I$5001,I2843),1,0))</f>
        <v/>
      </c>
      <c r="M2843" s="16" t="str">
        <f aca="false">IF(B2843="","",IF(E2843="Em ajustes",IF(N2843=_xlfn.MINIFS($N$2:$N$5001,$B$2:$B$5001,B2843,$E$2:$E$5001,"Em ajustes"),1,0),0))</f>
        <v/>
      </c>
      <c r="N2843" s="17" t="str">
        <f aca="false">IF(A2843="","",IF(ISNUMBER(A2843),A2843,IFERROR(DATE(VALUE(MID(A2843,7,4)),VALUE(MID(A2843,4,2)),VALUE(MID(A2843,1,2)))+TIME(VALUE(MID(A2843,12,2)),VALUE(MID(A2843,15,2)),VALUE(MID(A2843,18,2))),"")))</f>
        <v/>
      </c>
    </row>
    <row r="2844" customFormat="false" ht="15" hidden="false" customHeight="false" outlineLevel="0" collapsed="false">
      <c r="I2844" s="15" t="str">
        <f aca="false">IF(N2844="","",INT(N2844))</f>
        <v/>
      </c>
      <c r="J2844" s="16" t="str">
        <f aca="false">IF(B2844="","",IF(N2844=_xlfn.MINIFS($N$2:$N$5001,$B$2:$B$5001,B2844),1,0))</f>
        <v/>
      </c>
      <c r="K2844" s="16" t="str">
        <f aca="false">IF(B2844="","",IF(AND(D2844="Formalização",E2844="Concluído"),IF(COUNTIFS($B$2:$B$5001,B2844,$E$2:$E$5001,"Em ajustes",$N$2:$N$5001,"&lt;"&amp;I2844)&gt;0,1,0),0))</f>
        <v/>
      </c>
      <c r="L2844" s="16" t="str">
        <f aca="false">IF(B2844="","",IF(N2844=_xlfn.MAXIFS($N$2:$N$5001,$B$2:$B$5001,B2844,$I$2:$I$5001,I2844),1,0))</f>
        <v/>
      </c>
      <c r="M2844" s="16" t="str">
        <f aca="false">IF(B2844="","",IF(E2844="Em ajustes",IF(N2844=_xlfn.MINIFS($N$2:$N$5001,$B$2:$B$5001,B2844,$E$2:$E$5001,"Em ajustes"),1,0),0))</f>
        <v/>
      </c>
      <c r="N2844" s="17" t="str">
        <f aca="false">IF(A2844="","",IF(ISNUMBER(A2844),A2844,IFERROR(DATE(VALUE(MID(A2844,7,4)),VALUE(MID(A2844,4,2)),VALUE(MID(A2844,1,2)))+TIME(VALUE(MID(A2844,12,2)),VALUE(MID(A2844,15,2)),VALUE(MID(A2844,18,2))),"")))</f>
        <v/>
      </c>
    </row>
    <row r="2845" customFormat="false" ht="15" hidden="false" customHeight="false" outlineLevel="0" collapsed="false">
      <c r="I2845" s="15" t="str">
        <f aca="false">IF(N2845="","",INT(N2845))</f>
        <v/>
      </c>
      <c r="J2845" s="16" t="str">
        <f aca="false">IF(B2845="","",IF(N2845=_xlfn.MINIFS($N$2:$N$5001,$B$2:$B$5001,B2845),1,0))</f>
        <v/>
      </c>
      <c r="K2845" s="16" t="str">
        <f aca="false">IF(B2845="","",IF(AND(D2845="Formalização",E2845="Concluído"),IF(COUNTIFS($B$2:$B$5001,B2845,$E$2:$E$5001,"Em ajustes",$N$2:$N$5001,"&lt;"&amp;I2845)&gt;0,1,0),0))</f>
        <v/>
      </c>
      <c r="L2845" s="16" t="str">
        <f aca="false">IF(B2845="","",IF(N2845=_xlfn.MAXIFS($N$2:$N$5001,$B$2:$B$5001,B2845,$I$2:$I$5001,I2845),1,0))</f>
        <v/>
      </c>
      <c r="M2845" s="16" t="str">
        <f aca="false">IF(B2845="","",IF(E2845="Em ajustes",IF(N2845=_xlfn.MINIFS($N$2:$N$5001,$B$2:$B$5001,B2845,$E$2:$E$5001,"Em ajustes"),1,0),0))</f>
        <v/>
      </c>
      <c r="N2845" s="17" t="str">
        <f aca="false">IF(A2845="","",IF(ISNUMBER(A2845),A2845,IFERROR(DATE(VALUE(MID(A2845,7,4)),VALUE(MID(A2845,4,2)),VALUE(MID(A2845,1,2)))+TIME(VALUE(MID(A2845,12,2)),VALUE(MID(A2845,15,2)),VALUE(MID(A2845,18,2))),"")))</f>
        <v/>
      </c>
    </row>
    <row r="2846" customFormat="false" ht="15" hidden="false" customHeight="false" outlineLevel="0" collapsed="false">
      <c r="I2846" s="15" t="str">
        <f aca="false">IF(N2846="","",INT(N2846))</f>
        <v/>
      </c>
      <c r="J2846" s="16" t="str">
        <f aca="false">IF(B2846="","",IF(N2846=_xlfn.MINIFS($N$2:$N$5001,$B$2:$B$5001,B2846),1,0))</f>
        <v/>
      </c>
      <c r="K2846" s="16" t="str">
        <f aca="false">IF(B2846="","",IF(AND(D2846="Formalização",E2846="Concluído"),IF(COUNTIFS($B$2:$B$5001,B2846,$E$2:$E$5001,"Em ajustes",$N$2:$N$5001,"&lt;"&amp;I2846)&gt;0,1,0),0))</f>
        <v/>
      </c>
      <c r="L2846" s="16" t="str">
        <f aca="false">IF(B2846="","",IF(N2846=_xlfn.MAXIFS($N$2:$N$5001,$B$2:$B$5001,B2846,$I$2:$I$5001,I2846),1,0))</f>
        <v/>
      </c>
      <c r="M2846" s="16" t="str">
        <f aca="false">IF(B2846="","",IF(E2846="Em ajustes",IF(N2846=_xlfn.MINIFS($N$2:$N$5001,$B$2:$B$5001,B2846,$E$2:$E$5001,"Em ajustes"),1,0),0))</f>
        <v/>
      </c>
      <c r="N2846" s="17" t="str">
        <f aca="false">IF(A2846="","",IF(ISNUMBER(A2846),A2846,IFERROR(DATE(VALUE(MID(A2846,7,4)),VALUE(MID(A2846,4,2)),VALUE(MID(A2846,1,2)))+TIME(VALUE(MID(A2846,12,2)),VALUE(MID(A2846,15,2)),VALUE(MID(A2846,18,2))),"")))</f>
        <v/>
      </c>
    </row>
    <row r="2847" customFormat="false" ht="15" hidden="false" customHeight="false" outlineLevel="0" collapsed="false">
      <c r="I2847" s="15" t="str">
        <f aca="false">IF(N2847="","",INT(N2847))</f>
        <v/>
      </c>
      <c r="J2847" s="16" t="str">
        <f aca="false">IF(B2847="","",IF(N2847=_xlfn.MINIFS($N$2:$N$5001,$B$2:$B$5001,B2847),1,0))</f>
        <v/>
      </c>
      <c r="K2847" s="16" t="str">
        <f aca="false">IF(B2847="","",IF(AND(D2847="Formalização",E2847="Concluído"),IF(COUNTIFS($B$2:$B$5001,B2847,$E$2:$E$5001,"Em ajustes",$N$2:$N$5001,"&lt;"&amp;I2847)&gt;0,1,0),0))</f>
        <v/>
      </c>
      <c r="L2847" s="16" t="str">
        <f aca="false">IF(B2847="","",IF(N2847=_xlfn.MAXIFS($N$2:$N$5001,$B$2:$B$5001,B2847,$I$2:$I$5001,I2847),1,0))</f>
        <v/>
      </c>
      <c r="M2847" s="16" t="str">
        <f aca="false">IF(B2847="","",IF(E2847="Em ajustes",IF(N2847=_xlfn.MINIFS($N$2:$N$5001,$B$2:$B$5001,B2847,$E$2:$E$5001,"Em ajustes"),1,0),0))</f>
        <v/>
      </c>
      <c r="N2847" s="17" t="str">
        <f aca="false">IF(A2847="","",IF(ISNUMBER(A2847),A2847,IFERROR(DATE(VALUE(MID(A2847,7,4)),VALUE(MID(A2847,4,2)),VALUE(MID(A2847,1,2)))+TIME(VALUE(MID(A2847,12,2)),VALUE(MID(A2847,15,2)),VALUE(MID(A2847,18,2))),"")))</f>
        <v/>
      </c>
    </row>
    <row r="2848" customFormat="false" ht="15" hidden="false" customHeight="false" outlineLevel="0" collapsed="false">
      <c r="I2848" s="15" t="str">
        <f aca="false">IF(N2848="","",INT(N2848))</f>
        <v/>
      </c>
      <c r="J2848" s="16" t="str">
        <f aca="false">IF(B2848="","",IF(N2848=_xlfn.MINIFS($N$2:$N$5001,$B$2:$B$5001,B2848),1,0))</f>
        <v/>
      </c>
      <c r="K2848" s="16" t="str">
        <f aca="false">IF(B2848="","",IF(AND(D2848="Formalização",E2848="Concluído"),IF(COUNTIFS($B$2:$B$5001,B2848,$E$2:$E$5001,"Em ajustes",$N$2:$N$5001,"&lt;"&amp;I2848)&gt;0,1,0),0))</f>
        <v/>
      </c>
      <c r="L2848" s="16" t="str">
        <f aca="false">IF(B2848="","",IF(N2848=_xlfn.MAXIFS($N$2:$N$5001,$B$2:$B$5001,B2848,$I$2:$I$5001,I2848),1,0))</f>
        <v/>
      </c>
      <c r="M2848" s="16" t="str">
        <f aca="false">IF(B2848="","",IF(E2848="Em ajustes",IF(N2848=_xlfn.MINIFS($N$2:$N$5001,$B$2:$B$5001,B2848,$E$2:$E$5001,"Em ajustes"),1,0),0))</f>
        <v/>
      </c>
      <c r="N2848" s="17" t="str">
        <f aca="false">IF(A2848="","",IF(ISNUMBER(A2848),A2848,IFERROR(DATE(VALUE(MID(A2848,7,4)),VALUE(MID(A2848,4,2)),VALUE(MID(A2848,1,2)))+TIME(VALUE(MID(A2848,12,2)),VALUE(MID(A2848,15,2)),VALUE(MID(A2848,18,2))),"")))</f>
        <v/>
      </c>
    </row>
    <row r="2849" customFormat="false" ht="15" hidden="false" customHeight="false" outlineLevel="0" collapsed="false">
      <c r="I2849" s="15" t="str">
        <f aca="false">IF(N2849="","",INT(N2849))</f>
        <v/>
      </c>
      <c r="J2849" s="16" t="str">
        <f aca="false">IF(B2849="","",IF(N2849=_xlfn.MINIFS($N$2:$N$5001,$B$2:$B$5001,B2849),1,0))</f>
        <v/>
      </c>
      <c r="K2849" s="16" t="str">
        <f aca="false">IF(B2849="","",IF(AND(D2849="Formalização",E2849="Concluído"),IF(COUNTIFS($B$2:$B$5001,B2849,$E$2:$E$5001,"Em ajustes",$N$2:$N$5001,"&lt;"&amp;I2849)&gt;0,1,0),0))</f>
        <v/>
      </c>
      <c r="L2849" s="16" t="str">
        <f aca="false">IF(B2849="","",IF(N2849=_xlfn.MAXIFS($N$2:$N$5001,$B$2:$B$5001,B2849,$I$2:$I$5001,I2849),1,0))</f>
        <v/>
      </c>
      <c r="M2849" s="16" t="str">
        <f aca="false">IF(B2849="","",IF(E2849="Em ajustes",IF(N2849=_xlfn.MINIFS($N$2:$N$5001,$B$2:$B$5001,B2849,$E$2:$E$5001,"Em ajustes"),1,0),0))</f>
        <v/>
      </c>
      <c r="N2849" s="17" t="str">
        <f aca="false">IF(A2849="","",IF(ISNUMBER(A2849),A2849,IFERROR(DATE(VALUE(MID(A2849,7,4)),VALUE(MID(A2849,4,2)),VALUE(MID(A2849,1,2)))+TIME(VALUE(MID(A2849,12,2)),VALUE(MID(A2849,15,2)),VALUE(MID(A2849,18,2))),"")))</f>
        <v/>
      </c>
    </row>
    <row r="2850" customFormat="false" ht="15" hidden="false" customHeight="false" outlineLevel="0" collapsed="false">
      <c r="I2850" s="15" t="str">
        <f aca="false">IF(N2850="","",INT(N2850))</f>
        <v/>
      </c>
      <c r="J2850" s="16" t="str">
        <f aca="false">IF(B2850="","",IF(N2850=_xlfn.MINIFS($N$2:$N$5001,$B$2:$B$5001,B2850),1,0))</f>
        <v/>
      </c>
      <c r="K2850" s="16" t="str">
        <f aca="false">IF(B2850="","",IF(AND(D2850="Formalização",E2850="Concluído"),IF(COUNTIFS($B$2:$B$5001,B2850,$E$2:$E$5001,"Em ajustes",$N$2:$N$5001,"&lt;"&amp;I2850)&gt;0,1,0),0))</f>
        <v/>
      </c>
      <c r="L2850" s="16" t="str">
        <f aca="false">IF(B2850="","",IF(N2850=_xlfn.MAXIFS($N$2:$N$5001,$B$2:$B$5001,B2850,$I$2:$I$5001,I2850),1,0))</f>
        <v/>
      </c>
      <c r="M2850" s="16" t="str">
        <f aca="false">IF(B2850="","",IF(E2850="Em ajustes",IF(N2850=_xlfn.MINIFS($N$2:$N$5001,$B$2:$B$5001,B2850,$E$2:$E$5001,"Em ajustes"),1,0),0))</f>
        <v/>
      </c>
      <c r="N2850" s="17" t="str">
        <f aca="false">IF(A2850="","",IF(ISNUMBER(A2850),A2850,IFERROR(DATE(VALUE(MID(A2850,7,4)),VALUE(MID(A2850,4,2)),VALUE(MID(A2850,1,2)))+TIME(VALUE(MID(A2850,12,2)),VALUE(MID(A2850,15,2)),VALUE(MID(A2850,18,2))),"")))</f>
        <v/>
      </c>
    </row>
    <row r="2851" customFormat="false" ht="15" hidden="false" customHeight="false" outlineLevel="0" collapsed="false">
      <c r="I2851" s="15" t="str">
        <f aca="false">IF(N2851="","",INT(N2851))</f>
        <v/>
      </c>
      <c r="J2851" s="16" t="str">
        <f aca="false">IF(B2851="","",IF(N2851=_xlfn.MINIFS($N$2:$N$5001,$B$2:$B$5001,B2851),1,0))</f>
        <v/>
      </c>
      <c r="K2851" s="16" t="str">
        <f aca="false">IF(B2851="","",IF(AND(D2851="Formalização",E2851="Concluído"),IF(COUNTIFS($B$2:$B$5001,B2851,$E$2:$E$5001,"Em ajustes",$N$2:$N$5001,"&lt;"&amp;I2851)&gt;0,1,0),0))</f>
        <v/>
      </c>
      <c r="L2851" s="16" t="str">
        <f aca="false">IF(B2851="","",IF(N2851=_xlfn.MAXIFS($N$2:$N$5001,$B$2:$B$5001,B2851,$I$2:$I$5001,I2851),1,0))</f>
        <v/>
      </c>
      <c r="M2851" s="16" t="str">
        <f aca="false">IF(B2851="","",IF(E2851="Em ajustes",IF(N2851=_xlfn.MINIFS($N$2:$N$5001,$B$2:$B$5001,B2851,$E$2:$E$5001,"Em ajustes"),1,0),0))</f>
        <v/>
      </c>
      <c r="N2851" s="17" t="str">
        <f aca="false">IF(A2851="","",IF(ISNUMBER(A2851),A2851,IFERROR(DATE(VALUE(MID(A2851,7,4)),VALUE(MID(A2851,4,2)),VALUE(MID(A2851,1,2)))+TIME(VALUE(MID(A2851,12,2)),VALUE(MID(A2851,15,2)),VALUE(MID(A2851,18,2))),"")))</f>
        <v/>
      </c>
    </row>
    <row r="2852" customFormat="false" ht="15" hidden="false" customHeight="false" outlineLevel="0" collapsed="false">
      <c r="I2852" s="15" t="str">
        <f aca="false">IF(N2852="","",INT(N2852))</f>
        <v/>
      </c>
      <c r="J2852" s="16" t="str">
        <f aca="false">IF(B2852="","",IF(N2852=_xlfn.MINIFS($N$2:$N$5001,$B$2:$B$5001,B2852),1,0))</f>
        <v/>
      </c>
      <c r="K2852" s="16" t="str">
        <f aca="false">IF(B2852="","",IF(AND(D2852="Formalização",E2852="Concluído"),IF(COUNTIFS($B$2:$B$5001,B2852,$E$2:$E$5001,"Em ajustes",$N$2:$N$5001,"&lt;"&amp;I2852)&gt;0,1,0),0))</f>
        <v/>
      </c>
      <c r="L2852" s="16" t="str">
        <f aca="false">IF(B2852="","",IF(N2852=_xlfn.MAXIFS($N$2:$N$5001,$B$2:$B$5001,B2852,$I$2:$I$5001,I2852),1,0))</f>
        <v/>
      </c>
      <c r="M2852" s="16" t="str">
        <f aca="false">IF(B2852="","",IF(E2852="Em ajustes",IF(N2852=_xlfn.MINIFS($N$2:$N$5001,$B$2:$B$5001,B2852,$E$2:$E$5001,"Em ajustes"),1,0),0))</f>
        <v/>
      </c>
      <c r="N2852" s="17" t="str">
        <f aca="false">IF(A2852="","",IF(ISNUMBER(A2852),A2852,IFERROR(DATE(VALUE(MID(A2852,7,4)),VALUE(MID(A2852,4,2)),VALUE(MID(A2852,1,2)))+TIME(VALUE(MID(A2852,12,2)),VALUE(MID(A2852,15,2)),VALUE(MID(A2852,18,2))),"")))</f>
        <v/>
      </c>
    </row>
    <row r="2853" customFormat="false" ht="15" hidden="false" customHeight="false" outlineLevel="0" collapsed="false">
      <c r="I2853" s="15" t="str">
        <f aca="false">IF(N2853="","",INT(N2853))</f>
        <v/>
      </c>
      <c r="J2853" s="16" t="str">
        <f aca="false">IF(B2853="","",IF(N2853=_xlfn.MINIFS($N$2:$N$5001,$B$2:$B$5001,B2853),1,0))</f>
        <v/>
      </c>
      <c r="K2853" s="16" t="str">
        <f aca="false">IF(B2853="","",IF(AND(D2853="Formalização",E2853="Concluído"),IF(COUNTIFS($B$2:$B$5001,B2853,$E$2:$E$5001,"Em ajustes",$N$2:$N$5001,"&lt;"&amp;I2853)&gt;0,1,0),0))</f>
        <v/>
      </c>
      <c r="L2853" s="16" t="str">
        <f aca="false">IF(B2853="","",IF(N2853=_xlfn.MAXIFS($N$2:$N$5001,$B$2:$B$5001,B2853,$I$2:$I$5001,I2853),1,0))</f>
        <v/>
      </c>
      <c r="M2853" s="16" t="str">
        <f aca="false">IF(B2853="","",IF(E2853="Em ajustes",IF(N2853=_xlfn.MINIFS($N$2:$N$5001,$B$2:$B$5001,B2853,$E$2:$E$5001,"Em ajustes"),1,0),0))</f>
        <v/>
      </c>
      <c r="N2853" s="17" t="str">
        <f aca="false">IF(A2853="","",IF(ISNUMBER(A2853),A2853,IFERROR(DATE(VALUE(MID(A2853,7,4)),VALUE(MID(A2853,4,2)),VALUE(MID(A2853,1,2)))+TIME(VALUE(MID(A2853,12,2)),VALUE(MID(A2853,15,2)),VALUE(MID(A2853,18,2))),"")))</f>
        <v/>
      </c>
    </row>
    <row r="2854" customFormat="false" ht="15" hidden="false" customHeight="false" outlineLevel="0" collapsed="false">
      <c r="I2854" s="15" t="str">
        <f aca="false">IF(N2854="","",INT(N2854))</f>
        <v/>
      </c>
      <c r="J2854" s="16" t="str">
        <f aca="false">IF(B2854="","",IF(N2854=_xlfn.MINIFS($N$2:$N$5001,$B$2:$B$5001,B2854),1,0))</f>
        <v/>
      </c>
      <c r="K2854" s="16" t="str">
        <f aca="false">IF(B2854="","",IF(AND(D2854="Formalização",E2854="Concluído"),IF(COUNTIFS($B$2:$B$5001,B2854,$E$2:$E$5001,"Em ajustes",$N$2:$N$5001,"&lt;"&amp;I2854)&gt;0,1,0),0))</f>
        <v/>
      </c>
      <c r="L2854" s="16" t="str">
        <f aca="false">IF(B2854="","",IF(N2854=_xlfn.MAXIFS($N$2:$N$5001,$B$2:$B$5001,B2854,$I$2:$I$5001,I2854),1,0))</f>
        <v/>
      </c>
      <c r="M2854" s="16" t="str">
        <f aca="false">IF(B2854="","",IF(E2854="Em ajustes",IF(N2854=_xlfn.MINIFS($N$2:$N$5001,$B$2:$B$5001,B2854,$E$2:$E$5001,"Em ajustes"),1,0),0))</f>
        <v/>
      </c>
      <c r="N2854" s="17" t="str">
        <f aca="false">IF(A2854="","",IF(ISNUMBER(A2854),A2854,IFERROR(DATE(VALUE(MID(A2854,7,4)),VALUE(MID(A2854,4,2)),VALUE(MID(A2854,1,2)))+TIME(VALUE(MID(A2854,12,2)),VALUE(MID(A2854,15,2)),VALUE(MID(A2854,18,2))),"")))</f>
        <v/>
      </c>
    </row>
    <row r="2855" customFormat="false" ht="15" hidden="false" customHeight="false" outlineLevel="0" collapsed="false">
      <c r="I2855" s="15" t="str">
        <f aca="false">IF(N2855="","",INT(N2855))</f>
        <v/>
      </c>
      <c r="J2855" s="16" t="str">
        <f aca="false">IF(B2855="","",IF(N2855=_xlfn.MINIFS($N$2:$N$5001,$B$2:$B$5001,B2855),1,0))</f>
        <v/>
      </c>
      <c r="K2855" s="16" t="str">
        <f aca="false">IF(B2855="","",IF(AND(D2855="Formalização",E2855="Concluído"),IF(COUNTIFS($B$2:$B$5001,B2855,$E$2:$E$5001,"Em ajustes",$N$2:$N$5001,"&lt;"&amp;I2855)&gt;0,1,0),0))</f>
        <v/>
      </c>
      <c r="L2855" s="16" t="str">
        <f aca="false">IF(B2855="","",IF(N2855=_xlfn.MAXIFS($N$2:$N$5001,$B$2:$B$5001,B2855,$I$2:$I$5001,I2855),1,0))</f>
        <v/>
      </c>
      <c r="M2855" s="16" t="str">
        <f aca="false">IF(B2855="","",IF(E2855="Em ajustes",IF(N2855=_xlfn.MINIFS($N$2:$N$5001,$B$2:$B$5001,B2855,$E$2:$E$5001,"Em ajustes"),1,0),0))</f>
        <v/>
      </c>
      <c r="N2855" s="17" t="str">
        <f aca="false">IF(A2855="","",IF(ISNUMBER(A2855),A2855,IFERROR(DATE(VALUE(MID(A2855,7,4)),VALUE(MID(A2855,4,2)),VALUE(MID(A2855,1,2)))+TIME(VALUE(MID(A2855,12,2)),VALUE(MID(A2855,15,2)),VALUE(MID(A2855,18,2))),"")))</f>
        <v/>
      </c>
    </row>
    <row r="2856" customFormat="false" ht="15" hidden="false" customHeight="false" outlineLevel="0" collapsed="false">
      <c r="I2856" s="15" t="str">
        <f aca="false">IF(N2856="","",INT(N2856))</f>
        <v/>
      </c>
      <c r="J2856" s="16" t="str">
        <f aca="false">IF(B2856="","",IF(N2856=_xlfn.MINIFS($N$2:$N$5001,$B$2:$B$5001,B2856),1,0))</f>
        <v/>
      </c>
      <c r="K2856" s="16" t="str">
        <f aca="false">IF(B2856="","",IF(AND(D2856="Formalização",E2856="Concluído"),IF(COUNTIFS($B$2:$B$5001,B2856,$E$2:$E$5001,"Em ajustes",$N$2:$N$5001,"&lt;"&amp;I2856)&gt;0,1,0),0))</f>
        <v/>
      </c>
      <c r="L2856" s="16" t="str">
        <f aca="false">IF(B2856="","",IF(N2856=_xlfn.MAXIFS($N$2:$N$5001,$B$2:$B$5001,B2856,$I$2:$I$5001,I2856),1,0))</f>
        <v/>
      </c>
      <c r="M2856" s="16" t="str">
        <f aca="false">IF(B2856="","",IF(E2856="Em ajustes",IF(N2856=_xlfn.MINIFS($N$2:$N$5001,$B$2:$B$5001,B2856,$E$2:$E$5001,"Em ajustes"),1,0),0))</f>
        <v/>
      </c>
      <c r="N2856" s="17" t="str">
        <f aca="false">IF(A2856="","",IF(ISNUMBER(A2856),A2856,IFERROR(DATE(VALUE(MID(A2856,7,4)),VALUE(MID(A2856,4,2)),VALUE(MID(A2856,1,2)))+TIME(VALUE(MID(A2856,12,2)),VALUE(MID(A2856,15,2)),VALUE(MID(A2856,18,2))),"")))</f>
        <v/>
      </c>
    </row>
    <row r="2857" customFormat="false" ht="15" hidden="false" customHeight="false" outlineLevel="0" collapsed="false">
      <c r="I2857" s="15" t="str">
        <f aca="false">IF(N2857="","",INT(N2857))</f>
        <v/>
      </c>
      <c r="J2857" s="16" t="str">
        <f aca="false">IF(B2857="","",IF(N2857=_xlfn.MINIFS($N$2:$N$5001,$B$2:$B$5001,B2857),1,0))</f>
        <v/>
      </c>
      <c r="K2857" s="16" t="str">
        <f aca="false">IF(B2857="","",IF(AND(D2857="Formalização",E2857="Concluído"),IF(COUNTIFS($B$2:$B$5001,B2857,$E$2:$E$5001,"Em ajustes",$N$2:$N$5001,"&lt;"&amp;I2857)&gt;0,1,0),0))</f>
        <v/>
      </c>
      <c r="L2857" s="16" t="str">
        <f aca="false">IF(B2857="","",IF(N2857=_xlfn.MAXIFS($N$2:$N$5001,$B$2:$B$5001,B2857,$I$2:$I$5001,I2857),1,0))</f>
        <v/>
      </c>
      <c r="M2857" s="16" t="str">
        <f aca="false">IF(B2857="","",IF(E2857="Em ajustes",IF(N2857=_xlfn.MINIFS($N$2:$N$5001,$B$2:$B$5001,B2857,$E$2:$E$5001,"Em ajustes"),1,0),0))</f>
        <v/>
      </c>
      <c r="N2857" s="17" t="str">
        <f aca="false">IF(A2857="","",IF(ISNUMBER(A2857),A2857,IFERROR(DATE(VALUE(MID(A2857,7,4)),VALUE(MID(A2857,4,2)),VALUE(MID(A2857,1,2)))+TIME(VALUE(MID(A2857,12,2)),VALUE(MID(A2857,15,2)),VALUE(MID(A2857,18,2))),"")))</f>
        <v/>
      </c>
    </row>
    <row r="2858" customFormat="false" ht="15" hidden="false" customHeight="false" outlineLevel="0" collapsed="false">
      <c r="I2858" s="15" t="str">
        <f aca="false">IF(N2858="","",INT(N2858))</f>
        <v/>
      </c>
      <c r="J2858" s="16" t="str">
        <f aca="false">IF(B2858="","",IF(N2858=_xlfn.MINIFS($N$2:$N$5001,$B$2:$B$5001,B2858),1,0))</f>
        <v/>
      </c>
      <c r="K2858" s="16" t="str">
        <f aca="false">IF(B2858="","",IF(AND(D2858="Formalização",E2858="Concluído"),IF(COUNTIFS($B$2:$B$5001,B2858,$E$2:$E$5001,"Em ajustes",$N$2:$N$5001,"&lt;"&amp;I2858)&gt;0,1,0),0))</f>
        <v/>
      </c>
      <c r="L2858" s="16" t="str">
        <f aca="false">IF(B2858="","",IF(N2858=_xlfn.MAXIFS($N$2:$N$5001,$B$2:$B$5001,B2858,$I$2:$I$5001,I2858),1,0))</f>
        <v/>
      </c>
      <c r="M2858" s="16" t="str">
        <f aca="false">IF(B2858="","",IF(E2858="Em ajustes",IF(N2858=_xlfn.MINIFS($N$2:$N$5001,$B$2:$B$5001,B2858,$E$2:$E$5001,"Em ajustes"),1,0),0))</f>
        <v/>
      </c>
      <c r="N2858" s="17" t="str">
        <f aca="false">IF(A2858="","",IF(ISNUMBER(A2858),A2858,IFERROR(DATE(VALUE(MID(A2858,7,4)),VALUE(MID(A2858,4,2)),VALUE(MID(A2858,1,2)))+TIME(VALUE(MID(A2858,12,2)),VALUE(MID(A2858,15,2)),VALUE(MID(A2858,18,2))),"")))</f>
        <v/>
      </c>
    </row>
    <row r="2859" customFormat="false" ht="15" hidden="false" customHeight="false" outlineLevel="0" collapsed="false">
      <c r="I2859" s="15" t="str">
        <f aca="false">IF(N2859="","",INT(N2859))</f>
        <v/>
      </c>
      <c r="J2859" s="16" t="str">
        <f aca="false">IF(B2859="","",IF(N2859=_xlfn.MINIFS($N$2:$N$5001,$B$2:$B$5001,B2859),1,0))</f>
        <v/>
      </c>
      <c r="K2859" s="16" t="str">
        <f aca="false">IF(B2859="","",IF(AND(D2859="Formalização",E2859="Concluído"),IF(COUNTIFS($B$2:$B$5001,B2859,$E$2:$E$5001,"Em ajustes",$N$2:$N$5001,"&lt;"&amp;I2859)&gt;0,1,0),0))</f>
        <v/>
      </c>
      <c r="L2859" s="16" t="str">
        <f aca="false">IF(B2859="","",IF(N2859=_xlfn.MAXIFS($N$2:$N$5001,$B$2:$B$5001,B2859,$I$2:$I$5001,I2859),1,0))</f>
        <v/>
      </c>
      <c r="M2859" s="16" t="str">
        <f aca="false">IF(B2859="","",IF(E2859="Em ajustes",IF(N2859=_xlfn.MINIFS($N$2:$N$5001,$B$2:$B$5001,B2859,$E$2:$E$5001,"Em ajustes"),1,0),0))</f>
        <v/>
      </c>
      <c r="N2859" s="17" t="str">
        <f aca="false">IF(A2859="","",IF(ISNUMBER(A2859),A2859,IFERROR(DATE(VALUE(MID(A2859,7,4)),VALUE(MID(A2859,4,2)),VALUE(MID(A2859,1,2)))+TIME(VALUE(MID(A2859,12,2)),VALUE(MID(A2859,15,2)),VALUE(MID(A2859,18,2))),"")))</f>
        <v/>
      </c>
    </row>
    <row r="2860" customFormat="false" ht="15" hidden="false" customHeight="false" outlineLevel="0" collapsed="false">
      <c r="I2860" s="15" t="str">
        <f aca="false">IF(N2860="","",INT(N2860))</f>
        <v/>
      </c>
      <c r="J2860" s="16" t="str">
        <f aca="false">IF(B2860="","",IF(N2860=_xlfn.MINIFS($N$2:$N$5001,$B$2:$B$5001,B2860),1,0))</f>
        <v/>
      </c>
      <c r="K2860" s="16" t="str">
        <f aca="false">IF(B2860="","",IF(AND(D2860="Formalização",E2860="Concluído"),IF(COUNTIFS($B$2:$B$5001,B2860,$E$2:$E$5001,"Em ajustes",$N$2:$N$5001,"&lt;"&amp;I2860)&gt;0,1,0),0))</f>
        <v/>
      </c>
      <c r="L2860" s="16" t="str">
        <f aca="false">IF(B2860="","",IF(N2860=_xlfn.MAXIFS($N$2:$N$5001,$B$2:$B$5001,B2860,$I$2:$I$5001,I2860),1,0))</f>
        <v/>
      </c>
      <c r="M2860" s="16" t="str">
        <f aca="false">IF(B2860="","",IF(E2860="Em ajustes",IF(N2860=_xlfn.MINIFS($N$2:$N$5001,$B$2:$B$5001,B2860,$E$2:$E$5001,"Em ajustes"),1,0),0))</f>
        <v/>
      </c>
      <c r="N2860" s="17" t="str">
        <f aca="false">IF(A2860="","",IF(ISNUMBER(A2860),A2860,IFERROR(DATE(VALUE(MID(A2860,7,4)),VALUE(MID(A2860,4,2)),VALUE(MID(A2860,1,2)))+TIME(VALUE(MID(A2860,12,2)),VALUE(MID(A2860,15,2)),VALUE(MID(A2860,18,2))),"")))</f>
        <v/>
      </c>
    </row>
    <row r="2861" customFormat="false" ht="15" hidden="false" customHeight="false" outlineLevel="0" collapsed="false">
      <c r="I2861" s="15" t="str">
        <f aca="false">IF(N2861="","",INT(N2861))</f>
        <v/>
      </c>
      <c r="J2861" s="16" t="str">
        <f aca="false">IF(B2861="","",IF(N2861=_xlfn.MINIFS($N$2:$N$5001,$B$2:$B$5001,B2861),1,0))</f>
        <v/>
      </c>
      <c r="K2861" s="16" t="str">
        <f aca="false">IF(B2861="","",IF(AND(D2861="Formalização",E2861="Concluído"),IF(COUNTIFS($B$2:$B$5001,B2861,$E$2:$E$5001,"Em ajustes",$N$2:$N$5001,"&lt;"&amp;I2861)&gt;0,1,0),0))</f>
        <v/>
      </c>
      <c r="L2861" s="16" t="str">
        <f aca="false">IF(B2861="","",IF(N2861=_xlfn.MAXIFS($N$2:$N$5001,$B$2:$B$5001,B2861,$I$2:$I$5001,I2861),1,0))</f>
        <v/>
      </c>
      <c r="M2861" s="16" t="str">
        <f aca="false">IF(B2861="","",IF(E2861="Em ajustes",IF(N2861=_xlfn.MINIFS($N$2:$N$5001,$B$2:$B$5001,B2861,$E$2:$E$5001,"Em ajustes"),1,0),0))</f>
        <v/>
      </c>
      <c r="N2861" s="17" t="str">
        <f aca="false">IF(A2861="","",IF(ISNUMBER(A2861),A2861,IFERROR(DATE(VALUE(MID(A2861,7,4)),VALUE(MID(A2861,4,2)),VALUE(MID(A2861,1,2)))+TIME(VALUE(MID(A2861,12,2)),VALUE(MID(A2861,15,2)),VALUE(MID(A2861,18,2))),"")))</f>
        <v/>
      </c>
    </row>
    <row r="2862" customFormat="false" ht="15" hidden="false" customHeight="false" outlineLevel="0" collapsed="false">
      <c r="I2862" s="15" t="str">
        <f aca="false">IF(N2862="","",INT(N2862))</f>
        <v/>
      </c>
      <c r="J2862" s="16" t="str">
        <f aca="false">IF(B2862="","",IF(N2862=_xlfn.MINIFS($N$2:$N$5001,$B$2:$B$5001,B2862),1,0))</f>
        <v/>
      </c>
      <c r="K2862" s="16" t="str">
        <f aca="false">IF(B2862="","",IF(AND(D2862="Formalização",E2862="Concluído"),IF(COUNTIFS($B$2:$B$5001,B2862,$E$2:$E$5001,"Em ajustes",$N$2:$N$5001,"&lt;"&amp;I2862)&gt;0,1,0),0))</f>
        <v/>
      </c>
      <c r="L2862" s="16" t="str">
        <f aca="false">IF(B2862="","",IF(N2862=_xlfn.MAXIFS($N$2:$N$5001,$B$2:$B$5001,B2862,$I$2:$I$5001,I2862),1,0))</f>
        <v/>
      </c>
      <c r="M2862" s="16" t="str">
        <f aca="false">IF(B2862="","",IF(E2862="Em ajustes",IF(N2862=_xlfn.MINIFS($N$2:$N$5001,$B$2:$B$5001,B2862,$E$2:$E$5001,"Em ajustes"),1,0),0))</f>
        <v/>
      </c>
      <c r="N2862" s="17" t="str">
        <f aca="false">IF(A2862="","",IF(ISNUMBER(A2862),A2862,IFERROR(DATE(VALUE(MID(A2862,7,4)),VALUE(MID(A2862,4,2)),VALUE(MID(A2862,1,2)))+TIME(VALUE(MID(A2862,12,2)),VALUE(MID(A2862,15,2)),VALUE(MID(A2862,18,2))),"")))</f>
        <v/>
      </c>
    </row>
    <row r="2863" customFormat="false" ht="15" hidden="false" customHeight="false" outlineLevel="0" collapsed="false">
      <c r="I2863" s="15" t="str">
        <f aca="false">IF(N2863="","",INT(N2863))</f>
        <v/>
      </c>
      <c r="J2863" s="16" t="str">
        <f aca="false">IF(B2863="","",IF(N2863=_xlfn.MINIFS($N$2:$N$5001,$B$2:$B$5001,B2863),1,0))</f>
        <v/>
      </c>
      <c r="K2863" s="16" t="str">
        <f aca="false">IF(B2863="","",IF(AND(D2863="Formalização",E2863="Concluído"),IF(COUNTIFS($B$2:$B$5001,B2863,$E$2:$E$5001,"Em ajustes",$N$2:$N$5001,"&lt;"&amp;I2863)&gt;0,1,0),0))</f>
        <v/>
      </c>
      <c r="L2863" s="16" t="str">
        <f aca="false">IF(B2863="","",IF(N2863=_xlfn.MAXIFS($N$2:$N$5001,$B$2:$B$5001,B2863,$I$2:$I$5001,I2863),1,0))</f>
        <v/>
      </c>
      <c r="M2863" s="16" t="str">
        <f aca="false">IF(B2863="","",IF(E2863="Em ajustes",IF(N2863=_xlfn.MINIFS($N$2:$N$5001,$B$2:$B$5001,B2863,$E$2:$E$5001,"Em ajustes"),1,0),0))</f>
        <v/>
      </c>
      <c r="N2863" s="17" t="str">
        <f aca="false">IF(A2863="","",IF(ISNUMBER(A2863),A2863,IFERROR(DATE(VALUE(MID(A2863,7,4)),VALUE(MID(A2863,4,2)),VALUE(MID(A2863,1,2)))+TIME(VALUE(MID(A2863,12,2)),VALUE(MID(A2863,15,2)),VALUE(MID(A2863,18,2))),"")))</f>
        <v/>
      </c>
    </row>
    <row r="2864" customFormat="false" ht="15" hidden="false" customHeight="false" outlineLevel="0" collapsed="false">
      <c r="I2864" s="15" t="str">
        <f aca="false">IF(N2864="","",INT(N2864))</f>
        <v/>
      </c>
      <c r="J2864" s="16" t="str">
        <f aca="false">IF(B2864="","",IF(N2864=_xlfn.MINIFS($N$2:$N$5001,$B$2:$B$5001,B2864),1,0))</f>
        <v/>
      </c>
      <c r="K2864" s="16" t="str">
        <f aca="false">IF(B2864="","",IF(AND(D2864="Formalização",E2864="Concluído"),IF(COUNTIFS($B$2:$B$5001,B2864,$E$2:$E$5001,"Em ajustes",$N$2:$N$5001,"&lt;"&amp;I2864)&gt;0,1,0),0))</f>
        <v/>
      </c>
      <c r="L2864" s="16" t="str">
        <f aca="false">IF(B2864="","",IF(N2864=_xlfn.MAXIFS($N$2:$N$5001,$B$2:$B$5001,B2864,$I$2:$I$5001,I2864),1,0))</f>
        <v/>
      </c>
      <c r="M2864" s="16" t="str">
        <f aca="false">IF(B2864="","",IF(E2864="Em ajustes",IF(N2864=_xlfn.MINIFS($N$2:$N$5001,$B$2:$B$5001,B2864,$E$2:$E$5001,"Em ajustes"),1,0),0))</f>
        <v/>
      </c>
      <c r="N2864" s="17" t="str">
        <f aca="false">IF(A2864="","",IF(ISNUMBER(A2864),A2864,IFERROR(DATE(VALUE(MID(A2864,7,4)),VALUE(MID(A2864,4,2)),VALUE(MID(A2864,1,2)))+TIME(VALUE(MID(A2864,12,2)),VALUE(MID(A2864,15,2)),VALUE(MID(A2864,18,2))),"")))</f>
        <v/>
      </c>
    </row>
    <row r="2865" customFormat="false" ht="15" hidden="false" customHeight="false" outlineLevel="0" collapsed="false">
      <c r="I2865" s="15" t="str">
        <f aca="false">IF(N2865="","",INT(N2865))</f>
        <v/>
      </c>
      <c r="J2865" s="16" t="str">
        <f aca="false">IF(B2865="","",IF(N2865=_xlfn.MINIFS($N$2:$N$5001,$B$2:$B$5001,B2865),1,0))</f>
        <v/>
      </c>
      <c r="K2865" s="16" t="str">
        <f aca="false">IF(B2865="","",IF(AND(D2865="Formalização",E2865="Concluído"),IF(COUNTIFS($B$2:$B$5001,B2865,$E$2:$E$5001,"Em ajustes",$N$2:$N$5001,"&lt;"&amp;I2865)&gt;0,1,0),0))</f>
        <v/>
      </c>
      <c r="L2865" s="16" t="str">
        <f aca="false">IF(B2865="","",IF(N2865=_xlfn.MAXIFS($N$2:$N$5001,$B$2:$B$5001,B2865,$I$2:$I$5001,I2865),1,0))</f>
        <v/>
      </c>
      <c r="M2865" s="16" t="str">
        <f aca="false">IF(B2865="","",IF(E2865="Em ajustes",IF(N2865=_xlfn.MINIFS($N$2:$N$5001,$B$2:$B$5001,B2865,$E$2:$E$5001,"Em ajustes"),1,0),0))</f>
        <v/>
      </c>
      <c r="N2865" s="17" t="str">
        <f aca="false">IF(A2865="","",IF(ISNUMBER(A2865),A2865,IFERROR(DATE(VALUE(MID(A2865,7,4)),VALUE(MID(A2865,4,2)),VALUE(MID(A2865,1,2)))+TIME(VALUE(MID(A2865,12,2)),VALUE(MID(A2865,15,2)),VALUE(MID(A2865,18,2))),"")))</f>
        <v/>
      </c>
    </row>
    <row r="2866" customFormat="false" ht="15" hidden="false" customHeight="false" outlineLevel="0" collapsed="false">
      <c r="I2866" s="15" t="str">
        <f aca="false">IF(N2866="","",INT(N2866))</f>
        <v/>
      </c>
      <c r="J2866" s="16" t="str">
        <f aca="false">IF(B2866="","",IF(N2866=_xlfn.MINIFS($N$2:$N$5001,$B$2:$B$5001,B2866),1,0))</f>
        <v/>
      </c>
      <c r="K2866" s="16" t="str">
        <f aca="false">IF(B2866="","",IF(AND(D2866="Formalização",E2866="Concluído"),IF(COUNTIFS($B$2:$B$5001,B2866,$E$2:$E$5001,"Em ajustes",$N$2:$N$5001,"&lt;"&amp;I2866)&gt;0,1,0),0))</f>
        <v/>
      </c>
      <c r="L2866" s="16" t="str">
        <f aca="false">IF(B2866="","",IF(N2866=_xlfn.MAXIFS($N$2:$N$5001,$B$2:$B$5001,B2866,$I$2:$I$5001,I2866),1,0))</f>
        <v/>
      </c>
      <c r="M2866" s="16" t="str">
        <f aca="false">IF(B2866="","",IF(E2866="Em ajustes",IF(N2866=_xlfn.MINIFS($N$2:$N$5001,$B$2:$B$5001,B2866,$E$2:$E$5001,"Em ajustes"),1,0),0))</f>
        <v/>
      </c>
      <c r="N2866" s="17" t="str">
        <f aca="false">IF(A2866="","",IF(ISNUMBER(A2866),A2866,IFERROR(DATE(VALUE(MID(A2866,7,4)),VALUE(MID(A2866,4,2)),VALUE(MID(A2866,1,2)))+TIME(VALUE(MID(A2866,12,2)),VALUE(MID(A2866,15,2)),VALUE(MID(A2866,18,2))),"")))</f>
        <v/>
      </c>
    </row>
    <row r="2867" customFormat="false" ht="15" hidden="false" customHeight="false" outlineLevel="0" collapsed="false">
      <c r="I2867" s="15" t="str">
        <f aca="false">IF(N2867="","",INT(N2867))</f>
        <v/>
      </c>
      <c r="J2867" s="16" t="str">
        <f aca="false">IF(B2867="","",IF(N2867=_xlfn.MINIFS($N$2:$N$5001,$B$2:$B$5001,B2867),1,0))</f>
        <v/>
      </c>
      <c r="K2867" s="16" t="str">
        <f aca="false">IF(B2867="","",IF(AND(D2867="Formalização",E2867="Concluído"),IF(COUNTIFS($B$2:$B$5001,B2867,$E$2:$E$5001,"Em ajustes",$N$2:$N$5001,"&lt;"&amp;I2867)&gt;0,1,0),0))</f>
        <v/>
      </c>
      <c r="L2867" s="16" t="str">
        <f aca="false">IF(B2867="","",IF(N2867=_xlfn.MAXIFS($N$2:$N$5001,$B$2:$B$5001,B2867,$I$2:$I$5001,I2867),1,0))</f>
        <v/>
      </c>
      <c r="M2867" s="16" t="str">
        <f aca="false">IF(B2867="","",IF(E2867="Em ajustes",IF(N2867=_xlfn.MINIFS($N$2:$N$5001,$B$2:$B$5001,B2867,$E$2:$E$5001,"Em ajustes"),1,0),0))</f>
        <v/>
      </c>
      <c r="N2867" s="17" t="str">
        <f aca="false">IF(A2867="","",IF(ISNUMBER(A2867),A2867,IFERROR(DATE(VALUE(MID(A2867,7,4)),VALUE(MID(A2867,4,2)),VALUE(MID(A2867,1,2)))+TIME(VALUE(MID(A2867,12,2)),VALUE(MID(A2867,15,2)),VALUE(MID(A2867,18,2))),"")))</f>
        <v/>
      </c>
    </row>
    <row r="2868" customFormat="false" ht="15" hidden="false" customHeight="false" outlineLevel="0" collapsed="false">
      <c r="I2868" s="15" t="str">
        <f aca="false">IF(N2868="","",INT(N2868))</f>
        <v/>
      </c>
      <c r="J2868" s="16" t="str">
        <f aca="false">IF(B2868="","",IF(N2868=_xlfn.MINIFS($N$2:$N$5001,$B$2:$B$5001,B2868),1,0))</f>
        <v/>
      </c>
      <c r="K2868" s="16" t="str">
        <f aca="false">IF(B2868="","",IF(AND(D2868="Formalização",E2868="Concluído"),IF(COUNTIFS($B$2:$B$5001,B2868,$E$2:$E$5001,"Em ajustes",$N$2:$N$5001,"&lt;"&amp;I2868)&gt;0,1,0),0))</f>
        <v/>
      </c>
      <c r="L2868" s="16" t="str">
        <f aca="false">IF(B2868="","",IF(N2868=_xlfn.MAXIFS($N$2:$N$5001,$B$2:$B$5001,B2868,$I$2:$I$5001,I2868),1,0))</f>
        <v/>
      </c>
      <c r="M2868" s="16" t="str">
        <f aca="false">IF(B2868="","",IF(E2868="Em ajustes",IF(N2868=_xlfn.MINIFS($N$2:$N$5001,$B$2:$B$5001,B2868,$E$2:$E$5001,"Em ajustes"),1,0),0))</f>
        <v/>
      </c>
      <c r="N2868" s="17" t="str">
        <f aca="false">IF(A2868="","",IF(ISNUMBER(A2868),A2868,IFERROR(DATE(VALUE(MID(A2868,7,4)),VALUE(MID(A2868,4,2)),VALUE(MID(A2868,1,2)))+TIME(VALUE(MID(A2868,12,2)),VALUE(MID(A2868,15,2)),VALUE(MID(A2868,18,2))),"")))</f>
        <v/>
      </c>
    </row>
    <row r="2869" customFormat="false" ht="15" hidden="false" customHeight="false" outlineLevel="0" collapsed="false">
      <c r="I2869" s="15" t="str">
        <f aca="false">IF(N2869="","",INT(N2869))</f>
        <v/>
      </c>
      <c r="J2869" s="16" t="str">
        <f aca="false">IF(B2869="","",IF(N2869=_xlfn.MINIFS($N$2:$N$5001,$B$2:$B$5001,B2869),1,0))</f>
        <v/>
      </c>
      <c r="K2869" s="16" t="str">
        <f aca="false">IF(B2869="","",IF(AND(D2869="Formalização",E2869="Concluído"),IF(COUNTIFS($B$2:$B$5001,B2869,$E$2:$E$5001,"Em ajustes",$N$2:$N$5001,"&lt;"&amp;I2869)&gt;0,1,0),0))</f>
        <v/>
      </c>
      <c r="L2869" s="16" t="str">
        <f aca="false">IF(B2869="","",IF(N2869=_xlfn.MAXIFS($N$2:$N$5001,$B$2:$B$5001,B2869,$I$2:$I$5001,I2869),1,0))</f>
        <v/>
      </c>
      <c r="M2869" s="16" t="str">
        <f aca="false">IF(B2869="","",IF(E2869="Em ajustes",IF(N2869=_xlfn.MINIFS($N$2:$N$5001,$B$2:$B$5001,B2869,$E$2:$E$5001,"Em ajustes"),1,0),0))</f>
        <v/>
      </c>
      <c r="N2869" s="17" t="str">
        <f aca="false">IF(A2869="","",IF(ISNUMBER(A2869),A2869,IFERROR(DATE(VALUE(MID(A2869,7,4)),VALUE(MID(A2869,4,2)),VALUE(MID(A2869,1,2)))+TIME(VALUE(MID(A2869,12,2)),VALUE(MID(A2869,15,2)),VALUE(MID(A2869,18,2))),"")))</f>
        <v/>
      </c>
    </row>
    <row r="2870" customFormat="false" ht="15" hidden="false" customHeight="false" outlineLevel="0" collapsed="false">
      <c r="I2870" s="15" t="str">
        <f aca="false">IF(N2870="","",INT(N2870))</f>
        <v/>
      </c>
      <c r="J2870" s="16" t="str">
        <f aca="false">IF(B2870="","",IF(N2870=_xlfn.MINIFS($N$2:$N$5001,$B$2:$B$5001,B2870),1,0))</f>
        <v/>
      </c>
      <c r="K2870" s="16" t="str">
        <f aca="false">IF(B2870="","",IF(AND(D2870="Formalização",E2870="Concluído"),IF(COUNTIFS($B$2:$B$5001,B2870,$E$2:$E$5001,"Em ajustes",$N$2:$N$5001,"&lt;"&amp;I2870)&gt;0,1,0),0))</f>
        <v/>
      </c>
      <c r="L2870" s="16" t="str">
        <f aca="false">IF(B2870="","",IF(N2870=_xlfn.MAXIFS($N$2:$N$5001,$B$2:$B$5001,B2870,$I$2:$I$5001,I2870),1,0))</f>
        <v/>
      </c>
      <c r="M2870" s="16" t="str">
        <f aca="false">IF(B2870="","",IF(E2870="Em ajustes",IF(N2870=_xlfn.MINIFS($N$2:$N$5001,$B$2:$B$5001,B2870,$E$2:$E$5001,"Em ajustes"),1,0),0))</f>
        <v/>
      </c>
      <c r="N2870" s="17" t="str">
        <f aca="false">IF(A2870="","",IF(ISNUMBER(A2870),A2870,IFERROR(DATE(VALUE(MID(A2870,7,4)),VALUE(MID(A2870,4,2)),VALUE(MID(A2870,1,2)))+TIME(VALUE(MID(A2870,12,2)),VALUE(MID(A2870,15,2)),VALUE(MID(A2870,18,2))),"")))</f>
        <v/>
      </c>
    </row>
    <row r="2871" customFormat="false" ht="15" hidden="false" customHeight="false" outlineLevel="0" collapsed="false">
      <c r="I2871" s="15" t="str">
        <f aca="false">IF(N2871="","",INT(N2871))</f>
        <v/>
      </c>
      <c r="J2871" s="16" t="str">
        <f aca="false">IF(B2871="","",IF(N2871=_xlfn.MINIFS($N$2:$N$5001,$B$2:$B$5001,B2871),1,0))</f>
        <v/>
      </c>
      <c r="K2871" s="16" t="str">
        <f aca="false">IF(B2871="","",IF(AND(D2871="Formalização",E2871="Concluído"),IF(COUNTIFS($B$2:$B$5001,B2871,$E$2:$E$5001,"Em ajustes",$N$2:$N$5001,"&lt;"&amp;I2871)&gt;0,1,0),0))</f>
        <v/>
      </c>
      <c r="L2871" s="16" t="str">
        <f aca="false">IF(B2871="","",IF(N2871=_xlfn.MAXIFS($N$2:$N$5001,$B$2:$B$5001,B2871,$I$2:$I$5001,I2871),1,0))</f>
        <v/>
      </c>
      <c r="M2871" s="16" t="str">
        <f aca="false">IF(B2871="","",IF(E2871="Em ajustes",IF(N2871=_xlfn.MINIFS($N$2:$N$5001,$B$2:$B$5001,B2871,$E$2:$E$5001,"Em ajustes"),1,0),0))</f>
        <v/>
      </c>
      <c r="N2871" s="17" t="str">
        <f aca="false">IF(A2871="","",IF(ISNUMBER(A2871),A2871,IFERROR(DATE(VALUE(MID(A2871,7,4)),VALUE(MID(A2871,4,2)),VALUE(MID(A2871,1,2)))+TIME(VALUE(MID(A2871,12,2)),VALUE(MID(A2871,15,2)),VALUE(MID(A2871,18,2))),"")))</f>
        <v/>
      </c>
    </row>
    <row r="2872" customFormat="false" ht="15" hidden="false" customHeight="false" outlineLevel="0" collapsed="false">
      <c r="I2872" s="15" t="str">
        <f aca="false">IF(N2872="","",INT(N2872))</f>
        <v/>
      </c>
      <c r="J2872" s="16" t="str">
        <f aca="false">IF(B2872="","",IF(N2872=_xlfn.MINIFS($N$2:$N$5001,$B$2:$B$5001,B2872),1,0))</f>
        <v/>
      </c>
      <c r="K2872" s="16" t="str">
        <f aca="false">IF(B2872="","",IF(AND(D2872="Formalização",E2872="Concluído"),IF(COUNTIFS($B$2:$B$5001,B2872,$E$2:$E$5001,"Em ajustes",$N$2:$N$5001,"&lt;"&amp;I2872)&gt;0,1,0),0))</f>
        <v/>
      </c>
      <c r="L2872" s="16" t="str">
        <f aca="false">IF(B2872="","",IF(N2872=_xlfn.MAXIFS($N$2:$N$5001,$B$2:$B$5001,B2872,$I$2:$I$5001,I2872),1,0))</f>
        <v/>
      </c>
      <c r="M2872" s="16" t="str">
        <f aca="false">IF(B2872="","",IF(E2872="Em ajustes",IF(N2872=_xlfn.MINIFS($N$2:$N$5001,$B$2:$B$5001,B2872,$E$2:$E$5001,"Em ajustes"),1,0),0))</f>
        <v/>
      </c>
      <c r="N2872" s="17" t="str">
        <f aca="false">IF(A2872="","",IF(ISNUMBER(A2872),A2872,IFERROR(DATE(VALUE(MID(A2872,7,4)),VALUE(MID(A2872,4,2)),VALUE(MID(A2872,1,2)))+TIME(VALUE(MID(A2872,12,2)),VALUE(MID(A2872,15,2)),VALUE(MID(A2872,18,2))),"")))</f>
        <v/>
      </c>
    </row>
    <row r="2873" customFormat="false" ht="15" hidden="false" customHeight="false" outlineLevel="0" collapsed="false">
      <c r="I2873" s="15" t="str">
        <f aca="false">IF(N2873="","",INT(N2873))</f>
        <v/>
      </c>
      <c r="J2873" s="16" t="str">
        <f aca="false">IF(B2873="","",IF(N2873=_xlfn.MINIFS($N$2:$N$5001,$B$2:$B$5001,B2873),1,0))</f>
        <v/>
      </c>
      <c r="K2873" s="16" t="str">
        <f aca="false">IF(B2873="","",IF(AND(D2873="Formalização",E2873="Concluído"),IF(COUNTIFS($B$2:$B$5001,B2873,$E$2:$E$5001,"Em ajustes",$N$2:$N$5001,"&lt;"&amp;I2873)&gt;0,1,0),0))</f>
        <v/>
      </c>
      <c r="L2873" s="16" t="str">
        <f aca="false">IF(B2873="","",IF(N2873=_xlfn.MAXIFS($N$2:$N$5001,$B$2:$B$5001,B2873,$I$2:$I$5001,I2873),1,0))</f>
        <v/>
      </c>
      <c r="M2873" s="16" t="str">
        <f aca="false">IF(B2873="","",IF(E2873="Em ajustes",IF(N2873=_xlfn.MINIFS($N$2:$N$5001,$B$2:$B$5001,B2873,$E$2:$E$5001,"Em ajustes"),1,0),0))</f>
        <v/>
      </c>
      <c r="N2873" s="17" t="str">
        <f aca="false">IF(A2873="","",IF(ISNUMBER(A2873),A2873,IFERROR(DATE(VALUE(MID(A2873,7,4)),VALUE(MID(A2873,4,2)),VALUE(MID(A2873,1,2)))+TIME(VALUE(MID(A2873,12,2)),VALUE(MID(A2873,15,2)),VALUE(MID(A2873,18,2))),"")))</f>
        <v/>
      </c>
    </row>
    <row r="2874" customFormat="false" ht="15" hidden="false" customHeight="false" outlineLevel="0" collapsed="false">
      <c r="I2874" s="15" t="str">
        <f aca="false">IF(N2874="","",INT(N2874))</f>
        <v/>
      </c>
      <c r="J2874" s="16" t="str">
        <f aca="false">IF(B2874="","",IF(N2874=_xlfn.MINIFS($N$2:$N$5001,$B$2:$B$5001,B2874),1,0))</f>
        <v/>
      </c>
      <c r="K2874" s="16" t="str">
        <f aca="false">IF(B2874="","",IF(AND(D2874="Formalização",E2874="Concluído"),IF(COUNTIFS($B$2:$B$5001,B2874,$E$2:$E$5001,"Em ajustes",$N$2:$N$5001,"&lt;"&amp;I2874)&gt;0,1,0),0))</f>
        <v/>
      </c>
      <c r="L2874" s="16" t="str">
        <f aca="false">IF(B2874="","",IF(N2874=_xlfn.MAXIFS($N$2:$N$5001,$B$2:$B$5001,B2874,$I$2:$I$5001,I2874),1,0))</f>
        <v/>
      </c>
      <c r="M2874" s="16" t="str">
        <f aca="false">IF(B2874="","",IF(E2874="Em ajustes",IF(N2874=_xlfn.MINIFS($N$2:$N$5001,$B$2:$B$5001,B2874,$E$2:$E$5001,"Em ajustes"),1,0),0))</f>
        <v/>
      </c>
      <c r="N2874" s="17" t="str">
        <f aca="false">IF(A2874="","",IF(ISNUMBER(A2874),A2874,IFERROR(DATE(VALUE(MID(A2874,7,4)),VALUE(MID(A2874,4,2)),VALUE(MID(A2874,1,2)))+TIME(VALUE(MID(A2874,12,2)),VALUE(MID(A2874,15,2)),VALUE(MID(A2874,18,2))),"")))</f>
        <v/>
      </c>
    </row>
    <row r="2875" customFormat="false" ht="15" hidden="false" customHeight="false" outlineLevel="0" collapsed="false">
      <c r="I2875" s="15" t="str">
        <f aca="false">IF(N2875="","",INT(N2875))</f>
        <v/>
      </c>
      <c r="J2875" s="16" t="str">
        <f aca="false">IF(B2875="","",IF(N2875=_xlfn.MINIFS($N$2:$N$5001,$B$2:$B$5001,B2875),1,0))</f>
        <v/>
      </c>
      <c r="K2875" s="16" t="str">
        <f aca="false">IF(B2875="","",IF(AND(D2875="Formalização",E2875="Concluído"),IF(COUNTIFS($B$2:$B$5001,B2875,$E$2:$E$5001,"Em ajustes",$N$2:$N$5001,"&lt;"&amp;I2875)&gt;0,1,0),0))</f>
        <v/>
      </c>
      <c r="L2875" s="16" t="str">
        <f aca="false">IF(B2875="","",IF(N2875=_xlfn.MAXIFS($N$2:$N$5001,$B$2:$B$5001,B2875,$I$2:$I$5001,I2875),1,0))</f>
        <v/>
      </c>
      <c r="M2875" s="16" t="str">
        <f aca="false">IF(B2875="","",IF(E2875="Em ajustes",IF(N2875=_xlfn.MINIFS($N$2:$N$5001,$B$2:$B$5001,B2875,$E$2:$E$5001,"Em ajustes"),1,0),0))</f>
        <v/>
      </c>
      <c r="N2875" s="17" t="str">
        <f aca="false">IF(A2875="","",IF(ISNUMBER(A2875),A2875,IFERROR(DATE(VALUE(MID(A2875,7,4)),VALUE(MID(A2875,4,2)),VALUE(MID(A2875,1,2)))+TIME(VALUE(MID(A2875,12,2)),VALUE(MID(A2875,15,2)),VALUE(MID(A2875,18,2))),"")))</f>
        <v/>
      </c>
    </row>
    <row r="2876" customFormat="false" ht="15" hidden="false" customHeight="false" outlineLevel="0" collapsed="false">
      <c r="I2876" s="15" t="str">
        <f aca="false">IF(N2876="","",INT(N2876))</f>
        <v/>
      </c>
      <c r="J2876" s="16" t="str">
        <f aca="false">IF(B2876="","",IF(N2876=_xlfn.MINIFS($N$2:$N$5001,$B$2:$B$5001,B2876),1,0))</f>
        <v/>
      </c>
      <c r="K2876" s="16" t="str">
        <f aca="false">IF(B2876="","",IF(AND(D2876="Formalização",E2876="Concluído"),IF(COUNTIFS($B$2:$B$5001,B2876,$E$2:$E$5001,"Em ajustes",$N$2:$N$5001,"&lt;"&amp;I2876)&gt;0,1,0),0))</f>
        <v/>
      </c>
      <c r="L2876" s="16" t="str">
        <f aca="false">IF(B2876="","",IF(N2876=_xlfn.MAXIFS($N$2:$N$5001,$B$2:$B$5001,B2876,$I$2:$I$5001,I2876),1,0))</f>
        <v/>
      </c>
      <c r="M2876" s="16" t="str">
        <f aca="false">IF(B2876="","",IF(E2876="Em ajustes",IF(N2876=_xlfn.MINIFS($N$2:$N$5001,$B$2:$B$5001,B2876,$E$2:$E$5001,"Em ajustes"),1,0),0))</f>
        <v/>
      </c>
      <c r="N2876" s="17" t="str">
        <f aca="false">IF(A2876="","",IF(ISNUMBER(A2876),A2876,IFERROR(DATE(VALUE(MID(A2876,7,4)),VALUE(MID(A2876,4,2)),VALUE(MID(A2876,1,2)))+TIME(VALUE(MID(A2876,12,2)),VALUE(MID(A2876,15,2)),VALUE(MID(A2876,18,2))),"")))</f>
        <v/>
      </c>
    </row>
    <row r="2877" customFormat="false" ht="15" hidden="false" customHeight="false" outlineLevel="0" collapsed="false">
      <c r="I2877" s="15" t="str">
        <f aca="false">IF(N2877="","",INT(N2877))</f>
        <v/>
      </c>
      <c r="J2877" s="16" t="str">
        <f aca="false">IF(B2877="","",IF(N2877=_xlfn.MINIFS($N$2:$N$5001,$B$2:$B$5001,B2877),1,0))</f>
        <v/>
      </c>
      <c r="K2877" s="16" t="str">
        <f aca="false">IF(B2877="","",IF(AND(D2877="Formalização",E2877="Concluído"),IF(COUNTIFS($B$2:$B$5001,B2877,$E$2:$E$5001,"Em ajustes",$N$2:$N$5001,"&lt;"&amp;I2877)&gt;0,1,0),0))</f>
        <v/>
      </c>
      <c r="L2877" s="16" t="str">
        <f aca="false">IF(B2877="","",IF(N2877=_xlfn.MAXIFS($N$2:$N$5001,$B$2:$B$5001,B2877,$I$2:$I$5001,I2877),1,0))</f>
        <v/>
      </c>
      <c r="M2877" s="16" t="str">
        <f aca="false">IF(B2877="","",IF(E2877="Em ajustes",IF(N2877=_xlfn.MINIFS($N$2:$N$5001,$B$2:$B$5001,B2877,$E$2:$E$5001,"Em ajustes"),1,0),0))</f>
        <v/>
      </c>
      <c r="N2877" s="17" t="str">
        <f aca="false">IF(A2877="","",IF(ISNUMBER(A2877),A2877,IFERROR(DATE(VALUE(MID(A2877,7,4)),VALUE(MID(A2877,4,2)),VALUE(MID(A2877,1,2)))+TIME(VALUE(MID(A2877,12,2)),VALUE(MID(A2877,15,2)),VALUE(MID(A2877,18,2))),"")))</f>
        <v/>
      </c>
    </row>
    <row r="2878" customFormat="false" ht="15" hidden="false" customHeight="false" outlineLevel="0" collapsed="false">
      <c r="I2878" s="15" t="str">
        <f aca="false">IF(N2878="","",INT(N2878))</f>
        <v/>
      </c>
      <c r="J2878" s="16" t="str">
        <f aca="false">IF(B2878="","",IF(N2878=_xlfn.MINIFS($N$2:$N$5001,$B$2:$B$5001,B2878),1,0))</f>
        <v/>
      </c>
      <c r="K2878" s="16" t="str">
        <f aca="false">IF(B2878="","",IF(AND(D2878="Formalização",E2878="Concluído"),IF(COUNTIFS($B$2:$B$5001,B2878,$E$2:$E$5001,"Em ajustes",$N$2:$N$5001,"&lt;"&amp;I2878)&gt;0,1,0),0))</f>
        <v/>
      </c>
      <c r="L2878" s="16" t="str">
        <f aca="false">IF(B2878="","",IF(N2878=_xlfn.MAXIFS($N$2:$N$5001,$B$2:$B$5001,B2878,$I$2:$I$5001,I2878),1,0))</f>
        <v/>
      </c>
      <c r="M2878" s="16" t="str">
        <f aca="false">IF(B2878="","",IF(E2878="Em ajustes",IF(N2878=_xlfn.MINIFS($N$2:$N$5001,$B$2:$B$5001,B2878,$E$2:$E$5001,"Em ajustes"),1,0),0))</f>
        <v/>
      </c>
      <c r="N2878" s="17" t="str">
        <f aca="false">IF(A2878="","",IF(ISNUMBER(A2878),A2878,IFERROR(DATE(VALUE(MID(A2878,7,4)),VALUE(MID(A2878,4,2)),VALUE(MID(A2878,1,2)))+TIME(VALUE(MID(A2878,12,2)),VALUE(MID(A2878,15,2)),VALUE(MID(A2878,18,2))),"")))</f>
        <v/>
      </c>
    </row>
    <row r="2879" customFormat="false" ht="15" hidden="false" customHeight="false" outlineLevel="0" collapsed="false">
      <c r="I2879" s="15" t="str">
        <f aca="false">IF(N2879="","",INT(N2879))</f>
        <v/>
      </c>
      <c r="J2879" s="16" t="str">
        <f aca="false">IF(B2879="","",IF(N2879=_xlfn.MINIFS($N$2:$N$5001,$B$2:$B$5001,B2879),1,0))</f>
        <v/>
      </c>
      <c r="K2879" s="16" t="str">
        <f aca="false">IF(B2879="","",IF(AND(D2879="Formalização",E2879="Concluído"),IF(COUNTIFS($B$2:$B$5001,B2879,$E$2:$E$5001,"Em ajustes",$N$2:$N$5001,"&lt;"&amp;I2879)&gt;0,1,0),0))</f>
        <v/>
      </c>
      <c r="L2879" s="16" t="str">
        <f aca="false">IF(B2879="","",IF(N2879=_xlfn.MAXIFS($N$2:$N$5001,$B$2:$B$5001,B2879,$I$2:$I$5001,I2879),1,0))</f>
        <v/>
      </c>
      <c r="M2879" s="16" t="str">
        <f aca="false">IF(B2879="","",IF(E2879="Em ajustes",IF(N2879=_xlfn.MINIFS($N$2:$N$5001,$B$2:$B$5001,B2879,$E$2:$E$5001,"Em ajustes"),1,0),0))</f>
        <v/>
      </c>
      <c r="N2879" s="17" t="str">
        <f aca="false">IF(A2879="","",IF(ISNUMBER(A2879),A2879,IFERROR(DATE(VALUE(MID(A2879,7,4)),VALUE(MID(A2879,4,2)),VALUE(MID(A2879,1,2)))+TIME(VALUE(MID(A2879,12,2)),VALUE(MID(A2879,15,2)),VALUE(MID(A2879,18,2))),"")))</f>
        <v/>
      </c>
    </row>
    <row r="2880" customFormat="false" ht="15" hidden="false" customHeight="false" outlineLevel="0" collapsed="false">
      <c r="I2880" s="15" t="str">
        <f aca="false">IF(N2880="","",INT(N2880))</f>
        <v/>
      </c>
      <c r="J2880" s="16" t="str">
        <f aca="false">IF(B2880="","",IF(N2880=_xlfn.MINIFS($N$2:$N$5001,$B$2:$B$5001,B2880),1,0))</f>
        <v/>
      </c>
      <c r="K2880" s="16" t="str">
        <f aca="false">IF(B2880="","",IF(AND(D2880="Formalização",E2880="Concluído"),IF(COUNTIFS($B$2:$B$5001,B2880,$E$2:$E$5001,"Em ajustes",$N$2:$N$5001,"&lt;"&amp;I2880)&gt;0,1,0),0))</f>
        <v/>
      </c>
      <c r="L2880" s="16" t="str">
        <f aca="false">IF(B2880="","",IF(N2880=_xlfn.MAXIFS($N$2:$N$5001,$B$2:$B$5001,B2880,$I$2:$I$5001,I2880),1,0))</f>
        <v/>
      </c>
      <c r="M2880" s="16" t="str">
        <f aca="false">IF(B2880="","",IF(E2880="Em ajustes",IF(N2880=_xlfn.MINIFS($N$2:$N$5001,$B$2:$B$5001,B2880,$E$2:$E$5001,"Em ajustes"),1,0),0))</f>
        <v/>
      </c>
      <c r="N2880" s="17" t="str">
        <f aca="false">IF(A2880="","",IF(ISNUMBER(A2880),A2880,IFERROR(DATE(VALUE(MID(A2880,7,4)),VALUE(MID(A2880,4,2)),VALUE(MID(A2880,1,2)))+TIME(VALUE(MID(A2880,12,2)),VALUE(MID(A2880,15,2)),VALUE(MID(A2880,18,2))),"")))</f>
        <v/>
      </c>
    </row>
    <row r="2881" customFormat="false" ht="15" hidden="false" customHeight="false" outlineLevel="0" collapsed="false">
      <c r="I2881" s="15" t="str">
        <f aca="false">IF(N2881="","",INT(N2881))</f>
        <v/>
      </c>
      <c r="J2881" s="16" t="str">
        <f aca="false">IF(B2881="","",IF(N2881=_xlfn.MINIFS($N$2:$N$5001,$B$2:$B$5001,B2881),1,0))</f>
        <v/>
      </c>
      <c r="K2881" s="16" t="str">
        <f aca="false">IF(B2881="","",IF(AND(D2881="Formalização",E2881="Concluído"),IF(COUNTIFS($B$2:$B$5001,B2881,$E$2:$E$5001,"Em ajustes",$N$2:$N$5001,"&lt;"&amp;I2881)&gt;0,1,0),0))</f>
        <v/>
      </c>
      <c r="L2881" s="16" t="str">
        <f aca="false">IF(B2881="","",IF(N2881=_xlfn.MAXIFS($N$2:$N$5001,$B$2:$B$5001,B2881,$I$2:$I$5001,I2881),1,0))</f>
        <v/>
      </c>
      <c r="M2881" s="16" t="str">
        <f aca="false">IF(B2881="","",IF(E2881="Em ajustes",IF(N2881=_xlfn.MINIFS($N$2:$N$5001,$B$2:$B$5001,B2881,$E$2:$E$5001,"Em ajustes"),1,0),0))</f>
        <v/>
      </c>
      <c r="N2881" s="17" t="str">
        <f aca="false">IF(A2881="","",IF(ISNUMBER(A2881),A2881,IFERROR(DATE(VALUE(MID(A2881,7,4)),VALUE(MID(A2881,4,2)),VALUE(MID(A2881,1,2)))+TIME(VALUE(MID(A2881,12,2)),VALUE(MID(A2881,15,2)),VALUE(MID(A2881,18,2))),"")))</f>
        <v/>
      </c>
    </row>
    <row r="2882" customFormat="false" ht="15" hidden="false" customHeight="false" outlineLevel="0" collapsed="false">
      <c r="I2882" s="15" t="str">
        <f aca="false">IF(N2882="","",INT(N2882))</f>
        <v/>
      </c>
      <c r="J2882" s="16" t="str">
        <f aca="false">IF(B2882="","",IF(N2882=_xlfn.MINIFS($N$2:$N$5001,$B$2:$B$5001,B2882),1,0))</f>
        <v/>
      </c>
      <c r="K2882" s="16" t="str">
        <f aca="false">IF(B2882="","",IF(AND(D2882="Formalização",E2882="Concluído"),IF(COUNTIFS($B$2:$B$5001,B2882,$E$2:$E$5001,"Em ajustes",$N$2:$N$5001,"&lt;"&amp;I2882)&gt;0,1,0),0))</f>
        <v/>
      </c>
      <c r="L2882" s="16" t="str">
        <f aca="false">IF(B2882="","",IF(N2882=_xlfn.MAXIFS($N$2:$N$5001,$B$2:$B$5001,B2882,$I$2:$I$5001,I2882),1,0))</f>
        <v/>
      </c>
      <c r="M2882" s="16" t="str">
        <f aca="false">IF(B2882="","",IF(E2882="Em ajustes",IF(N2882=_xlfn.MINIFS($N$2:$N$5001,$B$2:$B$5001,B2882,$E$2:$E$5001,"Em ajustes"),1,0),0))</f>
        <v/>
      </c>
      <c r="N2882" s="17" t="str">
        <f aca="false">IF(A2882="","",IF(ISNUMBER(A2882),A2882,IFERROR(DATE(VALUE(MID(A2882,7,4)),VALUE(MID(A2882,4,2)),VALUE(MID(A2882,1,2)))+TIME(VALUE(MID(A2882,12,2)),VALUE(MID(A2882,15,2)),VALUE(MID(A2882,18,2))),"")))</f>
        <v/>
      </c>
    </row>
    <row r="2883" customFormat="false" ht="15" hidden="false" customHeight="false" outlineLevel="0" collapsed="false">
      <c r="I2883" s="15" t="str">
        <f aca="false">IF(N2883="","",INT(N2883))</f>
        <v/>
      </c>
      <c r="J2883" s="16" t="str">
        <f aca="false">IF(B2883="","",IF(N2883=_xlfn.MINIFS($N$2:$N$5001,$B$2:$B$5001,B2883),1,0))</f>
        <v/>
      </c>
      <c r="K2883" s="16" t="str">
        <f aca="false">IF(B2883="","",IF(AND(D2883="Formalização",E2883="Concluído"),IF(COUNTIFS($B$2:$B$5001,B2883,$E$2:$E$5001,"Em ajustes",$N$2:$N$5001,"&lt;"&amp;I2883)&gt;0,1,0),0))</f>
        <v/>
      </c>
      <c r="L2883" s="16" t="str">
        <f aca="false">IF(B2883="","",IF(N2883=_xlfn.MAXIFS($N$2:$N$5001,$B$2:$B$5001,B2883,$I$2:$I$5001,I2883),1,0))</f>
        <v/>
      </c>
      <c r="M2883" s="16" t="str">
        <f aca="false">IF(B2883="","",IF(E2883="Em ajustes",IF(N2883=_xlfn.MINIFS($N$2:$N$5001,$B$2:$B$5001,B2883,$E$2:$E$5001,"Em ajustes"),1,0),0))</f>
        <v/>
      </c>
      <c r="N2883" s="17" t="str">
        <f aca="false">IF(A2883="","",IF(ISNUMBER(A2883),A2883,IFERROR(DATE(VALUE(MID(A2883,7,4)),VALUE(MID(A2883,4,2)),VALUE(MID(A2883,1,2)))+TIME(VALUE(MID(A2883,12,2)),VALUE(MID(A2883,15,2)),VALUE(MID(A2883,18,2))),"")))</f>
        <v/>
      </c>
    </row>
    <row r="2884" customFormat="false" ht="15" hidden="false" customHeight="false" outlineLevel="0" collapsed="false">
      <c r="I2884" s="15" t="str">
        <f aca="false">IF(N2884="","",INT(N2884))</f>
        <v/>
      </c>
      <c r="J2884" s="16" t="str">
        <f aca="false">IF(B2884="","",IF(N2884=_xlfn.MINIFS($N$2:$N$5001,$B$2:$B$5001,B2884),1,0))</f>
        <v/>
      </c>
      <c r="K2884" s="16" t="str">
        <f aca="false">IF(B2884="","",IF(AND(D2884="Formalização",E2884="Concluído"),IF(COUNTIFS($B$2:$B$5001,B2884,$E$2:$E$5001,"Em ajustes",$N$2:$N$5001,"&lt;"&amp;I2884)&gt;0,1,0),0))</f>
        <v/>
      </c>
      <c r="L2884" s="16" t="str">
        <f aca="false">IF(B2884="","",IF(N2884=_xlfn.MAXIFS($N$2:$N$5001,$B$2:$B$5001,B2884,$I$2:$I$5001,I2884),1,0))</f>
        <v/>
      </c>
      <c r="M2884" s="16" t="str">
        <f aca="false">IF(B2884="","",IF(E2884="Em ajustes",IF(N2884=_xlfn.MINIFS($N$2:$N$5001,$B$2:$B$5001,B2884,$E$2:$E$5001,"Em ajustes"),1,0),0))</f>
        <v/>
      </c>
      <c r="N2884" s="17" t="str">
        <f aca="false">IF(A2884="","",IF(ISNUMBER(A2884),A2884,IFERROR(DATE(VALUE(MID(A2884,7,4)),VALUE(MID(A2884,4,2)),VALUE(MID(A2884,1,2)))+TIME(VALUE(MID(A2884,12,2)),VALUE(MID(A2884,15,2)),VALUE(MID(A2884,18,2))),"")))</f>
        <v/>
      </c>
    </row>
    <row r="2885" customFormat="false" ht="15" hidden="false" customHeight="false" outlineLevel="0" collapsed="false">
      <c r="I2885" s="15" t="str">
        <f aca="false">IF(N2885="","",INT(N2885))</f>
        <v/>
      </c>
      <c r="J2885" s="16" t="str">
        <f aca="false">IF(B2885="","",IF(N2885=_xlfn.MINIFS($N$2:$N$5001,$B$2:$B$5001,B2885),1,0))</f>
        <v/>
      </c>
      <c r="K2885" s="16" t="str">
        <f aca="false">IF(B2885="","",IF(AND(D2885="Formalização",E2885="Concluído"),IF(COUNTIFS($B$2:$B$5001,B2885,$E$2:$E$5001,"Em ajustes",$N$2:$N$5001,"&lt;"&amp;I2885)&gt;0,1,0),0))</f>
        <v/>
      </c>
      <c r="L2885" s="16" t="str">
        <f aca="false">IF(B2885="","",IF(N2885=_xlfn.MAXIFS($N$2:$N$5001,$B$2:$B$5001,B2885,$I$2:$I$5001,I2885),1,0))</f>
        <v/>
      </c>
      <c r="M2885" s="16" t="str">
        <f aca="false">IF(B2885="","",IF(E2885="Em ajustes",IF(N2885=_xlfn.MINIFS($N$2:$N$5001,$B$2:$B$5001,B2885,$E$2:$E$5001,"Em ajustes"),1,0),0))</f>
        <v/>
      </c>
      <c r="N2885" s="17" t="str">
        <f aca="false">IF(A2885="","",IF(ISNUMBER(A2885),A2885,IFERROR(DATE(VALUE(MID(A2885,7,4)),VALUE(MID(A2885,4,2)),VALUE(MID(A2885,1,2)))+TIME(VALUE(MID(A2885,12,2)),VALUE(MID(A2885,15,2)),VALUE(MID(A2885,18,2))),"")))</f>
        <v/>
      </c>
    </row>
    <row r="2886" customFormat="false" ht="15" hidden="false" customHeight="false" outlineLevel="0" collapsed="false">
      <c r="I2886" s="15" t="str">
        <f aca="false">IF(N2886="","",INT(N2886))</f>
        <v/>
      </c>
      <c r="J2886" s="16" t="str">
        <f aca="false">IF(B2886="","",IF(N2886=_xlfn.MINIFS($N$2:$N$5001,$B$2:$B$5001,B2886),1,0))</f>
        <v/>
      </c>
      <c r="K2886" s="16" t="str">
        <f aca="false">IF(B2886="","",IF(AND(D2886="Formalização",E2886="Concluído"),IF(COUNTIFS($B$2:$B$5001,B2886,$E$2:$E$5001,"Em ajustes",$N$2:$N$5001,"&lt;"&amp;I2886)&gt;0,1,0),0))</f>
        <v/>
      </c>
      <c r="L2886" s="16" t="str">
        <f aca="false">IF(B2886="","",IF(N2886=_xlfn.MAXIFS($N$2:$N$5001,$B$2:$B$5001,B2886,$I$2:$I$5001,I2886),1,0))</f>
        <v/>
      </c>
      <c r="M2886" s="16" t="str">
        <f aca="false">IF(B2886="","",IF(E2886="Em ajustes",IF(N2886=_xlfn.MINIFS($N$2:$N$5001,$B$2:$B$5001,B2886,$E$2:$E$5001,"Em ajustes"),1,0),0))</f>
        <v/>
      </c>
      <c r="N2886" s="17" t="str">
        <f aca="false">IF(A2886="","",IF(ISNUMBER(A2886),A2886,IFERROR(DATE(VALUE(MID(A2886,7,4)),VALUE(MID(A2886,4,2)),VALUE(MID(A2886,1,2)))+TIME(VALUE(MID(A2886,12,2)),VALUE(MID(A2886,15,2)),VALUE(MID(A2886,18,2))),"")))</f>
        <v/>
      </c>
    </row>
    <row r="2887" customFormat="false" ht="15" hidden="false" customHeight="false" outlineLevel="0" collapsed="false">
      <c r="I2887" s="15" t="str">
        <f aca="false">IF(N2887="","",INT(N2887))</f>
        <v/>
      </c>
      <c r="J2887" s="16" t="str">
        <f aca="false">IF(B2887="","",IF(N2887=_xlfn.MINIFS($N$2:$N$5001,$B$2:$B$5001,B2887),1,0))</f>
        <v/>
      </c>
      <c r="K2887" s="16" t="str">
        <f aca="false">IF(B2887="","",IF(AND(D2887="Formalização",E2887="Concluído"),IF(COUNTIFS($B$2:$B$5001,B2887,$E$2:$E$5001,"Em ajustes",$N$2:$N$5001,"&lt;"&amp;I2887)&gt;0,1,0),0))</f>
        <v/>
      </c>
      <c r="L2887" s="16" t="str">
        <f aca="false">IF(B2887="","",IF(N2887=_xlfn.MAXIFS($N$2:$N$5001,$B$2:$B$5001,B2887,$I$2:$I$5001,I2887),1,0))</f>
        <v/>
      </c>
      <c r="M2887" s="16" t="str">
        <f aca="false">IF(B2887="","",IF(E2887="Em ajustes",IF(N2887=_xlfn.MINIFS($N$2:$N$5001,$B$2:$B$5001,B2887,$E$2:$E$5001,"Em ajustes"),1,0),0))</f>
        <v/>
      </c>
      <c r="N2887" s="17" t="str">
        <f aca="false">IF(A2887="","",IF(ISNUMBER(A2887),A2887,IFERROR(DATE(VALUE(MID(A2887,7,4)),VALUE(MID(A2887,4,2)),VALUE(MID(A2887,1,2)))+TIME(VALUE(MID(A2887,12,2)),VALUE(MID(A2887,15,2)),VALUE(MID(A2887,18,2))),"")))</f>
        <v/>
      </c>
    </row>
    <row r="2888" customFormat="false" ht="15" hidden="false" customHeight="false" outlineLevel="0" collapsed="false">
      <c r="I2888" s="15" t="str">
        <f aca="false">IF(N2888="","",INT(N2888))</f>
        <v/>
      </c>
      <c r="J2888" s="16" t="str">
        <f aca="false">IF(B2888="","",IF(N2888=_xlfn.MINIFS($N$2:$N$5001,$B$2:$B$5001,B2888),1,0))</f>
        <v/>
      </c>
      <c r="K2888" s="16" t="str">
        <f aca="false">IF(B2888="","",IF(AND(D2888="Formalização",E2888="Concluído"),IF(COUNTIFS($B$2:$B$5001,B2888,$E$2:$E$5001,"Em ajustes",$N$2:$N$5001,"&lt;"&amp;I2888)&gt;0,1,0),0))</f>
        <v/>
      </c>
      <c r="L2888" s="16" t="str">
        <f aca="false">IF(B2888="","",IF(N2888=_xlfn.MAXIFS($N$2:$N$5001,$B$2:$B$5001,B2888,$I$2:$I$5001,I2888),1,0))</f>
        <v/>
      </c>
      <c r="M2888" s="16" t="str">
        <f aca="false">IF(B2888="","",IF(E2888="Em ajustes",IF(N2888=_xlfn.MINIFS($N$2:$N$5001,$B$2:$B$5001,B2888,$E$2:$E$5001,"Em ajustes"),1,0),0))</f>
        <v/>
      </c>
      <c r="N2888" s="17" t="str">
        <f aca="false">IF(A2888="","",IF(ISNUMBER(A2888),A2888,IFERROR(DATE(VALUE(MID(A2888,7,4)),VALUE(MID(A2888,4,2)),VALUE(MID(A2888,1,2)))+TIME(VALUE(MID(A2888,12,2)),VALUE(MID(A2888,15,2)),VALUE(MID(A2888,18,2))),"")))</f>
        <v/>
      </c>
    </row>
    <row r="2889" customFormat="false" ht="15" hidden="false" customHeight="false" outlineLevel="0" collapsed="false">
      <c r="I2889" s="15" t="str">
        <f aca="false">IF(N2889="","",INT(N2889))</f>
        <v/>
      </c>
      <c r="J2889" s="16" t="str">
        <f aca="false">IF(B2889="","",IF(N2889=_xlfn.MINIFS($N$2:$N$5001,$B$2:$B$5001,B2889),1,0))</f>
        <v/>
      </c>
      <c r="K2889" s="16" t="str">
        <f aca="false">IF(B2889="","",IF(AND(D2889="Formalização",E2889="Concluído"),IF(COUNTIFS($B$2:$B$5001,B2889,$E$2:$E$5001,"Em ajustes",$N$2:$N$5001,"&lt;"&amp;I2889)&gt;0,1,0),0))</f>
        <v/>
      </c>
      <c r="L2889" s="16" t="str">
        <f aca="false">IF(B2889="","",IF(N2889=_xlfn.MAXIFS($N$2:$N$5001,$B$2:$B$5001,B2889,$I$2:$I$5001,I2889),1,0))</f>
        <v/>
      </c>
      <c r="M2889" s="16" t="str">
        <f aca="false">IF(B2889="","",IF(E2889="Em ajustes",IF(N2889=_xlfn.MINIFS($N$2:$N$5001,$B$2:$B$5001,B2889,$E$2:$E$5001,"Em ajustes"),1,0),0))</f>
        <v/>
      </c>
      <c r="N2889" s="17" t="str">
        <f aca="false">IF(A2889="","",IF(ISNUMBER(A2889),A2889,IFERROR(DATE(VALUE(MID(A2889,7,4)),VALUE(MID(A2889,4,2)),VALUE(MID(A2889,1,2)))+TIME(VALUE(MID(A2889,12,2)),VALUE(MID(A2889,15,2)),VALUE(MID(A2889,18,2))),"")))</f>
        <v/>
      </c>
    </row>
    <row r="2890" customFormat="false" ht="15" hidden="false" customHeight="false" outlineLevel="0" collapsed="false">
      <c r="I2890" s="15" t="str">
        <f aca="false">IF(N2890="","",INT(N2890))</f>
        <v/>
      </c>
      <c r="J2890" s="16" t="str">
        <f aca="false">IF(B2890="","",IF(N2890=_xlfn.MINIFS($N$2:$N$5001,$B$2:$B$5001,B2890),1,0))</f>
        <v/>
      </c>
      <c r="K2890" s="16" t="str">
        <f aca="false">IF(B2890="","",IF(AND(D2890="Formalização",E2890="Concluído"),IF(COUNTIFS($B$2:$B$5001,B2890,$E$2:$E$5001,"Em ajustes",$N$2:$N$5001,"&lt;"&amp;I2890)&gt;0,1,0),0))</f>
        <v/>
      </c>
      <c r="L2890" s="16" t="str">
        <f aca="false">IF(B2890="","",IF(N2890=_xlfn.MAXIFS($N$2:$N$5001,$B$2:$B$5001,B2890,$I$2:$I$5001,I2890),1,0))</f>
        <v/>
      </c>
      <c r="M2890" s="16" t="str">
        <f aca="false">IF(B2890="","",IF(E2890="Em ajustes",IF(N2890=_xlfn.MINIFS($N$2:$N$5001,$B$2:$B$5001,B2890,$E$2:$E$5001,"Em ajustes"),1,0),0))</f>
        <v/>
      </c>
      <c r="N2890" s="17" t="str">
        <f aca="false">IF(A2890="","",IF(ISNUMBER(A2890),A2890,IFERROR(DATE(VALUE(MID(A2890,7,4)),VALUE(MID(A2890,4,2)),VALUE(MID(A2890,1,2)))+TIME(VALUE(MID(A2890,12,2)),VALUE(MID(A2890,15,2)),VALUE(MID(A2890,18,2))),"")))</f>
        <v/>
      </c>
    </row>
    <row r="2891" customFormat="false" ht="15" hidden="false" customHeight="false" outlineLevel="0" collapsed="false">
      <c r="I2891" s="15" t="str">
        <f aca="false">IF(N2891="","",INT(N2891))</f>
        <v/>
      </c>
      <c r="J2891" s="16" t="str">
        <f aca="false">IF(B2891="","",IF(N2891=_xlfn.MINIFS($N$2:$N$5001,$B$2:$B$5001,B2891),1,0))</f>
        <v/>
      </c>
      <c r="K2891" s="16" t="str">
        <f aca="false">IF(B2891="","",IF(AND(D2891="Formalização",E2891="Concluído"),IF(COUNTIFS($B$2:$B$5001,B2891,$E$2:$E$5001,"Em ajustes",$N$2:$N$5001,"&lt;"&amp;I2891)&gt;0,1,0),0))</f>
        <v/>
      </c>
      <c r="L2891" s="16" t="str">
        <f aca="false">IF(B2891="","",IF(N2891=_xlfn.MAXIFS($N$2:$N$5001,$B$2:$B$5001,B2891,$I$2:$I$5001,I2891),1,0))</f>
        <v/>
      </c>
      <c r="M2891" s="16" t="str">
        <f aca="false">IF(B2891="","",IF(E2891="Em ajustes",IF(N2891=_xlfn.MINIFS($N$2:$N$5001,$B$2:$B$5001,B2891,$E$2:$E$5001,"Em ajustes"),1,0),0))</f>
        <v/>
      </c>
      <c r="N2891" s="17" t="str">
        <f aca="false">IF(A2891="","",IF(ISNUMBER(A2891),A2891,IFERROR(DATE(VALUE(MID(A2891,7,4)),VALUE(MID(A2891,4,2)),VALUE(MID(A2891,1,2)))+TIME(VALUE(MID(A2891,12,2)),VALUE(MID(A2891,15,2)),VALUE(MID(A2891,18,2))),"")))</f>
        <v/>
      </c>
    </row>
    <row r="2892" customFormat="false" ht="15" hidden="false" customHeight="false" outlineLevel="0" collapsed="false">
      <c r="I2892" s="15" t="str">
        <f aca="false">IF(N2892="","",INT(N2892))</f>
        <v/>
      </c>
      <c r="J2892" s="16" t="str">
        <f aca="false">IF(B2892="","",IF(N2892=_xlfn.MINIFS($N$2:$N$5001,$B$2:$B$5001,B2892),1,0))</f>
        <v/>
      </c>
      <c r="K2892" s="16" t="str">
        <f aca="false">IF(B2892="","",IF(AND(D2892="Formalização",E2892="Concluído"),IF(COUNTIFS($B$2:$B$5001,B2892,$E$2:$E$5001,"Em ajustes",$N$2:$N$5001,"&lt;"&amp;I2892)&gt;0,1,0),0))</f>
        <v/>
      </c>
      <c r="L2892" s="16" t="str">
        <f aca="false">IF(B2892="","",IF(N2892=_xlfn.MAXIFS($N$2:$N$5001,$B$2:$B$5001,B2892,$I$2:$I$5001,I2892),1,0))</f>
        <v/>
      </c>
      <c r="M2892" s="16" t="str">
        <f aca="false">IF(B2892="","",IF(E2892="Em ajustes",IF(N2892=_xlfn.MINIFS($N$2:$N$5001,$B$2:$B$5001,B2892,$E$2:$E$5001,"Em ajustes"),1,0),0))</f>
        <v/>
      </c>
      <c r="N2892" s="17" t="str">
        <f aca="false">IF(A2892="","",IF(ISNUMBER(A2892),A2892,IFERROR(DATE(VALUE(MID(A2892,7,4)),VALUE(MID(A2892,4,2)),VALUE(MID(A2892,1,2)))+TIME(VALUE(MID(A2892,12,2)),VALUE(MID(A2892,15,2)),VALUE(MID(A2892,18,2))),"")))</f>
        <v/>
      </c>
    </row>
    <row r="2893" customFormat="false" ht="15" hidden="false" customHeight="false" outlineLevel="0" collapsed="false">
      <c r="I2893" s="15" t="str">
        <f aca="false">IF(N2893="","",INT(N2893))</f>
        <v/>
      </c>
      <c r="J2893" s="16" t="str">
        <f aca="false">IF(B2893="","",IF(N2893=_xlfn.MINIFS($N$2:$N$5001,$B$2:$B$5001,B2893),1,0))</f>
        <v/>
      </c>
      <c r="K2893" s="16" t="str">
        <f aca="false">IF(B2893="","",IF(AND(D2893="Formalização",E2893="Concluído"),IF(COUNTIFS($B$2:$B$5001,B2893,$E$2:$E$5001,"Em ajustes",$N$2:$N$5001,"&lt;"&amp;I2893)&gt;0,1,0),0))</f>
        <v/>
      </c>
      <c r="L2893" s="16" t="str">
        <f aca="false">IF(B2893="","",IF(N2893=_xlfn.MAXIFS($N$2:$N$5001,$B$2:$B$5001,B2893,$I$2:$I$5001,I2893),1,0))</f>
        <v/>
      </c>
      <c r="M2893" s="16" t="str">
        <f aca="false">IF(B2893="","",IF(E2893="Em ajustes",IF(N2893=_xlfn.MINIFS($N$2:$N$5001,$B$2:$B$5001,B2893,$E$2:$E$5001,"Em ajustes"),1,0),0))</f>
        <v/>
      </c>
      <c r="N2893" s="17" t="str">
        <f aca="false">IF(A2893="","",IF(ISNUMBER(A2893),A2893,IFERROR(DATE(VALUE(MID(A2893,7,4)),VALUE(MID(A2893,4,2)),VALUE(MID(A2893,1,2)))+TIME(VALUE(MID(A2893,12,2)),VALUE(MID(A2893,15,2)),VALUE(MID(A2893,18,2))),"")))</f>
        <v/>
      </c>
    </row>
    <row r="2894" customFormat="false" ht="15" hidden="false" customHeight="false" outlineLevel="0" collapsed="false">
      <c r="I2894" s="15" t="str">
        <f aca="false">IF(N2894="","",INT(N2894))</f>
        <v/>
      </c>
      <c r="J2894" s="16" t="str">
        <f aca="false">IF(B2894="","",IF(N2894=_xlfn.MINIFS($N$2:$N$5001,$B$2:$B$5001,B2894),1,0))</f>
        <v/>
      </c>
      <c r="K2894" s="16" t="str">
        <f aca="false">IF(B2894="","",IF(AND(D2894="Formalização",E2894="Concluído"),IF(COUNTIFS($B$2:$B$5001,B2894,$E$2:$E$5001,"Em ajustes",$N$2:$N$5001,"&lt;"&amp;I2894)&gt;0,1,0),0))</f>
        <v/>
      </c>
      <c r="L2894" s="16" t="str">
        <f aca="false">IF(B2894="","",IF(N2894=_xlfn.MAXIFS($N$2:$N$5001,$B$2:$B$5001,B2894,$I$2:$I$5001,I2894),1,0))</f>
        <v/>
      </c>
      <c r="M2894" s="16" t="str">
        <f aca="false">IF(B2894="","",IF(E2894="Em ajustes",IF(N2894=_xlfn.MINIFS($N$2:$N$5001,$B$2:$B$5001,B2894,$E$2:$E$5001,"Em ajustes"),1,0),0))</f>
        <v/>
      </c>
      <c r="N2894" s="17" t="str">
        <f aca="false">IF(A2894="","",IF(ISNUMBER(A2894),A2894,IFERROR(DATE(VALUE(MID(A2894,7,4)),VALUE(MID(A2894,4,2)),VALUE(MID(A2894,1,2)))+TIME(VALUE(MID(A2894,12,2)),VALUE(MID(A2894,15,2)),VALUE(MID(A2894,18,2))),"")))</f>
        <v/>
      </c>
    </row>
    <row r="2895" customFormat="false" ht="15" hidden="false" customHeight="false" outlineLevel="0" collapsed="false">
      <c r="I2895" s="15" t="str">
        <f aca="false">IF(N2895="","",INT(N2895))</f>
        <v/>
      </c>
      <c r="J2895" s="16" t="str">
        <f aca="false">IF(B2895="","",IF(N2895=_xlfn.MINIFS($N$2:$N$5001,$B$2:$B$5001,B2895),1,0))</f>
        <v/>
      </c>
      <c r="K2895" s="16" t="str">
        <f aca="false">IF(B2895="","",IF(AND(D2895="Formalização",E2895="Concluído"),IF(COUNTIFS($B$2:$B$5001,B2895,$E$2:$E$5001,"Em ajustes",$N$2:$N$5001,"&lt;"&amp;I2895)&gt;0,1,0),0))</f>
        <v/>
      </c>
      <c r="L2895" s="16" t="str">
        <f aca="false">IF(B2895="","",IF(N2895=_xlfn.MAXIFS($N$2:$N$5001,$B$2:$B$5001,B2895,$I$2:$I$5001,I2895),1,0))</f>
        <v/>
      </c>
      <c r="M2895" s="16" t="str">
        <f aca="false">IF(B2895="","",IF(E2895="Em ajustes",IF(N2895=_xlfn.MINIFS($N$2:$N$5001,$B$2:$B$5001,B2895,$E$2:$E$5001,"Em ajustes"),1,0),0))</f>
        <v/>
      </c>
      <c r="N2895" s="17" t="str">
        <f aca="false">IF(A2895="","",IF(ISNUMBER(A2895),A2895,IFERROR(DATE(VALUE(MID(A2895,7,4)),VALUE(MID(A2895,4,2)),VALUE(MID(A2895,1,2)))+TIME(VALUE(MID(A2895,12,2)),VALUE(MID(A2895,15,2)),VALUE(MID(A2895,18,2))),"")))</f>
        <v/>
      </c>
    </row>
    <row r="2896" customFormat="false" ht="15" hidden="false" customHeight="false" outlineLevel="0" collapsed="false">
      <c r="I2896" s="15" t="str">
        <f aca="false">IF(N2896="","",INT(N2896))</f>
        <v/>
      </c>
      <c r="J2896" s="16" t="str">
        <f aca="false">IF(B2896="","",IF(N2896=_xlfn.MINIFS($N$2:$N$5001,$B$2:$B$5001,B2896),1,0))</f>
        <v/>
      </c>
      <c r="K2896" s="16" t="str">
        <f aca="false">IF(B2896="","",IF(AND(D2896="Formalização",E2896="Concluído"),IF(COUNTIFS($B$2:$B$5001,B2896,$E$2:$E$5001,"Em ajustes",$N$2:$N$5001,"&lt;"&amp;I2896)&gt;0,1,0),0))</f>
        <v/>
      </c>
      <c r="L2896" s="16" t="str">
        <f aca="false">IF(B2896="","",IF(N2896=_xlfn.MAXIFS($N$2:$N$5001,$B$2:$B$5001,B2896,$I$2:$I$5001,I2896),1,0))</f>
        <v/>
      </c>
      <c r="M2896" s="16" t="str">
        <f aca="false">IF(B2896="","",IF(E2896="Em ajustes",IF(N2896=_xlfn.MINIFS($N$2:$N$5001,$B$2:$B$5001,B2896,$E$2:$E$5001,"Em ajustes"),1,0),0))</f>
        <v/>
      </c>
      <c r="N2896" s="17" t="str">
        <f aca="false">IF(A2896="","",IF(ISNUMBER(A2896),A2896,IFERROR(DATE(VALUE(MID(A2896,7,4)),VALUE(MID(A2896,4,2)),VALUE(MID(A2896,1,2)))+TIME(VALUE(MID(A2896,12,2)),VALUE(MID(A2896,15,2)),VALUE(MID(A2896,18,2))),"")))</f>
        <v/>
      </c>
    </row>
    <row r="2897" customFormat="false" ht="15" hidden="false" customHeight="false" outlineLevel="0" collapsed="false">
      <c r="I2897" s="15" t="str">
        <f aca="false">IF(N2897="","",INT(N2897))</f>
        <v/>
      </c>
      <c r="J2897" s="16" t="str">
        <f aca="false">IF(B2897="","",IF(N2897=_xlfn.MINIFS($N$2:$N$5001,$B$2:$B$5001,B2897),1,0))</f>
        <v/>
      </c>
      <c r="K2897" s="16" t="str">
        <f aca="false">IF(B2897="","",IF(AND(D2897="Formalização",E2897="Concluído"),IF(COUNTIFS($B$2:$B$5001,B2897,$E$2:$E$5001,"Em ajustes",$N$2:$N$5001,"&lt;"&amp;I2897)&gt;0,1,0),0))</f>
        <v/>
      </c>
      <c r="L2897" s="16" t="str">
        <f aca="false">IF(B2897="","",IF(N2897=_xlfn.MAXIFS($N$2:$N$5001,$B$2:$B$5001,B2897,$I$2:$I$5001,I2897),1,0))</f>
        <v/>
      </c>
      <c r="M2897" s="16" t="str">
        <f aca="false">IF(B2897="","",IF(E2897="Em ajustes",IF(N2897=_xlfn.MINIFS($N$2:$N$5001,$B$2:$B$5001,B2897,$E$2:$E$5001,"Em ajustes"),1,0),0))</f>
        <v/>
      </c>
      <c r="N2897" s="17" t="str">
        <f aca="false">IF(A2897="","",IF(ISNUMBER(A2897),A2897,IFERROR(DATE(VALUE(MID(A2897,7,4)),VALUE(MID(A2897,4,2)),VALUE(MID(A2897,1,2)))+TIME(VALUE(MID(A2897,12,2)),VALUE(MID(A2897,15,2)),VALUE(MID(A2897,18,2))),"")))</f>
        <v/>
      </c>
    </row>
    <row r="2898" customFormat="false" ht="15" hidden="false" customHeight="false" outlineLevel="0" collapsed="false">
      <c r="I2898" s="15" t="str">
        <f aca="false">IF(N2898="","",INT(N2898))</f>
        <v/>
      </c>
      <c r="J2898" s="16" t="str">
        <f aca="false">IF(B2898="","",IF(N2898=_xlfn.MINIFS($N$2:$N$5001,$B$2:$B$5001,B2898),1,0))</f>
        <v/>
      </c>
      <c r="K2898" s="16" t="str">
        <f aca="false">IF(B2898="","",IF(AND(D2898="Formalização",E2898="Concluído"),IF(COUNTIFS($B$2:$B$5001,B2898,$E$2:$E$5001,"Em ajustes",$N$2:$N$5001,"&lt;"&amp;I2898)&gt;0,1,0),0))</f>
        <v/>
      </c>
      <c r="L2898" s="16" t="str">
        <f aca="false">IF(B2898="","",IF(N2898=_xlfn.MAXIFS($N$2:$N$5001,$B$2:$B$5001,B2898,$I$2:$I$5001,I2898),1,0))</f>
        <v/>
      </c>
      <c r="M2898" s="16" t="str">
        <f aca="false">IF(B2898="","",IF(E2898="Em ajustes",IF(N2898=_xlfn.MINIFS($N$2:$N$5001,$B$2:$B$5001,B2898,$E$2:$E$5001,"Em ajustes"),1,0),0))</f>
        <v/>
      </c>
      <c r="N2898" s="17" t="str">
        <f aca="false">IF(A2898="","",IF(ISNUMBER(A2898),A2898,IFERROR(DATE(VALUE(MID(A2898,7,4)),VALUE(MID(A2898,4,2)),VALUE(MID(A2898,1,2)))+TIME(VALUE(MID(A2898,12,2)),VALUE(MID(A2898,15,2)),VALUE(MID(A2898,18,2))),"")))</f>
        <v/>
      </c>
    </row>
    <row r="2899" customFormat="false" ht="15" hidden="false" customHeight="false" outlineLevel="0" collapsed="false">
      <c r="I2899" s="15" t="str">
        <f aca="false">IF(N2899="","",INT(N2899))</f>
        <v/>
      </c>
      <c r="J2899" s="16" t="str">
        <f aca="false">IF(B2899="","",IF(N2899=_xlfn.MINIFS($N$2:$N$5001,$B$2:$B$5001,B2899),1,0))</f>
        <v/>
      </c>
      <c r="K2899" s="16" t="str">
        <f aca="false">IF(B2899="","",IF(AND(D2899="Formalização",E2899="Concluído"),IF(COUNTIFS($B$2:$B$5001,B2899,$E$2:$E$5001,"Em ajustes",$N$2:$N$5001,"&lt;"&amp;I2899)&gt;0,1,0),0))</f>
        <v/>
      </c>
      <c r="L2899" s="16" t="str">
        <f aca="false">IF(B2899="","",IF(N2899=_xlfn.MAXIFS($N$2:$N$5001,$B$2:$B$5001,B2899,$I$2:$I$5001,I2899),1,0))</f>
        <v/>
      </c>
      <c r="M2899" s="16" t="str">
        <f aca="false">IF(B2899="","",IF(E2899="Em ajustes",IF(N2899=_xlfn.MINIFS($N$2:$N$5001,$B$2:$B$5001,B2899,$E$2:$E$5001,"Em ajustes"),1,0),0))</f>
        <v/>
      </c>
      <c r="N2899" s="17" t="str">
        <f aca="false">IF(A2899="","",IF(ISNUMBER(A2899),A2899,IFERROR(DATE(VALUE(MID(A2899,7,4)),VALUE(MID(A2899,4,2)),VALUE(MID(A2899,1,2)))+TIME(VALUE(MID(A2899,12,2)),VALUE(MID(A2899,15,2)),VALUE(MID(A2899,18,2))),"")))</f>
        <v/>
      </c>
    </row>
    <row r="2900" customFormat="false" ht="15" hidden="false" customHeight="false" outlineLevel="0" collapsed="false">
      <c r="I2900" s="15" t="str">
        <f aca="false">IF(N2900="","",INT(N2900))</f>
        <v/>
      </c>
      <c r="J2900" s="16" t="str">
        <f aca="false">IF(B2900="","",IF(N2900=_xlfn.MINIFS($N$2:$N$5001,$B$2:$B$5001,B2900),1,0))</f>
        <v/>
      </c>
      <c r="K2900" s="16" t="str">
        <f aca="false">IF(B2900="","",IF(AND(D2900="Formalização",E2900="Concluído"),IF(COUNTIFS($B$2:$B$5001,B2900,$E$2:$E$5001,"Em ajustes",$N$2:$N$5001,"&lt;"&amp;I2900)&gt;0,1,0),0))</f>
        <v/>
      </c>
      <c r="L2900" s="16" t="str">
        <f aca="false">IF(B2900="","",IF(N2900=_xlfn.MAXIFS($N$2:$N$5001,$B$2:$B$5001,B2900,$I$2:$I$5001,I2900),1,0))</f>
        <v/>
      </c>
      <c r="M2900" s="16" t="str">
        <f aca="false">IF(B2900="","",IF(E2900="Em ajustes",IF(N2900=_xlfn.MINIFS($N$2:$N$5001,$B$2:$B$5001,B2900,$E$2:$E$5001,"Em ajustes"),1,0),0))</f>
        <v/>
      </c>
      <c r="N2900" s="17" t="str">
        <f aca="false">IF(A2900="","",IF(ISNUMBER(A2900),A2900,IFERROR(DATE(VALUE(MID(A2900,7,4)),VALUE(MID(A2900,4,2)),VALUE(MID(A2900,1,2)))+TIME(VALUE(MID(A2900,12,2)),VALUE(MID(A2900,15,2)),VALUE(MID(A2900,18,2))),"")))</f>
        <v/>
      </c>
    </row>
    <row r="2901" customFormat="false" ht="15" hidden="false" customHeight="false" outlineLevel="0" collapsed="false">
      <c r="I2901" s="15" t="str">
        <f aca="false">IF(N2901="","",INT(N2901))</f>
        <v/>
      </c>
      <c r="J2901" s="16" t="str">
        <f aca="false">IF(B2901="","",IF(N2901=_xlfn.MINIFS($N$2:$N$5001,$B$2:$B$5001,B2901),1,0))</f>
        <v/>
      </c>
      <c r="K2901" s="16" t="str">
        <f aca="false">IF(B2901="","",IF(AND(D2901="Formalização",E2901="Concluído"),IF(COUNTIFS($B$2:$B$5001,B2901,$E$2:$E$5001,"Em ajustes",$N$2:$N$5001,"&lt;"&amp;I2901)&gt;0,1,0),0))</f>
        <v/>
      </c>
      <c r="L2901" s="16" t="str">
        <f aca="false">IF(B2901="","",IF(N2901=_xlfn.MAXIFS($N$2:$N$5001,$B$2:$B$5001,B2901,$I$2:$I$5001,I2901),1,0))</f>
        <v/>
      </c>
      <c r="M2901" s="16" t="str">
        <f aca="false">IF(B2901="","",IF(E2901="Em ajustes",IF(N2901=_xlfn.MINIFS($N$2:$N$5001,$B$2:$B$5001,B2901,$E$2:$E$5001,"Em ajustes"),1,0),0))</f>
        <v/>
      </c>
      <c r="N2901" s="17" t="str">
        <f aca="false">IF(A2901="","",IF(ISNUMBER(A2901),A2901,IFERROR(DATE(VALUE(MID(A2901,7,4)),VALUE(MID(A2901,4,2)),VALUE(MID(A2901,1,2)))+TIME(VALUE(MID(A2901,12,2)),VALUE(MID(A2901,15,2)),VALUE(MID(A2901,18,2))),"")))</f>
        <v/>
      </c>
    </row>
    <row r="2902" customFormat="false" ht="15" hidden="false" customHeight="false" outlineLevel="0" collapsed="false">
      <c r="I2902" s="15" t="str">
        <f aca="false">IF(N2902="","",INT(N2902))</f>
        <v/>
      </c>
      <c r="J2902" s="16" t="str">
        <f aca="false">IF(B2902="","",IF(N2902=_xlfn.MINIFS($N$2:$N$5001,$B$2:$B$5001,B2902),1,0))</f>
        <v/>
      </c>
      <c r="K2902" s="16" t="str">
        <f aca="false">IF(B2902="","",IF(AND(D2902="Formalização",E2902="Concluído"),IF(COUNTIFS($B$2:$B$5001,B2902,$E$2:$E$5001,"Em ajustes",$N$2:$N$5001,"&lt;"&amp;I2902)&gt;0,1,0),0))</f>
        <v/>
      </c>
      <c r="L2902" s="16" t="str">
        <f aca="false">IF(B2902="","",IF(N2902=_xlfn.MAXIFS($N$2:$N$5001,$B$2:$B$5001,B2902,$I$2:$I$5001,I2902),1,0))</f>
        <v/>
      </c>
      <c r="M2902" s="16" t="str">
        <f aca="false">IF(B2902="","",IF(E2902="Em ajustes",IF(N2902=_xlfn.MINIFS($N$2:$N$5001,$B$2:$B$5001,B2902,$E$2:$E$5001,"Em ajustes"),1,0),0))</f>
        <v/>
      </c>
      <c r="N2902" s="17" t="str">
        <f aca="false">IF(A2902="","",IF(ISNUMBER(A2902),A2902,IFERROR(DATE(VALUE(MID(A2902,7,4)),VALUE(MID(A2902,4,2)),VALUE(MID(A2902,1,2)))+TIME(VALUE(MID(A2902,12,2)),VALUE(MID(A2902,15,2)),VALUE(MID(A2902,18,2))),"")))</f>
        <v/>
      </c>
    </row>
    <row r="2903" customFormat="false" ht="15" hidden="false" customHeight="false" outlineLevel="0" collapsed="false">
      <c r="I2903" s="15" t="str">
        <f aca="false">IF(N2903="","",INT(N2903))</f>
        <v/>
      </c>
      <c r="J2903" s="16" t="str">
        <f aca="false">IF(B2903="","",IF(N2903=_xlfn.MINIFS($N$2:$N$5001,$B$2:$B$5001,B2903),1,0))</f>
        <v/>
      </c>
      <c r="K2903" s="16" t="str">
        <f aca="false">IF(B2903="","",IF(AND(D2903="Formalização",E2903="Concluído"),IF(COUNTIFS($B$2:$B$5001,B2903,$E$2:$E$5001,"Em ajustes",$N$2:$N$5001,"&lt;"&amp;I2903)&gt;0,1,0),0))</f>
        <v/>
      </c>
      <c r="L2903" s="16" t="str">
        <f aca="false">IF(B2903="","",IF(N2903=_xlfn.MAXIFS($N$2:$N$5001,$B$2:$B$5001,B2903,$I$2:$I$5001,I2903),1,0))</f>
        <v/>
      </c>
      <c r="M2903" s="16" t="str">
        <f aca="false">IF(B2903="","",IF(E2903="Em ajustes",IF(N2903=_xlfn.MINIFS($N$2:$N$5001,$B$2:$B$5001,B2903,$E$2:$E$5001,"Em ajustes"),1,0),0))</f>
        <v/>
      </c>
      <c r="N2903" s="17" t="str">
        <f aca="false">IF(A2903="","",IF(ISNUMBER(A2903),A2903,IFERROR(DATE(VALUE(MID(A2903,7,4)),VALUE(MID(A2903,4,2)),VALUE(MID(A2903,1,2)))+TIME(VALUE(MID(A2903,12,2)),VALUE(MID(A2903,15,2)),VALUE(MID(A2903,18,2))),"")))</f>
        <v/>
      </c>
    </row>
    <row r="2904" customFormat="false" ht="15" hidden="false" customHeight="false" outlineLevel="0" collapsed="false">
      <c r="I2904" s="15" t="str">
        <f aca="false">IF(N2904="","",INT(N2904))</f>
        <v/>
      </c>
      <c r="J2904" s="16" t="str">
        <f aca="false">IF(B2904="","",IF(N2904=_xlfn.MINIFS($N$2:$N$5001,$B$2:$B$5001,B2904),1,0))</f>
        <v/>
      </c>
      <c r="K2904" s="16" t="str">
        <f aca="false">IF(B2904="","",IF(AND(D2904="Formalização",E2904="Concluído"),IF(COUNTIFS($B$2:$B$5001,B2904,$E$2:$E$5001,"Em ajustes",$N$2:$N$5001,"&lt;"&amp;I2904)&gt;0,1,0),0))</f>
        <v/>
      </c>
      <c r="L2904" s="16" t="str">
        <f aca="false">IF(B2904="","",IF(N2904=_xlfn.MAXIFS($N$2:$N$5001,$B$2:$B$5001,B2904,$I$2:$I$5001,I2904),1,0))</f>
        <v/>
      </c>
      <c r="M2904" s="16" t="str">
        <f aca="false">IF(B2904="","",IF(E2904="Em ajustes",IF(N2904=_xlfn.MINIFS($N$2:$N$5001,$B$2:$B$5001,B2904,$E$2:$E$5001,"Em ajustes"),1,0),0))</f>
        <v/>
      </c>
      <c r="N2904" s="17" t="str">
        <f aca="false">IF(A2904="","",IF(ISNUMBER(A2904),A2904,IFERROR(DATE(VALUE(MID(A2904,7,4)),VALUE(MID(A2904,4,2)),VALUE(MID(A2904,1,2)))+TIME(VALUE(MID(A2904,12,2)),VALUE(MID(A2904,15,2)),VALUE(MID(A2904,18,2))),"")))</f>
        <v/>
      </c>
    </row>
    <row r="2905" customFormat="false" ht="15" hidden="false" customHeight="false" outlineLevel="0" collapsed="false">
      <c r="I2905" s="15" t="str">
        <f aca="false">IF(N2905="","",INT(N2905))</f>
        <v/>
      </c>
      <c r="J2905" s="16" t="str">
        <f aca="false">IF(B2905="","",IF(N2905=_xlfn.MINIFS($N$2:$N$5001,$B$2:$B$5001,B2905),1,0))</f>
        <v/>
      </c>
      <c r="K2905" s="16" t="str">
        <f aca="false">IF(B2905="","",IF(AND(D2905="Formalização",E2905="Concluído"),IF(COUNTIFS($B$2:$B$5001,B2905,$E$2:$E$5001,"Em ajustes",$N$2:$N$5001,"&lt;"&amp;I2905)&gt;0,1,0),0))</f>
        <v/>
      </c>
      <c r="L2905" s="16" t="str">
        <f aca="false">IF(B2905="","",IF(N2905=_xlfn.MAXIFS($N$2:$N$5001,$B$2:$B$5001,B2905,$I$2:$I$5001,I2905),1,0))</f>
        <v/>
      </c>
      <c r="M2905" s="16" t="str">
        <f aca="false">IF(B2905="","",IF(E2905="Em ajustes",IF(N2905=_xlfn.MINIFS($N$2:$N$5001,$B$2:$B$5001,B2905,$E$2:$E$5001,"Em ajustes"),1,0),0))</f>
        <v/>
      </c>
      <c r="N2905" s="17" t="str">
        <f aca="false">IF(A2905="","",IF(ISNUMBER(A2905),A2905,IFERROR(DATE(VALUE(MID(A2905,7,4)),VALUE(MID(A2905,4,2)),VALUE(MID(A2905,1,2)))+TIME(VALUE(MID(A2905,12,2)),VALUE(MID(A2905,15,2)),VALUE(MID(A2905,18,2))),"")))</f>
        <v/>
      </c>
    </row>
    <row r="2906" customFormat="false" ht="15" hidden="false" customHeight="false" outlineLevel="0" collapsed="false">
      <c r="I2906" s="15" t="str">
        <f aca="false">IF(N2906="","",INT(N2906))</f>
        <v/>
      </c>
      <c r="J2906" s="16" t="str">
        <f aca="false">IF(B2906="","",IF(N2906=_xlfn.MINIFS($N$2:$N$5001,$B$2:$B$5001,B2906),1,0))</f>
        <v/>
      </c>
      <c r="K2906" s="16" t="str">
        <f aca="false">IF(B2906="","",IF(AND(D2906="Formalização",E2906="Concluído"),IF(COUNTIFS($B$2:$B$5001,B2906,$E$2:$E$5001,"Em ajustes",$N$2:$N$5001,"&lt;"&amp;I2906)&gt;0,1,0),0))</f>
        <v/>
      </c>
      <c r="L2906" s="16" t="str">
        <f aca="false">IF(B2906="","",IF(N2906=_xlfn.MAXIFS($N$2:$N$5001,$B$2:$B$5001,B2906,$I$2:$I$5001,I2906),1,0))</f>
        <v/>
      </c>
      <c r="M2906" s="16" t="str">
        <f aca="false">IF(B2906="","",IF(E2906="Em ajustes",IF(N2906=_xlfn.MINIFS($N$2:$N$5001,$B$2:$B$5001,B2906,$E$2:$E$5001,"Em ajustes"),1,0),0))</f>
        <v/>
      </c>
      <c r="N2906" s="17" t="str">
        <f aca="false">IF(A2906="","",IF(ISNUMBER(A2906),A2906,IFERROR(DATE(VALUE(MID(A2906,7,4)),VALUE(MID(A2906,4,2)),VALUE(MID(A2906,1,2)))+TIME(VALUE(MID(A2906,12,2)),VALUE(MID(A2906,15,2)),VALUE(MID(A2906,18,2))),"")))</f>
        <v/>
      </c>
    </row>
    <row r="2907" customFormat="false" ht="15" hidden="false" customHeight="false" outlineLevel="0" collapsed="false">
      <c r="I2907" s="15" t="str">
        <f aca="false">IF(N2907="","",INT(N2907))</f>
        <v/>
      </c>
      <c r="J2907" s="16" t="str">
        <f aca="false">IF(B2907="","",IF(N2907=_xlfn.MINIFS($N$2:$N$5001,$B$2:$B$5001,B2907),1,0))</f>
        <v/>
      </c>
      <c r="K2907" s="16" t="str">
        <f aca="false">IF(B2907="","",IF(AND(D2907="Formalização",E2907="Concluído"),IF(COUNTIFS($B$2:$B$5001,B2907,$E$2:$E$5001,"Em ajustes",$N$2:$N$5001,"&lt;"&amp;I2907)&gt;0,1,0),0))</f>
        <v/>
      </c>
      <c r="L2907" s="16" t="str">
        <f aca="false">IF(B2907="","",IF(N2907=_xlfn.MAXIFS($N$2:$N$5001,$B$2:$B$5001,B2907,$I$2:$I$5001,I2907),1,0))</f>
        <v/>
      </c>
      <c r="M2907" s="16" t="str">
        <f aca="false">IF(B2907="","",IF(E2907="Em ajustes",IF(N2907=_xlfn.MINIFS($N$2:$N$5001,$B$2:$B$5001,B2907,$E$2:$E$5001,"Em ajustes"),1,0),0))</f>
        <v/>
      </c>
      <c r="N2907" s="17" t="str">
        <f aca="false">IF(A2907="","",IF(ISNUMBER(A2907),A2907,IFERROR(DATE(VALUE(MID(A2907,7,4)),VALUE(MID(A2907,4,2)),VALUE(MID(A2907,1,2)))+TIME(VALUE(MID(A2907,12,2)),VALUE(MID(A2907,15,2)),VALUE(MID(A2907,18,2))),"")))</f>
        <v/>
      </c>
    </row>
    <row r="2908" customFormat="false" ht="15" hidden="false" customHeight="false" outlineLevel="0" collapsed="false">
      <c r="I2908" s="15" t="str">
        <f aca="false">IF(N2908="","",INT(N2908))</f>
        <v/>
      </c>
      <c r="J2908" s="16" t="str">
        <f aca="false">IF(B2908="","",IF(N2908=_xlfn.MINIFS($N$2:$N$5001,$B$2:$B$5001,B2908),1,0))</f>
        <v/>
      </c>
      <c r="K2908" s="16" t="str">
        <f aca="false">IF(B2908="","",IF(AND(D2908="Formalização",E2908="Concluído"),IF(COUNTIFS($B$2:$B$5001,B2908,$E$2:$E$5001,"Em ajustes",$N$2:$N$5001,"&lt;"&amp;I2908)&gt;0,1,0),0))</f>
        <v/>
      </c>
      <c r="L2908" s="16" t="str">
        <f aca="false">IF(B2908="","",IF(N2908=_xlfn.MAXIFS($N$2:$N$5001,$B$2:$B$5001,B2908,$I$2:$I$5001,I2908),1,0))</f>
        <v/>
      </c>
      <c r="M2908" s="16" t="str">
        <f aca="false">IF(B2908="","",IF(E2908="Em ajustes",IF(N2908=_xlfn.MINIFS($N$2:$N$5001,$B$2:$B$5001,B2908,$E$2:$E$5001,"Em ajustes"),1,0),0))</f>
        <v/>
      </c>
      <c r="N2908" s="17" t="str">
        <f aca="false">IF(A2908="","",IF(ISNUMBER(A2908),A2908,IFERROR(DATE(VALUE(MID(A2908,7,4)),VALUE(MID(A2908,4,2)),VALUE(MID(A2908,1,2)))+TIME(VALUE(MID(A2908,12,2)),VALUE(MID(A2908,15,2)),VALUE(MID(A2908,18,2))),"")))</f>
        <v/>
      </c>
    </row>
    <row r="2909" customFormat="false" ht="15" hidden="false" customHeight="false" outlineLevel="0" collapsed="false">
      <c r="I2909" s="15" t="str">
        <f aca="false">IF(N2909="","",INT(N2909))</f>
        <v/>
      </c>
      <c r="J2909" s="16" t="str">
        <f aca="false">IF(B2909="","",IF(N2909=_xlfn.MINIFS($N$2:$N$5001,$B$2:$B$5001,B2909),1,0))</f>
        <v/>
      </c>
      <c r="K2909" s="16" t="str">
        <f aca="false">IF(B2909="","",IF(AND(D2909="Formalização",E2909="Concluído"),IF(COUNTIFS($B$2:$B$5001,B2909,$E$2:$E$5001,"Em ajustes",$N$2:$N$5001,"&lt;"&amp;I2909)&gt;0,1,0),0))</f>
        <v/>
      </c>
      <c r="L2909" s="16" t="str">
        <f aca="false">IF(B2909="","",IF(N2909=_xlfn.MAXIFS($N$2:$N$5001,$B$2:$B$5001,B2909,$I$2:$I$5001,I2909),1,0))</f>
        <v/>
      </c>
      <c r="M2909" s="16" t="str">
        <f aca="false">IF(B2909="","",IF(E2909="Em ajustes",IF(N2909=_xlfn.MINIFS($N$2:$N$5001,$B$2:$B$5001,B2909,$E$2:$E$5001,"Em ajustes"),1,0),0))</f>
        <v/>
      </c>
      <c r="N2909" s="17" t="str">
        <f aca="false">IF(A2909="","",IF(ISNUMBER(A2909),A2909,IFERROR(DATE(VALUE(MID(A2909,7,4)),VALUE(MID(A2909,4,2)),VALUE(MID(A2909,1,2)))+TIME(VALUE(MID(A2909,12,2)),VALUE(MID(A2909,15,2)),VALUE(MID(A2909,18,2))),"")))</f>
        <v/>
      </c>
    </row>
    <row r="2910" customFormat="false" ht="15" hidden="false" customHeight="false" outlineLevel="0" collapsed="false">
      <c r="I2910" s="15" t="str">
        <f aca="false">IF(N2910="","",INT(N2910))</f>
        <v/>
      </c>
      <c r="J2910" s="16" t="str">
        <f aca="false">IF(B2910="","",IF(N2910=_xlfn.MINIFS($N$2:$N$5001,$B$2:$B$5001,B2910),1,0))</f>
        <v/>
      </c>
      <c r="K2910" s="16" t="str">
        <f aca="false">IF(B2910="","",IF(AND(D2910="Formalização",E2910="Concluído"),IF(COUNTIFS($B$2:$B$5001,B2910,$E$2:$E$5001,"Em ajustes",$N$2:$N$5001,"&lt;"&amp;I2910)&gt;0,1,0),0))</f>
        <v/>
      </c>
      <c r="L2910" s="16" t="str">
        <f aca="false">IF(B2910="","",IF(N2910=_xlfn.MAXIFS($N$2:$N$5001,$B$2:$B$5001,B2910,$I$2:$I$5001,I2910),1,0))</f>
        <v/>
      </c>
      <c r="M2910" s="16" t="str">
        <f aca="false">IF(B2910="","",IF(E2910="Em ajustes",IF(N2910=_xlfn.MINIFS($N$2:$N$5001,$B$2:$B$5001,B2910,$E$2:$E$5001,"Em ajustes"),1,0),0))</f>
        <v/>
      </c>
      <c r="N2910" s="17" t="str">
        <f aca="false">IF(A2910="","",IF(ISNUMBER(A2910),A2910,IFERROR(DATE(VALUE(MID(A2910,7,4)),VALUE(MID(A2910,4,2)),VALUE(MID(A2910,1,2)))+TIME(VALUE(MID(A2910,12,2)),VALUE(MID(A2910,15,2)),VALUE(MID(A2910,18,2))),"")))</f>
        <v/>
      </c>
    </row>
    <row r="2911" customFormat="false" ht="15" hidden="false" customHeight="false" outlineLevel="0" collapsed="false">
      <c r="I2911" s="15" t="str">
        <f aca="false">IF(N2911="","",INT(N2911))</f>
        <v/>
      </c>
      <c r="J2911" s="16" t="str">
        <f aca="false">IF(B2911="","",IF(N2911=_xlfn.MINIFS($N$2:$N$5001,$B$2:$B$5001,B2911),1,0))</f>
        <v/>
      </c>
      <c r="K2911" s="16" t="str">
        <f aca="false">IF(B2911="","",IF(AND(D2911="Formalização",E2911="Concluído"),IF(COUNTIFS($B$2:$B$5001,B2911,$E$2:$E$5001,"Em ajustes",$N$2:$N$5001,"&lt;"&amp;I2911)&gt;0,1,0),0))</f>
        <v/>
      </c>
      <c r="L2911" s="16" t="str">
        <f aca="false">IF(B2911="","",IF(N2911=_xlfn.MAXIFS($N$2:$N$5001,$B$2:$B$5001,B2911,$I$2:$I$5001,I2911),1,0))</f>
        <v/>
      </c>
      <c r="M2911" s="16" t="str">
        <f aca="false">IF(B2911="","",IF(E2911="Em ajustes",IF(N2911=_xlfn.MINIFS($N$2:$N$5001,$B$2:$B$5001,B2911,$E$2:$E$5001,"Em ajustes"),1,0),0))</f>
        <v/>
      </c>
      <c r="N2911" s="17" t="str">
        <f aca="false">IF(A2911="","",IF(ISNUMBER(A2911),A2911,IFERROR(DATE(VALUE(MID(A2911,7,4)),VALUE(MID(A2911,4,2)),VALUE(MID(A2911,1,2)))+TIME(VALUE(MID(A2911,12,2)),VALUE(MID(A2911,15,2)),VALUE(MID(A2911,18,2))),"")))</f>
        <v/>
      </c>
    </row>
    <row r="2912" customFormat="false" ht="15" hidden="false" customHeight="false" outlineLevel="0" collapsed="false">
      <c r="I2912" s="15" t="str">
        <f aca="false">IF(N2912="","",INT(N2912))</f>
        <v/>
      </c>
      <c r="J2912" s="16" t="str">
        <f aca="false">IF(B2912="","",IF(N2912=_xlfn.MINIFS($N$2:$N$5001,$B$2:$B$5001,B2912),1,0))</f>
        <v/>
      </c>
      <c r="K2912" s="16" t="str">
        <f aca="false">IF(B2912="","",IF(AND(D2912="Formalização",E2912="Concluído"),IF(COUNTIFS($B$2:$B$5001,B2912,$E$2:$E$5001,"Em ajustes",$N$2:$N$5001,"&lt;"&amp;I2912)&gt;0,1,0),0))</f>
        <v/>
      </c>
      <c r="L2912" s="16" t="str">
        <f aca="false">IF(B2912="","",IF(N2912=_xlfn.MAXIFS($N$2:$N$5001,$B$2:$B$5001,B2912,$I$2:$I$5001,I2912),1,0))</f>
        <v/>
      </c>
      <c r="M2912" s="16" t="str">
        <f aca="false">IF(B2912="","",IF(E2912="Em ajustes",IF(N2912=_xlfn.MINIFS($N$2:$N$5001,$B$2:$B$5001,B2912,$E$2:$E$5001,"Em ajustes"),1,0),0))</f>
        <v/>
      </c>
      <c r="N2912" s="17" t="str">
        <f aca="false">IF(A2912="","",IF(ISNUMBER(A2912),A2912,IFERROR(DATE(VALUE(MID(A2912,7,4)),VALUE(MID(A2912,4,2)),VALUE(MID(A2912,1,2)))+TIME(VALUE(MID(A2912,12,2)),VALUE(MID(A2912,15,2)),VALUE(MID(A2912,18,2))),"")))</f>
        <v/>
      </c>
    </row>
    <row r="2913" customFormat="false" ht="15" hidden="false" customHeight="false" outlineLevel="0" collapsed="false">
      <c r="I2913" s="15" t="str">
        <f aca="false">IF(N2913="","",INT(N2913))</f>
        <v/>
      </c>
      <c r="J2913" s="16" t="str">
        <f aca="false">IF(B2913="","",IF(N2913=_xlfn.MINIFS($N$2:$N$5001,$B$2:$B$5001,B2913),1,0))</f>
        <v/>
      </c>
      <c r="K2913" s="16" t="str">
        <f aca="false">IF(B2913="","",IF(AND(D2913="Formalização",E2913="Concluído"),IF(COUNTIFS($B$2:$B$5001,B2913,$E$2:$E$5001,"Em ajustes",$N$2:$N$5001,"&lt;"&amp;I2913)&gt;0,1,0),0))</f>
        <v/>
      </c>
      <c r="L2913" s="16" t="str">
        <f aca="false">IF(B2913="","",IF(N2913=_xlfn.MAXIFS($N$2:$N$5001,$B$2:$B$5001,B2913,$I$2:$I$5001,I2913),1,0))</f>
        <v/>
      </c>
      <c r="M2913" s="16" t="str">
        <f aca="false">IF(B2913="","",IF(E2913="Em ajustes",IF(N2913=_xlfn.MINIFS($N$2:$N$5001,$B$2:$B$5001,B2913,$E$2:$E$5001,"Em ajustes"),1,0),0))</f>
        <v/>
      </c>
      <c r="N2913" s="17" t="str">
        <f aca="false">IF(A2913="","",IF(ISNUMBER(A2913),A2913,IFERROR(DATE(VALUE(MID(A2913,7,4)),VALUE(MID(A2913,4,2)),VALUE(MID(A2913,1,2)))+TIME(VALUE(MID(A2913,12,2)),VALUE(MID(A2913,15,2)),VALUE(MID(A2913,18,2))),"")))</f>
        <v/>
      </c>
    </row>
    <row r="2914" customFormat="false" ht="15" hidden="false" customHeight="false" outlineLevel="0" collapsed="false">
      <c r="I2914" s="15" t="str">
        <f aca="false">IF(N2914="","",INT(N2914))</f>
        <v/>
      </c>
      <c r="J2914" s="16" t="str">
        <f aca="false">IF(B2914="","",IF(N2914=_xlfn.MINIFS($N$2:$N$5001,$B$2:$B$5001,B2914),1,0))</f>
        <v/>
      </c>
      <c r="K2914" s="16" t="str">
        <f aca="false">IF(B2914="","",IF(AND(D2914="Formalização",E2914="Concluído"),IF(COUNTIFS($B$2:$B$5001,B2914,$E$2:$E$5001,"Em ajustes",$N$2:$N$5001,"&lt;"&amp;I2914)&gt;0,1,0),0))</f>
        <v/>
      </c>
      <c r="L2914" s="16" t="str">
        <f aca="false">IF(B2914="","",IF(N2914=_xlfn.MAXIFS($N$2:$N$5001,$B$2:$B$5001,B2914,$I$2:$I$5001,I2914),1,0))</f>
        <v/>
      </c>
      <c r="M2914" s="16" t="str">
        <f aca="false">IF(B2914="","",IF(E2914="Em ajustes",IF(N2914=_xlfn.MINIFS($N$2:$N$5001,$B$2:$B$5001,B2914,$E$2:$E$5001,"Em ajustes"),1,0),0))</f>
        <v/>
      </c>
      <c r="N2914" s="17" t="str">
        <f aca="false">IF(A2914="","",IF(ISNUMBER(A2914),A2914,IFERROR(DATE(VALUE(MID(A2914,7,4)),VALUE(MID(A2914,4,2)),VALUE(MID(A2914,1,2)))+TIME(VALUE(MID(A2914,12,2)),VALUE(MID(A2914,15,2)),VALUE(MID(A2914,18,2))),"")))</f>
        <v/>
      </c>
    </row>
    <row r="2915" customFormat="false" ht="15" hidden="false" customHeight="false" outlineLevel="0" collapsed="false">
      <c r="I2915" s="15" t="str">
        <f aca="false">IF(N2915="","",INT(N2915))</f>
        <v/>
      </c>
      <c r="J2915" s="16" t="str">
        <f aca="false">IF(B2915="","",IF(N2915=_xlfn.MINIFS($N$2:$N$5001,$B$2:$B$5001,B2915),1,0))</f>
        <v/>
      </c>
      <c r="K2915" s="16" t="str">
        <f aca="false">IF(B2915="","",IF(AND(D2915="Formalização",E2915="Concluído"),IF(COUNTIFS($B$2:$B$5001,B2915,$E$2:$E$5001,"Em ajustes",$N$2:$N$5001,"&lt;"&amp;I2915)&gt;0,1,0),0))</f>
        <v/>
      </c>
      <c r="L2915" s="16" t="str">
        <f aca="false">IF(B2915="","",IF(N2915=_xlfn.MAXIFS($N$2:$N$5001,$B$2:$B$5001,B2915,$I$2:$I$5001,I2915),1,0))</f>
        <v/>
      </c>
      <c r="M2915" s="16" t="str">
        <f aca="false">IF(B2915="","",IF(E2915="Em ajustes",IF(N2915=_xlfn.MINIFS($N$2:$N$5001,$B$2:$B$5001,B2915,$E$2:$E$5001,"Em ajustes"),1,0),0))</f>
        <v/>
      </c>
      <c r="N2915" s="17" t="str">
        <f aca="false">IF(A2915="","",IF(ISNUMBER(A2915),A2915,IFERROR(DATE(VALUE(MID(A2915,7,4)),VALUE(MID(A2915,4,2)),VALUE(MID(A2915,1,2)))+TIME(VALUE(MID(A2915,12,2)),VALUE(MID(A2915,15,2)),VALUE(MID(A2915,18,2))),"")))</f>
        <v/>
      </c>
    </row>
    <row r="2916" customFormat="false" ht="15" hidden="false" customHeight="false" outlineLevel="0" collapsed="false">
      <c r="I2916" s="15" t="str">
        <f aca="false">IF(N2916="","",INT(N2916))</f>
        <v/>
      </c>
      <c r="J2916" s="16" t="str">
        <f aca="false">IF(B2916="","",IF(N2916=_xlfn.MINIFS($N$2:$N$5001,$B$2:$B$5001,B2916),1,0))</f>
        <v/>
      </c>
      <c r="K2916" s="16" t="str">
        <f aca="false">IF(B2916="","",IF(AND(D2916="Formalização",E2916="Concluído"),IF(COUNTIFS($B$2:$B$5001,B2916,$E$2:$E$5001,"Em ajustes",$N$2:$N$5001,"&lt;"&amp;I2916)&gt;0,1,0),0))</f>
        <v/>
      </c>
      <c r="L2916" s="16" t="str">
        <f aca="false">IF(B2916="","",IF(N2916=_xlfn.MAXIFS($N$2:$N$5001,$B$2:$B$5001,B2916,$I$2:$I$5001,I2916),1,0))</f>
        <v/>
      </c>
      <c r="M2916" s="16" t="str">
        <f aca="false">IF(B2916="","",IF(E2916="Em ajustes",IF(N2916=_xlfn.MINIFS($N$2:$N$5001,$B$2:$B$5001,B2916,$E$2:$E$5001,"Em ajustes"),1,0),0))</f>
        <v/>
      </c>
      <c r="N2916" s="17" t="str">
        <f aca="false">IF(A2916="","",IF(ISNUMBER(A2916),A2916,IFERROR(DATE(VALUE(MID(A2916,7,4)),VALUE(MID(A2916,4,2)),VALUE(MID(A2916,1,2)))+TIME(VALUE(MID(A2916,12,2)),VALUE(MID(A2916,15,2)),VALUE(MID(A2916,18,2))),"")))</f>
        <v/>
      </c>
    </row>
    <row r="2917" customFormat="false" ht="15" hidden="false" customHeight="false" outlineLevel="0" collapsed="false">
      <c r="I2917" s="15" t="str">
        <f aca="false">IF(N2917="","",INT(N2917))</f>
        <v/>
      </c>
      <c r="J2917" s="16" t="str">
        <f aca="false">IF(B2917="","",IF(N2917=_xlfn.MINIFS($N$2:$N$5001,$B$2:$B$5001,B2917),1,0))</f>
        <v/>
      </c>
      <c r="K2917" s="16" t="str">
        <f aca="false">IF(B2917="","",IF(AND(D2917="Formalização",E2917="Concluído"),IF(COUNTIFS($B$2:$B$5001,B2917,$E$2:$E$5001,"Em ajustes",$N$2:$N$5001,"&lt;"&amp;I2917)&gt;0,1,0),0))</f>
        <v/>
      </c>
      <c r="L2917" s="16" t="str">
        <f aca="false">IF(B2917="","",IF(N2917=_xlfn.MAXIFS($N$2:$N$5001,$B$2:$B$5001,B2917,$I$2:$I$5001,I2917),1,0))</f>
        <v/>
      </c>
      <c r="M2917" s="16" t="str">
        <f aca="false">IF(B2917="","",IF(E2917="Em ajustes",IF(N2917=_xlfn.MINIFS($N$2:$N$5001,$B$2:$B$5001,B2917,$E$2:$E$5001,"Em ajustes"),1,0),0))</f>
        <v/>
      </c>
      <c r="N2917" s="17" t="str">
        <f aca="false">IF(A2917="","",IF(ISNUMBER(A2917),A2917,IFERROR(DATE(VALUE(MID(A2917,7,4)),VALUE(MID(A2917,4,2)),VALUE(MID(A2917,1,2)))+TIME(VALUE(MID(A2917,12,2)),VALUE(MID(A2917,15,2)),VALUE(MID(A2917,18,2))),"")))</f>
        <v/>
      </c>
    </row>
    <row r="2918" customFormat="false" ht="15" hidden="false" customHeight="false" outlineLevel="0" collapsed="false">
      <c r="I2918" s="15" t="str">
        <f aca="false">IF(N2918="","",INT(N2918))</f>
        <v/>
      </c>
      <c r="J2918" s="16" t="str">
        <f aca="false">IF(B2918="","",IF(N2918=_xlfn.MINIFS($N$2:$N$5001,$B$2:$B$5001,B2918),1,0))</f>
        <v/>
      </c>
      <c r="K2918" s="16" t="str">
        <f aca="false">IF(B2918="","",IF(AND(D2918="Formalização",E2918="Concluído"),IF(COUNTIFS($B$2:$B$5001,B2918,$E$2:$E$5001,"Em ajustes",$N$2:$N$5001,"&lt;"&amp;I2918)&gt;0,1,0),0))</f>
        <v/>
      </c>
      <c r="L2918" s="16" t="str">
        <f aca="false">IF(B2918="","",IF(N2918=_xlfn.MAXIFS($N$2:$N$5001,$B$2:$B$5001,B2918,$I$2:$I$5001,I2918),1,0))</f>
        <v/>
      </c>
      <c r="M2918" s="16" t="str">
        <f aca="false">IF(B2918="","",IF(E2918="Em ajustes",IF(N2918=_xlfn.MINIFS($N$2:$N$5001,$B$2:$B$5001,B2918,$E$2:$E$5001,"Em ajustes"),1,0),0))</f>
        <v/>
      </c>
      <c r="N2918" s="17" t="str">
        <f aca="false">IF(A2918="","",IF(ISNUMBER(A2918),A2918,IFERROR(DATE(VALUE(MID(A2918,7,4)),VALUE(MID(A2918,4,2)),VALUE(MID(A2918,1,2)))+TIME(VALUE(MID(A2918,12,2)),VALUE(MID(A2918,15,2)),VALUE(MID(A2918,18,2))),"")))</f>
        <v/>
      </c>
    </row>
    <row r="2919" customFormat="false" ht="15" hidden="false" customHeight="false" outlineLevel="0" collapsed="false">
      <c r="I2919" s="15" t="str">
        <f aca="false">IF(N2919="","",INT(N2919))</f>
        <v/>
      </c>
      <c r="J2919" s="16" t="str">
        <f aca="false">IF(B2919="","",IF(N2919=_xlfn.MINIFS($N$2:$N$5001,$B$2:$B$5001,B2919),1,0))</f>
        <v/>
      </c>
      <c r="K2919" s="16" t="str">
        <f aca="false">IF(B2919="","",IF(AND(D2919="Formalização",E2919="Concluído"),IF(COUNTIFS($B$2:$B$5001,B2919,$E$2:$E$5001,"Em ajustes",$N$2:$N$5001,"&lt;"&amp;I2919)&gt;0,1,0),0))</f>
        <v/>
      </c>
      <c r="L2919" s="16" t="str">
        <f aca="false">IF(B2919="","",IF(N2919=_xlfn.MAXIFS($N$2:$N$5001,$B$2:$B$5001,B2919,$I$2:$I$5001,I2919),1,0))</f>
        <v/>
      </c>
      <c r="M2919" s="16" t="str">
        <f aca="false">IF(B2919="","",IF(E2919="Em ajustes",IF(N2919=_xlfn.MINIFS($N$2:$N$5001,$B$2:$B$5001,B2919,$E$2:$E$5001,"Em ajustes"),1,0),0))</f>
        <v/>
      </c>
      <c r="N2919" s="17" t="str">
        <f aca="false">IF(A2919="","",IF(ISNUMBER(A2919),A2919,IFERROR(DATE(VALUE(MID(A2919,7,4)),VALUE(MID(A2919,4,2)),VALUE(MID(A2919,1,2)))+TIME(VALUE(MID(A2919,12,2)),VALUE(MID(A2919,15,2)),VALUE(MID(A2919,18,2))),"")))</f>
        <v/>
      </c>
    </row>
    <row r="2920" customFormat="false" ht="15" hidden="false" customHeight="false" outlineLevel="0" collapsed="false">
      <c r="I2920" s="15" t="str">
        <f aca="false">IF(N2920="","",INT(N2920))</f>
        <v/>
      </c>
      <c r="J2920" s="16" t="str">
        <f aca="false">IF(B2920="","",IF(N2920=_xlfn.MINIFS($N$2:$N$5001,$B$2:$B$5001,B2920),1,0))</f>
        <v/>
      </c>
      <c r="K2920" s="16" t="str">
        <f aca="false">IF(B2920="","",IF(AND(D2920="Formalização",E2920="Concluído"),IF(COUNTIFS($B$2:$B$5001,B2920,$E$2:$E$5001,"Em ajustes",$N$2:$N$5001,"&lt;"&amp;I2920)&gt;0,1,0),0))</f>
        <v/>
      </c>
      <c r="L2920" s="16" t="str">
        <f aca="false">IF(B2920="","",IF(N2920=_xlfn.MAXIFS($N$2:$N$5001,$B$2:$B$5001,B2920,$I$2:$I$5001,I2920),1,0))</f>
        <v/>
      </c>
      <c r="M2920" s="16" t="str">
        <f aca="false">IF(B2920="","",IF(E2920="Em ajustes",IF(N2920=_xlfn.MINIFS($N$2:$N$5001,$B$2:$B$5001,B2920,$E$2:$E$5001,"Em ajustes"),1,0),0))</f>
        <v/>
      </c>
      <c r="N2920" s="17" t="str">
        <f aca="false">IF(A2920="","",IF(ISNUMBER(A2920),A2920,IFERROR(DATE(VALUE(MID(A2920,7,4)),VALUE(MID(A2920,4,2)),VALUE(MID(A2920,1,2)))+TIME(VALUE(MID(A2920,12,2)),VALUE(MID(A2920,15,2)),VALUE(MID(A2920,18,2))),"")))</f>
        <v/>
      </c>
    </row>
    <row r="2921" customFormat="false" ht="15" hidden="false" customHeight="false" outlineLevel="0" collapsed="false">
      <c r="I2921" s="15" t="str">
        <f aca="false">IF(N2921="","",INT(N2921))</f>
        <v/>
      </c>
      <c r="J2921" s="16" t="str">
        <f aca="false">IF(B2921="","",IF(N2921=_xlfn.MINIFS($N$2:$N$5001,$B$2:$B$5001,B2921),1,0))</f>
        <v/>
      </c>
      <c r="K2921" s="16" t="str">
        <f aca="false">IF(B2921="","",IF(AND(D2921="Formalização",E2921="Concluído"),IF(COUNTIFS($B$2:$B$5001,B2921,$E$2:$E$5001,"Em ajustes",$N$2:$N$5001,"&lt;"&amp;I2921)&gt;0,1,0),0))</f>
        <v/>
      </c>
      <c r="L2921" s="16" t="str">
        <f aca="false">IF(B2921="","",IF(N2921=_xlfn.MAXIFS($N$2:$N$5001,$B$2:$B$5001,B2921,$I$2:$I$5001,I2921),1,0))</f>
        <v/>
      </c>
      <c r="M2921" s="16" t="str">
        <f aca="false">IF(B2921="","",IF(E2921="Em ajustes",IF(N2921=_xlfn.MINIFS($N$2:$N$5001,$B$2:$B$5001,B2921,$E$2:$E$5001,"Em ajustes"),1,0),0))</f>
        <v/>
      </c>
      <c r="N2921" s="17" t="str">
        <f aca="false">IF(A2921="","",IF(ISNUMBER(A2921),A2921,IFERROR(DATE(VALUE(MID(A2921,7,4)),VALUE(MID(A2921,4,2)),VALUE(MID(A2921,1,2)))+TIME(VALUE(MID(A2921,12,2)),VALUE(MID(A2921,15,2)),VALUE(MID(A2921,18,2))),"")))</f>
        <v/>
      </c>
    </row>
    <row r="2922" customFormat="false" ht="15" hidden="false" customHeight="false" outlineLevel="0" collapsed="false">
      <c r="I2922" s="15" t="str">
        <f aca="false">IF(N2922="","",INT(N2922))</f>
        <v/>
      </c>
      <c r="J2922" s="16" t="str">
        <f aca="false">IF(B2922="","",IF(N2922=_xlfn.MINIFS($N$2:$N$5001,$B$2:$B$5001,B2922),1,0))</f>
        <v/>
      </c>
      <c r="K2922" s="16" t="str">
        <f aca="false">IF(B2922="","",IF(AND(D2922="Formalização",E2922="Concluído"),IF(COUNTIFS($B$2:$B$5001,B2922,$E$2:$E$5001,"Em ajustes",$N$2:$N$5001,"&lt;"&amp;I2922)&gt;0,1,0),0))</f>
        <v/>
      </c>
      <c r="L2922" s="16" t="str">
        <f aca="false">IF(B2922="","",IF(N2922=_xlfn.MAXIFS($N$2:$N$5001,$B$2:$B$5001,B2922,$I$2:$I$5001,I2922),1,0))</f>
        <v/>
      </c>
      <c r="M2922" s="16" t="str">
        <f aca="false">IF(B2922="","",IF(E2922="Em ajustes",IF(N2922=_xlfn.MINIFS($N$2:$N$5001,$B$2:$B$5001,B2922,$E$2:$E$5001,"Em ajustes"),1,0),0))</f>
        <v/>
      </c>
      <c r="N2922" s="17" t="str">
        <f aca="false">IF(A2922="","",IF(ISNUMBER(A2922),A2922,IFERROR(DATE(VALUE(MID(A2922,7,4)),VALUE(MID(A2922,4,2)),VALUE(MID(A2922,1,2)))+TIME(VALUE(MID(A2922,12,2)),VALUE(MID(A2922,15,2)),VALUE(MID(A2922,18,2))),"")))</f>
        <v/>
      </c>
    </row>
    <row r="2923" customFormat="false" ht="15" hidden="false" customHeight="false" outlineLevel="0" collapsed="false">
      <c r="I2923" s="15" t="str">
        <f aca="false">IF(N2923="","",INT(N2923))</f>
        <v/>
      </c>
      <c r="J2923" s="16" t="str">
        <f aca="false">IF(B2923="","",IF(N2923=_xlfn.MINIFS($N$2:$N$5001,$B$2:$B$5001,B2923),1,0))</f>
        <v/>
      </c>
      <c r="K2923" s="16" t="str">
        <f aca="false">IF(B2923="","",IF(AND(D2923="Formalização",E2923="Concluído"),IF(COUNTIFS($B$2:$B$5001,B2923,$E$2:$E$5001,"Em ajustes",$N$2:$N$5001,"&lt;"&amp;I2923)&gt;0,1,0),0))</f>
        <v/>
      </c>
      <c r="L2923" s="16" t="str">
        <f aca="false">IF(B2923="","",IF(N2923=_xlfn.MAXIFS($N$2:$N$5001,$B$2:$B$5001,B2923,$I$2:$I$5001,I2923),1,0))</f>
        <v/>
      </c>
      <c r="M2923" s="16" t="str">
        <f aca="false">IF(B2923="","",IF(E2923="Em ajustes",IF(N2923=_xlfn.MINIFS($N$2:$N$5001,$B$2:$B$5001,B2923,$E$2:$E$5001,"Em ajustes"),1,0),0))</f>
        <v/>
      </c>
      <c r="N2923" s="17" t="str">
        <f aca="false">IF(A2923="","",IF(ISNUMBER(A2923),A2923,IFERROR(DATE(VALUE(MID(A2923,7,4)),VALUE(MID(A2923,4,2)),VALUE(MID(A2923,1,2)))+TIME(VALUE(MID(A2923,12,2)),VALUE(MID(A2923,15,2)),VALUE(MID(A2923,18,2))),"")))</f>
        <v/>
      </c>
    </row>
    <row r="2924" customFormat="false" ht="15" hidden="false" customHeight="false" outlineLevel="0" collapsed="false">
      <c r="I2924" s="15" t="str">
        <f aca="false">IF(N2924="","",INT(N2924))</f>
        <v/>
      </c>
      <c r="J2924" s="16" t="str">
        <f aca="false">IF(B2924="","",IF(N2924=_xlfn.MINIFS($N$2:$N$5001,$B$2:$B$5001,B2924),1,0))</f>
        <v/>
      </c>
      <c r="K2924" s="16" t="str">
        <f aca="false">IF(B2924="","",IF(AND(D2924="Formalização",E2924="Concluído"),IF(COUNTIFS($B$2:$B$5001,B2924,$E$2:$E$5001,"Em ajustes",$N$2:$N$5001,"&lt;"&amp;I2924)&gt;0,1,0),0))</f>
        <v/>
      </c>
      <c r="L2924" s="16" t="str">
        <f aca="false">IF(B2924="","",IF(N2924=_xlfn.MAXIFS($N$2:$N$5001,$B$2:$B$5001,B2924,$I$2:$I$5001,I2924),1,0))</f>
        <v/>
      </c>
      <c r="M2924" s="16" t="str">
        <f aca="false">IF(B2924="","",IF(E2924="Em ajustes",IF(N2924=_xlfn.MINIFS($N$2:$N$5001,$B$2:$B$5001,B2924,$E$2:$E$5001,"Em ajustes"),1,0),0))</f>
        <v/>
      </c>
      <c r="N2924" s="17" t="str">
        <f aca="false">IF(A2924="","",IF(ISNUMBER(A2924),A2924,IFERROR(DATE(VALUE(MID(A2924,7,4)),VALUE(MID(A2924,4,2)),VALUE(MID(A2924,1,2)))+TIME(VALUE(MID(A2924,12,2)),VALUE(MID(A2924,15,2)),VALUE(MID(A2924,18,2))),"")))</f>
        <v/>
      </c>
    </row>
    <row r="2925" customFormat="false" ht="15" hidden="false" customHeight="false" outlineLevel="0" collapsed="false">
      <c r="I2925" s="15" t="str">
        <f aca="false">IF(N2925="","",INT(N2925))</f>
        <v/>
      </c>
      <c r="J2925" s="16" t="str">
        <f aca="false">IF(B2925="","",IF(N2925=_xlfn.MINIFS($N$2:$N$5001,$B$2:$B$5001,B2925),1,0))</f>
        <v/>
      </c>
      <c r="K2925" s="16" t="str">
        <f aca="false">IF(B2925="","",IF(AND(D2925="Formalização",E2925="Concluído"),IF(COUNTIFS($B$2:$B$5001,B2925,$E$2:$E$5001,"Em ajustes",$N$2:$N$5001,"&lt;"&amp;I2925)&gt;0,1,0),0))</f>
        <v/>
      </c>
      <c r="L2925" s="16" t="str">
        <f aca="false">IF(B2925="","",IF(N2925=_xlfn.MAXIFS($N$2:$N$5001,$B$2:$B$5001,B2925,$I$2:$I$5001,I2925),1,0))</f>
        <v/>
      </c>
      <c r="M2925" s="16" t="str">
        <f aca="false">IF(B2925="","",IF(E2925="Em ajustes",IF(N2925=_xlfn.MINIFS($N$2:$N$5001,$B$2:$B$5001,B2925,$E$2:$E$5001,"Em ajustes"),1,0),0))</f>
        <v/>
      </c>
      <c r="N2925" s="17" t="str">
        <f aca="false">IF(A2925="","",IF(ISNUMBER(A2925),A2925,IFERROR(DATE(VALUE(MID(A2925,7,4)),VALUE(MID(A2925,4,2)),VALUE(MID(A2925,1,2)))+TIME(VALUE(MID(A2925,12,2)),VALUE(MID(A2925,15,2)),VALUE(MID(A2925,18,2))),"")))</f>
        <v/>
      </c>
    </row>
    <row r="2926" customFormat="false" ht="15" hidden="false" customHeight="false" outlineLevel="0" collapsed="false">
      <c r="I2926" s="15" t="str">
        <f aca="false">IF(N2926="","",INT(N2926))</f>
        <v/>
      </c>
      <c r="J2926" s="16" t="str">
        <f aca="false">IF(B2926="","",IF(N2926=_xlfn.MINIFS($N$2:$N$5001,$B$2:$B$5001,B2926),1,0))</f>
        <v/>
      </c>
      <c r="K2926" s="16" t="str">
        <f aca="false">IF(B2926="","",IF(AND(D2926="Formalização",E2926="Concluído"),IF(COUNTIFS($B$2:$B$5001,B2926,$E$2:$E$5001,"Em ajustes",$N$2:$N$5001,"&lt;"&amp;I2926)&gt;0,1,0),0))</f>
        <v/>
      </c>
      <c r="L2926" s="16" t="str">
        <f aca="false">IF(B2926="","",IF(N2926=_xlfn.MAXIFS($N$2:$N$5001,$B$2:$B$5001,B2926,$I$2:$I$5001,I2926),1,0))</f>
        <v/>
      </c>
      <c r="M2926" s="16" t="str">
        <f aca="false">IF(B2926="","",IF(E2926="Em ajustes",IF(N2926=_xlfn.MINIFS($N$2:$N$5001,$B$2:$B$5001,B2926,$E$2:$E$5001,"Em ajustes"),1,0),0))</f>
        <v/>
      </c>
      <c r="N2926" s="17" t="str">
        <f aca="false">IF(A2926="","",IF(ISNUMBER(A2926),A2926,IFERROR(DATE(VALUE(MID(A2926,7,4)),VALUE(MID(A2926,4,2)),VALUE(MID(A2926,1,2)))+TIME(VALUE(MID(A2926,12,2)),VALUE(MID(A2926,15,2)),VALUE(MID(A2926,18,2))),"")))</f>
        <v/>
      </c>
    </row>
    <row r="2927" customFormat="false" ht="15" hidden="false" customHeight="false" outlineLevel="0" collapsed="false">
      <c r="I2927" s="15" t="str">
        <f aca="false">IF(N2927="","",INT(N2927))</f>
        <v/>
      </c>
      <c r="J2927" s="16" t="str">
        <f aca="false">IF(B2927="","",IF(N2927=_xlfn.MINIFS($N$2:$N$5001,$B$2:$B$5001,B2927),1,0))</f>
        <v/>
      </c>
      <c r="K2927" s="16" t="str">
        <f aca="false">IF(B2927="","",IF(AND(D2927="Formalização",E2927="Concluído"),IF(COUNTIFS($B$2:$B$5001,B2927,$E$2:$E$5001,"Em ajustes",$N$2:$N$5001,"&lt;"&amp;I2927)&gt;0,1,0),0))</f>
        <v/>
      </c>
      <c r="L2927" s="16" t="str">
        <f aca="false">IF(B2927="","",IF(N2927=_xlfn.MAXIFS($N$2:$N$5001,$B$2:$B$5001,B2927,$I$2:$I$5001,I2927),1,0))</f>
        <v/>
      </c>
      <c r="M2927" s="16" t="str">
        <f aca="false">IF(B2927="","",IF(E2927="Em ajustes",IF(N2927=_xlfn.MINIFS($N$2:$N$5001,$B$2:$B$5001,B2927,$E$2:$E$5001,"Em ajustes"),1,0),0))</f>
        <v/>
      </c>
      <c r="N2927" s="17" t="str">
        <f aca="false">IF(A2927="","",IF(ISNUMBER(A2927),A2927,IFERROR(DATE(VALUE(MID(A2927,7,4)),VALUE(MID(A2927,4,2)),VALUE(MID(A2927,1,2)))+TIME(VALUE(MID(A2927,12,2)),VALUE(MID(A2927,15,2)),VALUE(MID(A2927,18,2))),"")))</f>
        <v/>
      </c>
    </row>
    <row r="2928" customFormat="false" ht="15" hidden="false" customHeight="false" outlineLevel="0" collapsed="false">
      <c r="I2928" s="15" t="str">
        <f aca="false">IF(N2928="","",INT(N2928))</f>
        <v/>
      </c>
      <c r="J2928" s="16" t="str">
        <f aca="false">IF(B2928="","",IF(N2928=_xlfn.MINIFS($N$2:$N$5001,$B$2:$B$5001,B2928),1,0))</f>
        <v/>
      </c>
      <c r="K2928" s="16" t="str">
        <f aca="false">IF(B2928="","",IF(AND(D2928="Formalização",E2928="Concluído"),IF(COUNTIFS($B$2:$B$5001,B2928,$E$2:$E$5001,"Em ajustes",$N$2:$N$5001,"&lt;"&amp;I2928)&gt;0,1,0),0))</f>
        <v/>
      </c>
      <c r="L2928" s="16" t="str">
        <f aca="false">IF(B2928="","",IF(N2928=_xlfn.MAXIFS($N$2:$N$5001,$B$2:$B$5001,B2928,$I$2:$I$5001,I2928),1,0))</f>
        <v/>
      </c>
      <c r="M2928" s="16" t="str">
        <f aca="false">IF(B2928="","",IF(E2928="Em ajustes",IF(N2928=_xlfn.MINIFS($N$2:$N$5001,$B$2:$B$5001,B2928,$E$2:$E$5001,"Em ajustes"),1,0),0))</f>
        <v/>
      </c>
      <c r="N2928" s="17" t="str">
        <f aca="false">IF(A2928="","",IF(ISNUMBER(A2928),A2928,IFERROR(DATE(VALUE(MID(A2928,7,4)),VALUE(MID(A2928,4,2)),VALUE(MID(A2928,1,2)))+TIME(VALUE(MID(A2928,12,2)),VALUE(MID(A2928,15,2)),VALUE(MID(A2928,18,2))),"")))</f>
        <v/>
      </c>
    </row>
    <row r="2929" customFormat="false" ht="15" hidden="false" customHeight="false" outlineLevel="0" collapsed="false">
      <c r="I2929" s="15" t="str">
        <f aca="false">IF(N2929="","",INT(N2929))</f>
        <v/>
      </c>
      <c r="J2929" s="16" t="str">
        <f aca="false">IF(B2929="","",IF(N2929=_xlfn.MINIFS($N$2:$N$5001,$B$2:$B$5001,B2929),1,0))</f>
        <v/>
      </c>
      <c r="K2929" s="16" t="str">
        <f aca="false">IF(B2929="","",IF(AND(D2929="Formalização",E2929="Concluído"),IF(COUNTIFS($B$2:$B$5001,B2929,$E$2:$E$5001,"Em ajustes",$N$2:$N$5001,"&lt;"&amp;I2929)&gt;0,1,0),0))</f>
        <v/>
      </c>
      <c r="L2929" s="16" t="str">
        <f aca="false">IF(B2929="","",IF(N2929=_xlfn.MAXIFS($N$2:$N$5001,$B$2:$B$5001,B2929,$I$2:$I$5001,I2929),1,0))</f>
        <v/>
      </c>
      <c r="M2929" s="16" t="str">
        <f aca="false">IF(B2929="","",IF(E2929="Em ajustes",IF(N2929=_xlfn.MINIFS($N$2:$N$5001,$B$2:$B$5001,B2929,$E$2:$E$5001,"Em ajustes"),1,0),0))</f>
        <v/>
      </c>
      <c r="N2929" s="17" t="str">
        <f aca="false">IF(A2929="","",IF(ISNUMBER(A2929),A2929,IFERROR(DATE(VALUE(MID(A2929,7,4)),VALUE(MID(A2929,4,2)),VALUE(MID(A2929,1,2)))+TIME(VALUE(MID(A2929,12,2)),VALUE(MID(A2929,15,2)),VALUE(MID(A2929,18,2))),"")))</f>
        <v/>
      </c>
    </row>
    <row r="2930" customFormat="false" ht="15" hidden="false" customHeight="false" outlineLevel="0" collapsed="false">
      <c r="I2930" s="15" t="str">
        <f aca="false">IF(N2930="","",INT(N2930))</f>
        <v/>
      </c>
      <c r="J2930" s="16" t="str">
        <f aca="false">IF(B2930="","",IF(N2930=_xlfn.MINIFS($N$2:$N$5001,$B$2:$B$5001,B2930),1,0))</f>
        <v/>
      </c>
      <c r="K2930" s="16" t="str">
        <f aca="false">IF(B2930="","",IF(AND(D2930="Formalização",E2930="Concluído"),IF(COUNTIFS($B$2:$B$5001,B2930,$E$2:$E$5001,"Em ajustes",$N$2:$N$5001,"&lt;"&amp;I2930)&gt;0,1,0),0))</f>
        <v/>
      </c>
      <c r="L2930" s="16" t="str">
        <f aca="false">IF(B2930="","",IF(N2930=_xlfn.MAXIFS($N$2:$N$5001,$B$2:$B$5001,B2930,$I$2:$I$5001,I2930),1,0))</f>
        <v/>
      </c>
      <c r="M2930" s="16" t="str">
        <f aca="false">IF(B2930="","",IF(E2930="Em ajustes",IF(N2930=_xlfn.MINIFS($N$2:$N$5001,$B$2:$B$5001,B2930,$E$2:$E$5001,"Em ajustes"),1,0),0))</f>
        <v/>
      </c>
      <c r="N2930" s="17" t="str">
        <f aca="false">IF(A2930="","",IF(ISNUMBER(A2930),A2930,IFERROR(DATE(VALUE(MID(A2930,7,4)),VALUE(MID(A2930,4,2)),VALUE(MID(A2930,1,2)))+TIME(VALUE(MID(A2930,12,2)),VALUE(MID(A2930,15,2)),VALUE(MID(A2930,18,2))),"")))</f>
        <v/>
      </c>
    </row>
    <row r="2931" customFormat="false" ht="15" hidden="false" customHeight="false" outlineLevel="0" collapsed="false">
      <c r="I2931" s="15" t="str">
        <f aca="false">IF(N2931="","",INT(N2931))</f>
        <v/>
      </c>
      <c r="J2931" s="16" t="str">
        <f aca="false">IF(B2931="","",IF(N2931=_xlfn.MINIFS($N$2:$N$5001,$B$2:$B$5001,B2931),1,0))</f>
        <v/>
      </c>
      <c r="K2931" s="16" t="str">
        <f aca="false">IF(B2931="","",IF(AND(D2931="Formalização",E2931="Concluído"),IF(COUNTIFS($B$2:$B$5001,B2931,$E$2:$E$5001,"Em ajustes",$N$2:$N$5001,"&lt;"&amp;I2931)&gt;0,1,0),0))</f>
        <v/>
      </c>
      <c r="L2931" s="16" t="str">
        <f aca="false">IF(B2931="","",IF(N2931=_xlfn.MAXIFS($N$2:$N$5001,$B$2:$B$5001,B2931,$I$2:$I$5001,I2931),1,0))</f>
        <v/>
      </c>
      <c r="M2931" s="16" t="str">
        <f aca="false">IF(B2931="","",IF(E2931="Em ajustes",IF(N2931=_xlfn.MINIFS($N$2:$N$5001,$B$2:$B$5001,B2931,$E$2:$E$5001,"Em ajustes"),1,0),0))</f>
        <v/>
      </c>
      <c r="N2931" s="17" t="str">
        <f aca="false">IF(A2931="","",IF(ISNUMBER(A2931),A2931,IFERROR(DATE(VALUE(MID(A2931,7,4)),VALUE(MID(A2931,4,2)),VALUE(MID(A2931,1,2)))+TIME(VALUE(MID(A2931,12,2)),VALUE(MID(A2931,15,2)),VALUE(MID(A2931,18,2))),"")))</f>
        <v/>
      </c>
    </row>
    <row r="2932" customFormat="false" ht="15" hidden="false" customHeight="false" outlineLevel="0" collapsed="false">
      <c r="I2932" s="15" t="str">
        <f aca="false">IF(N2932="","",INT(N2932))</f>
        <v/>
      </c>
      <c r="J2932" s="16" t="str">
        <f aca="false">IF(B2932="","",IF(N2932=_xlfn.MINIFS($N$2:$N$5001,$B$2:$B$5001,B2932),1,0))</f>
        <v/>
      </c>
      <c r="K2932" s="16" t="str">
        <f aca="false">IF(B2932="","",IF(AND(D2932="Formalização",E2932="Concluído"),IF(COUNTIFS($B$2:$B$5001,B2932,$E$2:$E$5001,"Em ajustes",$N$2:$N$5001,"&lt;"&amp;I2932)&gt;0,1,0),0))</f>
        <v/>
      </c>
      <c r="L2932" s="16" t="str">
        <f aca="false">IF(B2932="","",IF(N2932=_xlfn.MAXIFS($N$2:$N$5001,$B$2:$B$5001,B2932,$I$2:$I$5001,I2932),1,0))</f>
        <v/>
      </c>
      <c r="M2932" s="16" t="str">
        <f aca="false">IF(B2932="","",IF(E2932="Em ajustes",IF(N2932=_xlfn.MINIFS($N$2:$N$5001,$B$2:$B$5001,B2932,$E$2:$E$5001,"Em ajustes"),1,0),0))</f>
        <v/>
      </c>
      <c r="N2932" s="17" t="str">
        <f aca="false">IF(A2932="","",IF(ISNUMBER(A2932),A2932,IFERROR(DATE(VALUE(MID(A2932,7,4)),VALUE(MID(A2932,4,2)),VALUE(MID(A2932,1,2)))+TIME(VALUE(MID(A2932,12,2)),VALUE(MID(A2932,15,2)),VALUE(MID(A2932,18,2))),"")))</f>
        <v/>
      </c>
    </row>
    <row r="2933" customFormat="false" ht="15" hidden="false" customHeight="false" outlineLevel="0" collapsed="false">
      <c r="I2933" s="15" t="str">
        <f aca="false">IF(N2933="","",INT(N2933))</f>
        <v/>
      </c>
      <c r="J2933" s="16" t="str">
        <f aca="false">IF(B2933="","",IF(N2933=_xlfn.MINIFS($N$2:$N$5001,$B$2:$B$5001,B2933),1,0))</f>
        <v/>
      </c>
      <c r="K2933" s="16" t="str">
        <f aca="false">IF(B2933="","",IF(AND(D2933="Formalização",E2933="Concluído"),IF(COUNTIFS($B$2:$B$5001,B2933,$E$2:$E$5001,"Em ajustes",$N$2:$N$5001,"&lt;"&amp;I2933)&gt;0,1,0),0))</f>
        <v/>
      </c>
      <c r="L2933" s="16" t="str">
        <f aca="false">IF(B2933="","",IF(N2933=_xlfn.MAXIFS($N$2:$N$5001,$B$2:$B$5001,B2933,$I$2:$I$5001,I2933),1,0))</f>
        <v/>
      </c>
      <c r="M2933" s="16" t="str">
        <f aca="false">IF(B2933="","",IF(E2933="Em ajustes",IF(N2933=_xlfn.MINIFS($N$2:$N$5001,$B$2:$B$5001,B2933,$E$2:$E$5001,"Em ajustes"),1,0),0))</f>
        <v/>
      </c>
      <c r="N2933" s="17" t="str">
        <f aca="false">IF(A2933="","",IF(ISNUMBER(A2933),A2933,IFERROR(DATE(VALUE(MID(A2933,7,4)),VALUE(MID(A2933,4,2)),VALUE(MID(A2933,1,2)))+TIME(VALUE(MID(A2933,12,2)),VALUE(MID(A2933,15,2)),VALUE(MID(A2933,18,2))),"")))</f>
        <v/>
      </c>
    </row>
    <row r="2934" customFormat="false" ht="15" hidden="false" customHeight="false" outlineLevel="0" collapsed="false">
      <c r="I2934" s="15" t="str">
        <f aca="false">IF(N2934="","",INT(N2934))</f>
        <v/>
      </c>
      <c r="J2934" s="16" t="str">
        <f aca="false">IF(B2934="","",IF(N2934=_xlfn.MINIFS($N$2:$N$5001,$B$2:$B$5001,B2934),1,0))</f>
        <v/>
      </c>
      <c r="K2934" s="16" t="str">
        <f aca="false">IF(B2934="","",IF(AND(D2934="Formalização",E2934="Concluído"),IF(COUNTIFS($B$2:$B$5001,B2934,$E$2:$E$5001,"Em ajustes",$N$2:$N$5001,"&lt;"&amp;I2934)&gt;0,1,0),0))</f>
        <v/>
      </c>
      <c r="L2934" s="16" t="str">
        <f aca="false">IF(B2934="","",IF(N2934=_xlfn.MAXIFS($N$2:$N$5001,$B$2:$B$5001,B2934,$I$2:$I$5001,I2934),1,0))</f>
        <v/>
      </c>
      <c r="M2934" s="16" t="str">
        <f aca="false">IF(B2934="","",IF(E2934="Em ajustes",IF(N2934=_xlfn.MINIFS($N$2:$N$5001,$B$2:$B$5001,B2934,$E$2:$E$5001,"Em ajustes"),1,0),0))</f>
        <v/>
      </c>
      <c r="N2934" s="17" t="str">
        <f aca="false">IF(A2934="","",IF(ISNUMBER(A2934),A2934,IFERROR(DATE(VALUE(MID(A2934,7,4)),VALUE(MID(A2934,4,2)),VALUE(MID(A2934,1,2)))+TIME(VALUE(MID(A2934,12,2)),VALUE(MID(A2934,15,2)),VALUE(MID(A2934,18,2))),"")))</f>
        <v/>
      </c>
    </row>
    <row r="2935" customFormat="false" ht="15" hidden="false" customHeight="false" outlineLevel="0" collapsed="false">
      <c r="I2935" s="15" t="str">
        <f aca="false">IF(N2935="","",INT(N2935))</f>
        <v/>
      </c>
      <c r="J2935" s="16" t="str">
        <f aca="false">IF(B2935="","",IF(N2935=_xlfn.MINIFS($N$2:$N$5001,$B$2:$B$5001,B2935),1,0))</f>
        <v/>
      </c>
      <c r="K2935" s="16" t="str">
        <f aca="false">IF(B2935="","",IF(AND(D2935="Formalização",E2935="Concluído"),IF(COUNTIFS($B$2:$B$5001,B2935,$E$2:$E$5001,"Em ajustes",$N$2:$N$5001,"&lt;"&amp;I2935)&gt;0,1,0),0))</f>
        <v/>
      </c>
      <c r="L2935" s="16" t="str">
        <f aca="false">IF(B2935="","",IF(N2935=_xlfn.MAXIFS($N$2:$N$5001,$B$2:$B$5001,B2935,$I$2:$I$5001,I2935),1,0))</f>
        <v/>
      </c>
      <c r="M2935" s="16" t="str">
        <f aca="false">IF(B2935="","",IF(E2935="Em ajustes",IF(N2935=_xlfn.MINIFS($N$2:$N$5001,$B$2:$B$5001,B2935,$E$2:$E$5001,"Em ajustes"),1,0),0))</f>
        <v/>
      </c>
      <c r="N2935" s="17" t="str">
        <f aca="false">IF(A2935="","",IF(ISNUMBER(A2935),A2935,IFERROR(DATE(VALUE(MID(A2935,7,4)),VALUE(MID(A2935,4,2)),VALUE(MID(A2935,1,2)))+TIME(VALUE(MID(A2935,12,2)),VALUE(MID(A2935,15,2)),VALUE(MID(A2935,18,2))),"")))</f>
        <v/>
      </c>
    </row>
    <row r="2936" customFormat="false" ht="15" hidden="false" customHeight="false" outlineLevel="0" collapsed="false">
      <c r="I2936" s="15" t="str">
        <f aca="false">IF(N2936="","",INT(N2936))</f>
        <v/>
      </c>
      <c r="J2936" s="16" t="str">
        <f aca="false">IF(B2936="","",IF(N2936=_xlfn.MINIFS($N$2:$N$5001,$B$2:$B$5001,B2936),1,0))</f>
        <v/>
      </c>
      <c r="K2936" s="16" t="str">
        <f aca="false">IF(B2936="","",IF(AND(D2936="Formalização",E2936="Concluído"),IF(COUNTIFS($B$2:$B$5001,B2936,$E$2:$E$5001,"Em ajustes",$N$2:$N$5001,"&lt;"&amp;I2936)&gt;0,1,0),0))</f>
        <v/>
      </c>
      <c r="L2936" s="16" t="str">
        <f aca="false">IF(B2936="","",IF(N2936=_xlfn.MAXIFS($N$2:$N$5001,$B$2:$B$5001,B2936,$I$2:$I$5001,I2936),1,0))</f>
        <v/>
      </c>
      <c r="M2936" s="16" t="str">
        <f aca="false">IF(B2936="","",IF(E2936="Em ajustes",IF(N2936=_xlfn.MINIFS($N$2:$N$5001,$B$2:$B$5001,B2936,$E$2:$E$5001,"Em ajustes"),1,0),0))</f>
        <v/>
      </c>
      <c r="N2936" s="17" t="str">
        <f aca="false">IF(A2936="","",IF(ISNUMBER(A2936),A2936,IFERROR(DATE(VALUE(MID(A2936,7,4)),VALUE(MID(A2936,4,2)),VALUE(MID(A2936,1,2)))+TIME(VALUE(MID(A2936,12,2)),VALUE(MID(A2936,15,2)),VALUE(MID(A2936,18,2))),"")))</f>
        <v/>
      </c>
    </row>
    <row r="2937" customFormat="false" ht="15" hidden="false" customHeight="false" outlineLevel="0" collapsed="false">
      <c r="I2937" s="15" t="str">
        <f aca="false">IF(N2937="","",INT(N2937))</f>
        <v/>
      </c>
      <c r="J2937" s="16" t="str">
        <f aca="false">IF(B2937="","",IF(N2937=_xlfn.MINIFS($N$2:$N$5001,$B$2:$B$5001,B2937),1,0))</f>
        <v/>
      </c>
      <c r="K2937" s="16" t="str">
        <f aca="false">IF(B2937="","",IF(AND(D2937="Formalização",E2937="Concluído"),IF(COUNTIFS($B$2:$B$5001,B2937,$E$2:$E$5001,"Em ajustes",$N$2:$N$5001,"&lt;"&amp;I2937)&gt;0,1,0),0))</f>
        <v/>
      </c>
      <c r="L2937" s="16" t="str">
        <f aca="false">IF(B2937="","",IF(N2937=_xlfn.MAXIFS($N$2:$N$5001,$B$2:$B$5001,B2937,$I$2:$I$5001,I2937),1,0))</f>
        <v/>
      </c>
      <c r="M2937" s="16" t="str">
        <f aca="false">IF(B2937="","",IF(E2937="Em ajustes",IF(N2937=_xlfn.MINIFS($N$2:$N$5001,$B$2:$B$5001,B2937,$E$2:$E$5001,"Em ajustes"),1,0),0))</f>
        <v/>
      </c>
      <c r="N2937" s="17" t="str">
        <f aca="false">IF(A2937="","",IF(ISNUMBER(A2937),A2937,IFERROR(DATE(VALUE(MID(A2937,7,4)),VALUE(MID(A2937,4,2)),VALUE(MID(A2937,1,2)))+TIME(VALUE(MID(A2937,12,2)),VALUE(MID(A2937,15,2)),VALUE(MID(A2937,18,2))),"")))</f>
        <v/>
      </c>
    </row>
    <row r="2938" customFormat="false" ht="15" hidden="false" customHeight="false" outlineLevel="0" collapsed="false">
      <c r="I2938" s="15" t="str">
        <f aca="false">IF(N2938="","",INT(N2938))</f>
        <v/>
      </c>
      <c r="J2938" s="16" t="str">
        <f aca="false">IF(B2938="","",IF(N2938=_xlfn.MINIFS($N$2:$N$5001,$B$2:$B$5001,B2938),1,0))</f>
        <v/>
      </c>
      <c r="K2938" s="16" t="str">
        <f aca="false">IF(B2938="","",IF(AND(D2938="Formalização",E2938="Concluído"),IF(COUNTIFS($B$2:$B$5001,B2938,$E$2:$E$5001,"Em ajustes",$N$2:$N$5001,"&lt;"&amp;I2938)&gt;0,1,0),0))</f>
        <v/>
      </c>
      <c r="L2938" s="16" t="str">
        <f aca="false">IF(B2938="","",IF(N2938=_xlfn.MAXIFS($N$2:$N$5001,$B$2:$B$5001,B2938,$I$2:$I$5001,I2938),1,0))</f>
        <v/>
      </c>
      <c r="M2938" s="16" t="str">
        <f aca="false">IF(B2938="","",IF(E2938="Em ajustes",IF(N2938=_xlfn.MINIFS($N$2:$N$5001,$B$2:$B$5001,B2938,$E$2:$E$5001,"Em ajustes"),1,0),0))</f>
        <v/>
      </c>
      <c r="N2938" s="17" t="str">
        <f aca="false">IF(A2938="","",IF(ISNUMBER(A2938),A2938,IFERROR(DATE(VALUE(MID(A2938,7,4)),VALUE(MID(A2938,4,2)),VALUE(MID(A2938,1,2)))+TIME(VALUE(MID(A2938,12,2)),VALUE(MID(A2938,15,2)),VALUE(MID(A2938,18,2))),"")))</f>
        <v/>
      </c>
    </row>
    <row r="2939" customFormat="false" ht="15" hidden="false" customHeight="false" outlineLevel="0" collapsed="false">
      <c r="I2939" s="15" t="str">
        <f aca="false">IF(N2939="","",INT(N2939))</f>
        <v/>
      </c>
      <c r="J2939" s="16" t="str">
        <f aca="false">IF(B2939="","",IF(N2939=_xlfn.MINIFS($N$2:$N$5001,$B$2:$B$5001,B2939),1,0))</f>
        <v/>
      </c>
      <c r="K2939" s="16" t="str">
        <f aca="false">IF(B2939="","",IF(AND(D2939="Formalização",E2939="Concluído"),IF(COUNTIFS($B$2:$B$5001,B2939,$E$2:$E$5001,"Em ajustes",$N$2:$N$5001,"&lt;"&amp;I2939)&gt;0,1,0),0))</f>
        <v/>
      </c>
      <c r="L2939" s="16" t="str">
        <f aca="false">IF(B2939="","",IF(N2939=_xlfn.MAXIFS($N$2:$N$5001,$B$2:$B$5001,B2939,$I$2:$I$5001,I2939),1,0))</f>
        <v/>
      </c>
      <c r="M2939" s="16" t="str">
        <f aca="false">IF(B2939="","",IF(E2939="Em ajustes",IF(N2939=_xlfn.MINIFS($N$2:$N$5001,$B$2:$B$5001,B2939,$E$2:$E$5001,"Em ajustes"),1,0),0))</f>
        <v/>
      </c>
      <c r="N2939" s="17" t="str">
        <f aca="false">IF(A2939="","",IF(ISNUMBER(A2939),A2939,IFERROR(DATE(VALUE(MID(A2939,7,4)),VALUE(MID(A2939,4,2)),VALUE(MID(A2939,1,2)))+TIME(VALUE(MID(A2939,12,2)),VALUE(MID(A2939,15,2)),VALUE(MID(A2939,18,2))),"")))</f>
        <v/>
      </c>
    </row>
    <row r="2940" customFormat="false" ht="15" hidden="false" customHeight="false" outlineLevel="0" collapsed="false">
      <c r="I2940" s="15" t="str">
        <f aca="false">IF(N2940="","",INT(N2940))</f>
        <v/>
      </c>
      <c r="J2940" s="16" t="str">
        <f aca="false">IF(B2940="","",IF(N2940=_xlfn.MINIFS($N$2:$N$5001,$B$2:$B$5001,B2940),1,0))</f>
        <v/>
      </c>
      <c r="K2940" s="16" t="str">
        <f aca="false">IF(B2940="","",IF(AND(D2940="Formalização",E2940="Concluído"),IF(COUNTIFS($B$2:$B$5001,B2940,$E$2:$E$5001,"Em ajustes",$N$2:$N$5001,"&lt;"&amp;I2940)&gt;0,1,0),0))</f>
        <v/>
      </c>
      <c r="L2940" s="16" t="str">
        <f aca="false">IF(B2940="","",IF(N2940=_xlfn.MAXIFS($N$2:$N$5001,$B$2:$B$5001,B2940,$I$2:$I$5001,I2940),1,0))</f>
        <v/>
      </c>
      <c r="M2940" s="16" t="str">
        <f aca="false">IF(B2940="","",IF(E2940="Em ajustes",IF(N2940=_xlfn.MINIFS($N$2:$N$5001,$B$2:$B$5001,B2940,$E$2:$E$5001,"Em ajustes"),1,0),0))</f>
        <v/>
      </c>
      <c r="N2940" s="17" t="str">
        <f aca="false">IF(A2940="","",IF(ISNUMBER(A2940),A2940,IFERROR(DATE(VALUE(MID(A2940,7,4)),VALUE(MID(A2940,4,2)),VALUE(MID(A2940,1,2)))+TIME(VALUE(MID(A2940,12,2)),VALUE(MID(A2940,15,2)),VALUE(MID(A2940,18,2))),"")))</f>
        <v/>
      </c>
    </row>
    <row r="2941" customFormat="false" ht="15" hidden="false" customHeight="false" outlineLevel="0" collapsed="false">
      <c r="I2941" s="15" t="str">
        <f aca="false">IF(N2941="","",INT(N2941))</f>
        <v/>
      </c>
      <c r="J2941" s="16" t="str">
        <f aca="false">IF(B2941="","",IF(N2941=_xlfn.MINIFS($N$2:$N$5001,$B$2:$B$5001,B2941),1,0))</f>
        <v/>
      </c>
      <c r="K2941" s="16" t="str">
        <f aca="false">IF(B2941="","",IF(AND(D2941="Formalização",E2941="Concluído"),IF(COUNTIFS($B$2:$B$5001,B2941,$E$2:$E$5001,"Em ajustes",$N$2:$N$5001,"&lt;"&amp;I2941)&gt;0,1,0),0))</f>
        <v/>
      </c>
      <c r="L2941" s="16" t="str">
        <f aca="false">IF(B2941="","",IF(N2941=_xlfn.MAXIFS($N$2:$N$5001,$B$2:$B$5001,B2941,$I$2:$I$5001,I2941),1,0))</f>
        <v/>
      </c>
      <c r="M2941" s="16" t="str">
        <f aca="false">IF(B2941="","",IF(E2941="Em ajustes",IF(N2941=_xlfn.MINIFS($N$2:$N$5001,$B$2:$B$5001,B2941,$E$2:$E$5001,"Em ajustes"),1,0),0))</f>
        <v/>
      </c>
      <c r="N2941" s="17" t="str">
        <f aca="false">IF(A2941="","",IF(ISNUMBER(A2941),A2941,IFERROR(DATE(VALUE(MID(A2941,7,4)),VALUE(MID(A2941,4,2)),VALUE(MID(A2941,1,2)))+TIME(VALUE(MID(A2941,12,2)),VALUE(MID(A2941,15,2)),VALUE(MID(A2941,18,2))),"")))</f>
        <v/>
      </c>
    </row>
    <row r="2942" customFormat="false" ht="15" hidden="false" customHeight="false" outlineLevel="0" collapsed="false">
      <c r="I2942" s="15" t="str">
        <f aca="false">IF(N2942="","",INT(N2942))</f>
        <v/>
      </c>
      <c r="J2942" s="16" t="str">
        <f aca="false">IF(B2942="","",IF(N2942=_xlfn.MINIFS($N$2:$N$5001,$B$2:$B$5001,B2942),1,0))</f>
        <v/>
      </c>
      <c r="K2942" s="16" t="str">
        <f aca="false">IF(B2942="","",IF(AND(D2942="Formalização",E2942="Concluído"),IF(COUNTIFS($B$2:$B$5001,B2942,$E$2:$E$5001,"Em ajustes",$N$2:$N$5001,"&lt;"&amp;I2942)&gt;0,1,0),0))</f>
        <v/>
      </c>
      <c r="L2942" s="16" t="str">
        <f aca="false">IF(B2942="","",IF(N2942=_xlfn.MAXIFS($N$2:$N$5001,$B$2:$B$5001,B2942,$I$2:$I$5001,I2942),1,0))</f>
        <v/>
      </c>
      <c r="M2942" s="16" t="str">
        <f aca="false">IF(B2942="","",IF(E2942="Em ajustes",IF(N2942=_xlfn.MINIFS($N$2:$N$5001,$B$2:$B$5001,B2942,$E$2:$E$5001,"Em ajustes"),1,0),0))</f>
        <v/>
      </c>
      <c r="N2942" s="17" t="str">
        <f aca="false">IF(A2942="","",IF(ISNUMBER(A2942),A2942,IFERROR(DATE(VALUE(MID(A2942,7,4)),VALUE(MID(A2942,4,2)),VALUE(MID(A2942,1,2)))+TIME(VALUE(MID(A2942,12,2)),VALUE(MID(A2942,15,2)),VALUE(MID(A2942,18,2))),"")))</f>
        <v/>
      </c>
    </row>
    <row r="2943" customFormat="false" ht="15" hidden="false" customHeight="false" outlineLevel="0" collapsed="false">
      <c r="I2943" s="15" t="str">
        <f aca="false">IF(N2943="","",INT(N2943))</f>
        <v/>
      </c>
      <c r="J2943" s="16" t="str">
        <f aca="false">IF(B2943="","",IF(N2943=_xlfn.MINIFS($N$2:$N$5001,$B$2:$B$5001,B2943),1,0))</f>
        <v/>
      </c>
      <c r="K2943" s="16" t="str">
        <f aca="false">IF(B2943="","",IF(AND(D2943="Formalização",E2943="Concluído"),IF(COUNTIFS($B$2:$B$5001,B2943,$E$2:$E$5001,"Em ajustes",$N$2:$N$5001,"&lt;"&amp;I2943)&gt;0,1,0),0))</f>
        <v/>
      </c>
      <c r="L2943" s="16" t="str">
        <f aca="false">IF(B2943="","",IF(N2943=_xlfn.MAXIFS($N$2:$N$5001,$B$2:$B$5001,B2943,$I$2:$I$5001,I2943),1,0))</f>
        <v/>
      </c>
      <c r="M2943" s="16" t="str">
        <f aca="false">IF(B2943="","",IF(E2943="Em ajustes",IF(N2943=_xlfn.MINIFS($N$2:$N$5001,$B$2:$B$5001,B2943,$E$2:$E$5001,"Em ajustes"),1,0),0))</f>
        <v/>
      </c>
      <c r="N2943" s="17" t="str">
        <f aca="false">IF(A2943="","",IF(ISNUMBER(A2943),A2943,IFERROR(DATE(VALUE(MID(A2943,7,4)),VALUE(MID(A2943,4,2)),VALUE(MID(A2943,1,2)))+TIME(VALUE(MID(A2943,12,2)),VALUE(MID(A2943,15,2)),VALUE(MID(A2943,18,2))),"")))</f>
        <v/>
      </c>
    </row>
    <row r="2944" customFormat="false" ht="15" hidden="false" customHeight="false" outlineLevel="0" collapsed="false">
      <c r="I2944" s="15" t="str">
        <f aca="false">IF(N2944="","",INT(N2944))</f>
        <v/>
      </c>
      <c r="J2944" s="16" t="str">
        <f aca="false">IF(B2944="","",IF(N2944=_xlfn.MINIFS($N$2:$N$5001,$B$2:$B$5001,B2944),1,0))</f>
        <v/>
      </c>
      <c r="K2944" s="16" t="str">
        <f aca="false">IF(B2944="","",IF(AND(D2944="Formalização",E2944="Concluído"),IF(COUNTIFS($B$2:$B$5001,B2944,$E$2:$E$5001,"Em ajustes",$N$2:$N$5001,"&lt;"&amp;I2944)&gt;0,1,0),0))</f>
        <v/>
      </c>
      <c r="L2944" s="16" t="str">
        <f aca="false">IF(B2944="","",IF(N2944=_xlfn.MAXIFS($N$2:$N$5001,$B$2:$B$5001,B2944,$I$2:$I$5001,I2944),1,0))</f>
        <v/>
      </c>
      <c r="M2944" s="16" t="str">
        <f aca="false">IF(B2944="","",IF(E2944="Em ajustes",IF(N2944=_xlfn.MINIFS($N$2:$N$5001,$B$2:$B$5001,B2944,$E$2:$E$5001,"Em ajustes"),1,0),0))</f>
        <v/>
      </c>
      <c r="N2944" s="17" t="str">
        <f aca="false">IF(A2944="","",IF(ISNUMBER(A2944),A2944,IFERROR(DATE(VALUE(MID(A2944,7,4)),VALUE(MID(A2944,4,2)),VALUE(MID(A2944,1,2)))+TIME(VALUE(MID(A2944,12,2)),VALUE(MID(A2944,15,2)),VALUE(MID(A2944,18,2))),"")))</f>
        <v/>
      </c>
    </row>
    <row r="2945" customFormat="false" ht="15" hidden="false" customHeight="false" outlineLevel="0" collapsed="false">
      <c r="I2945" s="15" t="str">
        <f aca="false">IF(N2945="","",INT(N2945))</f>
        <v/>
      </c>
      <c r="J2945" s="16" t="str">
        <f aca="false">IF(B2945="","",IF(N2945=_xlfn.MINIFS($N$2:$N$5001,$B$2:$B$5001,B2945),1,0))</f>
        <v/>
      </c>
      <c r="K2945" s="16" t="str">
        <f aca="false">IF(B2945="","",IF(AND(D2945="Formalização",E2945="Concluído"),IF(COUNTIFS($B$2:$B$5001,B2945,$E$2:$E$5001,"Em ajustes",$N$2:$N$5001,"&lt;"&amp;I2945)&gt;0,1,0),0))</f>
        <v/>
      </c>
      <c r="L2945" s="16" t="str">
        <f aca="false">IF(B2945="","",IF(N2945=_xlfn.MAXIFS($N$2:$N$5001,$B$2:$B$5001,B2945,$I$2:$I$5001,I2945),1,0))</f>
        <v/>
      </c>
      <c r="M2945" s="16" t="str">
        <f aca="false">IF(B2945="","",IF(E2945="Em ajustes",IF(N2945=_xlfn.MINIFS($N$2:$N$5001,$B$2:$B$5001,B2945,$E$2:$E$5001,"Em ajustes"),1,0),0))</f>
        <v/>
      </c>
      <c r="N2945" s="17" t="str">
        <f aca="false">IF(A2945="","",IF(ISNUMBER(A2945),A2945,IFERROR(DATE(VALUE(MID(A2945,7,4)),VALUE(MID(A2945,4,2)),VALUE(MID(A2945,1,2)))+TIME(VALUE(MID(A2945,12,2)),VALUE(MID(A2945,15,2)),VALUE(MID(A2945,18,2))),"")))</f>
        <v/>
      </c>
    </row>
    <row r="2946" customFormat="false" ht="15" hidden="false" customHeight="false" outlineLevel="0" collapsed="false">
      <c r="I2946" s="15" t="str">
        <f aca="false">IF(N2946="","",INT(N2946))</f>
        <v/>
      </c>
      <c r="J2946" s="16" t="str">
        <f aca="false">IF(B2946="","",IF(N2946=_xlfn.MINIFS($N$2:$N$5001,$B$2:$B$5001,B2946),1,0))</f>
        <v/>
      </c>
      <c r="K2946" s="16" t="str">
        <f aca="false">IF(B2946="","",IF(AND(D2946="Formalização",E2946="Concluído"),IF(COUNTIFS($B$2:$B$5001,B2946,$E$2:$E$5001,"Em ajustes",$N$2:$N$5001,"&lt;"&amp;I2946)&gt;0,1,0),0))</f>
        <v/>
      </c>
      <c r="L2946" s="16" t="str">
        <f aca="false">IF(B2946="","",IF(N2946=_xlfn.MAXIFS($N$2:$N$5001,$B$2:$B$5001,B2946,$I$2:$I$5001,I2946),1,0))</f>
        <v/>
      </c>
      <c r="M2946" s="16" t="str">
        <f aca="false">IF(B2946="","",IF(E2946="Em ajustes",IF(N2946=_xlfn.MINIFS($N$2:$N$5001,$B$2:$B$5001,B2946,$E$2:$E$5001,"Em ajustes"),1,0),0))</f>
        <v/>
      </c>
      <c r="N2946" s="17" t="str">
        <f aca="false">IF(A2946="","",IF(ISNUMBER(A2946),A2946,IFERROR(DATE(VALUE(MID(A2946,7,4)),VALUE(MID(A2946,4,2)),VALUE(MID(A2946,1,2)))+TIME(VALUE(MID(A2946,12,2)),VALUE(MID(A2946,15,2)),VALUE(MID(A2946,18,2))),"")))</f>
        <v/>
      </c>
    </row>
    <row r="2947" customFormat="false" ht="15" hidden="false" customHeight="false" outlineLevel="0" collapsed="false">
      <c r="I2947" s="15" t="str">
        <f aca="false">IF(N2947="","",INT(N2947))</f>
        <v/>
      </c>
      <c r="J2947" s="16" t="str">
        <f aca="false">IF(B2947="","",IF(N2947=_xlfn.MINIFS($N$2:$N$5001,$B$2:$B$5001,B2947),1,0))</f>
        <v/>
      </c>
      <c r="K2947" s="16" t="str">
        <f aca="false">IF(B2947="","",IF(AND(D2947="Formalização",E2947="Concluído"),IF(COUNTIFS($B$2:$B$5001,B2947,$E$2:$E$5001,"Em ajustes",$N$2:$N$5001,"&lt;"&amp;I2947)&gt;0,1,0),0))</f>
        <v/>
      </c>
      <c r="L2947" s="16" t="str">
        <f aca="false">IF(B2947="","",IF(N2947=_xlfn.MAXIFS($N$2:$N$5001,$B$2:$B$5001,B2947,$I$2:$I$5001,I2947),1,0))</f>
        <v/>
      </c>
      <c r="M2947" s="16" t="str">
        <f aca="false">IF(B2947="","",IF(E2947="Em ajustes",IF(N2947=_xlfn.MINIFS($N$2:$N$5001,$B$2:$B$5001,B2947,$E$2:$E$5001,"Em ajustes"),1,0),0))</f>
        <v/>
      </c>
      <c r="N2947" s="17" t="str">
        <f aca="false">IF(A2947="","",IF(ISNUMBER(A2947),A2947,IFERROR(DATE(VALUE(MID(A2947,7,4)),VALUE(MID(A2947,4,2)),VALUE(MID(A2947,1,2)))+TIME(VALUE(MID(A2947,12,2)),VALUE(MID(A2947,15,2)),VALUE(MID(A2947,18,2))),"")))</f>
        <v/>
      </c>
    </row>
    <row r="2948" customFormat="false" ht="15" hidden="false" customHeight="false" outlineLevel="0" collapsed="false">
      <c r="I2948" s="15" t="str">
        <f aca="false">IF(N2948="","",INT(N2948))</f>
        <v/>
      </c>
      <c r="J2948" s="16" t="str">
        <f aca="false">IF(B2948="","",IF(N2948=_xlfn.MINIFS($N$2:$N$5001,$B$2:$B$5001,B2948),1,0))</f>
        <v/>
      </c>
      <c r="K2948" s="16" t="str">
        <f aca="false">IF(B2948="","",IF(AND(D2948="Formalização",E2948="Concluído"),IF(COUNTIFS($B$2:$B$5001,B2948,$E$2:$E$5001,"Em ajustes",$N$2:$N$5001,"&lt;"&amp;I2948)&gt;0,1,0),0))</f>
        <v/>
      </c>
      <c r="L2948" s="16" t="str">
        <f aca="false">IF(B2948="","",IF(N2948=_xlfn.MAXIFS($N$2:$N$5001,$B$2:$B$5001,B2948,$I$2:$I$5001,I2948),1,0))</f>
        <v/>
      </c>
      <c r="M2948" s="16" t="str">
        <f aca="false">IF(B2948="","",IF(E2948="Em ajustes",IF(N2948=_xlfn.MINIFS($N$2:$N$5001,$B$2:$B$5001,B2948,$E$2:$E$5001,"Em ajustes"),1,0),0))</f>
        <v/>
      </c>
      <c r="N2948" s="17" t="str">
        <f aca="false">IF(A2948="","",IF(ISNUMBER(A2948),A2948,IFERROR(DATE(VALUE(MID(A2948,7,4)),VALUE(MID(A2948,4,2)),VALUE(MID(A2948,1,2)))+TIME(VALUE(MID(A2948,12,2)),VALUE(MID(A2948,15,2)),VALUE(MID(A2948,18,2))),"")))</f>
        <v/>
      </c>
    </row>
    <row r="2949" customFormat="false" ht="15" hidden="false" customHeight="false" outlineLevel="0" collapsed="false">
      <c r="I2949" s="15" t="str">
        <f aca="false">IF(N2949="","",INT(N2949))</f>
        <v/>
      </c>
      <c r="J2949" s="16" t="str">
        <f aca="false">IF(B2949="","",IF(N2949=_xlfn.MINIFS($N$2:$N$5001,$B$2:$B$5001,B2949),1,0))</f>
        <v/>
      </c>
      <c r="K2949" s="16" t="str">
        <f aca="false">IF(B2949="","",IF(AND(D2949="Formalização",E2949="Concluído"),IF(COUNTIFS($B$2:$B$5001,B2949,$E$2:$E$5001,"Em ajustes",$N$2:$N$5001,"&lt;"&amp;I2949)&gt;0,1,0),0))</f>
        <v/>
      </c>
      <c r="L2949" s="16" t="str">
        <f aca="false">IF(B2949="","",IF(N2949=_xlfn.MAXIFS($N$2:$N$5001,$B$2:$B$5001,B2949,$I$2:$I$5001,I2949),1,0))</f>
        <v/>
      </c>
      <c r="M2949" s="16" t="str">
        <f aca="false">IF(B2949="","",IF(E2949="Em ajustes",IF(N2949=_xlfn.MINIFS($N$2:$N$5001,$B$2:$B$5001,B2949,$E$2:$E$5001,"Em ajustes"),1,0),0))</f>
        <v/>
      </c>
      <c r="N2949" s="17" t="str">
        <f aca="false">IF(A2949="","",IF(ISNUMBER(A2949),A2949,IFERROR(DATE(VALUE(MID(A2949,7,4)),VALUE(MID(A2949,4,2)),VALUE(MID(A2949,1,2)))+TIME(VALUE(MID(A2949,12,2)),VALUE(MID(A2949,15,2)),VALUE(MID(A2949,18,2))),"")))</f>
        <v/>
      </c>
    </row>
    <row r="2950" customFormat="false" ht="15" hidden="false" customHeight="false" outlineLevel="0" collapsed="false">
      <c r="I2950" s="15" t="str">
        <f aca="false">IF(N2950="","",INT(N2950))</f>
        <v/>
      </c>
      <c r="J2950" s="16" t="str">
        <f aca="false">IF(B2950="","",IF(N2950=_xlfn.MINIFS($N$2:$N$5001,$B$2:$B$5001,B2950),1,0))</f>
        <v/>
      </c>
      <c r="K2950" s="16" t="str">
        <f aca="false">IF(B2950="","",IF(AND(D2950="Formalização",E2950="Concluído"),IF(COUNTIFS($B$2:$B$5001,B2950,$E$2:$E$5001,"Em ajustes",$N$2:$N$5001,"&lt;"&amp;I2950)&gt;0,1,0),0))</f>
        <v/>
      </c>
      <c r="L2950" s="16" t="str">
        <f aca="false">IF(B2950="","",IF(N2950=_xlfn.MAXIFS($N$2:$N$5001,$B$2:$B$5001,B2950,$I$2:$I$5001,I2950),1,0))</f>
        <v/>
      </c>
      <c r="M2950" s="16" t="str">
        <f aca="false">IF(B2950="","",IF(E2950="Em ajustes",IF(N2950=_xlfn.MINIFS($N$2:$N$5001,$B$2:$B$5001,B2950,$E$2:$E$5001,"Em ajustes"),1,0),0))</f>
        <v/>
      </c>
      <c r="N2950" s="17" t="str">
        <f aca="false">IF(A2950="","",IF(ISNUMBER(A2950),A2950,IFERROR(DATE(VALUE(MID(A2950,7,4)),VALUE(MID(A2950,4,2)),VALUE(MID(A2950,1,2)))+TIME(VALUE(MID(A2950,12,2)),VALUE(MID(A2950,15,2)),VALUE(MID(A2950,18,2))),"")))</f>
        <v/>
      </c>
    </row>
    <row r="2951" customFormat="false" ht="15" hidden="false" customHeight="false" outlineLevel="0" collapsed="false">
      <c r="I2951" s="15" t="str">
        <f aca="false">IF(N2951="","",INT(N2951))</f>
        <v/>
      </c>
      <c r="J2951" s="16" t="str">
        <f aca="false">IF(B2951="","",IF(N2951=_xlfn.MINIFS($N$2:$N$5001,$B$2:$B$5001,B2951),1,0))</f>
        <v/>
      </c>
      <c r="K2951" s="16" t="str">
        <f aca="false">IF(B2951="","",IF(AND(D2951="Formalização",E2951="Concluído"),IF(COUNTIFS($B$2:$B$5001,B2951,$E$2:$E$5001,"Em ajustes",$N$2:$N$5001,"&lt;"&amp;I2951)&gt;0,1,0),0))</f>
        <v/>
      </c>
      <c r="L2951" s="16" t="str">
        <f aca="false">IF(B2951="","",IF(N2951=_xlfn.MAXIFS($N$2:$N$5001,$B$2:$B$5001,B2951,$I$2:$I$5001,I2951),1,0))</f>
        <v/>
      </c>
      <c r="M2951" s="16" t="str">
        <f aca="false">IF(B2951="","",IF(E2951="Em ajustes",IF(N2951=_xlfn.MINIFS($N$2:$N$5001,$B$2:$B$5001,B2951,$E$2:$E$5001,"Em ajustes"),1,0),0))</f>
        <v/>
      </c>
      <c r="N2951" s="17" t="str">
        <f aca="false">IF(A2951="","",IF(ISNUMBER(A2951),A2951,IFERROR(DATE(VALUE(MID(A2951,7,4)),VALUE(MID(A2951,4,2)),VALUE(MID(A2951,1,2)))+TIME(VALUE(MID(A2951,12,2)),VALUE(MID(A2951,15,2)),VALUE(MID(A2951,18,2))),"")))</f>
        <v/>
      </c>
    </row>
    <row r="2952" customFormat="false" ht="15" hidden="false" customHeight="false" outlineLevel="0" collapsed="false">
      <c r="I2952" s="15" t="str">
        <f aca="false">IF(N2952="","",INT(N2952))</f>
        <v/>
      </c>
      <c r="J2952" s="16" t="str">
        <f aca="false">IF(B2952="","",IF(N2952=_xlfn.MINIFS($N$2:$N$5001,$B$2:$B$5001,B2952),1,0))</f>
        <v/>
      </c>
      <c r="K2952" s="16" t="str">
        <f aca="false">IF(B2952="","",IF(AND(D2952="Formalização",E2952="Concluído"),IF(COUNTIFS($B$2:$B$5001,B2952,$E$2:$E$5001,"Em ajustes",$N$2:$N$5001,"&lt;"&amp;I2952)&gt;0,1,0),0))</f>
        <v/>
      </c>
      <c r="L2952" s="16" t="str">
        <f aca="false">IF(B2952="","",IF(N2952=_xlfn.MAXIFS($N$2:$N$5001,$B$2:$B$5001,B2952,$I$2:$I$5001,I2952),1,0))</f>
        <v/>
      </c>
      <c r="M2952" s="16" t="str">
        <f aca="false">IF(B2952="","",IF(E2952="Em ajustes",IF(N2952=_xlfn.MINIFS($N$2:$N$5001,$B$2:$B$5001,B2952,$E$2:$E$5001,"Em ajustes"),1,0),0))</f>
        <v/>
      </c>
      <c r="N2952" s="17" t="str">
        <f aca="false">IF(A2952="","",IF(ISNUMBER(A2952),A2952,IFERROR(DATE(VALUE(MID(A2952,7,4)),VALUE(MID(A2952,4,2)),VALUE(MID(A2952,1,2)))+TIME(VALUE(MID(A2952,12,2)),VALUE(MID(A2952,15,2)),VALUE(MID(A2952,18,2))),"")))</f>
        <v/>
      </c>
    </row>
    <row r="2953" customFormat="false" ht="15" hidden="false" customHeight="false" outlineLevel="0" collapsed="false">
      <c r="I2953" s="15" t="str">
        <f aca="false">IF(N2953="","",INT(N2953))</f>
        <v/>
      </c>
      <c r="J2953" s="16" t="str">
        <f aca="false">IF(B2953="","",IF(N2953=_xlfn.MINIFS($N$2:$N$5001,$B$2:$B$5001,B2953),1,0))</f>
        <v/>
      </c>
      <c r="K2953" s="16" t="str">
        <f aca="false">IF(B2953="","",IF(AND(D2953="Formalização",E2953="Concluído"),IF(COUNTIFS($B$2:$B$5001,B2953,$E$2:$E$5001,"Em ajustes",$N$2:$N$5001,"&lt;"&amp;I2953)&gt;0,1,0),0))</f>
        <v/>
      </c>
      <c r="L2953" s="16" t="str">
        <f aca="false">IF(B2953="","",IF(N2953=_xlfn.MAXIFS($N$2:$N$5001,$B$2:$B$5001,B2953,$I$2:$I$5001,I2953),1,0))</f>
        <v/>
      </c>
      <c r="M2953" s="16" t="str">
        <f aca="false">IF(B2953="","",IF(E2953="Em ajustes",IF(N2953=_xlfn.MINIFS($N$2:$N$5001,$B$2:$B$5001,B2953,$E$2:$E$5001,"Em ajustes"),1,0),0))</f>
        <v/>
      </c>
      <c r="N2953" s="17" t="str">
        <f aca="false">IF(A2953="","",IF(ISNUMBER(A2953),A2953,IFERROR(DATE(VALUE(MID(A2953,7,4)),VALUE(MID(A2953,4,2)),VALUE(MID(A2953,1,2)))+TIME(VALUE(MID(A2953,12,2)),VALUE(MID(A2953,15,2)),VALUE(MID(A2953,18,2))),"")))</f>
        <v/>
      </c>
    </row>
    <row r="2954" customFormat="false" ht="15" hidden="false" customHeight="false" outlineLevel="0" collapsed="false">
      <c r="I2954" s="15" t="str">
        <f aca="false">IF(N2954="","",INT(N2954))</f>
        <v/>
      </c>
      <c r="J2954" s="16" t="str">
        <f aca="false">IF(B2954="","",IF(N2954=_xlfn.MINIFS($N$2:$N$5001,$B$2:$B$5001,B2954),1,0))</f>
        <v/>
      </c>
      <c r="K2954" s="16" t="str">
        <f aca="false">IF(B2954="","",IF(AND(D2954="Formalização",E2954="Concluído"),IF(COUNTIFS($B$2:$B$5001,B2954,$E$2:$E$5001,"Em ajustes",$N$2:$N$5001,"&lt;"&amp;I2954)&gt;0,1,0),0))</f>
        <v/>
      </c>
      <c r="L2954" s="16" t="str">
        <f aca="false">IF(B2954="","",IF(N2954=_xlfn.MAXIFS($N$2:$N$5001,$B$2:$B$5001,B2954,$I$2:$I$5001,I2954),1,0))</f>
        <v/>
      </c>
      <c r="M2954" s="16" t="str">
        <f aca="false">IF(B2954="","",IF(E2954="Em ajustes",IF(N2954=_xlfn.MINIFS($N$2:$N$5001,$B$2:$B$5001,B2954,$E$2:$E$5001,"Em ajustes"),1,0),0))</f>
        <v/>
      </c>
      <c r="N2954" s="17" t="str">
        <f aca="false">IF(A2954="","",IF(ISNUMBER(A2954),A2954,IFERROR(DATE(VALUE(MID(A2954,7,4)),VALUE(MID(A2954,4,2)),VALUE(MID(A2954,1,2)))+TIME(VALUE(MID(A2954,12,2)),VALUE(MID(A2954,15,2)),VALUE(MID(A2954,18,2))),"")))</f>
        <v/>
      </c>
    </row>
    <row r="2955" customFormat="false" ht="15" hidden="false" customHeight="false" outlineLevel="0" collapsed="false">
      <c r="I2955" s="15" t="str">
        <f aca="false">IF(N2955="","",INT(N2955))</f>
        <v/>
      </c>
      <c r="J2955" s="16" t="str">
        <f aca="false">IF(B2955="","",IF(N2955=_xlfn.MINIFS($N$2:$N$5001,$B$2:$B$5001,B2955),1,0))</f>
        <v/>
      </c>
      <c r="K2955" s="16" t="str">
        <f aca="false">IF(B2955="","",IF(AND(D2955="Formalização",E2955="Concluído"),IF(COUNTIFS($B$2:$B$5001,B2955,$E$2:$E$5001,"Em ajustes",$N$2:$N$5001,"&lt;"&amp;I2955)&gt;0,1,0),0))</f>
        <v/>
      </c>
      <c r="L2955" s="16" t="str">
        <f aca="false">IF(B2955="","",IF(N2955=_xlfn.MAXIFS($N$2:$N$5001,$B$2:$B$5001,B2955,$I$2:$I$5001,I2955),1,0))</f>
        <v/>
      </c>
      <c r="M2955" s="16" t="str">
        <f aca="false">IF(B2955="","",IF(E2955="Em ajustes",IF(N2955=_xlfn.MINIFS($N$2:$N$5001,$B$2:$B$5001,B2955,$E$2:$E$5001,"Em ajustes"),1,0),0))</f>
        <v/>
      </c>
      <c r="N2955" s="17" t="str">
        <f aca="false">IF(A2955="","",IF(ISNUMBER(A2955),A2955,IFERROR(DATE(VALUE(MID(A2955,7,4)),VALUE(MID(A2955,4,2)),VALUE(MID(A2955,1,2)))+TIME(VALUE(MID(A2955,12,2)),VALUE(MID(A2955,15,2)),VALUE(MID(A2955,18,2))),"")))</f>
        <v/>
      </c>
    </row>
    <row r="2956" customFormat="false" ht="15" hidden="false" customHeight="false" outlineLevel="0" collapsed="false">
      <c r="I2956" s="15" t="str">
        <f aca="false">IF(N2956="","",INT(N2956))</f>
        <v/>
      </c>
      <c r="J2956" s="16" t="str">
        <f aca="false">IF(B2956="","",IF(N2956=_xlfn.MINIFS($N$2:$N$5001,$B$2:$B$5001,B2956),1,0))</f>
        <v/>
      </c>
      <c r="K2956" s="16" t="str">
        <f aca="false">IF(B2956="","",IF(AND(D2956="Formalização",E2956="Concluído"),IF(COUNTIFS($B$2:$B$5001,B2956,$E$2:$E$5001,"Em ajustes",$N$2:$N$5001,"&lt;"&amp;I2956)&gt;0,1,0),0))</f>
        <v/>
      </c>
      <c r="L2956" s="16" t="str">
        <f aca="false">IF(B2956="","",IF(N2956=_xlfn.MAXIFS($N$2:$N$5001,$B$2:$B$5001,B2956,$I$2:$I$5001,I2956),1,0))</f>
        <v/>
      </c>
      <c r="M2956" s="16" t="str">
        <f aca="false">IF(B2956="","",IF(E2956="Em ajustes",IF(N2956=_xlfn.MINIFS($N$2:$N$5001,$B$2:$B$5001,B2956,$E$2:$E$5001,"Em ajustes"),1,0),0))</f>
        <v/>
      </c>
      <c r="N2956" s="17" t="str">
        <f aca="false">IF(A2956="","",IF(ISNUMBER(A2956),A2956,IFERROR(DATE(VALUE(MID(A2956,7,4)),VALUE(MID(A2956,4,2)),VALUE(MID(A2956,1,2)))+TIME(VALUE(MID(A2956,12,2)),VALUE(MID(A2956,15,2)),VALUE(MID(A2956,18,2))),"")))</f>
        <v/>
      </c>
    </row>
    <row r="2957" customFormat="false" ht="15" hidden="false" customHeight="false" outlineLevel="0" collapsed="false">
      <c r="I2957" s="15" t="str">
        <f aca="false">IF(N2957="","",INT(N2957))</f>
        <v/>
      </c>
      <c r="J2957" s="16" t="str">
        <f aca="false">IF(B2957="","",IF(N2957=_xlfn.MINIFS($N$2:$N$5001,$B$2:$B$5001,B2957),1,0))</f>
        <v/>
      </c>
      <c r="K2957" s="16" t="str">
        <f aca="false">IF(B2957="","",IF(AND(D2957="Formalização",E2957="Concluído"),IF(COUNTIFS($B$2:$B$5001,B2957,$E$2:$E$5001,"Em ajustes",$N$2:$N$5001,"&lt;"&amp;I2957)&gt;0,1,0),0))</f>
        <v/>
      </c>
      <c r="L2957" s="16" t="str">
        <f aca="false">IF(B2957="","",IF(N2957=_xlfn.MAXIFS($N$2:$N$5001,$B$2:$B$5001,B2957,$I$2:$I$5001,I2957),1,0))</f>
        <v/>
      </c>
      <c r="M2957" s="16" t="str">
        <f aca="false">IF(B2957="","",IF(E2957="Em ajustes",IF(N2957=_xlfn.MINIFS($N$2:$N$5001,$B$2:$B$5001,B2957,$E$2:$E$5001,"Em ajustes"),1,0),0))</f>
        <v/>
      </c>
      <c r="N2957" s="17" t="str">
        <f aca="false">IF(A2957="","",IF(ISNUMBER(A2957),A2957,IFERROR(DATE(VALUE(MID(A2957,7,4)),VALUE(MID(A2957,4,2)),VALUE(MID(A2957,1,2)))+TIME(VALUE(MID(A2957,12,2)),VALUE(MID(A2957,15,2)),VALUE(MID(A2957,18,2))),"")))</f>
        <v/>
      </c>
    </row>
    <row r="2958" customFormat="false" ht="15" hidden="false" customHeight="false" outlineLevel="0" collapsed="false">
      <c r="I2958" s="15" t="str">
        <f aca="false">IF(N2958="","",INT(N2958))</f>
        <v/>
      </c>
      <c r="J2958" s="16" t="str">
        <f aca="false">IF(B2958="","",IF(N2958=_xlfn.MINIFS($N$2:$N$5001,$B$2:$B$5001,B2958),1,0))</f>
        <v/>
      </c>
      <c r="K2958" s="16" t="str">
        <f aca="false">IF(B2958="","",IF(AND(D2958="Formalização",E2958="Concluído"),IF(COUNTIFS($B$2:$B$5001,B2958,$E$2:$E$5001,"Em ajustes",$N$2:$N$5001,"&lt;"&amp;I2958)&gt;0,1,0),0))</f>
        <v/>
      </c>
      <c r="L2958" s="16" t="str">
        <f aca="false">IF(B2958="","",IF(N2958=_xlfn.MAXIFS($N$2:$N$5001,$B$2:$B$5001,B2958,$I$2:$I$5001,I2958),1,0))</f>
        <v/>
      </c>
      <c r="M2958" s="16" t="str">
        <f aca="false">IF(B2958="","",IF(E2958="Em ajustes",IF(N2958=_xlfn.MINIFS($N$2:$N$5001,$B$2:$B$5001,B2958,$E$2:$E$5001,"Em ajustes"),1,0),0))</f>
        <v/>
      </c>
      <c r="N2958" s="17" t="str">
        <f aca="false">IF(A2958="","",IF(ISNUMBER(A2958),A2958,IFERROR(DATE(VALUE(MID(A2958,7,4)),VALUE(MID(A2958,4,2)),VALUE(MID(A2958,1,2)))+TIME(VALUE(MID(A2958,12,2)),VALUE(MID(A2958,15,2)),VALUE(MID(A2958,18,2))),"")))</f>
        <v/>
      </c>
    </row>
    <row r="2959" customFormat="false" ht="15" hidden="false" customHeight="false" outlineLevel="0" collapsed="false">
      <c r="I2959" s="15" t="str">
        <f aca="false">IF(N2959="","",INT(N2959))</f>
        <v/>
      </c>
      <c r="J2959" s="16" t="str">
        <f aca="false">IF(B2959="","",IF(N2959=_xlfn.MINIFS($N$2:$N$5001,$B$2:$B$5001,B2959),1,0))</f>
        <v/>
      </c>
      <c r="K2959" s="16" t="str">
        <f aca="false">IF(B2959="","",IF(AND(D2959="Formalização",E2959="Concluído"),IF(COUNTIFS($B$2:$B$5001,B2959,$E$2:$E$5001,"Em ajustes",$N$2:$N$5001,"&lt;"&amp;I2959)&gt;0,1,0),0))</f>
        <v/>
      </c>
      <c r="L2959" s="16" t="str">
        <f aca="false">IF(B2959="","",IF(N2959=_xlfn.MAXIFS($N$2:$N$5001,$B$2:$B$5001,B2959,$I$2:$I$5001,I2959),1,0))</f>
        <v/>
      </c>
      <c r="M2959" s="16" t="str">
        <f aca="false">IF(B2959="","",IF(E2959="Em ajustes",IF(N2959=_xlfn.MINIFS($N$2:$N$5001,$B$2:$B$5001,B2959,$E$2:$E$5001,"Em ajustes"),1,0),0))</f>
        <v/>
      </c>
      <c r="N2959" s="17" t="str">
        <f aca="false">IF(A2959="","",IF(ISNUMBER(A2959),A2959,IFERROR(DATE(VALUE(MID(A2959,7,4)),VALUE(MID(A2959,4,2)),VALUE(MID(A2959,1,2)))+TIME(VALUE(MID(A2959,12,2)),VALUE(MID(A2959,15,2)),VALUE(MID(A2959,18,2))),"")))</f>
        <v/>
      </c>
    </row>
    <row r="2960" customFormat="false" ht="15" hidden="false" customHeight="false" outlineLevel="0" collapsed="false">
      <c r="I2960" s="15" t="str">
        <f aca="false">IF(N2960="","",INT(N2960))</f>
        <v/>
      </c>
      <c r="J2960" s="16" t="str">
        <f aca="false">IF(B2960="","",IF(N2960=_xlfn.MINIFS($N$2:$N$5001,$B$2:$B$5001,B2960),1,0))</f>
        <v/>
      </c>
      <c r="K2960" s="16" t="str">
        <f aca="false">IF(B2960="","",IF(AND(D2960="Formalização",E2960="Concluído"),IF(COUNTIFS($B$2:$B$5001,B2960,$E$2:$E$5001,"Em ajustes",$N$2:$N$5001,"&lt;"&amp;I2960)&gt;0,1,0),0))</f>
        <v/>
      </c>
      <c r="L2960" s="16" t="str">
        <f aca="false">IF(B2960="","",IF(N2960=_xlfn.MAXIFS($N$2:$N$5001,$B$2:$B$5001,B2960,$I$2:$I$5001,I2960),1,0))</f>
        <v/>
      </c>
      <c r="M2960" s="16" t="str">
        <f aca="false">IF(B2960="","",IF(E2960="Em ajustes",IF(N2960=_xlfn.MINIFS($N$2:$N$5001,$B$2:$B$5001,B2960,$E$2:$E$5001,"Em ajustes"),1,0),0))</f>
        <v/>
      </c>
      <c r="N2960" s="17" t="str">
        <f aca="false">IF(A2960="","",IF(ISNUMBER(A2960),A2960,IFERROR(DATE(VALUE(MID(A2960,7,4)),VALUE(MID(A2960,4,2)),VALUE(MID(A2960,1,2)))+TIME(VALUE(MID(A2960,12,2)),VALUE(MID(A2960,15,2)),VALUE(MID(A2960,18,2))),"")))</f>
        <v/>
      </c>
    </row>
    <row r="2961" customFormat="false" ht="15" hidden="false" customHeight="false" outlineLevel="0" collapsed="false">
      <c r="I2961" s="15" t="str">
        <f aca="false">IF(N2961="","",INT(N2961))</f>
        <v/>
      </c>
      <c r="J2961" s="16" t="str">
        <f aca="false">IF(B2961="","",IF(N2961=_xlfn.MINIFS($N$2:$N$5001,$B$2:$B$5001,B2961),1,0))</f>
        <v/>
      </c>
      <c r="K2961" s="16" t="str">
        <f aca="false">IF(B2961="","",IF(AND(D2961="Formalização",E2961="Concluído"),IF(COUNTIFS($B$2:$B$5001,B2961,$E$2:$E$5001,"Em ajustes",$N$2:$N$5001,"&lt;"&amp;I2961)&gt;0,1,0),0))</f>
        <v/>
      </c>
      <c r="L2961" s="16" t="str">
        <f aca="false">IF(B2961="","",IF(N2961=_xlfn.MAXIFS($N$2:$N$5001,$B$2:$B$5001,B2961,$I$2:$I$5001,I2961),1,0))</f>
        <v/>
      </c>
      <c r="M2961" s="16" t="str">
        <f aca="false">IF(B2961="","",IF(E2961="Em ajustes",IF(N2961=_xlfn.MINIFS($N$2:$N$5001,$B$2:$B$5001,B2961,$E$2:$E$5001,"Em ajustes"),1,0),0))</f>
        <v/>
      </c>
      <c r="N2961" s="17" t="str">
        <f aca="false">IF(A2961="","",IF(ISNUMBER(A2961),A2961,IFERROR(DATE(VALUE(MID(A2961,7,4)),VALUE(MID(A2961,4,2)),VALUE(MID(A2961,1,2)))+TIME(VALUE(MID(A2961,12,2)),VALUE(MID(A2961,15,2)),VALUE(MID(A2961,18,2))),"")))</f>
        <v/>
      </c>
    </row>
    <row r="2962" customFormat="false" ht="15" hidden="false" customHeight="false" outlineLevel="0" collapsed="false">
      <c r="I2962" s="15" t="str">
        <f aca="false">IF(N2962="","",INT(N2962))</f>
        <v/>
      </c>
      <c r="J2962" s="16" t="str">
        <f aca="false">IF(B2962="","",IF(N2962=_xlfn.MINIFS($N$2:$N$5001,$B$2:$B$5001,B2962),1,0))</f>
        <v/>
      </c>
      <c r="K2962" s="16" t="str">
        <f aca="false">IF(B2962="","",IF(AND(D2962="Formalização",E2962="Concluído"),IF(COUNTIFS($B$2:$B$5001,B2962,$E$2:$E$5001,"Em ajustes",$N$2:$N$5001,"&lt;"&amp;I2962)&gt;0,1,0),0))</f>
        <v/>
      </c>
      <c r="L2962" s="16" t="str">
        <f aca="false">IF(B2962="","",IF(N2962=_xlfn.MAXIFS($N$2:$N$5001,$B$2:$B$5001,B2962,$I$2:$I$5001,I2962),1,0))</f>
        <v/>
      </c>
      <c r="M2962" s="16" t="str">
        <f aca="false">IF(B2962="","",IF(E2962="Em ajustes",IF(N2962=_xlfn.MINIFS($N$2:$N$5001,$B$2:$B$5001,B2962,$E$2:$E$5001,"Em ajustes"),1,0),0))</f>
        <v/>
      </c>
      <c r="N2962" s="17" t="str">
        <f aca="false">IF(A2962="","",IF(ISNUMBER(A2962),A2962,IFERROR(DATE(VALUE(MID(A2962,7,4)),VALUE(MID(A2962,4,2)),VALUE(MID(A2962,1,2)))+TIME(VALUE(MID(A2962,12,2)),VALUE(MID(A2962,15,2)),VALUE(MID(A2962,18,2))),"")))</f>
        <v/>
      </c>
    </row>
    <row r="2963" customFormat="false" ht="15" hidden="false" customHeight="false" outlineLevel="0" collapsed="false">
      <c r="I2963" s="15" t="str">
        <f aca="false">IF(N2963="","",INT(N2963))</f>
        <v/>
      </c>
      <c r="J2963" s="16" t="str">
        <f aca="false">IF(B2963="","",IF(N2963=_xlfn.MINIFS($N$2:$N$5001,$B$2:$B$5001,B2963),1,0))</f>
        <v/>
      </c>
      <c r="K2963" s="16" t="str">
        <f aca="false">IF(B2963="","",IF(AND(D2963="Formalização",E2963="Concluído"),IF(COUNTIFS($B$2:$B$5001,B2963,$E$2:$E$5001,"Em ajustes",$N$2:$N$5001,"&lt;"&amp;I2963)&gt;0,1,0),0))</f>
        <v/>
      </c>
      <c r="L2963" s="16" t="str">
        <f aca="false">IF(B2963="","",IF(N2963=_xlfn.MAXIFS($N$2:$N$5001,$B$2:$B$5001,B2963,$I$2:$I$5001,I2963),1,0))</f>
        <v/>
      </c>
      <c r="M2963" s="16" t="str">
        <f aca="false">IF(B2963="","",IF(E2963="Em ajustes",IF(N2963=_xlfn.MINIFS($N$2:$N$5001,$B$2:$B$5001,B2963,$E$2:$E$5001,"Em ajustes"),1,0),0))</f>
        <v/>
      </c>
      <c r="N2963" s="17" t="str">
        <f aca="false">IF(A2963="","",IF(ISNUMBER(A2963),A2963,IFERROR(DATE(VALUE(MID(A2963,7,4)),VALUE(MID(A2963,4,2)),VALUE(MID(A2963,1,2)))+TIME(VALUE(MID(A2963,12,2)),VALUE(MID(A2963,15,2)),VALUE(MID(A2963,18,2))),"")))</f>
        <v/>
      </c>
    </row>
    <row r="2964" customFormat="false" ht="15" hidden="false" customHeight="false" outlineLevel="0" collapsed="false">
      <c r="I2964" s="15" t="str">
        <f aca="false">IF(N2964="","",INT(N2964))</f>
        <v/>
      </c>
      <c r="J2964" s="16" t="str">
        <f aca="false">IF(B2964="","",IF(N2964=_xlfn.MINIFS($N$2:$N$5001,$B$2:$B$5001,B2964),1,0))</f>
        <v/>
      </c>
      <c r="K2964" s="16" t="str">
        <f aca="false">IF(B2964="","",IF(AND(D2964="Formalização",E2964="Concluído"),IF(COUNTIFS($B$2:$B$5001,B2964,$E$2:$E$5001,"Em ajustes",$N$2:$N$5001,"&lt;"&amp;I2964)&gt;0,1,0),0))</f>
        <v/>
      </c>
      <c r="L2964" s="16" t="str">
        <f aca="false">IF(B2964="","",IF(N2964=_xlfn.MAXIFS($N$2:$N$5001,$B$2:$B$5001,B2964,$I$2:$I$5001,I2964),1,0))</f>
        <v/>
      </c>
      <c r="M2964" s="16" t="str">
        <f aca="false">IF(B2964="","",IF(E2964="Em ajustes",IF(N2964=_xlfn.MINIFS($N$2:$N$5001,$B$2:$B$5001,B2964,$E$2:$E$5001,"Em ajustes"),1,0),0))</f>
        <v/>
      </c>
      <c r="N2964" s="17" t="str">
        <f aca="false">IF(A2964="","",IF(ISNUMBER(A2964),A2964,IFERROR(DATE(VALUE(MID(A2964,7,4)),VALUE(MID(A2964,4,2)),VALUE(MID(A2964,1,2)))+TIME(VALUE(MID(A2964,12,2)),VALUE(MID(A2964,15,2)),VALUE(MID(A2964,18,2))),"")))</f>
        <v/>
      </c>
    </row>
    <row r="2965" customFormat="false" ht="15" hidden="false" customHeight="false" outlineLevel="0" collapsed="false">
      <c r="I2965" s="15" t="str">
        <f aca="false">IF(N2965="","",INT(N2965))</f>
        <v/>
      </c>
      <c r="J2965" s="16" t="str">
        <f aca="false">IF(B2965="","",IF(N2965=_xlfn.MINIFS($N$2:$N$5001,$B$2:$B$5001,B2965),1,0))</f>
        <v/>
      </c>
      <c r="K2965" s="16" t="str">
        <f aca="false">IF(B2965="","",IF(AND(D2965="Formalização",E2965="Concluído"),IF(COUNTIFS($B$2:$B$5001,B2965,$E$2:$E$5001,"Em ajustes",$N$2:$N$5001,"&lt;"&amp;I2965)&gt;0,1,0),0))</f>
        <v/>
      </c>
      <c r="L2965" s="16" t="str">
        <f aca="false">IF(B2965="","",IF(N2965=_xlfn.MAXIFS($N$2:$N$5001,$B$2:$B$5001,B2965,$I$2:$I$5001,I2965),1,0))</f>
        <v/>
      </c>
      <c r="M2965" s="16" t="str">
        <f aca="false">IF(B2965="","",IF(E2965="Em ajustes",IF(N2965=_xlfn.MINIFS($N$2:$N$5001,$B$2:$B$5001,B2965,$E$2:$E$5001,"Em ajustes"),1,0),0))</f>
        <v/>
      </c>
      <c r="N2965" s="17" t="str">
        <f aca="false">IF(A2965="","",IF(ISNUMBER(A2965),A2965,IFERROR(DATE(VALUE(MID(A2965,7,4)),VALUE(MID(A2965,4,2)),VALUE(MID(A2965,1,2)))+TIME(VALUE(MID(A2965,12,2)),VALUE(MID(A2965,15,2)),VALUE(MID(A2965,18,2))),"")))</f>
        <v/>
      </c>
    </row>
    <row r="2966" customFormat="false" ht="15" hidden="false" customHeight="false" outlineLevel="0" collapsed="false">
      <c r="I2966" s="15" t="str">
        <f aca="false">IF(N2966="","",INT(N2966))</f>
        <v/>
      </c>
      <c r="J2966" s="16" t="str">
        <f aca="false">IF(B2966="","",IF(N2966=_xlfn.MINIFS($N$2:$N$5001,$B$2:$B$5001,B2966),1,0))</f>
        <v/>
      </c>
      <c r="K2966" s="16" t="str">
        <f aca="false">IF(B2966="","",IF(AND(D2966="Formalização",E2966="Concluído"),IF(COUNTIFS($B$2:$B$5001,B2966,$E$2:$E$5001,"Em ajustes",$N$2:$N$5001,"&lt;"&amp;I2966)&gt;0,1,0),0))</f>
        <v/>
      </c>
      <c r="L2966" s="16" t="str">
        <f aca="false">IF(B2966="","",IF(N2966=_xlfn.MAXIFS($N$2:$N$5001,$B$2:$B$5001,B2966,$I$2:$I$5001,I2966),1,0))</f>
        <v/>
      </c>
      <c r="M2966" s="16" t="str">
        <f aca="false">IF(B2966="","",IF(E2966="Em ajustes",IF(N2966=_xlfn.MINIFS($N$2:$N$5001,$B$2:$B$5001,B2966,$E$2:$E$5001,"Em ajustes"),1,0),0))</f>
        <v/>
      </c>
      <c r="N2966" s="17" t="str">
        <f aca="false">IF(A2966="","",IF(ISNUMBER(A2966),A2966,IFERROR(DATE(VALUE(MID(A2966,7,4)),VALUE(MID(A2966,4,2)),VALUE(MID(A2966,1,2)))+TIME(VALUE(MID(A2966,12,2)),VALUE(MID(A2966,15,2)),VALUE(MID(A2966,18,2))),"")))</f>
        <v/>
      </c>
    </row>
    <row r="2967" customFormat="false" ht="15" hidden="false" customHeight="false" outlineLevel="0" collapsed="false">
      <c r="I2967" s="15" t="str">
        <f aca="false">IF(N2967="","",INT(N2967))</f>
        <v/>
      </c>
      <c r="J2967" s="16" t="str">
        <f aca="false">IF(B2967="","",IF(N2967=_xlfn.MINIFS($N$2:$N$5001,$B$2:$B$5001,B2967),1,0))</f>
        <v/>
      </c>
      <c r="K2967" s="16" t="str">
        <f aca="false">IF(B2967="","",IF(AND(D2967="Formalização",E2967="Concluído"),IF(COUNTIFS($B$2:$B$5001,B2967,$E$2:$E$5001,"Em ajustes",$N$2:$N$5001,"&lt;"&amp;I2967)&gt;0,1,0),0))</f>
        <v/>
      </c>
      <c r="L2967" s="16" t="str">
        <f aca="false">IF(B2967="","",IF(N2967=_xlfn.MAXIFS($N$2:$N$5001,$B$2:$B$5001,B2967,$I$2:$I$5001,I2967),1,0))</f>
        <v/>
      </c>
      <c r="M2967" s="16" t="str">
        <f aca="false">IF(B2967="","",IF(E2967="Em ajustes",IF(N2967=_xlfn.MINIFS($N$2:$N$5001,$B$2:$B$5001,B2967,$E$2:$E$5001,"Em ajustes"),1,0),0))</f>
        <v/>
      </c>
      <c r="N2967" s="17" t="str">
        <f aca="false">IF(A2967="","",IF(ISNUMBER(A2967),A2967,IFERROR(DATE(VALUE(MID(A2967,7,4)),VALUE(MID(A2967,4,2)),VALUE(MID(A2967,1,2)))+TIME(VALUE(MID(A2967,12,2)),VALUE(MID(A2967,15,2)),VALUE(MID(A2967,18,2))),"")))</f>
        <v/>
      </c>
    </row>
    <row r="2968" customFormat="false" ht="15" hidden="false" customHeight="false" outlineLevel="0" collapsed="false">
      <c r="I2968" s="15" t="str">
        <f aca="false">IF(N2968="","",INT(N2968))</f>
        <v/>
      </c>
      <c r="J2968" s="16" t="str">
        <f aca="false">IF(B2968="","",IF(N2968=_xlfn.MINIFS($N$2:$N$5001,$B$2:$B$5001,B2968),1,0))</f>
        <v/>
      </c>
      <c r="K2968" s="16" t="str">
        <f aca="false">IF(B2968="","",IF(AND(D2968="Formalização",E2968="Concluído"),IF(COUNTIFS($B$2:$B$5001,B2968,$E$2:$E$5001,"Em ajustes",$N$2:$N$5001,"&lt;"&amp;I2968)&gt;0,1,0),0))</f>
        <v/>
      </c>
      <c r="L2968" s="16" t="str">
        <f aca="false">IF(B2968="","",IF(N2968=_xlfn.MAXIFS($N$2:$N$5001,$B$2:$B$5001,B2968,$I$2:$I$5001,I2968),1,0))</f>
        <v/>
      </c>
      <c r="M2968" s="16" t="str">
        <f aca="false">IF(B2968="","",IF(E2968="Em ajustes",IF(N2968=_xlfn.MINIFS($N$2:$N$5001,$B$2:$B$5001,B2968,$E$2:$E$5001,"Em ajustes"),1,0),0))</f>
        <v/>
      </c>
      <c r="N2968" s="17" t="str">
        <f aca="false">IF(A2968="","",IF(ISNUMBER(A2968),A2968,IFERROR(DATE(VALUE(MID(A2968,7,4)),VALUE(MID(A2968,4,2)),VALUE(MID(A2968,1,2)))+TIME(VALUE(MID(A2968,12,2)),VALUE(MID(A2968,15,2)),VALUE(MID(A2968,18,2))),"")))</f>
        <v/>
      </c>
    </row>
    <row r="2969" customFormat="false" ht="15" hidden="false" customHeight="false" outlineLevel="0" collapsed="false">
      <c r="I2969" s="15" t="str">
        <f aca="false">IF(N2969="","",INT(N2969))</f>
        <v/>
      </c>
      <c r="J2969" s="16" t="str">
        <f aca="false">IF(B2969="","",IF(N2969=_xlfn.MINIFS($N$2:$N$5001,$B$2:$B$5001,B2969),1,0))</f>
        <v/>
      </c>
      <c r="K2969" s="16" t="str">
        <f aca="false">IF(B2969="","",IF(AND(D2969="Formalização",E2969="Concluído"),IF(COUNTIFS($B$2:$B$5001,B2969,$E$2:$E$5001,"Em ajustes",$N$2:$N$5001,"&lt;"&amp;I2969)&gt;0,1,0),0))</f>
        <v/>
      </c>
      <c r="L2969" s="16" t="str">
        <f aca="false">IF(B2969="","",IF(N2969=_xlfn.MAXIFS($N$2:$N$5001,$B$2:$B$5001,B2969,$I$2:$I$5001,I2969),1,0))</f>
        <v/>
      </c>
      <c r="M2969" s="16" t="str">
        <f aca="false">IF(B2969="","",IF(E2969="Em ajustes",IF(N2969=_xlfn.MINIFS($N$2:$N$5001,$B$2:$B$5001,B2969,$E$2:$E$5001,"Em ajustes"),1,0),0))</f>
        <v/>
      </c>
      <c r="N2969" s="17" t="str">
        <f aca="false">IF(A2969="","",IF(ISNUMBER(A2969),A2969,IFERROR(DATE(VALUE(MID(A2969,7,4)),VALUE(MID(A2969,4,2)),VALUE(MID(A2969,1,2)))+TIME(VALUE(MID(A2969,12,2)),VALUE(MID(A2969,15,2)),VALUE(MID(A2969,18,2))),"")))</f>
        <v/>
      </c>
    </row>
    <row r="2970" customFormat="false" ht="15" hidden="false" customHeight="false" outlineLevel="0" collapsed="false">
      <c r="I2970" s="15" t="str">
        <f aca="false">IF(N2970="","",INT(N2970))</f>
        <v/>
      </c>
      <c r="J2970" s="16" t="str">
        <f aca="false">IF(B2970="","",IF(N2970=_xlfn.MINIFS($N$2:$N$5001,$B$2:$B$5001,B2970),1,0))</f>
        <v/>
      </c>
      <c r="K2970" s="16" t="str">
        <f aca="false">IF(B2970="","",IF(AND(D2970="Formalização",E2970="Concluído"),IF(COUNTIFS($B$2:$B$5001,B2970,$E$2:$E$5001,"Em ajustes",$N$2:$N$5001,"&lt;"&amp;I2970)&gt;0,1,0),0))</f>
        <v/>
      </c>
      <c r="L2970" s="16" t="str">
        <f aca="false">IF(B2970="","",IF(N2970=_xlfn.MAXIFS($N$2:$N$5001,$B$2:$B$5001,B2970,$I$2:$I$5001,I2970),1,0))</f>
        <v/>
      </c>
      <c r="M2970" s="16" t="str">
        <f aca="false">IF(B2970="","",IF(E2970="Em ajustes",IF(N2970=_xlfn.MINIFS($N$2:$N$5001,$B$2:$B$5001,B2970,$E$2:$E$5001,"Em ajustes"),1,0),0))</f>
        <v/>
      </c>
      <c r="N2970" s="17" t="str">
        <f aca="false">IF(A2970="","",IF(ISNUMBER(A2970),A2970,IFERROR(DATE(VALUE(MID(A2970,7,4)),VALUE(MID(A2970,4,2)),VALUE(MID(A2970,1,2)))+TIME(VALUE(MID(A2970,12,2)),VALUE(MID(A2970,15,2)),VALUE(MID(A2970,18,2))),"")))</f>
        <v/>
      </c>
    </row>
    <row r="2971" customFormat="false" ht="15" hidden="false" customHeight="false" outlineLevel="0" collapsed="false">
      <c r="I2971" s="15" t="str">
        <f aca="false">IF(N2971="","",INT(N2971))</f>
        <v/>
      </c>
      <c r="J2971" s="16" t="str">
        <f aca="false">IF(B2971="","",IF(N2971=_xlfn.MINIFS($N$2:$N$5001,$B$2:$B$5001,B2971),1,0))</f>
        <v/>
      </c>
      <c r="K2971" s="16" t="str">
        <f aca="false">IF(B2971="","",IF(AND(D2971="Formalização",E2971="Concluído"),IF(COUNTIFS($B$2:$B$5001,B2971,$E$2:$E$5001,"Em ajustes",$N$2:$N$5001,"&lt;"&amp;I2971)&gt;0,1,0),0))</f>
        <v/>
      </c>
      <c r="L2971" s="16" t="str">
        <f aca="false">IF(B2971="","",IF(N2971=_xlfn.MAXIFS($N$2:$N$5001,$B$2:$B$5001,B2971,$I$2:$I$5001,I2971),1,0))</f>
        <v/>
      </c>
      <c r="M2971" s="16" t="str">
        <f aca="false">IF(B2971="","",IF(E2971="Em ajustes",IF(N2971=_xlfn.MINIFS($N$2:$N$5001,$B$2:$B$5001,B2971,$E$2:$E$5001,"Em ajustes"),1,0),0))</f>
        <v/>
      </c>
      <c r="N2971" s="17" t="str">
        <f aca="false">IF(A2971="","",IF(ISNUMBER(A2971),A2971,IFERROR(DATE(VALUE(MID(A2971,7,4)),VALUE(MID(A2971,4,2)),VALUE(MID(A2971,1,2)))+TIME(VALUE(MID(A2971,12,2)),VALUE(MID(A2971,15,2)),VALUE(MID(A2971,18,2))),"")))</f>
        <v/>
      </c>
    </row>
    <row r="2972" customFormat="false" ht="15" hidden="false" customHeight="false" outlineLevel="0" collapsed="false">
      <c r="I2972" s="15" t="str">
        <f aca="false">IF(N2972="","",INT(N2972))</f>
        <v/>
      </c>
      <c r="J2972" s="16" t="str">
        <f aca="false">IF(B2972="","",IF(N2972=_xlfn.MINIFS($N$2:$N$5001,$B$2:$B$5001,B2972),1,0))</f>
        <v/>
      </c>
      <c r="K2972" s="16" t="str">
        <f aca="false">IF(B2972="","",IF(AND(D2972="Formalização",E2972="Concluído"),IF(COUNTIFS($B$2:$B$5001,B2972,$E$2:$E$5001,"Em ajustes",$N$2:$N$5001,"&lt;"&amp;I2972)&gt;0,1,0),0))</f>
        <v/>
      </c>
      <c r="L2972" s="16" t="str">
        <f aca="false">IF(B2972="","",IF(N2972=_xlfn.MAXIFS($N$2:$N$5001,$B$2:$B$5001,B2972,$I$2:$I$5001,I2972),1,0))</f>
        <v/>
      </c>
      <c r="M2972" s="16" t="str">
        <f aca="false">IF(B2972="","",IF(E2972="Em ajustes",IF(N2972=_xlfn.MINIFS($N$2:$N$5001,$B$2:$B$5001,B2972,$E$2:$E$5001,"Em ajustes"),1,0),0))</f>
        <v/>
      </c>
      <c r="N2972" s="17" t="str">
        <f aca="false">IF(A2972="","",IF(ISNUMBER(A2972),A2972,IFERROR(DATE(VALUE(MID(A2972,7,4)),VALUE(MID(A2972,4,2)),VALUE(MID(A2972,1,2)))+TIME(VALUE(MID(A2972,12,2)),VALUE(MID(A2972,15,2)),VALUE(MID(A2972,18,2))),"")))</f>
        <v/>
      </c>
    </row>
    <row r="2973" customFormat="false" ht="15" hidden="false" customHeight="false" outlineLevel="0" collapsed="false">
      <c r="I2973" s="15" t="str">
        <f aca="false">IF(N2973="","",INT(N2973))</f>
        <v/>
      </c>
      <c r="J2973" s="16" t="str">
        <f aca="false">IF(B2973="","",IF(N2973=_xlfn.MINIFS($N$2:$N$5001,$B$2:$B$5001,B2973),1,0))</f>
        <v/>
      </c>
      <c r="K2973" s="16" t="str">
        <f aca="false">IF(B2973="","",IF(AND(D2973="Formalização",E2973="Concluído"),IF(COUNTIFS($B$2:$B$5001,B2973,$E$2:$E$5001,"Em ajustes",$N$2:$N$5001,"&lt;"&amp;I2973)&gt;0,1,0),0))</f>
        <v/>
      </c>
      <c r="L2973" s="16" t="str">
        <f aca="false">IF(B2973="","",IF(N2973=_xlfn.MAXIFS($N$2:$N$5001,$B$2:$B$5001,B2973,$I$2:$I$5001,I2973),1,0))</f>
        <v/>
      </c>
      <c r="M2973" s="16" t="str">
        <f aca="false">IF(B2973="","",IF(E2973="Em ajustes",IF(N2973=_xlfn.MINIFS($N$2:$N$5001,$B$2:$B$5001,B2973,$E$2:$E$5001,"Em ajustes"),1,0),0))</f>
        <v/>
      </c>
      <c r="N2973" s="17" t="str">
        <f aca="false">IF(A2973="","",IF(ISNUMBER(A2973),A2973,IFERROR(DATE(VALUE(MID(A2973,7,4)),VALUE(MID(A2973,4,2)),VALUE(MID(A2973,1,2)))+TIME(VALUE(MID(A2973,12,2)),VALUE(MID(A2973,15,2)),VALUE(MID(A2973,18,2))),"")))</f>
        <v/>
      </c>
    </row>
    <row r="2974" customFormat="false" ht="15" hidden="false" customHeight="false" outlineLevel="0" collapsed="false">
      <c r="I2974" s="15" t="str">
        <f aca="false">IF(N2974="","",INT(N2974))</f>
        <v/>
      </c>
      <c r="J2974" s="16" t="str">
        <f aca="false">IF(B2974="","",IF(N2974=_xlfn.MINIFS($N$2:$N$5001,$B$2:$B$5001,B2974),1,0))</f>
        <v/>
      </c>
      <c r="K2974" s="16" t="str">
        <f aca="false">IF(B2974="","",IF(AND(D2974="Formalização",E2974="Concluído"),IF(COUNTIFS($B$2:$B$5001,B2974,$E$2:$E$5001,"Em ajustes",$N$2:$N$5001,"&lt;"&amp;I2974)&gt;0,1,0),0))</f>
        <v/>
      </c>
      <c r="L2974" s="16" t="str">
        <f aca="false">IF(B2974="","",IF(N2974=_xlfn.MAXIFS($N$2:$N$5001,$B$2:$B$5001,B2974,$I$2:$I$5001,I2974),1,0))</f>
        <v/>
      </c>
      <c r="M2974" s="16" t="str">
        <f aca="false">IF(B2974="","",IF(E2974="Em ajustes",IF(N2974=_xlfn.MINIFS($N$2:$N$5001,$B$2:$B$5001,B2974,$E$2:$E$5001,"Em ajustes"),1,0),0))</f>
        <v/>
      </c>
      <c r="N2974" s="17" t="str">
        <f aca="false">IF(A2974="","",IF(ISNUMBER(A2974),A2974,IFERROR(DATE(VALUE(MID(A2974,7,4)),VALUE(MID(A2974,4,2)),VALUE(MID(A2974,1,2)))+TIME(VALUE(MID(A2974,12,2)),VALUE(MID(A2974,15,2)),VALUE(MID(A2974,18,2))),"")))</f>
        <v/>
      </c>
    </row>
    <row r="2975" customFormat="false" ht="15" hidden="false" customHeight="false" outlineLevel="0" collapsed="false">
      <c r="I2975" s="15" t="str">
        <f aca="false">IF(N2975="","",INT(N2975))</f>
        <v/>
      </c>
      <c r="J2975" s="16" t="str">
        <f aca="false">IF(B2975="","",IF(N2975=_xlfn.MINIFS($N$2:$N$5001,$B$2:$B$5001,B2975),1,0))</f>
        <v/>
      </c>
      <c r="K2975" s="16" t="str">
        <f aca="false">IF(B2975="","",IF(AND(D2975="Formalização",E2975="Concluído"),IF(COUNTIFS($B$2:$B$5001,B2975,$E$2:$E$5001,"Em ajustes",$N$2:$N$5001,"&lt;"&amp;I2975)&gt;0,1,0),0))</f>
        <v/>
      </c>
      <c r="L2975" s="16" t="str">
        <f aca="false">IF(B2975="","",IF(N2975=_xlfn.MAXIFS($N$2:$N$5001,$B$2:$B$5001,B2975,$I$2:$I$5001,I2975),1,0))</f>
        <v/>
      </c>
      <c r="M2975" s="16" t="str">
        <f aca="false">IF(B2975="","",IF(E2975="Em ajustes",IF(N2975=_xlfn.MINIFS($N$2:$N$5001,$B$2:$B$5001,B2975,$E$2:$E$5001,"Em ajustes"),1,0),0))</f>
        <v/>
      </c>
      <c r="N2975" s="17" t="str">
        <f aca="false">IF(A2975="","",IF(ISNUMBER(A2975),A2975,IFERROR(DATE(VALUE(MID(A2975,7,4)),VALUE(MID(A2975,4,2)),VALUE(MID(A2975,1,2)))+TIME(VALUE(MID(A2975,12,2)),VALUE(MID(A2975,15,2)),VALUE(MID(A2975,18,2))),"")))</f>
        <v/>
      </c>
    </row>
    <row r="2976" customFormat="false" ht="15" hidden="false" customHeight="false" outlineLevel="0" collapsed="false">
      <c r="I2976" s="15" t="str">
        <f aca="false">IF(N2976="","",INT(N2976))</f>
        <v/>
      </c>
      <c r="J2976" s="16" t="str">
        <f aca="false">IF(B2976="","",IF(N2976=_xlfn.MINIFS($N$2:$N$5001,$B$2:$B$5001,B2976),1,0))</f>
        <v/>
      </c>
      <c r="K2976" s="16" t="str">
        <f aca="false">IF(B2976="","",IF(AND(D2976="Formalização",E2976="Concluído"),IF(COUNTIFS($B$2:$B$5001,B2976,$E$2:$E$5001,"Em ajustes",$N$2:$N$5001,"&lt;"&amp;I2976)&gt;0,1,0),0))</f>
        <v/>
      </c>
      <c r="L2976" s="16" t="str">
        <f aca="false">IF(B2976="","",IF(N2976=_xlfn.MAXIFS($N$2:$N$5001,$B$2:$B$5001,B2976,$I$2:$I$5001,I2976),1,0))</f>
        <v/>
      </c>
      <c r="M2976" s="16" t="str">
        <f aca="false">IF(B2976="","",IF(E2976="Em ajustes",IF(N2976=_xlfn.MINIFS($N$2:$N$5001,$B$2:$B$5001,B2976,$E$2:$E$5001,"Em ajustes"),1,0),0))</f>
        <v/>
      </c>
      <c r="N2976" s="17" t="str">
        <f aca="false">IF(A2976="","",IF(ISNUMBER(A2976),A2976,IFERROR(DATE(VALUE(MID(A2976,7,4)),VALUE(MID(A2976,4,2)),VALUE(MID(A2976,1,2)))+TIME(VALUE(MID(A2976,12,2)),VALUE(MID(A2976,15,2)),VALUE(MID(A2976,18,2))),"")))</f>
        <v/>
      </c>
    </row>
    <row r="2977" customFormat="false" ht="15" hidden="false" customHeight="false" outlineLevel="0" collapsed="false">
      <c r="I2977" s="15" t="str">
        <f aca="false">IF(N2977="","",INT(N2977))</f>
        <v/>
      </c>
      <c r="J2977" s="16" t="str">
        <f aca="false">IF(B2977="","",IF(N2977=_xlfn.MINIFS($N$2:$N$5001,$B$2:$B$5001,B2977),1,0))</f>
        <v/>
      </c>
      <c r="K2977" s="16" t="str">
        <f aca="false">IF(B2977="","",IF(AND(D2977="Formalização",E2977="Concluído"),IF(COUNTIFS($B$2:$B$5001,B2977,$E$2:$E$5001,"Em ajustes",$N$2:$N$5001,"&lt;"&amp;I2977)&gt;0,1,0),0))</f>
        <v/>
      </c>
      <c r="L2977" s="16" t="str">
        <f aca="false">IF(B2977="","",IF(N2977=_xlfn.MAXIFS($N$2:$N$5001,$B$2:$B$5001,B2977,$I$2:$I$5001,I2977),1,0))</f>
        <v/>
      </c>
      <c r="M2977" s="16" t="str">
        <f aca="false">IF(B2977="","",IF(E2977="Em ajustes",IF(N2977=_xlfn.MINIFS($N$2:$N$5001,$B$2:$B$5001,B2977,$E$2:$E$5001,"Em ajustes"),1,0),0))</f>
        <v/>
      </c>
      <c r="N2977" s="17" t="str">
        <f aca="false">IF(A2977="","",IF(ISNUMBER(A2977),A2977,IFERROR(DATE(VALUE(MID(A2977,7,4)),VALUE(MID(A2977,4,2)),VALUE(MID(A2977,1,2)))+TIME(VALUE(MID(A2977,12,2)),VALUE(MID(A2977,15,2)),VALUE(MID(A2977,18,2))),"")))</f>
        <v/>
      </c>
    </row>
    <row r="2978" customFormat="false" ht="15" hidden="false" customHeight="false" outlineLevel="0" collapsed="false">
      <c r="I2978" s="15" t="str">
        <f aca="false">IF(N2978="","",INT(N2978))</f>
        <v/>
      </c>
      <c r="J2978" s="16" t="str">
        <f aca="false">IF(B2978="","",IF(N2978=_xlfn.MINIFS($N$2:$N$5001,$B$2:$B$5001,B2978),1,0))</f>
        <v/>
      </c>
      <c r="K2978" s="16" t="str">
        <f aca="false">IF(B2978="","",IF(AND(D2978="Formalização",E2978="Concluído"),IF(COUNTIFS($B$2:$B$5001,B2978,$E$2:$E$5001,"Em ajustes",$N$2:$N$5001,"&lt;"&amp;I2978)&gt;0,1,0),0))</f>
        <v/>
      </c>
      <c r="L2978" s="16" t="str">
        <f aca="false">IF(B2978="","",IF(N2978=_xlfn.MAXIFS($N$2:$N$5001,$B$2:$B$5001,B2978,$I$2:$I$5001,I2978),1,0))</f>
        <v/>
      </c>
      <c r="M2978" s="16" t="str">
        <f aca="false">IF(B2978="","",IF(E2978="Em ajustes",IF(N2978=_xlfn.MINIFS($N$2:$N$5001,$B$2:$B$5001,B2978,$E$2:$E$5001,"Em ajustes"),1,0),0))</f>
        <v/>
      </c>
      <c r="N2978" s="17" t="str">
        <f aca="false">IF(A2978="","",IF(ISNUMBER(A2978),A2978,IFERROR(DATE(VALUE(MID(A2978,7,4)),VALUE(MID(A2978,4,2)),VALUE(MID(A2978,1,2)))+TIME(VALUE(MID(A2978,12,2)),VALUE(MID(A2978,15,2)),VALUE(MID(A2978,18,2))),"")))</f>
        <v/>
      </c>
    </row>
    <row r="2979" customFormat="false" ht="15" hidden="false" customHeight="false" outlineLevel="0" collapsed="false">
      <c r="I2979" s="15" t="str">
        <f aca="false">IF(N2979="","",INT(N2979))</f>
        <v/>
      </c>
      <c r="J2979" s="16" t="str">
        <f aca="false">IF(B2979="","",IF(N2979=_xlfn.MINIFS($N$2:$N$5001,$B$2:$B$5001,B2979),1,0))</f>
        <v/>
      </c>
      <c r="K2979" s="16" t="str">
        <f aca="false">IF(B2979="","",IF(AND(D2979="Formalização",E2979="Concluído"),IF(COUNTIFS($B$2:$B$5001,B2979,$E$2:$E$5001,"Em ajustes",$N$2:$N$5001,"&lt;"&amp;I2979)&gt;0,1,0),0))</f>
        <v/>
      </c>
      <c r="L2979" s="16" t="str">
        <f aca="false">IF(B2979="","",IF(N2979=_xlfn.MAXIFS($N$2:$N$5001,$B$2:$B$5001,B2979,$I$2:$I$5001,I2979),1,0))</f>
        <v/>
      </c>
      <c r="M2979" s="16" t="str">
        <f aca="false">IF(B2979="","",IF(E2979="Em ajustes",IF(N2979=_xlfn.MINIFS($N$2:$N$5001,$B$2:$B$5001,B2979,$E$2:$E$5001,"Em ajustes"),1,0),0))</f>
        <v/>
      </c>
      <c r="N2979" s="17" t="str">
        <f aca="false">IF(A2979="","",IF(ISNUMBER(A2979),A2979,IFERROR(DATE(VALUE(MID(A2979,7,4)),VALUE(MID(A2979,4,2)),VALUE(MID(A2979,1,2)))+TIME(VALUE(MID(A2979,12,2)),VALUE(MID(A2979,15,2)),VALUE(MID(A2979,18,2))),"")))</f>
        <v/>
      </c>
    </row>
    <row r="2980" customFormat="false" ht="15" hidden="false" customHeight="false" outlineLevel="0" collapsed="false">
      <c r="I2980" s="15" t="str">
        <f aca="false">IF(N2980="","",INT(N2980))</f>
        <v/>
      </c>
      <c r="J2980" s="16" t="str">
        <f aca="false">IF(B2980="","",IF(N2980=_xlfn.MINIFS($N$2:$N$5001,$B$2:$B$5001,B2980),1,0))</f>
        <v/>
      </c>
      <c r="K2980" s="16" t="str">
        <f aca="false">IF(B2980="","",IF(AND(D2980="Formalização",E2980="Concluído"),IF(COUNTIFS($B$2:$B$5001,B2980,$E$2:$E$5001,"Em ajustes",$N$2:$N$5001,"&lt;"&amp;I2980)&gt;0,1,0),0))</f>
        <v/>
      </c>
      <c r="L2980" s="16" t="str">
        <f aca="false">IF(B2980="","",IF(N2980=_xlfn.MAXIFS($N$2:$N$5001,$B$2:$B$5001,B2980,$I$2:$I$5001,I2980),1,0))</f>
        <v/>
      </c>
      <c r="M2980" s="16" t="str">
        <f aca="false">IF(B2980="","",IF(E2980="Em ajustes",IF(N2980=_xlfn.MINIFS($N$2:$N$5001,$B$2:$B$5001,B2980,$E$2:$E$5001,"Em ajustes"),1,0),0))</f>
        <v/>
      </c>
      <c r="N2980" s="17" t="str">
        <f aca="false">IF(A2980="","",IF(ISNUMBER(A2980),A2980,IFERROR(DATE(VALUE(MID(A2980,7,4)),VALUE(MID(A2980,4,2)),VALUE(MID(A2980,1,2)))+TIME(VALUE(MID(A2980,12,2)),VALUE(MID(A2980,15,2)),VALUE(MID(A2980,18,2))),"")))</f>
        <v/>
      </c>
    </row>
    <row r="2981" customFormat="false" ht="15" hidden="false" customHeight="false" outlineLevel="0" collapsed="false">
      <c r="I2981" s="15" t="str">
        <f aca="false">IF(N2981="","",INT(N2981))</f>
        <v/>
      </c>
      <c r="J2981" s="16" t="str">
        <f aca="false">IF(B2981="","",IF(N2981=_xlfn.MINIFS($N$2:$N$5001,$B$2:$B$5001,B2981),1,0))</f>
        <v/>
      </c>
      <c r="K2981" s="16" t="str">
        <f aca="false">IF(B2981="","",IF(AND(D2981="Formalização",E2981="Concluído"),IF(COUNTIFS($B$2:$B$5001,B2981,$E$2:$E$5001,"Em ajustes",$N$2:$N$5001,"&lt;"&amp;I2981)&gt;0,1,0),0))</f>
        <v/>
      </c>
      <c r="L2981" s="16" t="str">
        <f aca="false">IF(B2981="","",IF(N2981=_xlfn.MAXIFS($N$2:$N$5001,$B$2:$B$5001,B2981,$I$2:$I$5001,I2981),1,0))</f>
        <v/>
      </c>
      <c r="M2981" s="16" t="str">
        <f aca="false">IF(B2981="","",IF(E2981="Em ajustes",IF(N2981=_xlfn.MINIFS($N$2:$N$5001,$B$2:$B$5001,B2981,$E$2:$E$5001,"Em ajustes"),1,0),0))</f>
        <v/>
      </c>
      <c r="N2981" s="17" t="str">
        <f aca="false">IF(A2981="","",IF(ISNUMBER(A2981),A2981,IFERROR(DATE(VALUE(MID(A2981,7,4)),VALUE(MID(A2981,4,2)),VALUE(MID(A2981,1,2)))+TIME(VALUE(MID(A2981,12,2)),VALUE(MID(A2981,15,2)),VALUE(MID(A2981,18,2))),"")))</f>
        <v/>
      </c>
    </row>
    <row r="2982" customFormat="false" ht="15" hidden="false" customHeight="false" outlineLevel="0" collapsed="false">
      <c r="I2982" s="15" t="str">
        <f aca="false">IF(N2982="","",INT(N2982))</f>
        <v/>
      </c>
      <c r="J2982" s="16" t="str">
        <f aca="false">IF(B2982="","",IF(N2982=_xlfn.MINIFS($N$2:$N$5001,$B$2:$B$5001,B2982),1,0))</f>
        <v/>
      </c>
      <c r="K2982" s="16" t="str">
        <f aca="false">IF(B2982="","",IF(AND(D2982="Formalização",E2982="Concluído"),IF(COUNTIFS($B$2:$B$5001,B2982,$E$2:$E$5001,"Em ajustes",$N$2:$N$5001,"&lt;"&amp;I2982)&gt;0,1,0),0))</f>
        <v/>
      </c>
      <c r="L2982" s="16" t="str">
        <f aca="false">IF(B2982="","",IF(N2982=_xlfn.MAXIFS($N$2:$N$5001,$B$2:$B$5001,B2982,$I$2:$I$5001,I2982),1,0))</f>
        <v/>
      </c>
      <c r="M2982" s="16" t="str">
        <f aca="false">IF(B2982="","",IF(E2982="Em ajustes",IF(N2982=_xlfn.MINIFS($N$2:$N$5001,$B$2:$B$5001,B2982,$E$2:$E$5001,"Em ajustes"),1,0),0))</f>
        <v/>
      </c>
      <c r="N2982" s="17" t="str">
        <f aca="false">IF(A2982="","",IF(ISNUMBER(A2982),A2982,IFERROR(DATE(VALUE(MID(A2982,7,4)),VALUE(MID(A2982,4,2)),VALUE(MID(A2982,1,2)))+TIME(VALUE(MID(A2982,12,2)),VALUE(MID(A2982,15,2)),VALUE(MID(A2982,18,2))),"")))</f>
        <v/>
      </c>
    </row>
    <row r="2983" customFormat="false" ht="15" hidden="false" customHeight="false" outlineLevel="0" collapsed="false">
      <c r="I2983" s="15" t="str">
        <f aca="false">IF(N2983="","",INT(N2983))</f>
        <v/>
      </c>
      <c r="J2983" s="16" t="str">
        <f aca="false">IF(B2983="","",IF(N2983=_xlfn.MINIFS($N$2:$N$5001,$B$2:$B$5001,B2983),1,0))</f>
        <v/>
      </c>
      <c r="K2983" s="16" t="str">
        <f aca="false">IF(B2983="","",IF(AND(D2983="Formalização",E2983="Concluído"),IF(COUNTIFS($B$2:$B$5001,B2983,$E$2:$E$5001,"Em ajustes",$N$2:$N$5001,"&lt;"&amp;I2983)&gt;0,1,0),0))</f>
        <v/>
      </c>
      <c r="L2983" s="16" t="str">
        <f aca="false">IF(B2983="","",IF(N2983=_xlfn.MAXIFS($N$2:$N$5001,$B$2:$B$5001,B2983,$I$2:$I$5001,I2983),1,0))</f>
        <v/>
      </c>
      <c r="M2983" s="16" t="str">
        <f aca="false">IF(B2983="","",IF(E2983="Em ajustes",IF(N2983=_xlfn.MINIFS($N$2:$N$5001,$B$2:$B$5001,B2983,$E$2:$E$5001,"Em ajustes"),1,0),0))</f>
        <v/>
      </c>
      <c r="N2983" s="17" t="str">
        <f aca="false">IF(A2983="","",IF(ISNUMBER(A2983),A2983,IFERROR(DATE(VALUE(MID(A2983,7,4)),VALUE(MID(A2983,4,2)),VALUE(MID(A2983,1,2)))+TIME(VALUE(MID(A2983,12,2)),VALUE(MID(A2983,15,2)),VALUE(MID(A2983,18,2))),"")))</f>
        <v/>
      </c>
    </row>
    <row r="2984" customFormat="false" ht="15" hidden="false" customHeight="false" outlineLevel="0" collapsed="false">
      <c r="I2984" s="15" t="str">
        <f aca="false">IF(N2984="","",INT(N2984))</f>
        <v/>
      </c>
      <c r="J2984" s="16" t="str">
        <f aca="false">IF(B2984="","",IF(N2984=_xlfn.MINIFS($N$2:$N$5001,$B$2:$B$5001,B2984),1,0))</f>
        <v/>
      </c>
      <c r="K2984" s="16" t="str">
        <f aca="false">IF(B2984="","",IF(AND(D2984="Formalização",E2984="Concluído"),IF(COUNTIFS($B$2:$B$5001,B2984,$E$2:$E$5001,"Em ajustes",$N$2:$N$5001,"&lt;"&amp;I2984)&gt;0,1,0),0))</f>
        <v/>
      </c>
      <c r="L2984" s="16" t="str">
        <f aca="false">IF(B2984="","",IF(N2984=_xlfn.MAXIFS($N$2:$N$5001,$B$2:$B$5001,B2984,$I$2:$I$5001,I2984),1,0))</f>
        <v/>
      </c>
      <c r="M2984" s="16" t="str">
        <f aca="false">IF(B2984="","",IF(E2984="Em ajustes",IF(N2984=_xlfn.MINIFS($N$2:$N$5001,$B$2:$B$5001,B2984,$E$2:$E$5001,"Em ajustes"),1,0),0))</f>
        <v/>
      </c>
      <c r="N2984" s="17" t="str">
        <f aca="false">IF(A2984="","",IF(ISNUMBER(A2984),A2984,IFERROR(DATE(VALUE(MID(A2984,7,4)),VALUE(MID(A2984,4,2)),VALUE(MID(A2984,1,2)))+TIME(VALUE(MID(A2984,12,2)),VALUE(MID(A2984,15,2)),VALUE(MID(A2984,18,2))),"")))</f>
        <v/>
      </c>
    </row>
    <row r="2985" customFormat="false" ht="15" hidden="false" customHeight="false" outlineLevel="0" collapsed="false">
      <c r="I2985" s="15" t="str">
        <f aca="false">IF(N2985="","",INT(N2985))</f>
        <v/>
      </c>
      <c r="J2985" s="16" t="str">
        <f aca="false">IF(B2985="","",IF(N2985=_xlfn.MINIFS($N$2:$N$5001,$B$2:$B$5001,B2985),1,0))</f>
        <v/>
      </c>
      <c r="K2985" s="16" t="str">
        <f aca="false">IF(B2985="","",IF(AND(D2985="Formalização",E2985="Concluído"),IF(COUNTIFS($B$2:$B$5001,B2985,$E$2:$E$5001,"Em ajustes",$N$2:$N$5001,"&lt;"&amp;I2985)&gt;0,1,0),0))</f>
        <v/>
      </c>
      <c r="L2985" s="16" t="str">
        <f aca="false">IF(B2985="","",IF(N2985=_xlfn.MAXIFS($N$2:$N$5001,$B$2:$B$5001,B2985,$I$2:$I$5001,I2985),1,0))</f>
        <v/>
      </c>
      <c r="M2985" s="16" t="str">
        <f aca="false">IF(B2985="","",IF(E2985="Em ajustes",IF(N2985=_xlfn.MINIFS($N$2:$N$5001,$B$2:$B$5001,B2985,$E$2:$E$5001,"Em ajustes"),1,0),0))</f>
        <v/>
      </c>
      <c r="N2985" s="17" t="str">
        <f aca="false">IF(A2985="","",IF(ISNUMBER(A2985),A2985,IFERROR(DATE(VALUE(MID(A2985,7,4)),VALUE(MID(A2985,4,2)),VALUE(MID(A2985,1,2)))+TIME(VALUE(MID(A2985,12,2)),VALUE(MID(A2985,15,2)),VALUE(MID(A2985,18,2))),"")))</f>
        <v/>
      </c>
    </row>
    <row r="2986" customFormat="false" ht="15" hidden="false" customHeight="false" outlineLevel="0" collapsed="false">
      <c r="I2986" s="15" t="str">
        <f aca="false">IF(N2986="","",INT(N2986))</f>
        <v/>
      </c>
      <c r="J2986" s="16" t="str">
        <f aca="false">IF(B2986="","",IF(N2986=_xlfn.MINIFS($N$2:$N$5001,$B$2:$B$5001,B2986),1,0))</f>
        <v/>
      </c>
      <c r="K2986" s="16" t="str">
        <f aca="false">IF(B2986="","",IF(AND(D2986="Formalização",E2986="Concluído"),IF(COUNTIFS($B$2:$B$5001,B2986,$E$2:$E$5001,"Em ajustes",$N$2:$N$5001,"&lt;"&amp;I2986)&gt;0,1,0),0))</f>
        <v/>
      </c>
      <c r="L2986" s="16" t="str">
        <f aca="false">IF(B2986="","",IF(N2986=_xlfn.MAXIFS($N$2:$N$5001,$B$2:$B$5001,B2986,$I$2:$I$5001,I2986),1,0))</f>
        <v/>
      </c>
      <c r="M2986" s="16" t="str">
        <f aca="false">IF(B2986="","",IF(E2986="Em ajustes",IF(N2986=_xlfn.MINIFS($N$2:$N$5001,$B$2:$B$5001,B2986,$E$2:$E$5001,"Em ajustes"),1,0),0))</f>
        <v/>
      </c>
      <c r="N2986" s="17" t="str">
        <f aca="false">IF(A2986="","",IF(ISNUMBER(A2986),A2986,IFERROR(DATE(VALUE(MID(A2986,7,4)),VALUE(MID(A2986,4,2)),VALUE(MID(A2986,1,2)))+TIME(VALUE(MID(A2986,12,2)),VALUE(MID(A2986,15,2)),VALUE(MID(A2986,18,2))),"")))</f>
        <v/>
      </c>
    </row>
    <row r="2987" customFormat="false" ht="15" hidden="false" customHeight="false" outlineLevel="0" collapsed="false">
      <c r="I2987" s="15" t="str">
        <f aca="false">IF(N2987="","",INT(N2987))</f>
        <v/>
      </c>
      <c r="J2987" s="16" t="str">
        <f aca="false">IF(B2987="","",IF(N2987=_xlfn.MINIFS($N$2:$N$5001,$B$2:$B$5001,B2987),1,0))</f>
        <v/>
      </c>
      <c r="K2987" s="16" t="str">
        <f aca="false">IF(B2987="","",IF(AND(D2987="Formalização",E2987="Concluído"),IF(COUNTIFS($B$2:$B$5001,B2987,$E$2:$E$5001,"Em ajustes",$N$2:$N$5001,"&lt;"&amp;I2987)&gt;0,1,0),0))</f>
        <v/>
      </c>
      <c r="L2987" s="16" t="str">
        <f aca="false">IF(B2987="","",IF(N2987=_xlfn.MAXIFS($N$2:$N$5001,$B$2:$B$5001,B2987,$I$2:$I$5001,I2987),1,0))</f>
        <v/>
      </c>
      <c r="M2987" s="16" t="str">
        <f aca="false">IF(B2987="","",IF(E2987="Em ajustes",IF(N2987=_xlfn.MINIFS($N$2:$N$5001,$B$2:$B$5001,B2987,$E$2:$E$5001,"Em ajustes"),1,0),0))</f>
        <v/>
      </c>
      <c r="N2987" s="17" t="str">
        <f aca="false">IF(A2987="","",IF(ISNUMBER(A2987),A2987,IFERROR(DATE(VALUE(MID(A2987,7,4)),VALUE(MID(A2987,4,2)),VALUE(MID(A2987,1,2)))+TIME(VALUE(MID(A2987,12,2)),VALUE(MID(A2987,15,2)),VALUE(MID(A2987,18,2))),"")))</f>
        <v/>
      </c>
    </row>
    <row r="2988" customFormat="false" ht="15" hidden="false" customHeight="false" outlineLevel="0" collapsed="false">
      <c r="I2988" s="15" t="str">
        <f aca="false">IF(N2988="","",INT(N2988))</f>
        <v/>
      </c>
      <c r="J2988" s="16" t="str">
        <f aca="false">IF(B2988="","",IF(N2988=_xlfn.MINIFS($N$2:$N$5001,$B$2:$B$5001,B2988),1,0))</f>
        <v/>
      </c>
      <c r="K2988" s="16" t="str">
        <f aca="false">IF(B2988="","",IF(AND(D2988="Formalização",E2988="Concluído"),IF(COUNTIFS($B$2:$B$5001,B2988,$E$2:$E$5001,"Em ajustes",$N$2:$N$5001,"&lt;"&amp;I2988)&gt;0,1,0),0))</f>
        <v/>
      </c>
      <c r="L2988" s="16" t="str">
        <f aca="false">IF(B2988="","",IF(N2988=_xlfn.MAXIFS($N$2:$N$5001,$B$2:$B$5001,B2988,$I$2:$I$5001,I2988),1,0))</f>
        <v/>
      </c>
      <c r="M2988" s="16" t="str">
        <f aca="false">IF(B2988="","",IF(E2988="Em ajustes",IF(N2988=_xlfn.MINIFS($N$2:$N$5001,$B$2:$B$5001,B2988,$E$2:$E$5001,"Em ajustes"),1,0),0))</f>
        <v/>
      </c>
      <c r="N2988" s="17" t="str">
        <f aca="false">IF(A2988="","",IF(ISNUMBER(A2988),A2988,IFERROR(DATE(VALUE(MID(A2988,7,4)),VALUE(MID(A2988,4,2)),VALUE(MID(A2988,1,2)))+TIME(VALUE(MID(A2988,12,2)),VALUE(MID(A2988,15,2)),VALUE(MID(A2988,18,2))),"")))</f>
        <v/>
      </c>
    </row>
    <row r="2989" customFormat="false" ht="15" hidden="false" customHeight="false" outlineLevel="0" collapsed="false">
      <c r="I2989" s="15" t="str">
        <f aca="false">IF(N2989="","",INT(N2989))</f>
        <v/>
      </c>
      <c r="J2989" s="16" t="str">
        <f aca="false">IF(B2989="","",IF(N2989=_xlfn.MINIFS($N$2:$N$5001,$B$2:$B$5001,B2989),1,0))</f>
        <v/>
      </c>
      <c r="K2989" s="16" t="str">
        <f aca="false">IF(B2989="","",IF(AND(D2989="Formalização",E2989="Concluído"),IF(COUNTIFS($B$2:$B$5001,B2989,$E$2:$E$5001,"Em ajustes",$N$2:$N$5001,"&lt;"&amp;I2989)&gt;0,1,0),0))</f>
        <v/>
      </c>
      <c r="L2989" s="16" t="str">
        <f aca="false">IF(B2989="","",IF(N2989=_xlfn.MAXIFS($N$2:$N$5001,$B$2:$B$5001,B2989,$I$2:$I$5001,I2989),1,0))</f>
        <v/>
      </c>
      <c r="M2989" s="16" t="str">
        <f aca="false">IF(B2989="","",IF(E2989="Em ajustes",IF(N2989=_xlfn.MINIFS($N$2:$N$5001,$B$2:$B$5001,B2989,$E$2:$E$5001,"Em ajustes"),1,0),0))</f>
        <v/>
      </c>
      <c r="N2989" s="17" t="str">
        <f aca="false">IF(A2989="","",IF(ISNUMBER(A2989),A2989,IFERROR(DATE(VALUE(MID(A2989,7,4)),VALUE(MID(A2989,4,2)),VALUE(MID(A2989,1,2)))+TIME(VALUE(MID(A2989,12,2)),VALUE(MID(A2989,15,2)),VALUE(MID(A2989,18,2))),"")))</f>
        <v/>
      </c>
    </row>
    <row r="2990" customFormat="false" ht="15" hidden="false" customHeight="false" outlineLevel="0" collapsed="false">
      <c r="I2990" s="15" t="str">
        <f aca="false">IF(N2990="","",INT(N2990))</f>
        <v/>
      </c>
      <c r="J2990" s="16" t="str">
        <f aca="false">IF(B2990="","",IF(N2990=_xlfn.MINIFS($N$2:$N$5001,$B$2:$B$5001,B2990),1,0))</f>
        <v/>
      </c>
      <c r="K2990" s="16" t="str">
        <f aca="false">IF(B2990="","",IF(AND(D2990="Formalização",E2990="Concluído"),IF(COUNTIFS($B$2:$B$5001,B2990,$E$2:$E$5001,"Em ajustes",$N$2:$N$5001,"&lt;"&amp;I2990)&gt;0,1,0),0))</f>
        <v/>
      </c>
      <c r="L2990" s="16" t="str">
        <f aca="false">IF(B2990="","",IF(N2990=_xlfn.MAXIFS($N$2:$N$5001,$B$2:$B$5001,B2990,$I$2:$I$5001,I2990),1,0))</f>
        <v/>
      </c>
      <c r="M2990" s="16" t="str">
        <f aca="false">IF(B2990="","",IF(E2990="Em ajustes",IF(N2990=_xlfn.MINIFS($N$2:$N$5001,$B$2:$B$5001,B2990,$E$2:$E$5001,"Em ajustes"),1,0),0))</f>
        <v/>
      </c>
      <c r="N2990" s="17" t="str">
        <f aca="false">IF(A2990="","",IF(ISNUMBER(A2990),A2990,IFERROR(DATE(VALUE(MID(A2990,7,4)),VALUE(MID(A2990,4,2)),VALUE(MID(A2990,1,2)))+TIME(VALUE(MID(A2990,12,2)),VALUE(MID(A2990,15,2)),VALUE(MID(A2990,18,2))),"")))</f>
        <v/>
      </c>
    </row>
    <row r="2991" customFormat="false" ht="15" hidden="false" customHeight="false" outlineLevel="0" collapsed="false">
      <c r="I2991" s="15" t="str">
        <f aca="false">IF(N2991="","",INT(N2991))</f>
        <v/>
      </c>
      <c r="J2991" s="16" t="str">
        <f aca="false">IF(B2991="","",IF(N2991=_xlfn.MINIFS($N$2:$N$5001,$B$2:$B$5001,B2991),1,0))</f>
        <v/>
      </c>
      <c r="K2991" s="16" t="str">
        <f aca="false">IF(B2991="","",IF(AND(D2991="Formalização",E2991="Concluído"),IF(COUNTIFS($B$2:$B$5001,B2991,$E$2:$E$5001,"Em ajustes",$N$2:$N$5001,"&lt;"&amp;I2991)&gt;0,1,0),0))</f>
        <v/>
      </c>
      <c r="L2991" s="16" t="str">
        <f aca="false">IF(B2991="","",IF(N2991=_xlfn.MAXIFS($N$2:$N$5001,$B$2:$B$5001,B2991,$I$2:$I$5001,I2991),1,0))</f>
        <v/>
      </c>
      <c r="M2991" s="16" t="str">
        <f aca="false">IF(B2991="","",IF(E2991="Em ajustes",IF(N2991=_xlfn.MINIFS($N$2:$N$5001,$B$2:$B$5001,B2991,$E$2:$E$5001,"Em ajustes"),1,0),0))</f>
        <v/>
      </c>
      <c r="N2991" s="17" t="str">
        <f aca="false">IF(A2991="","",IF(ISNUMBER(A2991),A2991,IFERROR(DATE(VALUE(MID(A2991,7,4)),VALUE(MID(A2991,4,2)),VALUE(MID(A2991,1,2)))+TIME(VALUE(MID(A2991,12,2)),VALUE(MID(A2991,15,2)),VALUE(MID(A2991,18,2))),"")))</f>
        <v/>
      </c>
    </row>
    <row r="2992" customFormat="false" ht="15" hidden="false" customHeight="false" outlineLevel="0" collapsed="false">
      <c r="I2992" s="15" t="str">
        <f aca="false">IF(N2992="","",INT(N2992))</f>
        <v/>
      </c>
      <c r="J2992" s="16" t="str">
        <f aca="false">IF(B2992="","",IF(N2992=_xlfn.MINIFS($N$2:$N$5001,$B$2:$B$5001,B2992),1,0))</f>
        <v/>
      </c>
      <c r="K2992" s="16" t="str">
        <f aca="false">IF(B2992="","",IF(AND(D2992="Formalização",E2992="Concluído"),IF(COUNTIFS($B$2:$B$5001,B2992,$E$2:$E$5001,"Em ajustes",$N$2:$N$5001,"&lt;"&amp;I2992)&gt;0,1,0),0))</f>
        <v/>
      </c>
      <c r="L2992" s="16" t="str">
        <f aca="false">IF(B2992="","",IF(N2992=_xlfn.MAXIFS($N$2:$N$5001,$B$2:$B$5001,B2992,$I$2:$I$5001,I2992),1,0))</f>
        <v/>
      </c>
      <c r="M2992" s="16" t="str">
        <f aca="false">IF(B2992="","",IF(E2992="Em ajustes",IF(N2992=_xlfn.MINIFS($N$2:$N$5001,$B$2:$B$5001,B2992,$E$2:$E$5001,"Em ajustes"),1,0),0))</f>
        <v/>
      </c>
      <c r="N2992" s="17" t="str">
        <f aca="false">IF(A2992="","",IF(ISNUMBER(A2992),A2992,IFERROR(DATE(VALUE(MID(A2992,7,4)),VALUE(MID(A2992,4,2)),VALUE(MID(A2992,1,2)))+TIME(VALUE(MID(A2992,12,2)),VALUE(MID(A2992,15,2)),VALUE(MID(A2992,18,2))),"")))</f>
        <v/>
      </c>
    </row>
    <row r="2993" customFormat="false" ht="15" hidden="false" customHeight="false" outlineLevel="0" collapsed="false">
      <c r="I2993" s="15" t="str">
        <f aca="false">IF(N2993="","",INT(N2993))</f>
        <v/>
      </c>
      <c r="J2993" s="16" t="str">
        <f aca="false">IF(B2993="","",IF(N2993=_xlfn.MINIFS($N$2:$N$5001,$B$2:$B$5001,B2993),1,0))</f>
        <v/>
      </c>
      <c r="K2993" s="16" t="str">
        <f aca="false">IF(B2993="","",IF(AND(D2993="Formalização",E2993="Concluído"),IF(COUNTIFS($B$2:$B$5001,B2993,$E$2:$E$5001,"Em ajustes",$N$2:$N$5001,"&lt;"&amp;I2993)&gt;0,1,0),0))</f>
        <v/>
      </c>
      <c r="L2993" s="16" t="str">
        <f aca="false">IF(B2993="","",IF(N2993=_xlfn.MAXIFS($N$2:$N$5001,$B$2:$B$5001,B2993,$I$2:$I$5001,I2993),1,0))</f>
        <v/>
      </c>
      <c r="M2993" s="16" t="str">
        <f aca="false">IF(B2993="","",IF(E2993="Em ajustes",IF(N2993=_xlfn.MINIFS($N$2:$N$5001,$B$2:$B$5001,B2993,$E$2:$E$5001,"Em ajustes"),1,0),0))</f>
        <v/>
      </c>
      <c r="N2993" s="17" t="str">
        <f aca="false">IF(A2993="","",IF(ISNUMBER(A2993),A2993,IFERROR(DATE(VALUE(MID(A2993,7,4)),VALUE(MID(A2993,4,2)),VALUE(MID(A2993,1,2)))+TIME(VALUE(MID(A2993,12,2)),VALUE(MID(A2993,15,2)),VALUE(MID(A2993,18,2))),"")))</f>
        <v/>
      </c>
    </row>
    <row r="2994" customFormat="false" ht="15" hidden="false" customHeight="false" outlineLevel="0" collapsed="false">
      <c r="I2994" s="15" t="str">
        <f aca="false">IF(N2994="","",INT(N2994))</f>
        <v/>
      </c>
      <c r="J2994" s="16" t="str">
        <f aca="false">IF(B2994="","",IF(N2994=_xlfn.MINIFS($N$2:$N$5001,$B$2:$B$5001,B2994),1,0))</f>
        <v/>
      </c>
      <c r="K2994" s="16" t="str">
        <f aca="false">IF(B2994="","",IF(AND(D2994="Formalização",E2994="Concluído"),IF(COUNTIFS($B$2:$B$5001,B2994,$E$2:$E$5001,"Em ajustes",$N$2:$N$5001,"&lt;"&amp;I2994)&gt;0,1,0),0))</f>
        <v/>
      </c>
      <c r="L2994" s="16" t="str">
        <f aca="false">IF(B2994="","",IF(N2994=_xlfn.MAXIFS($N$2:$N$5001,$B$2:$B$5001,B2994,$I$2:$I$5001,I2994),1,0))</f>
        <v/>
      </c>
      <c r="M2994" s="16" t="str">
        <f aca="false">IF(B2994="","",IF(E2994="Em ajustes",IF(N2994=_xlfn.MINIFS($N$2:$N$5001,$B$2:$B$5001,B2994,$E$2:$E$5001,"Em ajustes"),1,0),0))</f>
        <v/>
      </c>
      <c r="N2994" s="17" t="str">
        <f aca="false">IF(A2994="","",IF(ISNUMBER(A2994),A2994,IFERROR(DATE(VALUE(MID(A2994,7,4)),VALUE(MID(A2994,4,2)),VALUE(MID(A2994,1,2)))+TIME(VALUE(MID(A2994,12,2)),VALUE(MID(A2994,15,2)),VALUE(MID(A2994,18,2))),"")))</f>
        <v/>
      </c>
    </row>
    <row r="2995" customFormat="false" ht="15" hidden="false" customHeight="false" outlineLevel="0" collapsed="false">
      <c r="I2995" s="15" t="str">
        <f aca="false">IF(N2995="","",INT(N2995))</f>
        <v/>
      </c>
      <c r="J2995" s="16" t="str">
        <f aca="false">IF(B2995="","",IF(N2995=_xlfn.MINIFS($N$2:$N$5001,$B$2:$B$5001,B2995),1,0))</f>
        <v/>
      </c>
      <c r="K2995" s="16" t="str">
        <f aca="false">IF(B2995="","",IF(AND(D2995="Formalização",E2995="Concluído"),IF(COUNTIFS($B$2:$B$5001,B2995,$E$2:$E$5001,"Em ajustes",$N$2:$N$5001,"&lt;"&amp;I2995)&gt;0,1,0),0))</f>
        <v/>
      </c>
      <c r="L2995" s="16" t="str">
        <f aca="false">IF(B2995="","",IF(N2995=_xlfn.MAXIFS($N$2:$N$5001,$B$2:$B$5001,B2995,$I$2:$I$5001,I2995),1,0))</f>
        <v/>
      </c>
      <c r="M2995" s="16" t="str">
        <f aca="false">IF(B2995="","",IF(E2995="Em ajustes",IF(N2995=_xlfn.MINIFS($N$2:$N$5001,$B$2:$B$5001,B2995,$E$2:$E$5001,"Em ajustes"),1,0),0))</f>
        <v/>
      </c>
      <c r="N2995" s="17" t="str">
        <f aca="false">IF(A2995="","",IF(ISNUMBER(A2995),A2995,IFERROR(DATE(VALUE(MID(A2995,7,4)),VALUE(MID(A2995,4,2)),VALUE(MID(A2995,1,2)))+TIME(VALUE(MID(A2995,12,2)),VALUE(MID(A2995,15,2)),VALUE(MID(A2995,18,2))),"")))</f>
        <v/>
      </c>
    </row>
    <row r="2996" customFormat="false" ht="15" hidden="false" customHeight="false" outlineLevel="0" collapsed="false">
      <c r="I2996" s="15" t="str">
        <f aca="false">IF(N2996="","",INT(N2996))</f>
        <v/>
      </c>
      <c r="J2996" s="16" t="str">
        <f aca="false">IF(B2996="","",IF(N2996=_xlfn.MINIFS($N$2:$N$5001,$B$2:$B$5001,B2996),1,0))</f>
        <v/>
      </c>
      <c r="K2996" s="16" t="str">
        <f aca="false">IF(B2996="","",IF(AND(D2996="Formalização",E2996="Concluído"),IF(COUNTIFS($B$2:$B$5001,B2996,$E$2:$E$5001,"Em ajustes",$N$2:$N$5001,"&lt;"&amp;I2996)&gt;0,1,0),0))</f>
        <v/>
      </c>
      <c r="L2996" s="16" t="str">
        <f aca="false">IF(B2996="","",IF(N2996=_xlfn.MAXIFS($N$2:$N$5001,$B$2:$B$5001,B2996,$I$2:$I$5001,I2996),1,0))</f>
        <v/>
      </c>
      <c r="M2996" s="16" t="str">
        <f aca="false">IF(B2996="","",IF(E2996="Em ajustes",IF(N2996=_xlfn.MINIFS($N$2:$N$5001,$B$2:$B$5001,B2996,$E$2:$E$5001,"Em ajustes"),1,0),0))</f>
        <v/>
      </c>
      <c r="N2996" s="17" t="str">
        <f aca="false">IF(A2996="","",IF(ISNUMBER(A2996),A2996,IFERROR(DATE(VALUE(MID(A2996,7,4)),VALUE(MID(A2996,4,2)),VALUE(MID(A2996,1,2)))+TIME(VALUE(MID(A2996,12,2)),VALUE(MID(A2996,15,2)),VALUE(MID(A2996,18,2))),"")))</f>
        <v/>
      </c>
    </row>
    <row r="2997" customFormat="false" ht="15" hidden="false" customHeight="false" outlineLevel="0" collapsed="false">
      <c r="I2997" s="15" t="str">
        <f aca="false">IF(N2997="","",INT(N2997))</f>
        <v/>
      </c>
      <c r="J2997" s="16" t="str">
        <f aca="false">IF(B2997="","",IF(N2997=_xlfn.MINIFS($N$2:$N$5001,$B$2:$B$5001,B2997),1,0))</f>
        <v/>
      </c>
      <c r="K2997" s="16" t="str">
        <f aca="false">IF(B2997="","",IF(AND(D2997="Formalização",E2997="Concluído"),IF(COUNTIFS($B$2:$B$5001,B2997,$E$2:$E$5001,"Em ajustes",$N$2:$N$5001,"&lt;"&amp;I2997)&gt;0,1,0),0))</f>
        <v/>
      </c>
      <c r="L2997" s="16" t="str">
        <f aca="false">IF(B2997="","",IF(N2997=_xlfn.MAXIFS($N$2:$N$5001,$B$2:$B$5001,B2997,$I$2:$I$5001,I2997),1,0))</f>
        <v/>
      </c>
      <c r="M2997" s="16" t="str">
        <f aca="false">IF(B2997="","",IF(E2997="Em ajustes",IF(N2997=_xlfn.MINIFS($N$2:$N$5001,$B$2:$B$5001,B2997,$E$2:$E$5001,"Em ajustes"),1,0),0))</f>
        <v/>
      </c>
      <c r="N2997" s="17" t="str">
        <f aca="false">IF(A2997="","",IF(ISNUMBER(A2997),A2997,IFERROR(DATE(VALUE(MID(A2997,7,4)),VALUE(MID(A2997,4,2)),VALUE(MID(A2997,1,2)))+TIME(VALUE(MID(A2997,12,2)),VALUE(MID(A2997,15,2)),VALUE(MID(A2997,18,2))),"")))</f>
        <v/>
      </c>
    </row>
    <row r="2998" customFormat="false" ht="15" hidden="false" customHeight="false" outlineLevel="0" collapsed="false">
      <c r="I2998" s="15" t="str">
        <f aca="false">IF(N2998="","",INT(N2998))</f>
        <v/>
      </c>
      <c r="J2998" s="16" t="str">
        <f aca="false">IF(B2998="","",IF(N2998=_xlfn.MINIFS($N$2:$N$5001,$B$2:$B$5001,B2998),1,0))</f>
        <v/>
      </c>
      <c r="K2998" s="16" t="str">
        <f aca="false">IF(B2998="","",IF(AND(D2998="Formalização",E2998="Concluído"),IF(COUNTIFS($B$2:$B$5001,B2998,$E$2:$E$5001,"Em ajustes",$N$2:$N$5001,"&lt;"&amp;I2998)&gt;0,1,0),0))</f>
        <v/>
      </c>
      <c r="L2998" s="16" t="str">
        <f aca="false">IF(B2998="","",IF(N2998=_xlfn.MAXIFS($N$2:$N$5001,$B$2:$B$5001,B2998,$I$2:$I$5001,I2998),1,0))</f>
        <v/>
      </c>
      <c r="M2998" s="16" t="str">
        <f aca="false">IF(B2998="","",IF(E2998="Em ajustes",IF(N2998=_xlfn.MINIFS($N$2:$N$5001,$B$2:$B$5001,B2998,$E$2:$E$5001,"Em ajustes"),1,0),0))</f>
        <v/>
      </c>
      <c r="N2998" s="17" t="str">
        <f aca="false">IF(A2998="","",IF(ISNUMBER(A2998),A2998,IFERROR(DATE(VALUE(MID(A2998,7,4)),VALUE(MID(A2998,4,2)),VALUE(MID(A2998,1,2)))+TIME(VALUE(MID(A2998,12,2)),VALUE(MID(A2998,15,2)),VALUE(MID(A2998,18,2))),"")))</f>
        <v/>
      </c>
    </row>
    <row r="2999" customFormat="false" ht="15" hidden="false" customHeight="false" outlineLevel="0" collapsed="false">
      <c r="I2999" s="15" t="str">
        <f aca="false">IF(N2999="","",INT(N2999))</f>
        <v/>
      </c>
      <c r="J2999" s="16" t="str">
        <f aca="false">IF(B2999="","",IF(N2999=_xlfn.MINIFS($N$2:$N$5001,$B$2:$B$5001,B2999),1,0))</f>
        <v/>
      </c>
      <c r="K2999" s="16" t="str">
        <f aca="false">IF(B2999="","",IF(AND(D2999="Formalização",E2999="Concluído"),IF(COUNTIFS($B$2:$B$5001,B2999,$E$2:$E$5001,"Em ajustes",$N$2:$N$5001,"&lt;"&amp;I2999)&gt;0,1,0),0))</f>
        <v/>
      </c>
      <c r="L2999" s="16" t="str">
        <f aca="false">IF(B2999="","",IF(N2999=_xlfn.MAXIFS($N$2:$N$5001,$B$2:$B$5001,B2999,$I$2:$I$5001,I2999),1,0))</f>
        <v/>
      </c>
      <c r="M2999" s="16" t="str">
        <f aca="false">IF(B2999="","",IF(E2999="Em ajustes",IF(N2999=_xlfn.MINIFS($N$2:$N$5001,$B$2:$B$5001,B2999,$E$2:$E$5001,"Em ajustes"),1,0),0))</f>
        <v/>
      </c>
      <c r="N2999" s="17" t="str">
        <f aca="false">IF(A2999="","",IF(ISNUMBER(A2999),A2999,IFERROR(DATE(VALUE(MID(A2999,7,4)),VALUE(MID(A2999,4,2)),VALUE(MID(A2999,1,2)))+TIME(VALUE(MID(A2999,12,2)),VALUE(MID(A2999,15,2)),VALUE(MID(A2999,18,2))),"")))</f>
        <v/>
      </c>
    </row>
    <row r="3000" customFormat="false" ht="15" hidden="false" customHeight="false" outlineLevel="0" collapsed="false">
      <c r="I3000" s="15" t="str">
        <f aca="false">IF(N3000="","",INT(N3000))</f>
        <v/>
      </c>
      <c r="J3000" s="16" t="str">
        <f aca="false">IF(B3000="","",IF(N3000=_xlfn.MINIFS($N$2:$N$5001,$B$2:$B$5001,B3000),1,0))</f>
        <v/>
      </c>
      <c r="K3000" s="16" t="str">
        <f aca="false">IF(B3000="","",IF(AND(D3000="Formalização",E3000="Concluído"),IF(COUNTIFS($B$2:$B$5001,B3000,$E$2:$E$5001,"Em ajustes",$N$2:$N$5001,"&lt;"&amp;I3000)&gt;0,1,0),0))</f>
        <v/>
      </c>
      <c r="L3000" s="16" t="str">
        <f aca="false">IF(B3000="","",IF(N3000=_xlfn.MAXIFS($N$2:$N$5001,$B$2:$B$5001,B3000,$I$2:$I$5001,I3000),1,0))</f>
        <v/>
      </c>
      <c r="M3000" s="16" t="str">
        <f aca="false">IF(B3000="","",IF(E3000="Em ajustes",IF(N3000=_xlfn.MINIFS($N$2:$N$5001,$B$2:$B$5001,B3000,$E$2:$E$5001,"Em ajustes"),1,0),0))</f>
        <v/>
      </c>
      <c r="N3000" s="17" t="str">
        <f aca="false">IF(A3000="","",IF(ISNUMBER(A3000),A3000,IFERROR(DATE(VALUE(MID(A3000,7,4)),VALUE(MID(A3000,4,2)),VALUE(MID(A3000,1,2)))+TIME(VALUE(MID(A3000,12,2)),VALUE(MID(A3000,15,2)),VALUE(MID(A3000,18,2))),"")))</f>
        <v/>
      </c>
    </row>
    <row r="3001" customFormat="false" ht="15" hidden="false" customHeight="false" outlineLevel="0" collapsed="false">
      <c r="I3001" s="15" t="str">
        <f aca="false">IF(N3001="","",INT(N3001))</f>
        <v/>
      </c>
      <c r="J3001" s="16" t="str">
        <f aca="false">IF(B3001="","",IF(N3001=_xlfn.MINIFS($N$2:$N$5001,$B$2:$B$5001,B3001),1,0))</f>
        <v/>
      </c>
      <c r="K3001" s="16" t="str">
        <f aca="false">IF(B3001="","",IF(AND(D3001="Formalização",E3001="Concluído"),IF(COUNTIFS($B$2:$B$5001,B3001,$E$2:$E$5001,"Em ajustes",$N$2:$N$5001,"&lt;"&amp;I3001)&gt;0,1,0),0))</f>
        <v/>
      </c>
      <c r="L3001" s="16" t="str">
        <f aca="false">IF(B3001="","",IF(N3001=_xlfn.MAXIFS($N$2:$N$5001,$B$2:$B$5001,B3001,$I$2:$I$5001,I3001),1,0))</f>
        <v/>
      </c>
      <c r="M3001" s="16" t="str">
        <f aca="false">IF(B3001="","",IF(E3001="Em ajustes",IF(N3001=_xlfn.MINIFS($N$2:$N$5001,$B$2:$B$5001,B3001,$E$2:$E$5001,"Em ajustes"),1,0),0))</f>
        <v/>
      </c>
      <c r="N3001" s="17" t="str">
        <f aca="false">IF(A3001="","",IF(ISNUMBER(A3001),A3001,IFERROR(DATE(VALUE(MID(A3001,7,4)),VALUE(MID(A3001,4,2)),VALUE(MID(A3001,1,2)))+TIME(VALUE(MID(A3001,12,2)),VALUE(MID(A3001,15,2)),VALUE(MID(A3001,18,2))),"")))</f>
        <v/>
      </c>
    </row>
    <row r="3002" customFormat="false" ht="15" hidden="false" customHeight="false" outlineLevel="0" collapsed="false">
      <c r="I3002" s="15" t="str">
        <f aca="false">IF(N3002="","",INT(N3002))</f>
        <v/>
      </c>
      <c r="J3002" s="16" t="str">
        <f aca="false">IF(B3002="","",IF(N3002=_xlfn.MINIFS($N$2:$N$5001,$B$2:$B$5001,B3002),1,0))</f>
        <v/>
      </c>
      <c r="K3002" s="16" t="str">
        <f aca="false">IF(B3002="","",IF(AND(D3002="Formalização",E3002="Concluído"),IF(COUNTIFS($B$2:$B$5001,B3002,$E$2:$E$5001,"Em ajustes",$N$2:$N$5001,"&lt;"&amp;I3002)&gt;0,1,0),0))</f>
        <v/>
      </c>
      <c r="L3002" s="16" t="str">
        <f aca="false">IF(B3002="","",IF(N3002=_xlfn.MAXIFS($N$2:$N$5001,$B$2:$B$5001,B3002,$I$2:$I$5001,I3002),1,0))</f>
        <v/>
      </c>
      <c r="M3002" s="16" t="str">
        <f aca="false">IF(B3002="","",IF(E3002="Em ajustes",IF(N3002=_xlfn.MINIFS($N$2:$N$5001,$B$2:$B$5001,B3002,$E$2:$E$5001,"Em ajustes"),1,0),0))</f>
        <v/>
      </c>
      <c r="N3002" s="17" t="str">
        <f aca="false">IF(A3002="","",IF(ISNUMBER(A3002),A3002,IFERROR(DATE(VALUE(MID(A3002,7,4)),VALUE(MID(A3002,4,2)),VALUE(MID(A3002,1,2)))+TIME(VALUE(MID(A3002,12,2)),VALUE(MID(A3002,15,2)),VALUE(MID(A3002,18,2))),"")))</f>
        <v/>
      </c>
    </row>
    <row r="3003" customFormat="false" ht="15" hidden="false" customHeight="false" outlineLevel="0" collapsed="false">
      <c r="I3003" s="15" t="str">
        <f aca="false">IF(N3003="","",INT(N3003))</f>
        <v/>
      </c>
      <c r="J3003" s="16" t="str">
        <f aca="false">IF(B3003="","",IF(N3003=_xlfn.MINIFS($N$2:$N$5001,$B$2:$B$5001,B3003),1,0))</f>
        <v/>
      </c>
      <c r="K3003" s="16" t="str">
        <f aca="false">IF(B3003="","",IF(AND(D3003="Formalização",E3003="Concluído"),IF(COUNTIFS($B$2:$B$5001,B3003,$E$2:$E$5001,"Em ajustes",$N$2:$N$5001,"&lt;"&amp;I3003)&gt;0,1,0),0))</f>
        <v/>
      </c>
      <c r="L3003" s="16" t="str">
        <f aca="false">IF(B3003="","",IF(N3003=_xlfn.MAXIFS($N$2:$N$5001,$B$2:$B$5001,B3003,$I$2:$I$5001,I3003),1,0))</f>
        <v/>
      </c>
      <c r="M3003" s="16" t="str">
        <f aca="false">IF(B3003="","",IF(E3003="Em ajustes",IF(N3003=_xlfn.MINIFS($N$2:$N$5001,$B$2:$B$5001,B3003,$E$2:$E$5001,"Em ajustes"),1,0),0))</f>
        <v/>
      </c>
      <c r="N3003" s="17" t="str">
        <f aca="false">IF(A3003="","",IF(ISNUMBER(A3003),A3003,IFERROR(DATE(VALUE(MID(A3003,7,4)),VALUE(MID(A3003,4,2)),VALUE(MID(A3003,1,2)))+TIME(VALUE(MID(A3003,12,2)),VALUE(MID(A3003,15,2)),VALUE(MID(A3003,18,2))),"")))</f>
        <v/>
      </c>
    </row>
    <row r="3004" customFormat="false" ht="15" hidden="false" customHeight="false" outlineLevel="0" collapsed="false">
      <c r="I3004" s="15" t="str">
        <f aca="false">IF(N3004="","",INT(N3004))</f>
        <v/>
      </c>
      <c r="J3004" s="16" t="str">
        <f aca="false">IF(B3004="","",IF(N3004=_xlfn.MINIFS($N$2:$N$5001,$B$2:$B$5001,B3004),1,0))</f>
        <v/>
      </c>
      <c r="K3004" s="16" t="str">
        <f aca="false">IF(B3004="","",IF(AND(D3004="Formalização",E3004="Concluído"),IF(COUNTIFS($B$2:$B$5001,B3004,$E$2:$E$5001,"Em ajustes",$N$2:$N$5001,"&lt;"&amp;I3004)&gt;0,1,0),0))</f>
        <v/>
      </c>
      <c r="L3004" s="16" t="str">
        <f aca="false">IF(B3004="","",IF(N3004=_xlfn.MAXIFS($N$2:$N$5001,$B$2:$B$5001,B3004,$I$2:$I$5001,I3004),1,0))</f>
        <v/>
      </c>
      <c r="M3004" s="16" t="str">
        <f aca="false">IF(B3004="","",IF(E3004="Em ajustes",IF(N3004=_xlfn.MINIFS($N$2:$N$5001,$B$2:$B$5001,B3004,$E$2:$E$5001,"Em ajustes"),1,0),0))</f>
        <v/>
      </c>
      <c r="N3004" s="17" t="str">
        <f aca="false">IF(A3004="","",IF(ISNUMBER(A3004),A3004,IFERROR(DATE(VALUE(MID(A3004,7,4)),VALUE(MID(A3004,4,2)),VALUE(MID(A3004,1,2)))+TIME(VALUE(MID(A3004,12,2)),VALUE(MID(A3004,15,2)),VALUE(MID(A3004,18,2))),"")))</f>
        <v/>
      </c>
    </row>
    <row r="3005" customFormat="false" ht="15" hidden="false" customHeight="false" outlineLevel="0" collapsed="false">
      <c r="I3005" s="15" t="str">
        <f aca="false">IF(N3005="","",INT(N3005))</f>
        <v/>
      </c>
      <c r="J3005" s="16" t="str">
        <f aca="false">IF(B3005="","",IF(N3005=_xlfn.MINIFS($N$2:$N$5001,$B$2:$B$5001,B3005),1,0))</f>
        <v/>
      </c>
      <c r="K3005" s="16" t="str">
        <f aca="false">IF(B3005="","",IF(AND(D3005="Formalização",E3005="Concluído"),IF(COUNTIFS($B$2:$B$5001,B3005,$E$2:$E$5001,"Em ajustes",$N$2:$N$5001,"&lt;"&amp;I3005)&gt;0,1,0),0))</f>
        <v/>
      </c>
      <c r="L3005" s="16" t="str">
        <f aca="false">IF(B3005="","",IF(N3005=_xlfn.MAXIFS($N$2:$N$5001,$B$2:$B$5001,B3005,$I$2:$I$5001,I3005),1,0))</f>
        <v/>
      </c>
      <c r="M3005" s="16" t="str">
        <f aca="false">IF(B3005="","",IF(E3005="Em ajustes",IF(N3005=_xlfn.MINIFS($N$2:$N$5001,$B$2:$B$5001,B3005,$E$2:$E$5001,"Em ajustes"),1,0),0))</f>
        <v/>
      </c>
      <c r="N3005" s="17" t="str">
        <f aca="false">IF(A3005="","",IF(ISNUMBER(A3005),A3005,IFERROR(DATE(VALUE(MID(A3005,7,4)),VALUE(MID(A3005,4,2)),VALUE(MID(A3005,1,2)))+TIME(VALUE(MID(A3005,12,2)),VALUE(MID(A3005,15,2)),VALUE(MID(A3005,18,2))),"")))</f>
        <v/>
      </c>
    </row>
    <row r="3006" customFormat="false" ht="15" hidden="false" customHeight="false" outlineLevel="0" collapsed="false">
      <c r="I3006" s="15" t="str">
        <f aca="false">IF(N3006="","",INT(N3006))</f>
        <v/>
      </c>
      <c r="J3006" s="16" t="str">
        <f aca="false">IF(B3006="","",IF(N3006=_xlfn.MINIFS($N$2:$N$5001,$B$2:$B$5001,B3006),1,0))</f>
        <v/>
      </c>
      <c r="K3006" s="16" t="str">
        <f aca="false">IF(B3006="","",IF(AND(D3006="Formalização",E3006="Concluído"),IF(COUNTIFS($B$2:$B$5001,B3006,$E$2:$E$5001,"Em ajustes",$N$2:$N$5001,"&lt;"&amp;I3006)&gt;0,1,0),0))</f>
        <v/>
      </c>
      <c r="L3006" s="16" t="str">
        <f aca="false">IF(B3006="","",IF(N3006=_xlfn.MAXIFS($N$2:$N$5001,$B$2:$B$5001,B3006,$I$2:$I$5001,I3006),1,0))</f>
        <v/>
      </c>
      <c r="M3006" s="16" t="str">
        <f aca="false">IF(B3006="","",IF(E3006="Em ajustes",IF(N3006=_xlfn.MINIFS($N$2:$N$5001,$B$2:$B$5001,B3006,$E$2:$E$5001,"Em ajustes"),1,0),0))</f>
        <v/>
      </c>
      <c r="N3006" s="17" t="str">
        <f aca="false">IF(A3006="","",IF(ISNUMBER(A3006),A3006,IFERROR(DATE(VALUE(MID(A3006,7,4)),VALUE(MID(A3006,4,2)),VALUE(MID(A3006,1,2)))+TIME(VALUE(MID(A3006,12,2)),VALUE(MID(A3006,15,2)),VALUE(MID(A3006,18,2))),"")))</f>
        <v/>
      </c>
    </row>
    <row r="3007" customFormat="false" ht="15" hidden="false" customHeight="false" outlineLevel="0" collapsed="false">
      <c r="I3007" s="15" t="str">
        <f aca="false">IF(N3007="","",INT(N3007))</f>
        <v/>
      </c>
      <c r="J3007" s="16" t="str">
        <f aca="false">IF(B3007="","",IF(N3007=_xlfn.MINIFS($N$2:$N$5001,$B$2:$B$5001,B3007),1,0))</f>
        <v/>
      </c>
      <c r="K3007" s="16" t="str">
        <f aca="false">IF(B3007="","",IF(AND(D3007="Formalização",E3007="Concluído"),IF(COUNTIFS($B$2:$B$5001,B3007,$E$2:$E$5001,"Em ajustes",$N$2:$N$5001,"&lt;"&amp;I3007)&gt;0,1,0),0))</f>
        <v/>
      </c>
      <c r="L3007" s="16" t="str">
        <f aca="false">IF(B3007="","",IF(N3007=_xlfn.MAXIFS($N$2:$N$5001,$B$2:$B$5001,B3007,$I$2:$I$5001,I3007),1,0))</f>
        <v/>
      </c>
      <c r="M3007" s="16" t="str">
        <f aca="false">IF(B3007="","",IF(E3007="Em ajustes",IF(N3007=_xlfn.MINIFS($N$2:$N$5001,$B$2:$B$5001,B3007,$E$2:$E$5001,"Em ajustes"),1,0),0))</f>
        <v/>
      </c>
      <c r="N3007" s="17" t="str">
        <f aca="false">IF(A3007="","",IF(ISNUMBER(A3007),A3007,IFERROR(DATE(VALUE(MID(A3007,7,4)),VALUE(MID(A3007,4,2)),VALUE(MID(A3007,1,2)))+TIME(VALUE(MID(A3007,12,2)),VALUE(MID(A3007,15,2)),VALUE(MID(A3007,18,2))),"")))</f>
        <v/>
      </c>
    </row>
    <row r="3008" customFormat="false" ht="15" hidden="false" customHeight="false" outlineLevel="0" collapsed="false">
      <c r="I3008" s="15" t="str">
        <f aca="false">IF(N3008="","",INT(N3008))</f>
        <v/>
      </c>
      <c r="J3008" s="16" t="str">
        <f aca="false">IF(B3008="","",IF(N3008=_xlfn.MINIFS($N$2:$N$5001,$B$2:$B$5001,B3008),1,0))</f>
        <v/>
      </c>
      <c r="K3008" s="16" t="str">
        <f aca="false">IF(B3008="","",IF(AND(D3008="Formalização",E3008="Concluído"),IF(COUNTIFS($B$2:$B$5001,B3008,$E$2:$E$5001,"Em ajustes",$N$2:$N$5001,"&lt;"&amp;I3008)&gt;0,1,0),0))</f>
        <v/>
      </c>
      <c r="L3008" s="16" t="str">
        <f aca="false">IF(B3008="","",IF(N3008=_xlfn.MAXIFS($N$2:$N$5001,$B$2:$B$5001,B3008,$I$2:$I$5001,I3008),1,0))</f>
        <v/>
      </c>
      <c r="M3008" s="16" t="str">
        <f aca="false">IF(B3008="","",IF(E3008="Em ajustes",IF(N3008=_xlfn.MINIFS($N$2:$N$5001,$B$2:$B$5001,B3008,$E$2:$E$5001,"Em ajustes"),1,0),0))</f>
        <v/>
      </c>
      <c r="N3008" s="17" t="str">
        <f aca="false">IF(A3008="","",IF(ISNUMBER(A3008),A3008,IFERROR(DATE(VALUE(MID(A3008,7,4)),VALUE(MID(A3008,4,2)),VALUE(MID(A3008,1,2)))+TIME(VALUE(MID(A3008,12,2)),VALUE(MID(A3008,15,2)),VALUE(MID(A3008,18,2))),"")))</f>
        <v/>
      </c>
    </row>
    <row r="3009" customFormat="false" ht="15" hidden="false" customHeight="false" outlineLevel="0" collapsed="false">
      <c r="I3009" s="15" t="str">
        <f aca="false">IF(N3009="","",INT(N3009))</f>
        <v/>
      </c>
      <c r="J3009" s="16" t="str">
        <f aca="false">IF(B3009="","",IF(N3009=_xlfn.MINIFS($N$2:$N$5001,$B$2:$B$5001,B3009),1,0))</f>
        <v/>
      </c>
      <c r="K3009" s="16" t="str">
        <f aca="false">IF(B3009="","",IF(AND(D3009="Formalização",E3009="Concluído"),IF(COUNTIFS($B$2:$B$5001,B3009,$E$2:$E$5001,"Em ajustes",$N$2:$N$5001,"&lt;"&amp;I3009)&gt;0,1,0),0))</f>
        <v/>
      </c>
      <c r="L3009" s="16" t="str">
        <f aca="false">IF(B3009="","",IF(N3009=_xlfn.MAXIFS($N$2:$N$5001,$B$2:$B$5001,B3009,$I$2:$I$5001,I3009),1,0))</f>
        <v/>
      </c>
      <c r="M3009" s="16" t="str">
        <f aca="false">IF(B3009="","",IF(E3009="Em ajustes",IF(N3009=_xlfn.MINIFS($N$2:$N$5001,$B$2:$B$5001,B3009,$E$2:$E$5001,"Em ajustes"),1,0),0))</f>
        <v/>
      </c>
      <c r="N3009" s="17" t="str">
        <f aca="false">IF(A3009="","",IF(ISNUMBER(A3009),A3009,IFERROR(DATE(VALUE(MID(A3009,7,4)),VALUE(MID(A3009,4,2)),VALUE(MID(A3009,1,2)))+TIME(VALUE(MID(A3009,12,2)),VALUE(MID(A3009,15,2)),VALUE(MID(A3009,18,2))),"")))</f>
        <v/>
      </c>
    </row>
    <row r="3010" customFormat="false" ht="15" hidden="false" customHeight="false" outlineLevel="0" collapsed="false">
      <c r="I3010" s="15" t="str">
        <f aca="false">IF(N3010="","",INT(N3010))</f>
        <v/>
      </c>
      <c r="J3010" s="16" t="str">
        <f aca="false">IF(B3010="","",IF(N3010=_xlfn.MINIFS($N$2:$N$5001,$B$2:$B$5001,B3010),1,0))</f>
        <v/>
      </c>
      <c r="K3010" s="16" t="str">
        <f aca="false">IF(B3010="","",IF(AND(D3010="Formalização",E3010="Concluído"),IF(COUNTIFS($B$2:$B$5001,B3010,$E$2:$E$5001,"Em ajustes",$N$2:$N$5001,"&lt;"&amp;I3010)&gt;0,1,0),0))</f>
        <v/>
      </c>
      <c r="L3010" s="16" t="str">
        <f aca="false">IF(B3010="","",IF(N3010=_xlfn.MAXIFS($N$2:$N$5001,$B$2:$B$5001,B3010,$I$2:$I$5001,I3010),1,0))</f>
        <v/>
      </c>
      <c r="M3010" s="16" t="str">
        <f aca="false">IF(B3010="","",IF(E3010="Em ajustes",IF(N3010=_xlfn.MINIFS($N$2:$N$5001,$B$2:$B$5001,B3010,$E$2:$E$5001,"Em ajustes"),1,0),0))</f>
        <v/>
      </c>
      <c r="N3010" s="17" t="str">
        <f aca="false">IF(A3010="","",IF(ISNUMBER(A3010),A3010,IFERROR(DATE(VALUE(MID(A3010,7,4)),VALUE(MID(A3010,4,2)),VALUE(MID(A3010,1,2)))+TIME(VALUE(MID(A3010,12,2)),VALUE(MID(A3010,15,2)),VALUE(MID(A3010,18,2))),"")))</f>
        <v/>
      </c>
    </row>
    <row r="3011" customFormat="false" ht="15" hidden="false" customHeight="false" outlineLevel="0" collapsed="false">
      <c r="I3011" s="15" t="str">
        <f aca="false">IF(N3011="","",INT(N3011))</f>
        <v/>
      </c>
      <c r="J3011" s="16" t="str">
        <f aca="false">IF(B3011="","",IF(N3011=_xlfn.MINIFS($N$2:$N$5001,$B$2:$B$5001,B3011),1,0))</f>
        <v/>
      </c>
      <c r="K3011" s="16" t="str">
        <f aca="false">IF(B3011="","",IF(AND(D3011="Formalização",E3011="Concluído"),IF(COUNTIFS($B$2:$B$5001,B3011,$E$2:$E$5001,"Em ajustes",$N$2:$N$5001,"&lt;"&amp;I3011)&gt;0,1,0),0))</f>
        <v/>
      </c>
      <c r="L3011" s="16" t="str">
        <f aca="false">IF(B3011="","",IF(N3011=_xlfn.MAXIFS($N$2:$N$5001,$B$2:$B$5001,B3011,$I$2:$I$5001,I3011),1,0))</f>
        <v/>
      </c>
      <c r="M3011" s="16" t="str">
        <f aca="false">IF(B3011="","",IF(E3011="Em ajustes",IF(N3011=_xlfn.MINIFS($N$2:$N$5001,$B$2:$B$5001,B3011,$E$2:$E$5001,"Em ajustes"),1,0),0))</f>
        <v/>
      </c>
      <c r="N3011" s="17" t="str">
        <f aca="false">IF(A3011="","",IF(ISNUMBER(A3011),A3011,IFERROR(DATE(VALUE(MID(A3011,7,4)),VALUE(MID(A3011,4,2)),VALUE(MID(A3011,1,2)))+TIME(VALUE(MID(A3011,12,2)),VALUE(MID(A3011,15,2)),VALUE(MID(A3011,18,2))),"")))</f>
        <v/>
      </c>
    </row>
    <row r="3012" customFormat="false" ht="15" hidden="false" customHeight="false" outlineLevel="0" collapsed="false">
      <c r="I3012" s="15" t="str">
        <f aca="false">IF(N3012="","",INT(N3012))</f>
        <v/>
      </c>
      <c r="J3012" s="16" t="str">
        <f aca="false">IF(B3012="","",IF(N3012=_xlfn.MINIFS($N$2:$N$5001,$B$2:$B$5001,B3012),1,0))</f>
        <v/>
      </c>
      <c r="K3012" s="16" t="str">
        <f aca="false">IF(B3012="","",IF(AND(D3012="Formalização",E3012="Concluído"),IF(COUNTIFS($B$2:$B$5001,B3012,$E$2:$E$5001,"Em ajustes",$N$2:$N$5001,"&lt;"&amp;I3012)&gt;0,1,0),0))</f>
        <v/>
      </c>
      <c r="L3012" s="16" t="str">
        <f aca="false">IF(B3012="","",IF(N3012=_xlfn.MAXIFS($N$2:$N$5001,$B$2:$B$5001,B3012,$I$2:$I$5001,I3012),1,0))</f>
        <v/>
      </c>
      <c r="M3012" s="16" t="str">
        <f aca="false">IF(B3012="","",IF(E3012="Em ajustes",IF(N3012=_xlfn.MINIFS($N$2:$N$5001,$B$2:$B$5001,B3012,$E$2:$E$5001,"Em ajustes"),1,0),0))</f>
        <v/>
      </c>
      <c r="N3012" s="17" t="str">
        <f aca="false">IF(A3012="","",IF(ISNUMBER(A3012),A3012,IFERROR(DATE(VALUE(MID(A3012,7,4)),VALUE(MID(A3012,4,2)),VALUE(MID(A3012,1,2)))+TIME(VALUE(MID(A3012,12,2)),VALUE(MID(A3012,15,2)),VALUE(MID(A3012,18,2))),"")))</f>
        <v/>
      </c>
    </row>
    <row r="3013" customFormat="false" ht="15" hidden="false" customHeight="false" outlineLevel="0" collapsed="false">
      <c r="I3013" s="15" t="str">
        <f aca="false">IF(N3013="","",INT(N3013))</f>
        <v/>
      </c>
      <c r="J3013" s="16" t="str">
        <f aca="false">IF(B3013="","",IF(N3013=_xlfn.MINIFS($N$2:$N$5001,$B$2:$B$5001,B3013),1,0))</f>
        <v/>
      </c>
      <c r="K3013" s="16" t="str">
        <f aca="false">IF(B3013="","",IF(AND(D3013="Formalização",E3013="Concluído"),IF(COUNTIFS($B$2:$B$5001,B3013,$E$2:$E$5001,"Em ajustes",$N$2:$N$5001,"&lt;"&amp;I3013)&gt;0,1,0),0))</f>
        <v/>
      </c>
      <c r="L3013" s="16" t="str">
        <f aca="false">IF(B3013="","",IF(N3013=_xlfn.MAXIFS($N$2:$N$5001,$B$2:$B$5001,B3013,$I$2:$I$5001,I3013),1,0))</f>
        <v/>
      </c>
      <c r="M3013" s="16" t="str">
        <f aca="false">IF(B3013="","",IF(E3013="Em ajustes",IF(N3013=_xlfn.MINIFS($N$2:$N$5001,$B$2:$B$5001,B3013,$E$2:$E$5001,"Em ajustes"),1,0),0))</f>
        <v/>
      </c>
      <c r="N3013" s="17" t="str">
        <f aca="false">IF(A3013="","",IF(ISNUMBER(A3013),A3013,IFERROR(DATE(VALUE(MID(A3013,7,4)),VALUE(MID(A3013,4,2)),VALUE(MID(A3013,1,2)))+TIME(VALUE(MID(A3013,12,2)),VALUE(MID(A3013,15,2)),VALUE(MID(A3013,18,2))),"")))</f>
        <v/>
      </c>
    </row>
    <row r="3014" customFormat="false" ht="15" hidden="false" customHeight="false" outlineLevel="0" collapsed="false">
      <c r="I3014" s="15" t="str">
        <f aca="false">IF(N3014="","",INT(N3014))</f>
        <v/>
      </c>
      <c r="J3014" s="16" t="str">
        <f aca="false">IF(B3014="","",IF(N3014=_xlfn.MINIFS($N$2:$N$5001,$B$2:$B$5001,B3014),1,0))</f>
        <v/>
      </c>
      <c r="K3014" s="16" t="str">
        <f aca="false">IF(B3014="","",IF(AND(D3014="Formalização",E3014="Concluído"),IF(COUNTIFS($B$2:$B$5001,B3014,$E$2:$E$5001,"Em ajustes",$N$2:$N$5001,"&lt;"&amp;I3014)&gt;0,1,0),0))</f>
        <v/>
      </c>
      <c r="L3014" s="16" t="str">
        <f aca="false">IF(B3014="","",IF(N3014=_xlfn.MAXIFS($N$2:$N$5001,$B$2:$B$5001,B3014,$I$2:$I$5001,I3014),1,0))</f>
        <v/>
      </c>
      <c r="M3014" s="16" t="str">
        <f aca="false">IF(B3014="","",IF(E3014="Em ajustes",IF(N3014=_xlfn.MINIFS($N$2:$N$5001,$B$2:$B$5001,B3014,$E$2:$E$5001,"Em ajustes"),1,0),0))</f>
        <v/>
      </c>
      <c r="N3014" s="17" t="str">
        <f aca="false">IF(A3014="","",IF(ISNUMBER(A3014),A3014,IFERROR(DATE(VALUE(MID(A3014,7,4)),VALUE(MID(A3014,4,2)),VALUE(MID(A3014,1,2)))+TIME(VALUE(MID(A3014,12,2)),VALUE(MID(A3014,15,2)),VALUE(MID(A3014,18,2))),"")))</f>
        <v/>
      </c>
    </row>
    <row r="3015" customFormat="false" ht="15" hidden="false" customHeight="false" outlineLevel="0" collapsed="false">
      <c r="I3015" s="15" t="str">
        <f aca="false">IF(N3015="","",INT(N3015))</f>
        <v/>
      </c>
      <c r="J3015" s="16" t="str">
        <f aca="false">IF(B3015="","",IF(N3015=_xlfn.MINIFS($N$2:$N$5001,$B$2:$B$5001,B3015),1,0))</f>
        <v/>
      </c>
      <c r="K3015" s="16" t="str">
        <f aca="false">IF(B3015="","",IF(AND(D3015="Formalização",E3015="Concluído"),IF(COUNTIFS($B$2:$B$5001,B3015,$E$2:$E$5001,"Em ajustes",$N$2:$N$5001,"&lt;"&amp;I3015)&gt;0,1,0),0))</f>
        <v/>
      </c>
      <c r="L3015" s="16" t="str">
        <f aca="false">IF(B3015="","",IF(N3015=_xlfn.MAXIFS($N$2:$N$5001,$B$2:$B$5001,B3015,$I$2:$I$5001,I3015),1,0))</f>
        <v/>
      </c>
      <c r="M3015" s="16" t="str">
        <f aca="false">IF(B3015="","",IF(E3015="Em ajustes",IF(N3015=_xlfn.MINIFS($N$2:$N$5001,$B$2:$B$5001,B3015,$E$2:$E$5001,"Em ajustes"),1,0),0))</f>
        <v/>
      </c>
      <c r="N3015" s="17" t="str">
        <f aca="false">IF(A3015="","",IF(ISNUMBER(A3015),A3015,IFERROR(DATE(VALUE(MID(A3015,7,4)),VALUE(MID(A3015,4,2)),VALUE(MID(A3015,1,2)))+TIME(VALUE(MID(A3015,12,2)),VALUE(MID(A3015,15,2)),VALUE(MID(A3015,18,2))),"")))</f>
        <v/>
      </c>
    </row>
    <row r="3016" customFormat="false" ht="15" hidden="false" customHeight="false" outlineLevel="0" collapsed="false">
      <c r="I3016" s="15" t="str">
        <f aca="false">IF(N3016="","",INT(N3016))</f>
        <v/>
      </c>
      <c r="J3016" s="16" t="str">
        <f aca="false">IF(B3016="","",IF(N3016=_xlfn.MINIFS($N$2:$N$5001,$B$2:$B$5001,B3016),1,0))</f>
        <v/>
      </c>
      <c r="K3016" s="16" t="str">
        <f aca="false">IF(B3016="","",IF(AND(D3016="Formalização",E3016="Concluído"),IF(COUNTIFS($B$2:$B$5001,B3016,$E$2:$E$5001,"Em ajustes",$N$2:$N$5001,"&lt;"&amp;I3016)&gt;0,1,0),0))</f>
        <v/>
      </c>
      <c r="L3016" s="16" t="str">
        <f aca="false">IF(B3016="","",IF(N3016=_xlfn.MAXIFS($N$2:$N$5001,$B$2:$B$5001,B3016,$I$2:$I$5001,I3016),1,0))</f>
        <v/>
      </c>
      <c r="M3016" s="16" t="str">
        <f aca="false">IF(B3016="","",IF(E3016="Em ajustes",IF(N3016=_xlfn.MINIFS($N$2:$N$5001,$B$2:$B$5001,B3016,$E$2:$E$5001,"Em ajustes"),1,0),0))</f>
        <v/>
      </c>
      <c r="N3016" s="17" t="str">
        <f aca="false">IF(A3016="","",IF(ISNUMBER(A3016),A3016,IFERROR(DATE(VALUE(MID(A3016,7,4)),VALUE(MID(A3016,4,2)),VALUE(MID(A3016,1,2)))+TIME(VALUE(MID(A3016,12,2)),VALUE(MID(A3016,15,2)),VALUE(MID(A3016,18,2))),"")))</f>
        <v/>
      </c>
    </row>
    <row r="3017" customFormat="false" ht="15" hidden="false" customHeight="false" outlineLevel="0" collapsed="false">
      <c r="I3017" s="15" t="str">
        <f aca="false">IF(N3017="","",INT(N3017))</f>
        <v/>
      </c>
      <c r="J3017" s="16" t="str">
        <f aca="false">IF(B3017="","",IF(N3017=_xlfn.MINIFS($N$2:$N$5001,$B$2:$B$5001,B3017),1,0))</f>
        <v/>
      </c>
      <c r="K3017" s="16" t="str">
        <f aca="false">IF(B3017="","",IF(AND(D3017="Formalização",E3017="Concluído"),IF(COUNTIFS($B$2:$B$5001,B3017,$E$2:$E$5001,"Em ajustes",$N$2:$N$5001,"&lt;"&amp;I3017)&gt;0,1,0),0))</f>
        <v/>
      </c>
      <c r="L3017" s="16" t="str">
        <f aca="false">IF(B3017="","",IF(N3017=_xlfn.MAXIFS($N$2:$N$5001,$B$2:$B$5001,B3017,$I$2:$I$5001,I3017),1,0))</f>
        <v/>
      </c>
      <c r="M3017" s="16" t="str">
        <f aca="false">IF(B3017="","",IF(E3017="Em ajustes",IF(N3017=_xlfn.MINIFS($N$2:$N$5001,$B$2:$B$5001,B3017,$E$2:$E$5001,"Em ajustes"),1,0),0))</f>
        <v/>
      </c>
      <c r="N3017" s="17" t="str">
        <f aca="false">IF(A3017="","",IF(ISNUMBER(A3017),A3017,IFERROR(DATE(VALUE(MID(A3017,7,4)),VALUE(MID(A3017,4,2)),VALUE(MID(A3017,1,2)))+TIME(VALUE(MID(A3017,12,2)),VALUE(MID(A3017,15,2)),VALUE(MID(A3017,18,2))),"")))</f>
        <v/>
      </c>
    </row>
    <row r="3018" customFormat="false" ht="15" hidden="false" customHeight="false" outlineLevel="0" collapsed="false">
      <c r="I3018" s="15" t="str">
        <f aca="false">IF(N3018="","",INT(N3018))</f>
        <v/>
      </c>
      <c r="J3018" s="16" t="str">
        <f aca="false">IF(B3018="","",IF(N3018=_xlfn.MINIFS($N$2:$N$5001,$B$2:$B$5001,B3018),1,0))</f>
        <v/>
      </c>
      <c r="K3018" s="16" t="str">
        <f aca="false">IF(B3018="","",IF(AND(D3018="Formalização",E3018="Concluído"),IF(COUNTIFS($B$2:$B$5001,B3018,$E$2:$E$5001,"Em ajustes",$N$2:$N$5001,"&lt;"&amp;I3018)&gt;0,1,0),0))</f>
        <v/>
      </c>
      <c r="L3018" s="16" t="str">
        <f aca="false">IF(B3018="","",IF(N3018=_xlfn.MAXIFS($N$2:$N$5001,$B$2:$B$5001,B3018,$I$2:$I$5001,I3018),1,0))</f>
        <v/>
      </c>
      <c r="M3018" s="16" t="str">
        <f aca="false">IF(B3018="","",IF(E3018="Em ajustes",IF(N3018=_xlfn.MINIFS($N$2:$N$5001,$B$2:$B$5001,B3018,$E$2:$E$5001,"Em ajustes"),1,0),0))</f>
        <v/>
      </c>
      <c r="N3018" s="17" t="str">
        <f aca="false">IF(A3018="","",IF(ISNUMBER(A3018),A3018,IFERROR(DATE(VALUE(MID(A3018,7,4)),VALUE(MID(A3018,4,2)),VALUE(MID(A3018,1,2)))+TIME(VALUE(MID(A3018,12,2)),VALUE(MID(A3018,15,2)),VALUE(MID(A3018,18,2))),"")))</f>
        <v/>
      </c>
    </row>
    <row r="3019" customFormat="false" ht="15" hidden="false" customHeight="false" outlineLevel="0" collapsed="false">
      <c r="I3019" s="15" t="str">
        <f aca="false">IF(N3019="","",INT(N3019))</f>
        <v/>
      </c>
      <c r="J3019" s="16" t="str">
        <f aca="false">IF(B3019="","",IF(N3019=_xlfn.MINIFS($N$2:$N$5001,$B$2:$B$5001,B3019),1,0))</f>
        <v/>
      </c>
      <c r="K3019" s="16" t="str">
        <f aca="false">IF(B3019="","",IF(AND(D3019="Formalização",E3019="Concluído"),IF(COUNTIFS($B$2:$B$5001,B3019,$E$2:$E$5001,"Em ajustes",$N$2:$N$5001,"&lt;"&amp;I3019)&gt;0,1,0),0))</f>
        <v/>
      </c>
      <c r="L3019" s="16" t="str">
        <f aca="false">IF(B3019="","",IF(N3019=_xlfn.MAXIFS($N$2:$N$5001,$B$2:$B$5001,B3019,$I$2:$I$5001,I3019),1,0))</f>
        <v/>
      </c>
      <c r="M3019" s="16" t="str">
        <f aca="false">IF(B3019="","",IF(E3019="Em ajustes",IF(N3019=_xlfn.MINIFS($N$2:$N$5001,$B$2:$B$5001,B3019,$E$2:$E$5001,"Em ajustes"),1,0),0))</f>
        <v/>
      </c>
      <c r="N3019" s="17" t="str">
        <f aca="false">IF(A3019="","",IF(ISNUMBER(A3019),A3019,IFERROR(DATE(VALUE(MID(A3019,7,4)),VALUE(MID(A3019,4,2)),VALUE(MID(A3019,1,2)))+TIME(VALUE(MID(A3019,12,2)),VALUE(MID(A3019,15,2)),VALUE(MID(A3019,18,2))),"")))</f>
        <v/>
      </c>
    </row>
    <row r="3020" customFormat="false" ht="15" hidden="false" customHeight="false" outlineLevel="0" collapsed="false">
      <c r="I3020" s="15" t="str">
        <f aca="false">IF(N3020="","",INT(N3020))</f>
        <v/>
      </c>
      <c r="J3020" s="16" t="str">
        <f aca="false">IF(B3020="","",IF(N3020=_xlfn.MINIFS($N$2:$N$5001,$B$2:$B$5001,B3020),1,0))</f>
        <v/>
      </c>
      <c r="K3020" s="16" t="str">
        <f aca="false">IF(B3020="","",IF(AND(D3020="Formalização",E3020="Concluído"),IF(COUNTIFS($B$2:$B$5001,B3020,$E$2:$E$5001,"Em ajustes",$N$2:$N$5001,"&lt;"&amp;I3020)&gt;0,1,0),0))</f>
        <v/>
      </c>
      <c r="L3020" s="16" t="str">
        <f aca="false">IF(B3020="","",IF(N3020=_xlfn.MAXIFS($N$2:$N$5001,$B$2:$B$5001,B3020,$I$2:$I$5001,I3020),1,0))</f>
        <v/>
      </c>
      <c r="M3020" s="16" t="str">
        <f aca="false">IF(B3020="","",IF(E3020="Em ajustes",IF(N3020=_xlfn.MINIFS($N$2:$N$5001,$B$2:$B$5001,B3020,$E$2:$E$5001,"Em ajustes"),1,0),0))</f>
        <v/>
      </c>
      <c r="N3020" s="17" t="str">
        <f aca="false">IF(A3020="","",IF(ISNUMBER(A3020),A3020,IFERROR(DATE(VALUE(MID(A3020,7,4)),VALUE(MID(A3020,4,2)),VALUE(MID(A3020,1,2)))+TIME(VALUE(MID(A3020,12,2)),VALUE(MID(A3020,15,2)),VALUE(MID(A3020,18,2))),"")))</f>
        <v/>
      </c>
    </row>
    <row r="3021" customFormat="false" ht="15" hidden="false" customHeight="false" outlineLevel="0" collapsed="false">
      <c r="I3021" s="15" t="str">
        <f aca="false">IF(N3021="","",INT(N3021))</f>
        <v/>
      </c>
      <c r="J3021" s="16" t="str">
        <f aca="false">IF(B3021="","",IF(N3021=_xlfn.MINIFS($N$2:$N$5001,$B$2:$B$5001,B3021),1,0))</f>
        <v/>
      </c>
      <c r="K3021" s="16" t="str">
        <f aca="false">IF(B3021="","",IF(AND(D3021="Formalização",E3021="Concluído"),IF(COUNTIFS($B$2:$B$5001,B3021,$E$2:$E$5001,"Em ajustes",$N$2:$N$5001,"&lt;"&amp;I3021)&gt;0,1,0),0))</f>
        <v/>
      </c>
      <c r="L3021" s="16" t="str">
        <f aca="false">IF(B3021="","",IF(N3021=_xlfn.MAXIFS($N$2:$N$5001,$B$2:$B$5001,B3021,$I$2:$I$5001,I3021),1,0))</f>
        <v/>
      </c>
      <c r="M3021" s="16" t="str">
        <f aca="false">IF(B3021="","",IF(E3021="Em ajustes",IF(N3021=_xlfn.MINIFS($N$2:$N$5001,$B$2:$B$5001,B3021,$E$2:$E$5001,"Em ajustes"),1,0),0))</f>
        <v/>
      </c>
      <c r="N3021" s="17" t="str">
        <f aca="false">IF(A3021="","",IF(ISNUMBER(A3021),A3021,IFERROR(DATE(VALUE(MID(A3021,7,4)),VALUE(MID(A3021,4,2)),VALUE(MID(A3021,1,2)))+TIME(VALUE(MID(A3021,12,2)),VALUE(MID(A3021,15,2)),VALUE(MID(A3021,18,2))),"")))</f>
        <v/>
      </c>
    </row>
    <row r="3022" customFormat="false" ht="15" hidden="false" customHeight="false" outlineLevel="0" collapsed="false">
      <c r="I3022" s="15" t="str">
        <f aca="false">IF(N3022="","",INT(N3022))</f>
        <v/>
      </c>
      <c r="J3022" s="16" t="str">
        <f aca="false">IF(B3022="","",IF(N3022=_xlfn.MINIFS($N$2:$N$5001,$B$2:$B$5001,B3022),1,0))</f>
        <v/>
      </c>
      <c r="K3022" s="16" t="str">
        <f aca="false">IF(B3022="","",IF(AND(D3022="Formalização",E3022="Concluído"),IF(COUNTIFS($B$2:$B$5001,B3022,$E$2:$E$5001,"Em ajustes",$N$2:$N$5001,"&lt;"&amp;I3022)&gt;0,1,0),0))</f>
        <v/>
      </c>
      <c r="L3022" s="16" t="str">
        <f aca="false">IF(B3022="","",IF(N3022=_xlfn.MAXIFS($N$2:$N$5001,$B$2:$B$5001,B3022,$I$2:$I$5001,I3022),1,0))</f>
        <v/>
      </c>
      <c r="M3022" s="16" t="str">
        <f aca="false">IF(B3022="","",IF(E3022="Em ajustes",IF(N3022=_xlfn.MINIFS($N$2:$N$5001,$B$2:$B$5001,B3022,$E$2:$E$5001,"Em ajustes"),1,0),0))</f>
        <v/>
      </c>
      <c r="N3022" s="17" t="str">
        <f aca="false">IF(A3022="","",IF(ISNUMBER(A3022),A3022,IFERROR(DATE(VALUE(MID(A3022,7,4)),VALUE(MID(A3022,4,2)),VALUE(MID(A3022,1,2)))+TIME(VALUE(MID(A3022,12,2)),VALUE(MID(A3022,15,2)),VALUE(MID(A3022,18,2))),"")))</f>
        <v/>
      </c>
    </row>
    <row r="3023" customFormat="false" ht="15" hidden="false" customHeight="false" outlineLevel="0" collapsed="false">
      <c r="I3023" s="15" t="str">
        <f aca="false">IF(N3023="","",INT(N3023))</f>
        <v/>
      </c>
      <c r="J3023" s="16" t="str">
        <f aca="false">IF(B3023="","",IF(N3023=_xlfn.MINIFS($N$2:$N$5001,$B$2:$B$5001,B3023),1,0))</f>
        <v/>
      </c>
      <c r="K3023" s="16" t="str">
        <f aca="false">IF(B3023="","",IF(AND(D3023="Formalização",E3023="Concluído"),IF(COUNTIFS($B$2:$B$5001,B3023,$E$2:$E$5001,"Em ajustes",$N$2:$N$5001,"&lt;"&amp;I3023)&gt;0,1,0),0))</f>
        <v/>
      </c>
      <c r="L3023" s="16" t="str">
        <f aca="false">IF(B3023="","",IF(N3023=_xlfn.MAXIFS($N$2:$N$5001,$B$2:$B$5001,B3023,$I$2:$I$5001,I3023),1,0))</f>
        <v/>
      </c>
      <c r="M3023" s="16" t="str">
        <f aca="false">IF(B3023="","",IF(E3023="Em ajustes",IF(N3023=_xlfn.MINIFS($N$2:$N$5001,$B$2:$B$5001,B3023,$E$2:$E$5001,"Em ajustes"),1,0),0))</f>
        <v/>
      </c>
      <c r="N3023" s="17" t="str">
        <f aca="false">IF(A3023="","",IF(ISNUMBER(A3023),A3023,IFERROR(DATE(VALUE(MID(A3023,7,4)),VALUE(MID(A3023,4,2)),VALUE(MID(A3023,1,2)))+TIME(VALUE(MID(A3023,12,2)),VALUE(MID(A3023,15,2)),VALUE(MID(A3023,18,2))),"")))</f>
        <v/>
      </c>
    </row>
    <row r="3024" customFormat="false" ht="15" hidden="false" customHeight="false" outlineLevel="0" collapsed="false">
      <c r="I3024" s="15" t="str">
        <f aca="false">IF(N3024="","",INT(N3024))</f>
        <v/>
      </c>
      <c r="J3024" s="16" t="str">
        <f aca="false">IF(B3024="","",IF(N3024=_xlfn.MINIFS($N$2:$N$5001,$B$2:$B$5001,B3024),1,0))</f>
        <v/>
      </c>
      <c r="K3024" s="16" t="str">
        <f aca="false">IF(B3024="","",IF(AND(D3024="Formalização",E3024="Concluído"),IF(COUNTIFS($B$2:$B$5001,B3024,$E$2:$E$5001,"Em ajustes",$N$2:$N$5001,"&lt;"&amp;I3024)&gt;0,1,0),0))</f>
        <v/>
      </c>
      <c r="L3024" s="16" t="str">
        <f aca="false">IF(B3024="","",IF(N3024=_xlfn.MAXIFS($N$2:$N$5001,$B$2:$B$5001,B3024,$I$2:$I$5001,I3024),1,0))</f>
        <v/>
      </c>
      <c r="M3024" s="16" t="str">
        <f aca="false">IF(B3024="","",IF(E3024="Em ajustes",IF(N3024=_xlfn.MINIFS($N$2:$N$5001,$B$2:$B$5001,B3024,$E$2:$E$5001,"Em ajustes"),1,0),0))</f>
        <v/>
      </c>
      <c r="N3024" s="17" t="str">
        <f aca="false">IF(A3024="","",IF(ISNUMBER(A3024),A3024,IFERROR(DATE(VALUE(MID(A3024,7,4)),VALUE(MID(A3024,4,2)),VALUE(MID(A3024,1,2)))+TIME(VALUE(MID(A3024,12,2)),VALUE(MID(A3024,15,2)),VALUE(MID(A3024,18,2))),"")))</f>
        <v/>
      </c>
    </row>
    <row r="3025" customFormat="false" ht="15" hidden="false" customHeight="false" outlineLevel="0" collapsed="false">
      <c r="I3025" s="15" t="str">
        <f aca="false">IF(N3025="","",INT(N3025))</f>
        <v/>
      </c>
      <c r="J3025" s="16" t="str">
        <f aca="false">IF(B3025="","",IF(N3025=_xlfn.MINIFS($N$2:$N$5001,$B$2:$B$5001,B3025),1,0))</f>
        <v/>
      </c>
      <c r="K3025" s="16" t="str">
        <f aca="false">IF(B3025="","",IF(AND(D3025="Formalização",E3025="Concluído"),IF(COUNTIFS($B$2:$B$5001,B3025,$E$2:$E$5001,"Em ajustes",$N$2:$N$5001,"&lt;"&amp;I3025)&gt;0,1,0),0))</f>
        <v/>
      </c>
      <c r="L3025" s="16" t="str">
        <f aca="false">IF(B3025="","",IF(N3025=_xlfn.MAXIFS($N$2:$N$5001,$B$2:$B$5001,B3025,$I$2:$I$5001,I3025),1,0))</f>
        <v/>
      </c>
      <c r="M3025" s="16" t="str">
        <f aca="false">IF(B3025="","",IF(E3025="Em ajustes",IF(N3025=_xlfn.MINIFS($N$2:$N$5001,$B$2:$B$5001,B3025,$E$2:$E$5001,"Em ajustes"),1,0),0))</f>
        <v/>
      </c>
      <c r="N3025" s="17" t="str">
        <f aca="false">IF(A3025="","",IF(ISNUMBER(A3025),A3025,IFERROR(DATE(VALUE(MID(A3025,7,4)),VALUE(MID(A3025,4,2)),VALUE(MID(A3025,1,2)))+TIME(VALUE(MID(A3025,12,2)),VALUE(MID(A3025,15,2)),VALUE(MID(A3025,18,2))),"")))</f>
        <v/>
      </c>
    </row>
    <row r="3026" customFormat="false" ht="15" hidden="false" customHeight="false" outlineLevel="0" collapsed="false">
      <c r="I3026" s="15" t="str">
        <f aca="false">IF(N3026="","",INT(N3026))</f>
        <v/>
      </c>
      <c r="J3026" s="16" t="str">
        <f aca="false">IF(B3026="","",IF(N3026=_xlfn.MINIFS($N$2:$N$5001,$B$2:$B$5001,B3026),1,0))</f>
        <v/>
      </c>
      <c r="K3026" s="16" t="str">
        <f aca="false">IF(B3026="","",IF(AND(D3026="Formalização",E3026="Concluído"),IF(COUNTIFS($B$2:$B$5001,B3026,$E$2:$E$5001,"Em ajustes",$N$2:$N$5001,"&lt;"&amp;I3026)&gt;0,1,0),0))</f>
        <v/>
      </c>
      <c r="L3026" s="16" t="str">
        <f aca="false">IF(B3026="","",IF(N3026=_xlfn.MAXIFS($N$2:$N$5001,$B$2:$B$5001,B3026,$I$2:$I$5001,I3026),1,0))</f>
        <v/>
      </c>
      <c r="M3026" s="16" t="str">
        <f aca="false">IF(B3026="","",IF(E3026="Em ajustes",IF(N3026=_xlfn.MINIFS($N$2:$N$5001,$B$2:$B$5001,B3026,$E$2:$E$5001,"Em ajustes"),1,0),0))</f>
        <v/>
      </c>
      <c r="N3026" s="17" t="str">
        <f aca="false">IF(A3026="","",IF(ISNUMBER(A3026),A3026,IFERROR(DATE(VALUE(MID(A3026,7,4)),VALUE(MID(A3026,4,2)),VALUE(MID(A3026,1,2)))+TIME(VALUE(MID(A3026,12,2)),VALUE(MID(A3026,15,2)),VALUE(MID(A3026,18,2))),"")))</f>
        <v/>
      </c>
    </row>
    <row r="3027" customFormat="false" ht="15" hidden="false" customHeight="false" outlineLevel="0" collapsed="false">
      <c r="I3027" s="15" t="str">
        <f aca="false">IF(N3027="","",INT(N3027))</f>
        <v/>
      </c>
      <c r="J3027" s="16" t="str">
        <f aca="false">IF(B3027="","",IF(N3027=_xlfn.MINIFS($N$2:$N$5001,$B$2:$B$5001,B3027),1,0))</f>
        <v/>
      </c>
      <c r="K3027" s="16" t="str">
        <f aca="false">IF(B3027="","",IF(AND(D3027="Formalização",E3027="Concluído"),IF(COUNTIFS($B$2:$B$5001,B3027,$E$2:$E$5001,"Em ajustes",$N$2:$N$5001,"&lt;"&amp;I3027)&gt;0,1,0),0))</f>
        <v/>
      </c>
      <c r="L3027" s="16" t="str">
        <f aca="false">IF(B3027="","",IF(N3027=_xlfn.MAXIFS($N$2:$N$5001,$B$2:$B$5001,B3027,$I$2:$I$5001,I3027),1,0))</f>
        <v/>
      </c>
      <c r="M3027" s="16" t="str">
        <f aca="false">IF(B3027="","",IF(E3027="Em ajustes",IF(N3027=_xlfn.MINIFS($N$2:$N$5001,$B$2:$B$5001,B3027,$E$2:$E$5001,"Em ajustes"),1,0),0))</f>
        <v/>
      </c>
      <c r="N3027" s="17" t="str">
        <f aca="false">IF(A3027="","",IF(ISNUMBER(A3027),A3027,IFERROR(DATE(VALUE(MID(A3027,7,4)),VALUE(MID(A3027,4,2)),VALUE(MID(A3027,1,2)))+TIME(VALUE(MID(A3027,12,2)),VALUE(MID(A3027,15,2)),VALUE(MID(A3027,18,2))),"")))</f>
        <v/>
      </c>
    </row>
    <row r="3028" customFormat="false" ht="15" hidden="false" customHeight="false" outlineLevel="0" collapsed="false">
      <c r="I3028" s="15" t="str">
        <f aca="false">IF(N3028="","",INT(N3028))</f>
        <v/>
      </c>
      <c r="J3028" s="16" t="str">
        <f aca="false">IF(B3028="","",IF(N3028=_xlfn.MINIFS($N$2:$N$5001,$B$2:$B$5001,B3028),1,0))</f>
        <v/>
      </c>
      <c r="K3028" s="16" t="str">
        <f aca="false">IF(B3028="","",IF(AND(D3028="Formalização",E3028="Concluído"),IF(COUNTIFS($B$2:$B$5001,B3028,$E$2:$E$5001,"Em ajustes",$N$2:$N$5001,"&lt;"&amp;I3028)&gt;0,1,0),0))</f>
        <v/>
      </c>
      <c r="L3028" s="16" t="str">
        <f aca="false">IF(B3028="","",IF(N3028=_xlfn.MAXIFS($N$2:$N$5001,$B$2:$B$5001,B3028,$I$2:$I$5001,I3028),1,0))</f>
        <v/>
      </c>
      <c r="M3028" s="16" t="str">
        <f aca="false">IF(B3028="","",IF(E3028="Em ajustes",IF(N3028=_xlfn.MINIFS($N$2:$N$5001,$B$2:$B$5001,B3028,$E$2:$E$5001,"Em ajustes"),1,0),0))</f>
        <v/>
      </c>
      <c r="N3028" s="17" t="str">
        <f aca="false">IF(A3028="","",IF(ISNUMBER(A3028),A3028,IFERROR(DATE(VALUE(MID(A3028,7,4)),VALUE(MID(A3028,4,2)),VALUE(MID(A3028,1,2)))+TIME(VALUE(MID(A3028,12,2)),VALUE(MID(A3028,15,2)),VALUE(MID(A3028,18,2))),"")))</f>
        <v/>
      </c>
    </row>
    <row r="3029" customFormat="false" ht="15" hidden="false" customHeight="false" outlineLevel="0" collapsed="false">
      <c r="I3029" s="15" t="str">
        <f aca="false">IF(N3029="","",INT(N3029))</f>
        <v/>
      </c>
      <c r="J3029" s="16" t="str">
        <f aca="false">IF(B3029="","",IF(N3029=_xlfn.MINIFS($N$2:$N$5001,$B$2:$B$5001,B3029),1,0))</f>
        <v/>
      </c>
      <c r="K3029" s="16" t="str">
        <f aca="false">IF(B3029="","",IF(AND(D3029="Formalização",E3029="Concluído"),IF(COUNTIFS($B$2:$B$5001,B3029,$E$2:$E$5001,"Em ajustes",$N$2:$N$5001,"&lt;"&amp;I3029)&gt;0,1,0),0))</f>
        <v/>
      </c>
      <c r="L3029" s="16" t="str">
        <f aca="false">IF(B3029="","",IF(N3029=_xlfn.MAXIFS($N$2:$N$5001,$B$2:$B$5001,B3029,$I$2:$I$5001,I3029),1,0))</f>
        <v/>
      </c>
      <c r="M3029" s="16" t="str">
        <f aca="false">IF(B3029="","",IF(E3029="Em ajustes",IF(N3029=_xlfn.MINIFS($N$2:$N$5001,$B$2:$B$5001,B3029,$E$2:$E$5001,"Em ajustes"),1,0),0))</f>
        <v/>
      </c>
      <c r="N3029" s="17" t="str">
        <f aca="false">IF(A3029="","",IF(ISNUMBER(A3029),A3029,IFERROR(DATE(VALUE(MID(A3029,7,4)),VALUE(MID(A3029,4,2)),VALUE(MID(A3029,1,2)))+TIME(VALUE(MID(A3029,12,2)),VALUE(MID(A3029,15,2)),VALUE(MID(A3029,18,2))),"")))</f>
        <v/>
      </c>
    </row>
    <row r="3030" customFormat="false" ht="15" hidden="false" customHeight="false" outlineLevel="0" collapsed="false">
      <c r="I3030" s="15" t="str">
        <f aca="false">IF(N3030="","",INT(N3030))</f>
        <v/>
      </c>
      <c r="J3030" s="16" t="str">
        <f aca="false">IF(B3030="","",IF(N3030=_xlfn.MINIFS($N$2:$N$5001,$B$2:$B$5001,B3030),1,0))</f>
        <v/>
      </c>
      <c r="K3030" s="16" t="str">
        <f aca="false">IF(B3030="","",IF(AND(D3030="Formalização",E3030="Concluído"),IF(COUNTIFS($B$2:$B$5001,B3030,$E$2:$E$5001,"Em ajustes",$N$2:$N$5001,"&lt;"&amp;I3030)&gt;0,1,0),0))</f>
        <v/>
      </c>
      <c r="L3030" s="16" t="str">
        <f aca="false">IF(B3030="","",IF(N3030=_xlfn.MAXIFS($N$2:$N$5001,$B$2:$B$5001,B3030,$I$2:$I$5001,I3030),1,0))</f>
        <v/>
      </c>
      <c r="M3030" s="16" t="str">
        <f aca="false">IF(B3030="","",IF(E3030="Em ajustes",IF(N3030=_xlfn.MINIFS($N$2:$N$5001,$B$2:$B$5001,B3030,$E$2:$E$5001,"Em ajustes"),1,0),0))</f>
        <v/>
      </c>
      <c r="N3030" s="17" t="str">
        <f aca="false">IF(A3030="","",IF(ISNUMBER(A3030),A3030,IFERROR(DATE(VALUE(MID(A3030,7,4)),VALUE(MID(A3030,4,2)),VALUE(MID(A3030,1,2)))+TIME(VALUE(MID(A3030,12,2)),VALUE(MID(A3030,15,2)),VALUE(MID(A3030,18,2))),"")))</f>
        <v/>
      </c>
    </row>
    <row r="3031" customFormat="false" ht="15" hidden="false" customHeight="false" outlineLevel="0" collapsed="false">
      <c r="I3031" s="15" t="str">
        <f aca="false">IF(N3031="","",INT(N3031))</f>
        <v/>
      </c>
      <c r="J3031" s="16" t="str">
        <f aca="false">IF(B3031="","",IF(N3031=_xlfn.MINIFS($N$2:$N$5001,$B$2:$B$5001,B3031),1,0))</f>
        <v/>
      </c>
      <c r="K3031" s="16" t="str">
        <f aca="false">IF(B3031="","",IF(AND(D3031="Formalização",E3031="Concluído"),IF(COUNTIFS($B$2:$B$5001,B3031,$E$2:$E$5001,"Em ajustes",$N$2:$N$5001,"&lt;"&amp;I3031)&gt;0,1,0),0))</f>
        <v/>
      </c>
      <c r="L3031" s="16" t="str">
        <f aca="false">IF(B3031="","",IF(N3031=_xlfn.MAXIFS($N$2:$N$5001,$B$2:$B$5001,B3031,$I$2:$I$5001,I3031),1,0))</f>
        <v/>
      </c>
      <c r="M3031" s="16" t="str">
        <f aca="false">IF(B3031="","",IF(E3031="Em ajustes",IF(N3031=_xlfn.MINIFS($N$2:$N$5001,$B$2:$B$5001,B3031,$E$2:$E$5001,"Em ajustes"),1,0),0))</f>
        <v/>
      </c>
      <c r="N3031" s="17" t="str">
        <f aca="false">IF(A3031="","",IF(ISNUMBER(A3031),A3031,IFERROR(DATE(VALUE(MID(A3031,7,4)),VALUE(MID(A3031,4,2)),VALUE(MID(A3031,1,2)))+TIME(VALUE(MID(A3031,12,2)),VALUE(MID(A3031,15,2)),VALUE(MID(A3031,18,2))),"")))</f>
        <v/>
      </c>
    </row>
    <row r="3032" customFormat="false" ht="15" hidden="false" customHeight="false" outlineLevel="0" collapsed="false">
      <c r="I3032" s="15" t="str">
        <f aca="false">IF(N3032="","",INT(N3032))</f>
        <v/>
      </c>
      <c r="J3032" s="16" t="str">
        <f aca="false">IF(B3032="","",IF(N3032=_xlfn.MINIFS($N$2:$N$5001,$B$2:$B$5001,B3032),1,0))</f>
        <v/>
      </c>
      <c r="K3032" s="16" t="str">
        <f aca="false">IF(B3032="","",IF(AND(D3032="Formalização",E3032="Concluído"),IF(COUNTIFS($B$2:$B$5001,B3032,$E$2:$E$5001,"Em ajustes",$N$2:$N$5001,"&lt;"&amp;I3032)&gt;0,1,0),0))</f>
        <v/>
      </c>
      <c r="L3032" s="16" t="str">
        <f aca="false">IF(B3032="","",IF(N3032=_xlfn.MAXIFS($N$2:$N$5001,$B$2:$B$5001,B3032,$I$2:$I$5001,I3032),1,0))</f>
        <v/>
      </c>
      <c r="M3032" s="16" t="str">
        <f aca="false">IF(B3032="","",IF(E3032="Em ajustes",IF(N3032=_xlfn.MINIFS($N$2:$N$5001,$B$2:$B$5001,B3032,$E$2:$E$5001,"Em ajustes"),1,0),0))</f>
        <v/>
      </c>
      <c r="N3032" s="17" t="str">
        <f aca="false">IF(A3032="","",IF(ISNUMBER(A3032),A3032,IFERROR(DATE(VALUE(MID(A3032,7,4)),VALUE(MID(A3032,4,2)),VALUE(MID(A3032,1,2)))+TIME(VALUE(MID(A3032,12,2)),VALUE(MID(A3032,15,2)),VALUE(MID(A3032,18,2))),"")))</f>
        <v/>
      </c>
    </row>
    <row r="3033" customFormat="false" ht="15" hidden="false" customHeight="false" outlineLevel="0" collapsed="false">
      <c r="I3033" s="15" t="str">
        <f aca="false">IF(N3033="","",INT(N3033))</f>
        <v/>
      </c>
      <c r="J3033" s="16" t="str">
        <f aca="false">IF(B3033="","",IF(N3033=_xlfn.MINIFS($N$2:$N$5001,$B$2:$B$5001,B3033),1,0))</f>
        <v/>
      </c>
      <c r="K3033" s="16" t="str">
        <f aca="false">IF(B3033="","",IF(AND(D3033="Formalização",E3033="Concluído"),IF(COUNTIFS($B$2:$B$5001,B3033,$E$2:$E$5001,"Em ajustes",$N$2:$N$5001,"&lt;"&amp;I3033)&gt;0,1,0),0))</f>
        <v/>
      </c>
      <c r="L3033" s="16" t="str">
        <f aca="false">IF(B3033="","",IF(N3033=_xlfn.MAXIFS($N$2:$N$5001,$B$2:$B$5001,B3033,$I$2:$I$5001,I3033),1,0))</f>
        <v/>
      </c>
      <c r="M3033" s="16" t="str">
        <f aca="false">IF(B3033="","",IF(E3033="Em ajustes",IF(N3033=_xlfn.MINIFS($N$2:$N$5001,$B$2:$B$5001,B3033,$E$2:$E$5001,"Em ajustes"),1,0),0))</f>
        <v/>
      </c>
      <c r="N3033" s="17" t="str">
        <f aca="false">IF(A3033="","",IF(ISNUMBER(A3033),A3033,IFERROR(DATE(VALUE(MID(A3033,7,4)),VALUE(MID(A3033,4,2)),VALUE(MID(A3033,1,2)))+TIME(VALUE(MID(A3033,12,2)),VALUE(MID(A3033,15,2)),VALUE(MID(A3033,18,2))),"")))</f>
        <v/>
      </c>
    </row>
    <row r="3034" customFormat="false" ht="15" hidden="false" customHeight="false" outlineLevel="0" collapsed="false">
      <c r="I3034" s="15" t="str">
        <f aca="false">IF(N3034="","",INT(N3034))</f>
        <v/>
      </c>
      <c r="J3034" s="16" t="str">
        <f aca="false">IF(B3034="","",IF(N3034=_xlfn.MINIFS($N$2:$N$5001,$B$2:$B$5001,B3034),1,0))</f>
        <v/>
      </c>
      <c r="K3034" s="16" t="str">
        <f aca="false">IF(B3034="","",IF(AND(D3034="Formalização",E3034="Concluído"),IF(COUNTIFS($B$2:$B$5001,B3034,$E$2:$E$5001,"Em ajustes",$N$2:$N$5001,"&lt;"&amp;I3034)&gt;0,1,0),0))</f>
        <v/>
      </c>
      <c r="L3034" s="16" t="str">
        <f aca="false">IF(B3034="","",IF(N3034=_xlfn.MAXIFS($N$2:$N$5001,$B$2:$B$5001,B3034,$I$2:$I$5001,I3034),1,0))</f>
        <v/>
      </c>
      <c r="M3034" s="16" t="str">
        <f aca="false">IF(B3034="","",IF(E3034="Em ajustes",IF(N3034=_xlfn.MINIFS($N$2:$N$5001,$B$2:$B$5001,B3034,$E$2:$E$5001,"Em ajustes"),1,0),0))</f>
        <v/>
      </c>
      <c r="N3034" s="17" t="str">
        <f aca="false">IF(A3034="","",IF(ISNUMBER(A3034),A3034,IFERROR(DATE(VALUE(MID(A3034,7,4)),VALUE(MID(A3034,4,2)),VALUE(MID(A3034,1,2)))+TIME(VALUE(MID(A3034,12,2)),VALUE(MID(A3034,15,2)),VALUE(MID(A3034,18,2))),"")))</f>
        <v/>
      </c>
    </row>
    <row r="3035" customFormat="false" ht="15" hidden="false" customHeight="false" outlineLevel="0" collapsed="false">
      <c r="I3035" s="15" t="str">
        <f aca="false">IF(N3035="","",INT(N3035))</f>
        <v/>
      </c>
      <c r="J3035" s="16" t="str">
        <f aca="false">IF(B3035="","",IF(N3035=_xlfn.MINIFS($N$2:$N$5001,$B$2:$B$5001,B3035),1,0))</f>
        <v/>
      </c>
      <c r="K3035" s="16" t="str">
        <f aca="false">IF(B3035="","",IF(AND(D3035="Formalização",E3035="Concluído"),IF(COUNTIFS($B$2:$B$5001,B3035,$E$2:$E$5001,"Em ajustes",$N$2:$N$5001,"&lt;"&amp;I3035)&gt;0,1,0),0))</f>
        <v/>
      </c>
      <c r="L3035" s="16" t="str">
        <f aca="false">IF(B3035="","",IF(N3035=_xlfn.MAXIFS($N$2:$N$5001,$B$2:$B$5001,B3035,$I$2:$I$5001,I3035),1,0))</f>
        <v/>
      </c>
      <c r="M3035" s="16" t="str">
        <f aca="false">IF(B3035="","",IF(E3035="Em ajustes",IF(N3035=_xlfn.MINIFS($N$2:$N$5001,$B$2:$B$5001,B3035,$E$2:$E$5001,"Em ajustes"),1,0),0))</f>
        <v/>
      </c>
      <c r="N3035" s="17" t="str">
        <f aca="false">IF(A3035="","",IF(ISNUMBER(A3035),A3035,IFERROR(DATE(VALUE(MID(A3035,7,4)),VALUE(MID(A3035,4,2)),VALUE(MID(A3035,1,2)))+TIME(VALUE(MID(A3035,12,2)),VALUE(MID(A3035,15,2)),VALUE(MID(A3035,18,2))),"")))</f>
        <v/>
      </c>
    </row>
    <row r="3036" customFormat="false" ht="15" hidden="false" customHeight="false" outlineLevel="0" collapsed="false">
      <c r="I3036" s="15" t="str">
        <f aca="false">IF(N3036="","",INT(N3036))</f>
        <v/>
      </c>
      <c r="J3036" s="16" t="str">
        <f aca="false">IF(B3036="","",IF(N3036=_xlfn.MINIFS($N$2:$N$5001,$B$2:$B$5001,B3036),1,0))</f>
        <v/>
      </c>
      <c r="K3036" s="16" t="str">
        <f aca="false">IF(B3036="","",IF(AND(D3036="Formalização",E3036="Concluído"),IF(COUNTIFS($B$2:$B$5001,B3036,$E$2:$E$5001,"Em ajustes",$N$2:$N$5001,"&lt;"&amp;I3036)&gt;0,1,0),0))</f>
        <v/>
      </c>
      <c r="L3036" s="16" t="str">
        <f aca="false">IF(B3036="","",IF(N3036=_xlfn.MAXIFS($N$2:$N$5001,$B$2:$B$5001,B3036,$I$2:$I$5001,I3036),1,0))</f>
        <v/>
      </c>
      <c r="M3036" s="16" t="str">
        <f aca="false">IF(B3036="","",IF(E3036="Em ajustes",IF(N3036=_xlfn.MINIFS($N$2:$N$5001,$B$2:$B$5001,B3036,$E$2:$E$5001,"Em ajustes"),1,0),0))</f>
        <v/>
      </c>
      <c r="N3036" s="17" t="str">
        <f aca="false">IF(A3036="","",IF(ISNUMBER(A3036),A3036,IFERROR(DATE(VALUE(MID(A3036,7,4)),VALUE(MID(A3036,4,2)),VALUE(MID(A3036,1,2)))+TIME(VALUE(MID(A3036,12,2)),VALUE(MID(A3036,15,2)),VALUE(MID(A3036,18,2))),"")))</f>
        <v/>
      </c>
    </row>
    <row r="3037" customFormat="false" ht="15" hidden="false" customHeight="false" outlineLevel="0" collapsed="false">
      <c r="I3037" s="15" t="str">
        <f aca="false">IF(N3037="","",INT(N3037))</f>
        <v/>
      </c>
      <c r="J3037" s="16" t="str">
        <f aca="false">IF(B3037="","",IF(N3037=_xlfn.MINIFS($N$2:$N$5001,$B$2:$B$5001,B3037),1,0))</f>
        <v/>
      </c>
      <c r="K3037" s="16" t="str">
        <f aca="false">IF(B3037="","",IF(AND(D3037="Formalização",E3037="Concluído"),IF(COUNTIFS($B$2:$B$5001,B3037,$E$2:$E$5001,"Em ajustes",$N$2:$N$5001,"&lt;"&amp;I3037)&gt;0,1,0),0))</f>
        <v/>
      </c>
      <c r="L3037" s="16" t="str">
        <f aca="false">IF(B3037="","",IF(N3037=_xlfn.MAXIFS($N$2:$N$5001,$B$2:$B$5001,B3037,$I$2:$I$5001,I3037),1,0))</f>
        <v/>
      </c>
      <c r="M3037" s="16" t="str">
        <f aca="false">IF(B3037="","",IF(E3037="Em ajustes",IF(N3037=_xlfn.MINIFS($N$2:$N$5001,$B$2:$B$5001,B3037,$E$2:$E$5001,"Em ajustes"),1,0),0))</f>
        <v/>
      </c>
      <c r="N3037" s="17" t="str">
        <f aca="false">IF(A3037="","",IF(ISNUMBER(A3037),A3037,IFERROR(DATE(VALUE(MID(A3037,7,4)),VALUE(MID(A3037,4,2)),VALUE(MID(A3037,1,2)))+TIME(VALUE(MID(A3037,12,2)),VALUE(MID(A3037,15,2)),VALUE(MID(A3037,18,2))),"")))</f>
        <v/>
      </c>
    </row>
    <row r="3038" customFormat="false" ht="15" hidden="false" customHeight="false" outlineLevel="0" collapsed="false">
      <c r="I3038" s="15" t="str">
        <f aca="false">IF(N3038="","",INT(N3038))</f>
        <v/>
      </c>
      <c r="J3038" s="16" t="str">
        <f aca="false">IF(B3038="","",IF(N3038=_xlfn.MINIFS($N$2:$N$5001,$B$2:$B$5001,B3038),1,0))</f>
        <v/>
      </c>
      <c r="K3038" s="16" t="str">
        <f aca="false">IF(B3038="","",IF(AND(D3038="Formalização",E3038="Concluído"),IF(COUNTIFS($B$2:$B$5001,B3038,$E$2:$E$5001,"Em ajustes",$N$2:$N$5001,"&lt;"&amp;I3038)&gt;0,1,0),0))</f>
        <v/>
      </c>
      <c r="L3038" s="16" t="str">
        <f aca="false">IF(B3038="","",IF(N3038=_xlfn.MAXIFS($N$2:$N$5001,$B$2:$B$5001,B3038,$I$2:$I$5001,I3038),1,0))</f>
        <v/>
      </c>
      <c r="M3038" s="16" t="str">
        <f aca="false">IF(B3038="","",IF(E3038="Em ajustes",IF(N3038=_xlfn.MINIFS($N$2:$N$5001,$B$2:$B$5001,B3038,$E$2:$E$5001,"Em ajustes"),1,0),0))</f>
        <v/>
      </c>
      <c r="N3038" s="17" t="str">
        <f aca="false">IF(A3038="","",IF(ISNUMBER(A3038),A3038,IFERROR(DATE(VALUE(MID(A3038,7,4)),VALUE(MID(A3038,4,2)),VALUE(MID(A3038,1,2)))+TIME(VALUE(MID(A3038,12,2)),VALUE(MID(A3038,15,2)),VALUE(MID(A3038,18,2))),"")))</f>
        <v/>
      </c>
    </row>
    <row r="3039" customFormat="false" ht="15" hidden="false" customHeight="false" outlineLevel="0" collapsed="false">
      <c r="I3039" s="15" t="str">
        <f aca="false">IF(N3039="","",INT(N3039))</f>
        <v/>
      </c>
      <c r="J3039" s="16" t="str">
        <f aca="false">IF(B3039="","",IF(N3039=_xlfn.MINIFS($N$2:$N$5001,$B$2:$B$5001,B3039),1,0))</f>
        <v/>
      </c>
      <c r="K3039" s="16" t="str">
        <f aca="false">IF(B3039="","",IF(AND(D3039="Formalização",E3039="Concluído"),IF(COUNTIFS($B$2:$B$5001,B3039,$E$2:$E$5001,"Em ajustes",$N$2:$N$5001,"&lt;"&amp;I3039)&gt;0,1,0),0))</f>
        <v/>
      </c>
      <c r="L3039" s="16" t="str">
        <f aca="false">IF(B3039="","",IF(N3039=_xlfn.MAXIFS($N$2:$N$5001,$B$2:$B$5001,B3039,$I$2:$I$5001,I3039),1,0))</f>
        <v/>
      </c>
      <c r="M3039" s="16" t="str">
        <f aca="false">IF(B3039="","",IF(E3039="Em ajustes",IF(N3039=_xlfn.MINIFS($N$2:$N$5001,$B$2:$B$5001,B3039,$E$2:$E$5001,"Em ajustes"),1,0),0))</f>
        <v/>
      </c>
      <c r="N3039" s="17" t="str">
        <f aca="false">IF(A3039="","",IF(ISNUMBER(A3039),A3039,IFERROR(DATE(VALUE(MID(A3039,7,4)),VALUE(MID(A3039,4,2)),VALUE(MID(A3039,1,2)))+TIME(VALUE(MID(A3039,12,2)),VALUE(MID(A3039,15,2)),VALUE(MID(A3039,18,2))),"")))</f>
        <v/>
      </c>
    </row>
    <row r="3040" customFormat="false" ht="15" hidden="false" customHeight="false" outlineLevel="0" collapsed="false">
      <c r="I3040" s="15" t="str">
        <f aca="false">IF(N3040="","",INT(N3040))</f>
        <v/>
      </c>
      <c r="J3040" s="16" t="str">
        <f aca="false">IF(B3040="","",IF(N3040=_xlfn.MINIFS($N$2:$N$5001,$B$2:$B$5001,B3040),1,0))</f>
        <v/>
      </c>
      <c r="K3040" s="16" t="str">
        <f aca="false">IF(B3040="","",IF(AND(D3040="Formalização",E3040="Concluído"),IF(COUNTIFS($B$2:$B$5001,B3040,$E$2:$E$5001,"Em ajustes",$N$2:$N$5001,"&lt;"&amp;I3040)&gt;0,1,0),0))</f>
        <v/>
      </c>
      <c r="L3040" s="16" t="str">
        <f aca="false">IF(B3040="","",IF(N3040=_xlfn.MAXIFS($N$2:$N$5001,$B$2:$B$5001,B3040,$I$2:$I$5001,I3040),1,0))</f>
        <v/>
      </c>
      <c r="M3040" s="16" t="str">
        <f aca="false">IF(B3040="","",IF(E3040="Em ajustes",IF(N3040=_xlfn.MINIFS($N$2:$N$5001,$B$2:$B$5001,B3040,$E$2:$E$5001,"Em ajustes"),1,0),0))</f>
        <v/>
      </c>
      <c r="N3040" s="17" t="str">
        <f aca="false">IF(A3040="","",IF(ISNUMBER(A3040),A3040,IFERROR(DATE(VALUE(MID(A3040,7,4)),VALUE(MID(A3040,4,2)),VALUE(MID(A3040,1,2)))+TIME(VALUE(MID(A3040,12,2)),VALUE(MID(A3040,15,2)),VALUE(MID(A3040,18,2))),"")))</f>
        <v/>
      </c>
    </row>
    <row r="3041" customFormat="false" ht="15" hidden="false" customHeight="false" outlineLevel="0" collapsed="false">
      <c r="I3041" s="15" t="str">
        <f aca="false">IF(N3041="","",INT(N3041))</f>
        <v/>
      </c>
      <c r="J3041" s="16" t="str">
        <f aca="false">IF(B3041="","",IF(N3041=_xlfn.MINIFS($N$2:$N$5001,$B$2:$B$5001,B3041),1,0))</f>
        <v/>
      </c>
      <c r="K3041" s="16" t="str">
        <f aca="false">IF(B3041="","",IF(AND(D3041="Formalização",E3041="Concluído"),IF(COUNTIFS($B$2:$B$5001,B3041,$E$2:$E$5001,"Em ajustes",$N$2:$N$5001,"&lt;"&amp;I3041)&gt;0,1,0),0))</f>
        <v/>
      </c>
      <c r="L3041" s="16" t="str">
        <f aca="false">IF(B3041="","",IF(N3041=_xlfn.MAXIFS($N$2:$N$5001,$B$2:$B$5001,B3041,$I$2:$I$5001,I3041),1,0))</f>
        <v/>
      </c>
      <c r="M3041" s="16" t="str">
        <f aca="false">IF(B3041="","",IF(E3041="Em ajustes",IF(N3041=_xlfn.MINIFS($N$2:$N$5001,$B$2:$B$5001,B3041,$E$2:$E$5001,"Em ajustes"),1,0),0))</f>
        <v/>
      </c>
      <c r="N3041" s="17" t="str">
        <f aca="false">IF(A3041="","",IF(ISNUMBER(A3041),A3041,IFERROR(DATE(VALUE(MID(A3041,7,4)),VALUE(MID(A3041,4,2)),VALUE(MID(A3041,1,2)))+TIME(VALUE(MID(A3041,12,2)),VALUE(MID(A3041,15,2)),VALUE(MID(A3041,18,2))),"")))</f>
        <v/>
      </c>
    </row>
    <row r="3042" customFormat="false" ht="15" hidden="false" customHeight="false" outlineLevel="0" collapsed="false">
      <c r="I3042" s="15" t="str">
        <f aca="false">IF(N3042="","",INT(N3042))</f>
        <v/>
      </c>
      <c r="J3042" s="16" t="str">
        <f aca="false">IF(B3042="","",IF(N3042=_xlfn.MINIFS($N$2:$N$5001,$B$2:$B$5001,B3042),1,0))</f>
        <v/>
      </c>
      <c r="K3042" s="16" t="str">
        <f aca="false">IF(B3042="","",IF(AND(D3042="Formalização",E3042="Concluído"),IF(COUNTIFS($B$2:$B$5001,B3042,$E$2:$E$5001,"Em ajustes",$N$2:$N$5001,"&lt;"&amp;I3042)&gt;0,1,0),0))</f>
        <v/>
      </c>
      <c r="L3042" s="16" t="str">
        <f aca="false">IF(B3042="","",IF(N3042=_xlfn.MAXIFS($N$2:$N$5001,$B$2:$B$5001,B3042,$I$2:$I$5001,I3042),1,0))</f>
        <v/>
      </c>
      <c r="M3042" s="16" t="str">
        <f aca="false">IF(B3042="","",IF(E3042="Em ajustes",IF(N3042=_xlfn.MINIFS($N$2:$N$5001,$B$2:$B$5001,B3042,$E$2:$E$5001,"Em ajustes"),1,0),0))</f>
        <v/>
      </c>
      <c r="N3042" s="17" t="str">
        <f aca="false">IF(A3042="","",IF(ISNUMBER(A3042),A3042,IFERROR(DATE(VALUE(MID(A3042,7,4)),VALUE(MID(A3042,4,2)),VALUE(MID(A3042,1,2)))+TIME(VALUE(MID(A3042,12,2)),VALUE(MID(A3042,15,2)),VALUE(MID(A3042,18,2))),"")))</f>
        <v/>
      </c>
    </row>
    <row r="3043" customFormat="false" ht="15" hidden="false" customHeight="false" outlineLevel="0" collapsed="false">
      <c r="I3043" s="15" t="str">
        <f aca="false">IF(N3043="","",INT(N3043))</f>
        <v/>
      </c>
      <c r="J3043" s="16" t="str">
        <f aca="false">IF(B3043="","",IF(N3043=_xlfn.MINIFS($N$2:$N$5001,$B$2:$B$5001,B3043),1,0))</f>
        <v/>
      </c>
      <c r="K3043" s="16" t="str">
        <f aca="false">IF(B3043="","",IF(AND(D3043="Formalização",E3043="Concluído"),IF(COUNTIFS($B$2:$B$5001,B3043,$E$2:$E$5001,"Em ajustes",$N$2:$N$5001,"&lt;"&amp;I3043)&gt;0,1,0),0))</f>
        <v/>
      </c>
      <c r="L3043" s="16" t="str">
        <f aca="false">IF(B3043="","",IF(N3043=_xlfn.MAXIFS($N$2:$N$5001,$B$2:$B$5001,B3043,$I$2:$I$5001,I3043),1,0))</f>
        <v/>
      </c>
      <c r="M3043" s="16" t="str">
        <f aca="false">IF(B3043="","",IF(E3043="Em ajustes",IF(N3043=_xlfn.MINIFS($N$2:$N$5001,$B$2:$B$5001,B3043,$E$2:$E$5001,"Em ajustes"),1,0),0))</f>
        <v/>
      </c>
      <c r="N3043" s="17" t="str">
        <f aca="false">IF(A3043="","",IF(ISNUMBER(A3043),A3043,IFERROR(DATE(VALUE(MID(A3043,7,4)),VALUE(MID(A3043,4,2)),VALUE(MID(A3043,1,2)))+TIME(VALUE(MID(A3043,12,2)),VALUE(MID(A3043,15,2)),VALUE(MID(A3043,18,2))),"")))</f>
        <v/>
      </c>
    </row>
    <row r="3044" customFormat="false" ht="15" hidden="false" customHeight="false" outlineLevel="0" collapsed="false">
      <c r="I3044" s="15" t="str">
        <f aca="false">IF(N3044="","",INT(N3044))</f>
        <v/>
      </c>
      <c r="J3044" s="16" t="str">
        <f aca="false">IF(B3044="","",IF(N3044=_xlfn.MINIFS($N$2:$N$5001,$B$2:$B$5001,B3044),1,0))</f>
        <v/>
      </c>
      <c r="K3044" s="16" t="str">
        <f aca="false">IF(B3044="","",IF(AND(D3044="Formalização",E3044="Concluído"),IF(COUNTIFS($B$2:$B$5001,B3044,$E$2:$E$5001,"Em ajustes",$N$2:$N$5001,"&lt;"&amp;I3044)&gt;0,1,0),0))</f>
        <v/>
      </c>
      <c r="L3044" s="16" t="str">
        <f aca="false">IF(B3044="","",IF(N3044=_xlfn.MAXIFS($N$2:$N$5001,$B$2:$B$5001,B3044,$I$2:$I$5001,I3044),1,0))</f>
        <v/>
      </c>
      <c r="M3044" s="16" t="str">
        <f aca="false">IF(B3044="","",IF(E3044="Em ajustes",IF(N3044=_xlfn.MINIFS($N$2:$N$5001,$B$2:$B$5001,B3044,$E$2:$E$5001,"Em ajustes"),1,0),0))</f>
        <v/>
      </c>
      <c r="N3044" s="17" t="str">
        <f aca="false">IF(A3044="","",IF(ISNUMBER(A3044),A3044,IFERROR(DATE(VALUE(MID(A3044,7,4)),VALUE(MID(A3044,4,2)),VALUE(MID(A3044,1,2)))+TIME(VALUE(MID(A3044,12,2)),VALUE(MID(A3044,15,2)),VALUE(MID(A3044,18,2))),"")))</f>
        <v/>
      </c>
    </row>
    <row r="3045" customFormat="false" ht="15" hidden="false" customHeight="false" outlineLevel="0" collapsed="false">
      <c r="I3045" s="15" t="str">
        <f aca="false">IF(N3045="","",INT(N3045))</f>
        <v/>
      </c>
      <c r="J3045" s="16" t="str">
        <f aca="false">IF(B3045="","",IF(N3045=_xlfn.MINIFS($N$2:$N$5001,$B$2:$B$5001,B3045),1,0))</f>
        <v/>
      </c>
      <c r="K3045" s="16" t="str">
        <f aca="false">IF(B3045="","",IF(AND(D3045="Formalização",E3045="Concluído"),IF(COUNTIFS($B$2:$B$5001,B3045,$E$2:$E$5001,"Em ajustes",$N$2:$N$5001,"&lt;"&amp;I3045)&gt;0,1,0),0))</f>
        <v/>
      </c>
      <c r="L3045" s="16" t="str">
        <f aca="false">IF(B3045="","",IF(N3045=_xlfn.MAXIFS($N$2:$N$5001,$B$2:$B$5001,B3045,$I$2:$I$5001,I3045),1,0))</f>
        <v/>
      </c>
      <c r="M3045" s="16" t="str">
        <f aca="false">IF(B3045="","",IF(E3045="Em ajustes",IF(N3045=_xlfn.MINIFS($N$2:$N$5001,$B$2:$B$5001,B3045,$E$2:$E$5001,"Em ajustes"),1,0),0))</f>
        <v/>
      </c>
      <c r="N3045" s="17" t="str">
        <f aca="false">IF(A3045="","",IF(ISNUMBER(A3045),A3045,IFERROR(DATE(VALUE(MID(A3045,7,4)),VALUE(MID(A3045,4,2)),VALUE(MID(A3045,1,2)))+TIME(VALUE(MID(A3045,12,2)),VALUE(MID(A3045,15,2)),VALUE(MID(A3045,18,2))),"")))</f>
        <v/>
      </c>
    </row>
    <row r="3046" customFormat="false" ht="15" hidden="false" customHeight="false" outlineLevel="0" collapsed="false">
      <c r="I3046" s="15" t="str">
        <f aca="false">IF(N3046="","",INT(N3046))</f>
        <v/>
      </c>
      <c r="J3046" s="16" t="str">
        <f aca="false">IF(B3046="","",IF(N3046=_xlfn.MINIFS($N$2:$N$5001,$B$2:$B$5001,B3046),1,0))</f>
        <v/>
      </c>
      <c r="K3046" s="16" t="str">
        <f aca="false">IF(B3046="","",IF(AND(D3046="Formalização",E3046="Concluído"),IF(COUNTIFS($B$2:$B$5001,B3046,$E$2:$E$5001,"Em ajustes",$N$2:$N$5001,"&lt;"&amp;I3046)&gt;0,1,0),0))</f>
        <v/>
      </c>
      <c r="L3046" s="16" t="str">
        <f aca="false">IF(B3046="","",IF(N3046=_xlfn.MAXIFS($N$2:$N$5001,$B$2:$B$5001,B3046,$I$2:$I$5001,I3046),1,0))</f>
        <v/>
      </c>
      <c r="M3046" s="16" t="str">
        <f aca="false">IF(B3046="","",IF(E3046="Em ajustes",IF(N3046=_xlfn.MINIFS($N$2:$N$5001,$B$2:$B$5001,B3046,$E$2:$E$5001,"Em ajustes"),1,0),0))</f>
        <v/>
      </c>
      <c r="N3046" s="17" t="str">
        <f aca="false">IF(A3046="","",IF(ISNUMBER(A3046),A3046,IFERROR(DATE(VALUE(MID(A3046,7,4)),VALUE(MID(A3046,4,2)),VALUE(MID(A3046,1,2)))+TIME(VALUE(MID(A3046,12,2)),VALUE(MID(A3046,15,2)),VALUE(MID(A3046,18,2))),"")))</f>
        <v/>
      </c>
    </row>
    <row r="3047" customFormat="false" ht="15" hidden="false" customHeight="false" outlineLevel="0" collapsed="false">
      <c r="I3047" s="15" t="str">
        <f aca="false">IF(N3047="","",INT(N3047))</f>
        <v/>
      </c>
      <c r="J3047" s="16" t="str">
        <f aca="false">IF(B3047="","",IF(N3047=_xlfn.MINIFS($N$2:$N$5001,$B$2:$B$5001,B3047),1,0))</f>
        <v/>
      </c>
      <c r="K3047" s="16" t="str">
        <f aca="false">IF(B3047="","",IF(AND(D3047="Formalização",E3047="Concluído"),IF(COUNTIFS($B$2:$B$5001,B3047,$E$2:$E$5001,"Em ajustes",$N$2:$N$5001,"&lt;"&amp;I3047)&gt;0,1,0),0))</f>
        <v/>
      </c>
      <c r="L3047" s="16" t="str">
        <f aca="false">IF(B3047="","",IF(N3047=_xlfn.MAXIFS($N$2:$N$5001,$B$2:$B$5001,B3047,$I$2:$I$5001,I3047),1,0))</f>
        <v/>
      </c>
      <c r="M3047" s="16" t="str">
        <f aca="false">IF(B3047="","",IF(E3047="Em ajustes",IF(N3047=_xlfn.MINIFS($N$2:$N$5001,$B$2:$B$5001,B3047,$E$2:$E$5001,"Em ajustes"),1,0),0))</f>
        <v/>
      </c>
      <c r="N3047" s="17" t="str">
        <f aca="false">IF(A3047="","",IF(ISNUMBER(A3047),A3047,IFERROR(DATE(VALUE(MID(A3047,7,4)),VALUE(MID(A3047,4,2)),VALUE(MID(A3047,1,2)))+TIME(VALUE(MID(A3047,12,2)),VALUE(MID(A3047,15,2)),VALUE(MID(A3047,18,2))),"")))</f>
        <v/>
      </c>
    </row>
    <row r="3048" customFormat="false" ht="15" hidden="false" customHeight="false" outlineLevel="0" collapsed="false">
      <c r="I3048" s="15" t="str">
        <f aca="false">IF(N3048="","",INT(N3048))</f>
        <v/>
      </c>
      <c r="J3048" s="16" t="str">
        <f aca="false">IF(B3048="","",IF(N3048=_xlfn.MINIFS($N$2:$N$5001,$B$2:$B$5001,B3048),1,0))</f>
        <v/>
      </c>
      <c r="K3048" s="16" t="str">
        <f aca="false">IF(B3048="","",IF(AND(D3048="Formalização",E3048="Concluído"),IF(COUNTIFS($B$2:$B$5001,B3048,$E$2:$E$5001,"Em ajustes",$N$2:$N$5001,"&lt;"&amp;I3048)&gt;0,1,0),0))</f>
        <v/>
      </c>
      <c r="L3048" s="16" t="str">
        <f aca="false">IF(B3048="","",IF(N3048=_xlfn.MAXIFS($N$2:$N$5001,$B$2:$B$5001,B3048,$I$2:$I$5001,I3048),1,0))</f>
        <v/>
      </c>
      <c r="M3048" s="16" t="str">
        <f aca="false">IF(B3048="","",IF(E3048="Em ajustes",IF(N3048=_xlfn.MINIFS($N$2:$N$5001,$B$2:$B$5001,B3048,$E$2:$E$5001,"Em ajustes"),1,0),0))</f>
        <v/>
      </c>
      <c r="N3048" s="17" t="str">
        <f aca="false">IF(A3048="","",IF(ISNUMBER(A3048),A3048,IFERROR(DATE(VALUE(MID(A3048,7,4)),VALUE(MID(A3048,4,2)),VALUE(MID(A3048,1,2)))+TIME(VALUE(MID(A3048,12,2)),VALUE(MID(A3048,15,2)),VALUE(MID(A3048,18,2))),"")))</f>
        <v/>
      </c>
    </row>
    <row r="3049" customFormat="false" ht="15" hidden="false" customHeight="false" outlineLevel="0" collapsed="false">
      <c r="I3049" s="15" t="str">
        <f aca="false">IF(N3049="","",INT(N3049))</f>
        <v/>
      </c>
      <c r="J3049" s="16" t="str">
        <f aca="false">IF(B3049="","",IF(N3049=_xlfn.MINIFS($N$2:$N$5001,$B$2:$B$5001,B3049),1,0))</f>
        <v/>
      </c>
      <c r="K3049" s="16" t="str">
        <f aca="false">IF(B3049="","",IF(AND(D3049="Formalização",E3049="Concluído"),IF(COUNTIFS($B$2:$B$5001,B3049,$E$2:$E$5001,"Em ajustes",$N$2:$N$5001,"&lt;"&amp;I3049)&gt;0,1,0),0))</f>
        <v/>
      </c>
      <c r="L3049" s="16" t="str">
        <f aca="false">IF(B3049="","",IF(N3049=_xlfn.MAXIFS($N$2:$N$5001,$B$2:$B$5001,B3049,$I$2:$I$5001,I3049),1,0))</f>
        <v/>
      </c>
      <c r="M3049" s="16" t="str">
        <f aca="false">IF(B3049="","",IF(E3049="Em ajustes",IF(N3049=_xlfn.MINIFS($N$2:$N$5001,$B$2:$B$5001,B3049,$E$2:$E$5001,"Em ajustes"),1,0),0))</f>
        <v/>
      </c>
      <c r="N3049" s="17" t="str">
        <f aca="false">IF(A3049="","",IF(ISNUMBER(A3049),A3049,IFERROR(DATE(VALUE(MID(A3049,7,4)),VALUE(MID(A3049,4,2)),VALUE(MID(A3049,1,2)))+TIME(VALUE(MID(A3049,12,2)),VALUE(MID(A3049,15,2)),VALUE(MID(A3049,18,2))),"")))</f>
        <v/>
      </c>
    </row>
    <row r="3050" customFormat="false" ht="15" hidden="false" customHeight="false" outlineLevel="0" collapsed="false">
      <c r="I3050" s="15" t="str">
        <f aca="false">IF(N3050="","",INT(N3050))</f>
        <v/>
      </c>
      <c r="J3050" s="16" t="str">
        <f aca="false">IF(B3050="","",IF(N3050=_xlfn.MINIFS($N$2:$N$5001,$B$2:$B$5001,B3050),1,0))</f>
        <v/>
      </c>
      <c r="K3050" s="16" t="str">
        <f aca="false">IF(B3050="","",IF(AND(D3050="Formalização",E3050="Concluído"),IF(COUNTIFS($B$2:$B$5001,B3050,$E$2:$E$5001,"Em ajustes",$N$2:$N$5001,"&lt;"&amp;I3050)&gt;0,1,0),0))</f>
        <v/>
      </c>
      <c r="L3050" s="16" t="str">
        <f aca="false">IF(B3050="","",IF(N3050=_xlfn.MAXIFS($N$2:$N$5001,$B$2:$B$5001,B3050,$I$2:$I$5001,I3050),1,0))</f>
        <v/>
      </c>
      <c r="M3050" s="16" t="str">
        <f aca="false">IF(B3050="","",IF(E3050="Em ajustes",IF(N3050=_xlfn.MINIFS($N$2:$N$5001,$B$2:$B$5001,B3050,$E$2:$E$5001,"Em ajustes"),1,0),0))</f>
        <v/>
      </c>
      <c r="N3050" s="17" t="str">
        <f aca="false">IF(A3050="","",IF(ISNUMBER(A3050),A3050,IFERROR(DATE(VALUE(MID(A3050,7,4)),VALUE(MID(A3050,4,2)),VALUE(MID(A3050,1,2)))+TIME(VALUE(MID(A3050,12,2)),VALUE(MID(A3050,15,2)),VALUE(MID(A3050,18,2))),"")))</f>
        <v/>
      </c>
    </row>
    <row r="3051" customFormat="false" ht="15" hidden="false" customHeight="false" outlineLevel="0" collapsed="false">
      <c r="I3051" s="15" t="str">
        <f aca="false">IF(N3051="","",INT(N3051))</f>
        <v/>
      </c>
      <c r="J3051" s="16" t="str">
        <f aca="false">IF(B3051="","",IF(N3051=_xlfn.MINIFS($N$2:$N$5001,$B$2:$B$5001,B3051),1,0))</f>
        <v/>
      </c>
      <c r="K3051" s="16" t="str">
        <f aca="false">IF(B3051="","",IF(AND(D3051="Formalização",E3051="Concluído"),IF(COUNTIFS($B$2:$B$5001,B3051,$E$2:$E$5001,"Em ajustes",$N$2:$N$5001,"&lt;"&amp;I3051)&gt;0,1,0),0))</f>
        <v/>
      </c>
      <c r="L3051" s="16" t="str">
        <f aca="false">IF(B3051="","",IF(N3051=_xlfn.MAXIFS($N$2:$N$5001,$B$2:$B$5001,B3051,$I$2:$I$5001,I3051),1,0))</f>
        <v/>
      </c>
      <c r="M3051" s="16" t="str">
        <f aca="false">IF(B3051="","",IF(E3051="Em ajustes",IF(N3051=_xlfn.MINIFS($N$2:$N$5001,$B$2:$B$5001,B3051,$E$2:$E$5001,"Em ajustes"),1,0),0))</f>
        <v/>
      </c>
      <c r="N3051" s="17" t="str">
        <f aca="false">IF(A3051="","",IF(ISNUMBER(A3051),A3051,IFERROR(DATE(VALUE(MID(A3051,7,4)),VALUE(MID(A3051,4,2)),VALUE(MID(A3051,1,2)))+TIME(VALUE(MID(A3051,12,2)),VALUE(MID(A3051,15,2)),VALUE(MID(A3051,18,2))),"")))</f>
        <v/>
      </c>
    </row>
    <row r="3052" customFormat="false" ht="15" hidden="false" customHeight="false" outlineLevel="0" collapsed="false">
      <c r="I3052" s="15" t="str">
        <f aca="false">IF(N3052="","",INT(N3052))</f>
        <v/>
      </c>
      <c r="J3052" s="16" t="str">
        <f aca="false">IF(B3052="","",IF(N3052=_xlfn.MINIFS($N$2:$N$5001,$B$2:$B$5001,B3052),1,0))</f>
        <v/>
      </c>
      <c r="K3052" s="16" t="str">
        <f aca="false">IF(B3052="","",IF(AND(D3052="Formalização",E3052="Concluído"),IF(COUNTIFS($B$2:$B$5001,B3052,$E$2:$E$5001,"Em ajustes",$N$2:$N$5001,"&lt;"&amp;I3052)&gt;0,1,0),0))</f>
        <v/>
      </c>
      <c r="L3052" s="16" t="str">
        <f aca="false">IF(B3052="","",IF(N3052=_xlfn.MAXIFS($N$2:$N$5001,$B$2:$B$5001,B3052,$I$2:$I$5001,I3052),1,0))</f>
        <v/>
      </c>
      <c r="M3052" s="16" t="str">
        <f aca="false">IF(B3052="","",IF(E3052="Em ajustes",IF(N3052=_xlfn.MINIFS($N$2:$N$5001,$B$2:$B$5001,B3052,$E$2:$E$5001,"Em ajustes"),1,0),0))</f>
        <v/>
      </c>
      <c r="N3052" s="17" t="str">
        <f aca="false">IF(A3052="","",IF(ISNUMBER(A3052),A3052,IFERROR(DATE(VALUE(MID(A3052,7,4)),VALUE(MID(A3052,4,2)),VALUE(MID(A3052,1,2)))+TIME(VALUE(MID(A3052,12,2)),VALUE(MID(A3052,15,2)),VALUE(MID(A3052,18,2))),"")))</f>
        <v/>
      </c>
    </row>
    <row r="3053" customFormat="false" ht="15" hidden="false" customHeight="false" outlineLevel="0" collapsed="false">
      <c r="I3053" s="15" t="str">
        <f aca="false">IF(N3053="","",INT(N3053))</f>
        <v/>
      </c>
      <c r="J3053" s="16" t="str">
        <f aca="false">IF(B3053="","",IF(N3053=_xlfn.MINIFS($N$2:$N$5001,$B$2:$B$5001,B3053),1,0))</f>
        <v/>
      </c>
      <c r="K3053" s="16" t="str">
        <f aca="false">IF(B3053="","",IF(AND(D3053="Formalização",E3053="Concluído"),IF(COUNTIFS($B$2:$B$5001,B3053,$E$2:$E$5001,"Em ajustes",$N$2:$N$5001,"&lt;"&amp;I3053)&gt;0,1,0),0))</f>
        <v/>
      </c>
      <c r="L3053" s="16" t="str">
        <f aca="false">IF(B3053="","",IF(N3053=_xlfn.MAXIFS($N$2:$N$5001,$B$2:$B$5001,B3053,$I$2:$I$5001,I3053),1,0))</f>
        <v/>
      </c>
      <c r="M3053" s="16" t="str">
        <f aca="false">IF(B3053="","",IF(E3053="Em ajustes",IF(N3053=_xlfn.MINIFS($N$2:$N$5001,$B$2:$B$5001,B3053,$E$2:$E$5001,"Em ajustes"),1,0),0))</f>
        <v/>
      </c>
      <c r="N3053" s="17" t="str">
        <f aca="false">IF(A3053="","",IF(ISNUMBER(A3053),A3053,IFERROR(DATE(VALUE(MID(A3053,7,4)),VALUE(MID(A3053,4,2)),VALUE(MID(A3053,1,2)))+TIME(VALUE(MID(A3053,12,2)),VALUE(MID(A3053,15,2)),VALUE(MID(A3053,18,2))),"")))</f>
        <v/>
      </c>
    </row>
    <row r="3054" customFormat="false" ht="15" hidden="false" customHeight="false" outlineLevel="0" collapsed="false">
      <c r="I3054" s="15" t="str">
        <f aca="false">IF(N3054="","",INT(N3054))</f>
        <v/>
      </c>
      <c r="J3054" s="16" t="str">
        <f aca="false">IF(B3054="","",IF(N3054=_xlfn.MINIFS($N$2:$N$5001,$B$2:$B$5001,B3054),1,0))</f>
        <v/>
      </c>
      <c r="K3054" s="16" t="str">
        <f aca="false">IF(B3054="","",IF(AND(D3054="Formalização",E3054="Concluído"),IF(COUNTIFS($B$2:$B$5001,B3054,$E$2:$E$5001,"Em ajustes",$N$2:$N$5001,"&lt;"&amp;I3054)&gt;0,1,0),0))</f>
        <v/>
      </c>
      <c r="L3054" s="16" t="str">
        <f aca="false">IF(B3054="","",IF(N3054=_xlfn.MAXIFS($N$2:$N$5001,$B$2:$B$5001,B3054,$I$2:$I$5001,I3054),1,0))</f>
        <v/>
      </c>
      <c r="M3054" s="16" t="str">
        <f aca="false">IF(B3054="","",IF(E3054="Em ajustes",IF(N3054=_xlfn.MINIFS($N$2:$N$5001,$B$2:$B$5001,B3054,$E$2:$E$5001,"Em ajustes"),1,0),0))</f>
        <v/>
      </c>
      <c r="N3054" s="17" t="str">
        <f aca="false">IF(A3054="","",IF(ISNUMBER(A3054),A3054,IFERROR(DATE(VALUE(MID(A3054,7,4)),VALUE(MID(A3054,4,2)),VALUE(MID(A3054,1,2)))+TIME(VALUE(MID(A3054,12,2)),VALUE(MID(A3054,15,2)),VALUE(MID(A3054,18,2))),"")))</f>
        <v/>
      </c>
    </row>
    <row r="3055" customFormat="false" ht="15" hidden="false" customHeight="false" outlineLevel="0" collapsed="false">
      <c r="I3055" s="15" t="str">
        <f aca="false">IF(N3055="","",INT(N3055))</f>
        <v/>
      </c>
      <c r="J3055" s="16" t="str">
        <f aca="false">IF(B3055="","",IF(N3055=_xlfn.MINIFS($N$2:$N$5001,$B$2:$B$5001,B3055),1,0))</f>
        <v/>
      </c>
      <c r="K3055" s="16" t="str">
        <f aca="false">IF(B3055="","",IF(AND(D3055="Formalização",E3055="Concluído"),IF(COUNTIFS($B$2:$B$5001,B3055,$E$2:$E$5001,"Em ajustes",$N$2:$N$5001,"&lt;"&amp;I3055)&gt;0,1,0),0))</f>
        <v/>
      </c>
      <c r="L3055" s="16" t="str">
        <f aca="false">IF(B3055="","",IF(N3055=_xlfn.MAXIFS($N$2:$N$5001,$B$2:$B$5001,B3055,$I$2:$I$5001,I3055),1,0))</f>
        <v/>
      </c>
      <c r="M3055" s="16" t="str">
        <f aca="false">IF(B3055="","",IF(E3055="Em ajustes",IF(N3055=_xlfn.MINIFS($N$2:$N$5001,$B$2:$B$5001,B3055,$E$2:$E$5001,"Em ajustes"),1,0),0))</f>
        <v/>
      </c>
      <c r="N3055" s="17" t="str">
        <f aca="false">IF(A3055="","",IF(ISNUMBER(A3055),A3055,IFERROR(DATE(VALUE(MID(A3055,7,4)),VALUE(MID(A3055,4,2)),VALUE(MID(A3055,1,2)))+TIME(VALUE(MID(A3055,12,2)),VALUE(MID(A3055,15,2)),VALUE(MID(A3055,18,2))),"")))</f>
        <v/>
      </c>
    </row>
    <row r="3056" customFormat="false" ht="15" hidden="false" customHeight="false" outlineLevel="0" collapsed="false">
      <c r="I3056" s="15" t="str">
        <f aca="false">IF(N3056="","",INT(N3056))</f>
        <v/>
      </c>
      <c r="J3056" s="16" t="str">
        <f aca="false">IF(B3056="","",IF(N3056=_xlfn.MINIFS($N$2:$N$5001,$B$2:$B$5001,B3056),1,0))</f>
        <v/>
      </c>
      <c r="K3056" s="16" t="str">
        <f aca="false">IF(B3056="","",IF(AND(D3056="Formalização",E3056="Concluído"),IF(COUNTIFS($B$2:$B$5001,B3056,$E$2:$E$5001,"Em ajustes",$N$2:$N$5001,"&lt;"&amp;I3056)&gt;0,1,0),0))</f>
        <v/>
      </c>
      <c r="L3056" s="16" t="str">
        <f aca="false">IF(B3056="","",IF(N3056=_xlfn.MAXIFS($N$2:$N$5001,$B$2:$B$5001,B3056,$I$2:$I$5001,I3056),1,0))</f>
        <v/>
      </c>
      <c r="M3056" s="16" t="str">
        <f aca="false">IF(B3056="","",IF(E3056="Em ajustes",IF(N3056=_xlfn.MINIFS($N$2:$N$5001,$B$2:$B$5001,B3056,$E$2:$E$5001,"Em ajustes"),1,0),0))</f>
        <v/>
      </c>
      <c r="N3056" s="17" t="str">
        <f aca="false">IF(A3056="","",IF(ISNUMBER(A3056),A3056,IFERROR(DATE(VALUE(MID(A3056,7,4)),VALUE(MID(A3056,4,2)),VALUE(MID(A3056,1,2)))+TIME(VALUE(MID(A3056,12,2)),VALUE(MID(A3056,15,2)),VALUE(MID(A3056,18,2))),"")))</f>
        <v/>
      </c>
    </row>
    <row r="3057" customFormat="false" ht="15" hidden="false" customHeight="false" outlineLevel="0" collapsed="false">
      <c r="I3057" s="15" t="str">
        <f aca="false">IF(N3057="","",INT(N3057))</f>
        <v/>
      </c>
      <c r="J3057" s="16" t="str">
        <f aca="false">IF(B3057="","",IF(N3057=_xlfn.MINIFS($N$2:$N$5001,$B$2:$B$5001,B3057),1,0))</f>
        <v/>
      </c>
      <c r="K3057" s="16" t="str">
        <f aca="false">IF(B3057="","",IF(AND(D3057="Formalização",E3057="Concluído"),IF(COUNTIFS($B$2:$B$5001,B3057,$E$2:$E$5001,"Em ajustes",$N$2:$N$5001,"&lt;"&amp;I3057)&gt;0,1,0),0))</f>
        <v/>
      </c>
      <c r="L3057" s="16" t="str">
        <f aca="false">IF(B3057="","",IF(N3057=_xlfn.MAXIFS($N$2:$N$5001,$B$2:$B$5001,B3057,$I$2:$I$5001,I3057),1,0))</f>
        <v/>
      </c>
      <c r="M3057" s="16" t="str">
        <f aca="false">IF(B3057="","",IF(E3057="Em ajustes",IF(N3057=_xlfn.MINIFS($N$2:$N$5001,$B$2:$B$5001,B3057,$E$2:$E$5001,"Em ajustes"),1,0),0))</f>
        <v/>
      </c>
      <c r="N3057" s="17" t="str">
        <f aca="false">IF(A3057="","",IF(ISNUMBER(A3057),A3057,IFERROR(DATE(VALUE(MID(A3057,7,4)),VALUE(MID(A3057,4,2)),VALUE(MID(A3057,1,2)))+TIME(VALUE(MID(A3057,12,2)),VALUE(MID(A3057,15,2)),VALUE(MID(A3057,18,2))),"")))</f>
        <v/>
      </c>
    </row>
    <row r="3058" customFormat="false" ht="15" hidden="false" customHeight="false" outlineLevel="0" collapsed="false">
      <c r="I3058" s="15" t="str">
        <f aca="false">IF(N3058="","",INT(N3058))</f>
        <v/>
      </c>
      <c r="J3058" s="16" t="str">
        <f aca="false">IF(B3058="","",IF(N3058=_xlfn.MINIFS($N$2:$N$5001,$B$2:$B$5001,B3058),1,0))</f>
        <v/>
      </c>
      <c r="K3058" s="16" t="str">
        <f aca="false">IF(B3058="","",IF(AND(D3058="Formalização",E3058="Concluído"),IF(COUNTIFS($B$2:$B$5001,B3058,$E$2:$E$5001,"Em ajustes",$N$2:$N$5001,"&lt;"&amp;I3058)&gt;0,1,0),0))</f>
        <v/>
      </c>
      <c r="L3058" s="16" t="str">
        <f aca="false">IF(B3058="","",IF(N3058=_xlfn.MAXIFS($N$2:$N$5001,$B$2:$B$5001,B3058,$I$2:$I$5001,I3058),1,0))</f>
        <v/>
      </c>
      <c r="M3058" s="16" t="str">
        <f aca="false">IF(B3058="","",IF(E3058="Em ajustes",IF(N3058=_xlfn.MINIFS($N$2:$N$5001,$B$2:$B$5001,B3058,$E$2:$E$5001,"Em ajustes"),1,0),0))</f>
        <v/>
      </c>
      <c r="N3058" s="17" t="str">
        <f aca="false">IF(A3058="","",IF(ISNUMBER(A3058),A3058,IFERROR(DATE(VALUE(MID(A3058,7,4)),VALUE(MID(A3058,4,2)),VALUE(MID(A3058,1,2)))+TIME(VALUE(MID(A3058,12,2)),VALUE(MID(A3058,15,2)),VALUE(MID(A3058,18,2))),"")))</f>
        <v/>
      </c>
    </row>
    <row r="3059" customFormat="false" ht="15" hidden="false" customHeight="false" outlineLevel="0" collapsed="false">
      <c r="I3059" s="15" t="str">
        <f aca="false">IF(N3059="","",INT(N3059))</f>
        <v/>
      </c>
      <c r="J3059" s="16" t="str">
        <f aca="false">IF(B3059="","",IF(N3059=_xlfn.MINIFS($N$2:$N$5001,$B$2:$B$5001,B3059),1,0))</f>
        <v/>
      </c>
      <c r="K3059" s="16" t="str">
        <f aca="false">IF(B3059="","",IF(AND(D3059="Formalização",E3059="Concluído"),IF(COUNTIFS($B$2:$B$5001,B3059,$E$2:$E$5001,"Em ajustes",$N$2:$N$5001,"&lt;"&amp;I3059)&gt;0,1,0),0))</f>
        <v/>
      </c>
      <c r="L3059" s="16" t="str">
        <f aca="false">IF(B3059="","",IF(N3059=_xlfn.MAXIFS($N$2:$N$5001,$B$2:$B$5001,B3059,$I$2:$I$5001,I3059),1,0))</f>
        <v/>
      </c>
      <c r="M3059" s="16" t="str">
        <f aca="false">IF(B3059="","",IF(E3059="Em ajustes",IF(N3059=_xlfn.MINIFS($N$2:$N$5001,$B$2:$B$5001,B3059,$E$2:$E$5001,"Em ajustes"),1,0),0))</f>
        <v/>
      </c>
      <c r="N3059" s="17" t="str">
        <f aca="false">IF(A3059="","",IF(ISNUMBER(A3059),A3059,IFERROR(DATE(VALUE(MID(A3059,7,4)),VALUE(MID(A3059,4,2)),VALUE(MID(A3059,1,2)))+TIME(VALUE(MID(A3059,12,2)),VALUE(MID(A3059,15,2)),VALUE(MID(A3059,18,2))),"")))</f>
        <v/>
      </c>
    </row>
    <row r="3060" customFormat="false" ht="15" hidden="false" customHeight="false" outlineLevel="0" collapsed="false">
      <c r="I3060" s="15" t="str">
        <f aca="false">IF(N3060="","",INT(N3060))</f>
        <v/>
      </c>
      <c r="J3060" s="16" t="str">
        <f aca="false">IF(B3060="","",IF(N3060=_xlfn.MINIFS($N$2:$N$5001,$B$2:$B$5001,B3060),1,0))</f>
        <v/>
      </c>
      <c r="K3060" s="16" t="str">
        <f aca="false">IF(B3060="","",IF(AND(D3060="Formalização",E3060="Concluído"),IF(COUNTIFS($B$2:$B$5001,B3060,$E$2:$E$5001,"Em ajustes",$N$2:$N$5001,"&lt;"&amp;I3060)&gt;0,1,0),0))</f>
        <v/>
      </c>
      <c r="L3060" s="16" t="str">
        <f aca="false">IF(B3060="","",IF(N3060=_xlfn.MAXIFS($N$2:$N$5001,$B$2:$B$5001,B3060,$I$2:$I$5001,I3060),1,0))</f>
        <v/>
      </c>
      <c r="M3060" s="16" t="str">
        <f aca="false">IF(B3060="","",IF(E3060="Em ajustes",IF(N3060=_xlfn.MINIFS($N$2:$N$5001,$B$2:$B$5001,B3060,$E$2:$E$5001,"Em ajustes"),1,0),0))</f>
        <v/>
      </c>
      <c r="N3060" s="17" t="str">
        <f aca="false">IF(A3060="","",IF(ISNUMBER(A3060),A3060,IFERROR(DATE(VALUE(MID(A3060,7,4)),VALUE(MID(A3060,4,2)),VALUE(MID(A3060,1,2)))+TIME(VALUE(MID(A3060,12,2)),VALUE(MID(A3060,15,2)),VALUE(MID(A3060,18,2))),"")))</f>
        <v/>
      </c>
    </row>
    <row r="3061" customFormat="false" ht="15" hidden="false" customHeight="false" outlineLevel="0" collapsed="false">
      <c r="I3061" s="15" t="str">
        <f aca="false">IF(N3061="","",INT(N3061))</f>
        <v/>
      </c>
      <c r="J3061" s="16" t="str">
        <f aca="false">IF(B3061="","",IF(N3061=_xlfn.MINIFS($N$2:$N$5001,$B$2:$B$5001,B3061),1,0))</f>
        <v/>
      </c>
      <c r="K3061" s="16" t="str">
        <f aca="false">IF(B3061="","",IF(AND(D3061="Formalização",E3061="Concluído"),IF(COUNTIFS($B$2:$B$5001,B3061,$E$2:$E$5001,"Em ajustes",$N$2:$N$5001,"&lt;"&amp;I3061)&gt;0,1,0),0))</f>
        <v/>
      </c>
      <c r="L3061" s="16" t="str">
        <f aca="false">IF(B3061="","",IF(N3061=_xlfn.MAXIFS($N$2:$N$5001,$B$2:$B$5001,B3061,$I$2:$I$5001,I3061),1,0))</f>
        <v/>
      </c>
      <c r="M3061" s="16" t="str">
        <f aca="false">IF(B3061="","",IF(E3061="Em ajustes",IF(N3061=_xlfn.MINIFS($N$2:$N$5001,$B$2:$B$5001,B3061,$E$2:$E$5001,"Em ajustes"),1,0),0))</f>
        <v/>
      </c>
      <c r="N3061" s="17" t="str">
        <f aca="false">IF(A3061="","",IF(ISNUMBER(A3061),A3061,IFERROR(DATE(VALUE(MID(A3061,7,4)),VALUE(MID(A3061,4,2)),VALUE(MID(A3061,1,2)))+TIME(VALUE(MID(A3061,12,2)),VALUE(MID(A3061,15,2)),VALUE(MID(A3061,18,2))),"")))</f>
        <v/>
      </c>
    </row>
    <row r="3062" customFormat="false" ht="15" hidden="false" customHeight="false" outlineLevel="0" collapsed="false">
      <c r="I3062" s="15" t="str">
        <f aca="false">IF(N3062="","",INT(N3062))</f>
        <v/>
      </c>
      <c r="J3062" s="16" t="str">
        <f aca="false">IF(B3062="","",IF(N3062=_xlfn.MINIFS($N$2:$N$5001,$B$2:$B$5001,B3062),1,0))</f>
        <v/>
      </c>
      <c r="K3062" s="16" t="str">
        <f aca="false">IF(B3062="","",IF(AND(D3062="Formalização",E3062="Concluído"),IF(COUNTIFS($B$2:$B$5001,B3062,$E$2:$E$5001,"Em ajustes",$N$2:$N$5001,"&lt;"&amp;I3062)&gt;0,1,0),0))</f>
        <v/>
      </c>
      <c r="L3062" s="16" t="str">
        <f aca="false">IF(B3062="","",IF(N3062=_xlfn.MAXIFS($N$2:$N$5001,$B$2:$B$5001,B3062,$I$2:$I$5001,I3062),1,0))</f>
        <v/>
      </c>
      <c r="M3062" s="16" t="str">
        <f aca="false">IF(B3062="","",IF(E3062="Em ajustes",IF(N3062=_xlfn.MINIFS($N$2:$N$5001,$B$2:$B$5001,B3062,$E$2:$E$5001,"Em ajustes"),1,0),0))</f>
        <v/>
      </c>
      <c r="N3062" s="17" t="str">
        <f aca="false">IF(A3062="","",IF(ISNUMBER(A3062),A3062,IFERROR(DATE(VALUE(MID(A3062,7,4)),VALUE(MID(A3062,4,2)),VALUE(MID(A3062,1,2)))+TIME(VALUE(MID(A3062,12,2)),VALUE(MID(A3062,15,2)),VALUE(MID(A3062,18,2))),"")))</f>
        <v/>
      </c>
    </row>
    <row r="3063" customFormat="false" ht="15" hidden="false" customHeight="false" outlineLevel="0" collapsed="false">
      <c r="I3063" s="15" t="str">
        <f aca="false">IF(N3063="","",INT(N3063))</f>
        <v/>
      </c>
      <c r="J3063" s="16" t="str">
        <f aca="false">IF(B3063="","",IF(N3063=_xlfn.MINIFS($N$2:$N$5001,$B$2:$B$5001,B3063),1,0))</f>
        <v/>
      </c>
      <c r="K3063" s="16" t="str">
        <f aca="false">IF(B3063="","",IF(AND(D3063="Formalização",E3063="Concluído"),IF(COUNTIFS($B$2:$B$5001,B3063,$E$2:$E$5001,"Em ajustes",$N$2:$N$5001,"&lt;"&amp;I3063)&gt;0,1,0),0))</f>
        <v/>
      </c>
      <c r="L3063" s="16" t="str">
        <f aca="false">IF(B3063="","",IF(N3063=_xlfn.MAXIFS($N$2:$N$5001,$B$2:$B$5001,B3063,$I$2:$I$5001,I3063),1,0))</f>
        <v/>
      </c>
      <c r="M3063" s="16" t="str">
        <f aca="false">IF(B3063="","",IF(E3063="Em ajustes",IF(N3063=_xlfn.MINIFS($N$2:$N$5001,$B$2:$B$5001,B3063,$E$2:$E$5001,"Em ajustes"),1,0),0))</f>
        <v/>
      </c>
      <c r="N3063" s="17" t="str">
        <f aca="false">IF(A3063="","",IF(ISNUMBER(A3063),A3063,IFERROR(DATE(VALUE(MID(A3063,7,4)),VALUE(MID(A3063,4,2)),VALUE(MID(A3063,1,2)))+TIME(VALUE(MID(A3063,12,2)),VALUE(MID(A3063,15,2)),VALUE(MID(A3063,18,2))),"")))</f>
        <v/>
      </c>
    </row>
    <row r="3064" customFormat="false" ht="15" hidden="false" customHeight="false" outlineLevel="0" collapsed="false">
      <c r="I3064" s="15" t="str">
        <f aca="false">IF(N3064="","",INT(N3064))</f>
        <v/>
      </c>
      <c r="J3064" s="16" t="str">
        <f aca="false">IF(B3064="","",IF(N3064=_xlfn.MINIFS($N$2:$N$5001,$B$2:$B$5001,B3064),1,0))</f>
        <v/>
      </c>
      <c r="K3064" s="16" t="str">
        <f aca="false">IF(B3064="","",IF(AND(D3064="Formalização",E3064="Concluído"),IF(COUNTIFS($B$2:$B$5001,B3064,$E$2:$E$5001,"Em ajustes",$N$2:$N$5001,"&lt;"&amp;I3064)&gt;0,1,0),0))</f>
        <v/>
      </c>
      <c r="L3064" s="16" t="str">
        <f aca="false">IF(B3064="","",IF(N3064=_xlfn.MAXIFS($N$2:$N$5001,$B$2:$B$5001,B3064,$I$2:$I$5001,I3064),1,0))</f>
        <v/>
      </c>
      <c r="M3064" s="16" t="str">
        <f aca="false">IF(B3064="","",IF(E3064="Em ajustes",IF(N3064=_xlfn.MINIFS($N$2:$N$5001,$B$2:$B$5001,B3064,$E$2:$E$5001,"Em ajustes"),1,0),0))</f>
        <v/>
      </c>
      <c r="N3064" s="17" t="str">
        <f aca="false">IF(A3064="","",IF(ISNUMBER(A3064),A3064,IFERROR(DATE(VALUE(MID(A3064,7,4)),VALUE(MID(A3064,4,2)),VALUE(MID(A3064,1,2)))+TIME(VALUE(MID(A3064,12,2)),VALUE(MID(A3064,15,2)),VALUE(MID(A3064,18,2))),"")))</f>
        <v/>
      </c>
    </row>
    <row r="3065" customFormat="false" ht="15" hidden="false" customHeight="false" outlineLevel="0" collapsed="false">
      <c r="I3065" s="15" t="str">
        <f aca="false">IF(N3065="","",INT(N3065))</f>
        <v/>
      </c>
      <c r="J3065" s="16" t="str">
        <f aca="false">IF(B3065="","",IF(N3065=_xlfn.MINIFS($N$2:$N$5001,$B$2:$B$5001,B3065),1,0))</f>
        <v/>
      </c>
      <c r="K3065" s="16" t="str">
        <f aca="false">IF(B3065="","",IF(AND(D3065="Formalização",E3065="Concluído"),IF(COUNTIFS($B$2:$B$5001,B3065,$E$2:$E$5001,"Em ajustes",$N$2:$N$5001,"&lt;"&amp;I3065)&gt;0,1,0),0))</f>
        <v/>
      </c>
      <c r="L3065" s="16" t="str">
        <f aca="false">IF(B3065="","",IF(N3065=_xlfn.MAXIFS($N$2:$N$5001,$B$2:$B$5001,B3065,$I$2:$I$5001,I3065),1,0))</f>
        <v/>
      </c>
      <c r="M3065" s="16" t="str">
        <f aca="false">IF(B3065="","",IF(E3065="Em ajustes",IF(N3065=_xlfn.MINIFS($N$2:$N$5001,$B$2:$B$5001,B3065,$E$2:$E$5001,"Em ajustes"),1,0),0))</f>
        <v/>
      </c>
      <c r="N3065" s="17" t="str">
        <f aca="false">IF(A3065="","",IF(ISNUMBER(A3065),A3065,IFERROR(DATE(VALUE(MID(A3065,7,4)),VALUE(MID(A3065,4,2)),VALUE(MID(A3065,1,2)))+TIME(VALUE(MID(A3065,12,2)),VALUE(MID(A3065,15,2)),VALUE(MID(A3065,18,2))),"")))</f>
        <v/>
      </c>
    </row>
    <row r="3066" customFormat="false" ht="15" hidden="false" customHeight="false" outlineLevel="0" collapsed="false">
      <c r="I3066" s="15" t="str">
        <f aca="false">IF(N3066="","",INT(N3066))</f>
        <v/>
      </c>
      <c r="J3066" s="16" t="str">
        <f aca="false">IF(B3066="","",IF(N3066=_xlfn.MINIFS($N$2:$N$5001,$B$2:$B$5001,B3066),1,0))</f>
        <v/>
      </c>
      <c r="K3066" s="16" t="str">
        <f aca="false">IF(B3066="","",IF(AND(D3066="Formalização",E3066="Concluído"),IF(COUNTIFS($B$2:$B$5001,B3066,$E$2:$E$5001,"Em ajustes",$N$2:$N$5001,"&lt;"&amp;I3066)&gt;0,1,0),0))</f>
        <v/>
      </c>
      <c r="L3066" s="16" t="str">
        <f aca="false">IF(B3066="","",IF(N3066=_xlfn.MAXIFS($N$2:$N$5001,$B$2:$B$5001,B3066,$I$2:$I$5001,I3066),1,0))</f>
        <v/>
      </c>
      <c r="M3066" s="16" t="str">
        <f aca="false">IF(B3066="","",IF(E3066="Em ajustes",IF(N3066=_xlfn.MINIFS($N$2:$N$5001,$B$2:$B$5001,B3066,$E$2:$E$5001,"Em ajustes"),1,0),0))</f>
        <v/>
      </c>
      <c r="N3066" s="17" t="str">
        <f aca="false">IF(A3066="","",IF(ISNUMBER(A3066),A3066,IFERROR(DATE(VALUE(MID(A3066,7,4)),VALUE(MID(A3066,4,2)),VALUE(MID(A3066,1,2)))+TIME(VALUE(MID(A3066,12,2)),VALUE(MID(A3066,15,2)),VALUE(MID(A3066,18,2))),"")))</f>
        <v/>
      </c>
    </row>
    <row r="3067" customFormat="false" ht="15" hidden="false" customHeight="false" outlineLevel="0" collapsed="false">
      <c r="I3067" s="15" t="str">
        <f aca="false">IF(N3067="","",INT(N3067))</f>
        <v/>
      </c>
      <c r="J3067" s="16" t="str">
        <f aca="false">IF(B3067="","",IF(N3067=_xlfn.MINIFS($N$2:$N$5001,$B$2:$B$5001,B3067),1,0))</f>
        <v/>
      </c>
      <c r="K3067" s="16" t="str">
        <f aca="false">IF(B3067="","",IF(AND(D3067="Formalização",E3067="Concluído"),IF(COUNTIFS($B$2:$B$5001,B3067,$E$2:$E$5001,"Em ajustes",$N$2:$N$5001,"&lt;"&amp;I3067)&gt;0,1,0),0))</f>
        <v/>
      </c>
      <c r="L3067" s="16" t="str">
        <f aca="false">IF(B3067="","",IF(N3067=_xlfn.MAXIFS($N$2:$N$5001,$B$2:$B$5001,B3067,$I$2:$I$5001,I3067),1,0))</f>
        <v/>
      </c>
      <c r="M3067" s="16" t="str">
        <f aca="false">IF(B3067="","",IF(E3067="Em ajustes",IF(N3067=_xlfn.MINIFS($N$2:$N$5001,$B$2:$B$5001,B3067,$E$2:$E$5001,"Em ajustes"),1,0),0))</f>
        <v/>
      </c>
      <c r="N3067" s="17" t="str">
        <f aca="false">IF(A3067="","",IF(ISNUMBER(A3067),A3067,IFERROR(DATE(VALUE(MID(A3067,7,4)),VALUE(MID(A3067,4,2)),VALUE(MID(A3067,1,2)))+TIME(VALUE(MID(A3067,12,2)),VALUE(MID(A3067,15,2)),VALUE(MID(A3067,18,2))),"")))</f>
        <v/>
      </c>
    </row>
    <row r="3068" customFormat="false" ht="15" hidden="false" customHeight="false" outlineLevel="0" collapsed="false">
      <c r="I3068" s="15" t="str">
        <f aca="false">IF(N3068="","",INT(N3068))</f>
        <v/>
      </c>
      <c r="J3068" s="16" t="str">
        <f aca="false">IF(B3068="","",IF(N3068=_xlfn.MINIFS($N$2:$N$5001,$B$2:$B$5001,B3068),1,0))</f>
        <v/>
      </c>
      <c r="K3068" s="16" t="str">
        <f aca="false">IF(B3068="","",IF(AND(D3068="Formalização",E3068="Concluído"),IF(COUNTIFS($B$2:$B$5001,B3068,$E$2:$E$5001,"Em ajustes",$N$2:$N$5001,"&lt;"&amp;I3068)&gt;0,1,0),0))</f>
        <v/>
      </c>
      <c r="L3068" s="16" t="str">
        <f aca="false">IF(B3068="","",IF(N3068=_xlfn.MAXIFS($N$2:$N$5001,$B$2:$B$5001,B3068,$I$2:$I$5001,I3068),1,0))</f>
        <v/>
      </c>
      <c r="M3068" s="16" t="str">
        <f aca="false">IF(B3068="","",IF(E3068="Em ajustes",IF(N3068=_xlfn.MINIFS($N$2:$N$5001,$B$2:$B$5001,B3068,$E$2:$E$5001,"Em ajustes"),1,0),0))</f>
        <v/>
      </c>
      <c r="N3068" s="17" t="str">
        <f aca="false">IF(A3068="","",IF(ISNUMBER(A3068),A3068,IFERROR(DATE(VALUE(MID(A3068,7,4)),VALUE(MID(A3068,4,2)),VALUE(MID(A3068,1,2)))+TIME(VALUE(MID(A3068,12,2)),VALUE(MID(A3068,15,2)),VALUE(MID(A3068,18,2))),"")))</f>
        <v/>
      </c>
    </row>
    <row r="3069" customFormat="false" ht="15" hidden="false" customHeight="false" outlineLevel="0" collapsed="false">
      <c r="I3069" s="15" t="str">
        <f aca="false">IF(N3069="","",INT(N3069))</f>
        <v/>
      </c>
      <c r="J3069" s="16" t="str">
        <f aca="false">IF(B3069="","",IF(N3069=_xlfn.MINIFS($N$2:$N$5001,$B$2:$B$5001,B3069),1,0))</f>
        <v/>
      </c>
      <c r="K3069" s="16" t="str">
        <f aca="false">IF(B3069="","",IF(AND(D3069="Formalização",E3069="Concluído"),IF(COUNTIFS($B$2:$B$5001,B3069,$E$2:$E$5001,"Em ajustes",$N$2:$N$5001,"&lt;"&amp;I3069)&gt;0,1,0),0))</f>
        <v/>
      </c>
      <c r="L3069" s="16" t="str">
        <f aca="false">IF(B3069="","",IF(N3069=_xlfn.MAXIFS($N$2:$N$5001,$B$2:$B$5001,B3069,$I$2:$I$5001,I3069),1,0))</f>
        <v/>
      </c>
      <c r="M3069" s="16" t="str">
        <f aca="false">IF(B3069="","",IF(E3069="Em ajustes",IF(N3069=_xlfn.MINIFS($N$2:$N$5001,$B$2:$B$5001,B3069,$E$2:$E$5001,"Em ajustes"),1,0),0))</f>
        <v/>
      </c>
      <c r="N3069" s="17" t="str">
        <f aca="false">IF(A3069="","",IF(ISNUMBER(A3069),A3069,IFERROR(DATE(VALUE(MID(A3069,7,4)),VALUE(MID(A3069,4,2)),VALUE(MID(A3069,1,2)))+TIME(VALUE(MID(A3069,12,2)),VALUE(MID(A3069,15,2)),VALUE(MID(A3069,18,2))),"")))</f>
        <v/>
      </c>
    </row>
    <row r="3070" customFormat="false" ht="15" hidden="false" customHeight="false" outlineLevel="0" collapsed="false">
      <c r="I3070" s="15" t="str">
        <f aca="false">IF(N3070="","",INT(N3070))</f>
        <v/>
      </c>
      <c r="J3070" s="16" t="str">
        <f aca="false">IF(B3070="","",IF(N3070=_xlfn.MINIFS($N$2:$N$5001,$B$2:$B$5001,B3070),1,0))</f>
        <v/>
      </c>
      <c r="K3070" s="16" t="str">
        <f aca="false">IF(B3070="","",IF(AND(D3070="Formalização",E3070="Concluído"),IF(COUNTIFS($B$2:$B$5001,B3070,$E$2:$E$5001,"Em ajustes",$N$2:$N$5001,"&lt;"&amp;I3070)&gt;0,1,0),0))</f>
        <v/>
      </c>
      <c r="L3070" s="16" t="str">
        <f aca="false">IF(B3070="","",IF(N3070=_xlfn.MAXIFS($N$2:$N$5001,$B$2:$B$5001,B3070,$I$2:$I$5001,I3070),1,0))</f>
        <v/>
      </c>
      <c r="M3070" s="16" t="str">
        <f aca="false">IF(B3070="","",IF(E3070="Em ajustes",IF(N3070=_xlfn.MINIFS($N$2:$N$5001,$B$2:$B$5001,B3070,$E$2:$E$5001,"Em ajustes"),1,0),0))</f>
        <v/>
      </c>
      <c r="N3070" s="17" t="str">
        <f aca="false">IF(A3070="","",IF(ISNUMBER(A3070),A3070,IFERROR(DATE(VALUE(MID(A3070,7,4)),VALUE(MID(A3070,4,2)),VALUE(MID(A3070,1,2)))+TIME(VALUE(MID(A3070,12,2)),VALUE(MID(A3070,15,2)),VALUE(MID(A3070,18,2))),"")))</f>
        <v/>
      </c>
    </row>
    <row r="3071" customFormat="false" ht="15" hidden="false" customHeight="false" outlineLevel="0" collapsed="false">
      <c r="I3071" s="15" t="str">
        <f aca="false">IF(N3071="","",INT(N3071))</f>
        <v/>
      </c>
      <c r="J3071" s="16" t="str">
        <f aca="false">IF(B3071="","",IF(N3071=_xlfn.MINIFS($N$2:$N$5001,$B$2:$B$5001,B3071),1,0))</f>
        <v/>
      </c>
      <c r="K3071" s="16" t="str">
        <f aca="false">IF(B3071="","",IF(AND(D3071="Formalização",E3071="Concluído"),IF(COUNTIFS($B$2:$B$5001,B3071,$E$2:$E$5001,"Em ajustes",$N$2:$N$5001,"&lt;"&amp;I3071)&gt;0,1,0),0))</f>
        <v/>
      </c>
      <c r="L3071" s="16" t="str">
        <f aca="false">IF(B3071="","",IF(N3071=_xlfn.MAXIFS($N$2:$N$5001,$B$2:$B$5001,B3071,$I$2:$I$5001,I3071),1,0))</f>
        <v/>
      </c>
      <c r="M3071" s="16" t="str">
        <f aca="false">IF(B3071="","",IF(E3071="Em ajustes",IF(N3071=_xlfn.MINIFS($N$2:$N$5001,$B$2:$B$5001,B3071,$E$2:$E$5001,"Em ajustes"),1,0),0))</f>
        <v/>
      </c>
      <c r="N3071" s="17" t="str">
        <f aca="false">IF(A3071="","",IF(ISNUMBER(A3071),A3071,IFERROR(DATE(VALUE(MID(A3071,7,4)),VALUE(MID(A3071,4,2)),VALUE(MID(A3071,1,2)))+TIME(VALUE(MID(A3071,12,2)),VALUE(MID(A3071,15,2)),VALUE(MID(A3071,18,2))),"")))</f>
        <v/>
      </c>
    </row>
    <row r="3072" customFormat="false" ht="15" hidden="false" customHeight="false" outlineLevel="0" collapsed="false">
      <c r="I3072" s="15" t="str">
        <f aca="false">IF(N3072="","",INT(N3072))</f>
        <v/>
      </c>
      <c r="J3072" s="16" t="str">
        <f aca="false">IF(B3072="","",IF(N3072=_xlfn.MINIFS($N$2:$N$5001,$B$2:$B$5001,B3072),1,0))</f>
        <v/>
      </c>
      <c r="K3072" s="16" t="str">
        <f aca="false">IF(B3072="","",IF(AND(D3072="Formalização",E3072="Concluído"),IF(COUNTIFS($B$2:$B$5001,B3072,$E$2:$E$5001,"Em ajustes",$N$2:$N$5001,"&lt;"&amp;I3072)&gt;0,1,0),0))</f>
        <v/>
      </c>
      <c r="L3072" s="16" t="str">
        <f aca="false">IF(B3072="","",IF(N3072=_xlfn.MAXIFS($N$2:$N$5001,$B$2:$B$5001,B3072,$I$2:$I$5001,I3072),1,0))</f>
        <v/>
      </c>
      <c r="M3072" s="16" t="str">
        <f aca="false">IF(B3072="","",IF(E3072="Em ajustes",IF(N3072=_xlfn.MINIFS($N$2:$N$5001,$B$2:$B$5001,B3072,$E$2:$E$5001,"Em ajustes"),1,0),0))</f>
        <v/>
      </c>
      <c r="N3072" s="17" t="str">
        <f aca="false">IF(A3072="","",IF(ISNUMBER(A3072),A3072,IFERROR(DATE(VALUE(MID(A3072,7,4)),VALUE(MID(A3072,4,2)),VALUE(MID(A3072,1,2)))+TIME(VALUE(MID(A3072,12,2)),VALUE(MID(A3072,15,2)),VALUE(MID(A3072,18,2))),"")))</f>
        <v/>
      </c>
    </row>
    <row r="3073" customFormat="false" ht="15" hidden="false" customHeight="false" outlineLevel="0" collapsed="false">
      <c r="I3073" s="15" t="str">
        <f aca="false">IF(N3073="","",INT(N3073))</f>
        <v/>
      </c>
      <c r="J3073" s="16" t="str">
        <f aca="false">IF(B3073="","",IF(N3073=_xlfn.MINIFS($N$2:$N$5001,$B$2:$B$5001,B3073),1,0))</f>
        <v/>
      </c>
      <c r="K3073" s="16" t="str">
        <f aca="false">IF(B3073="","",IF(AND(D3073="Formalização",E3073="Concluído"),IF(COUNTIFS($B$2:$B$5001,B3073,$E$2:$E$5001,"Em ajustes",$N$2:$N$5001,"&lt;"&amp;I3073)&gt;0,1,0),0))</f>
        <v/>
      </c>
      <c r="L3073" s="16" t="str">
        <f aca="false">IF(B3073="","",IF(N3073=_xlfn.MAXIFS($N$2:$N$5001,$B$2:$B$5001,B3073,$I$2:$I$5001,I3073),1,0))</f>
        <v/>
      </c>
      <c r="M3073" s="16" t="str">
        <f aca="false">IF(B3073="","",IF(E3073="Em ajustes",IF(N3073=_xlfn.MINIFS($N$2:$N$5001,$B$2:$B$5001,B3073,$E$2:$E$5001,"Em ajustes"),1,0),0))</f>
        <v/>
      </c>
      <c r="N3073" s="17" t="str">
        <f aca="false">IF(A3073="","",IF(ISNUMBER(A3073),A3073,IFERROR(DATE(VALUE(MID(A3073,7,4)),VALUE(MID(A3073,4,2)),VALUE(MID(A3073,1,2)))+TIME(VALUE(MID(A3073,12,2)),VALUE(MID(A3073,15,2)),VALUE(MID(A3073,18,2))),"")))</f>
        <v/>
      </c>
    </row>
    <row r="3074" customFormat="false" ht="15" hidden="false" customHeight="false" outlineLevel="0" collapsed="false">
      <c r="I3074" s="15" t="str">
        <f aca="false">IF(N3074="","",INT(N3074))</f>
        <v/>
      </c>
      <c r="J3074" s="16" t="str">
        <f aca="false">IF(B3074="","",IF(N3074=_xlfn.MINIFS($N$2:$N$5001,$B$2:$B$5001,B3074),1,0))</f>
        <v/>
      </c>
      <c r="K3074" s="16" t="str">
        <f aca="false">IF(B3074="","",IF(AND(D3074="Formalização",E3074="Concluído"),IF(COUNTIFS($B$2:$B$5001,B3074,$E$2:$E$5001,"Em ajustes",$N$2:$N$5001,"&lt;"&amp;I3074)&gt;0,1,0),0))</f>
        <v/>
      </c>
      <c r="L3074" s="16" t="str">
        <f aca="false">IF(B3074="","",IF(N3074=_xlfn.MAXIFS($N$2:$N$5001,$B$2:$B$5001,B3074,$I$2:$I$5001,I3074),1,0))</f>
        <v/>
      </c>
      <c r="M3074" s="16" t="str">
        <f aca="false">IF(B3074="","",IF(E3074="Em ajustes",IF(N3074=_xlfn.MINIFS($N$2:$N$5001,$B$2:$B$5001,B3074,$E$2:$E$5001,"Em ajustes"),1,0),0))</f>
        <v/>
      </c>
      <c r="N3074" s="17" t="str">
        <f aca="false">IF(A3074="","",IF(ISNUMBER(A3074),A3074,IFERROR(DATE(VALUE(MID(A3074,7,4)),VALUE(MID(A3074,4,2)),VALUE(MID(A3074,1,2)))+TIME(VALUE(MID(A3074,12,2)),VALUE(MID(A3074,15,2)),VALUE(MID(A3074,18,2))),"")))</f>
        <v/>
      </c>
    </row>
    <row r="3075" customFormat="false" ht="15" hidden="false" customHeight="false" outlineLevel="0" collapsed="false">
      <c r="I3075" s="15" t="str">
        <f aca="false">IF(N3075="","",INT(N3075))</f>
        <v/>
      </c>
      <c r="J3075" s="16" t="str">
        <f aca="false">IF(B3075="","",IF(N3075=_xlfn.MINIFS($N$2:$N$5001,$B$2:$B$5001,B3075),1,0))</f>
        <v/>
      </c>
      <c r="K3075" s="16" t="str">
        <f aca="false">IF(B3075="","",IF(AND(D3075="Formalização",E3075="Concluído"),IF(COUNTIFS($B$2:$B$5001,B3075,$E$2:$E$5001,"Em ajustes",$N$2:$N$5001,"&lt;"&amp;I3075)&gt;0,1,0),0))</f>
        <v/>
      </c>
      <c r="L3075" s="16" t="str">
        <f aca="false">IF(B3075="","",IF(N3075=_xlfn.MAXIFS($N$2:$N$5001,$B$2:$B$5001,B3075,$I$2:$I$5001,I3075),1,0))</f>
        <v/>
      </c>
      <c r="M3075" s="16" t="str">
        <f aca="false">IF(B3075="","",IF(E3075="Em ajustes",IF(N3075=_xlfn.MINIFS($N$2:$N$5001,$B$2:$B$5001,B3075,$E$2:$E$5001,"Em ajustes"),1,0),0))</f>
        <v/>
      </c>
      <c r="N3075" s="17" t="str">
        <f aca="false">IF(A3075="","",IF(ISNUMBER(A3075),A3075,IFERROR(DATE(VALUE(MID(A3075,7,4)),VALUE(MID(A3075,4,2)),VALUE(MID(A3075,1,2)))+TIME(VALUE(MID(A3075,12,2)),VALUE(MID(A3075,15,2)),VALUE(MID(A3075,18,2))),"")))</f>
        <v/>
      </c>
    </row>
    <row r="3076" customFormat="false" ht="15" hidden="false" customHeight="false" outlineLevel="0" collapsed="false">
      <c r="I3076" s="15" t="str">
        <f aca="false">IF(N3076="","",INT(N3076))</f>
        <v/>
      </c>
      <c r="J3076" s="16" t="str">
        <f aca="false">IF(B3076="","",IF(N3076=_xlfn.MINIFS($N$2:$N$5001,$B$2:$B$5001,B3076),1,0))</f>
        <v/>
      </c>
      <c r="K3076" s="16" t="str">
        <f aca="false">IF(B3076="","",IF(AND(D3076="Formalização",E3076="Concluído"),IF(COUNTIFS($B$2:$B$5001,B3076,$E$2:$E$5001,"Em ajustes",$N$2:$N$5001,"&lt;"&amp;I3076)&gt;0,1,0),0))</f>
        <v/>
      </c>
      <c r="L3076" s="16" t="str">
        <f aca="false">IF(B3076="","",IF(N3076=_xlfn.MAXIFS($N$2:$N$5001,$B$2:$B$5001,B3076,$I$2:$I$5001,I3076),1,0))</f>
        <v/>
      </c>
      <c r="M3076" s="16" t="str">
        <f aca="false">IF(B3076="","",IF(E3076="Em ajustes",IF(N3076=_xlfn.MINIFS($N$2:$N$5001,$B$2:$B$5001,B3076,$E$2:$E$5001,"Em ajustes"),1,0),0))</f>
        <v/>
      </c>
      <c r="N3076" s="17" t="str">
        <f aca="false">IF(A3076="","",IF(ISNUMBER(A3076),A3076,IFERROR(DATE(VALUE(MID(A3076,7,4)),VALUE(MID(A3076,4,2)),VALUE(MID(A3076,1,2)))+TIME(VALUE(MID(A3076,12,2)),VALUE(MID(A3076,15,2)),VALUE(MID(A3076,18,2))),"")))</f>
        <v/>
      </c>
    </row>
    <row r="3077" customFormat="false" ht="15" hidden="false" customHeight="false" outlineLevel="0" collapsed="false">
      <c r="I3077" s="15" t="str">
        <f aca="false">IF(N3077="","",INT(N3077))</f>
        <v/>
      </c>
      <c r="J3077" s="16" t="str">
        <f aca="false">IF(B3077="","",IF(N3077=_xlfn.MINIFS($N$2:$N$5001,$B$2:$B$5001,B3077),1,0))</f>
        <v/>
      </c>
      <c r="K3077" s="16" t="str">
        <f aca="false">IF(B3077="","",IF(AND(D3077="Formalização",E3077="Concluído"),IF(COUNTIFS($B$2:$B$5001,B3077,$E$2:$E$5001,"Em ajustes",$N$2:$N$5001,"&lt;"&amp;I3077)&gt;0,1,0),0))</f>
        <v/>
      </c>
      <c r="L3077" s="16" t="str">
        <f aca="false">IF(B3077="","",IF(N3077=_xlfn.MAXIFS($N$2:$N$5001,$B$2:$B$5001,B3077,$I$2:$I$5001,I3077),1,0))</f>
        <v/>
      </c>
      <c r="M3077" s="16" t="str">
        <f aca="false">IF(B3077="","",IF(E3077="Em ajustes",IF(N3077=_xlfn.MINIFS($N$2:$N$5001,$B$2:$B$5001,B3077,$E$2:$E$5001,"Em ajustes"),1,0),0))</f>
        <v/>
      </c>
      <c r="N3077" s="17" t="str">
        <f aca="false">IF(A3077="","",IF(ISNUMBER(A3077),A3077,IFERROR(DATE(VALUE(MID(A3077,7,4)),VALUE(MID(A3077,4,2)),VALUE(MID(A3077,1,2)))+TIME(VALUE(MID(A3077,12,2)),VALUE(MID(A3077,15,2)),VALUE(MID(A3077,18,2))),"")))</f>
        <v/>
      </c>
    </row>
    <row r="3078" customFormat="false" ht="15" hidden="false" customHeight="false" outlineLevel="0" collapsed="false">
      <c r="I3078" s="15" t="str">
        <f aca="false">IF(N3078="","",INT(N3078))</f>
        <v/>
      </c>
      <c r="J3078" s="16" t="str">
        <f aca="false">IF(B3078="","",IF(N3078=_xlfn.MINIFS($N$2:$N$5001,$B$2:$B$5001,B3078),1,0))</f>
        <v/>
      </c>
      <c r="K3078" s="16" t="str">
        <f aca="false">IF(B3078="","",IF(AND(D3078="Formalização",E3078="Concluído"),IF(COUNTIFS($B$2:$B$5001,B3078,$E$2:$E$5001,"Em ajustes",$N$2:$N$5001,"&lt;"&amp;I3078)&gt;0,1,0),0))</f>
        <v/>
      </c>
      <c r="L3078" s="16" t="str">
        <f aca="false">IF(B3078="","",IF(N3078=_xlfn.MAXIFS($N$2:$N$5001,$B$2:$B$5001,B3078,$I$2:$I$5001,I3078),1,0))</f>
        <v/>
      </c>
      <c r="M3078" s="16" t="str">
        <f aca="false">IF(B3078="","",IF(E3078="Em ajustes",IF(N3078=_xlfn.MINIFS($N$2:$N$5001,$B$2:$B$5001,B3078,$E$2:$E$5001,"Em ajustes"),1,0),0))</f>
        <v/>
      </c>
      <c r="N3078" s="17" t="str">
        <f aca="false">IF(A3078="","",IF(ISNUMBER(A3078),A3078,IFERROR(DATE(VALUE(MID(A3078,7,4)),VALUE(MID(A3078,4,2)),VALUE(MID(A3078,1,2)))+TIME(VALUE(MID(A3078,12,2)),VALUE(MID(A3078,15,2)),VALUE(MID(A3078,18,2))),"")))</f>
        <v/>
      </c>
    </row>
    <row r="3079" customFormat="false" ht="15" hidden="false" customHeight="false" outlineLevel="0" collapsed="false">
      <c r="I3079" s="15" t="str">
        <f aca="false">IF(N3079="","",INT(N3079))</f>
        <v/>
      </c>
      <c r="J3079" s="16" t="str">
        <f aca="false">IF(B3079="","",IF(N3079=_xlfn.MINIFS($N$2:$N$5001,$B$2:$B$5001,B3079),1,0))</f>
        <v/>
      </c>
      <c r="K3079" s="16" t="str">
        <f aca="false">IF(B3079="","",IF(AND(D3079="Formalização",E3079="Concluído"),IF(COUNTIFS($B$2:$B$5001,B3079,$E$2:$E$5001,"Em ajustes",$N$2:$N$5001,"&lt;"&amp;I3079)&gt;0,1,0),0))</f>
        <v/>
      </c>
      <c r="L3079" s="16" t="str">
        <f aca="false">IF(B3079="","",IF(N3079=_xlfn.MAXIFS($N$2:$N$5001,$B$2:$B$5001,B3079,$I$2:$I$5001,I3079),1,0))</f>
        <v/>
      </c>
      <c r="M3079" s="16" t="str">
        <f aca="false">IF(B3079="","",IF(E3079="Em ajustes",IF(N3079=_xlfn.MINIFS($N$2:$N$5001,$B$2:$B$5001,B3079,$E$2:$E$5001,"Em ajustes"),1,0),0))</f>
        <v/>
      </c>
      <c r="N3079" s="17" t="str">
        <f aca="false">IF(A3079="","",IF(ISNUMBER(A3079),A3079,IFERROR(DATE(VALUE(MID(A3079,7,4)),VALUE(MID(A3079,4,2)),VALUE(MID(A3079,1,2)))+TIME(VALUE(MID(A3079,12,2)),VALUE(MID(A3079,15,2)),VALUE(MID(A3079,18,2))),"")))</f>
        <v/>
      </c>
    </row>
    <row r="3080" customFormat="false" ht="15" hidden="false" customHeight="false" outlineLevel="0" collapsed="false">
      <c r="I3080" s="15" t="str">
        <f aca="false">IF(N3080="","",INT(N3080))</f>
        <v/>
      </c>
      <c r="J3080" s="16" t="str">
        <f aca="false">IF(B3080="","",IF(N3080=_xlfn.MINIFS($N$2:$N$5001,$B$2:$B$5001,B3080),1,0))</f>
        <v/>
      </c>
      <c r="K3080" s="16" t="str">
        <f aca="false">IF(B3080="","",IF(AND(D3080="Formalização",E3080="Concluído"),IF(COUNTIFS($B$2:$B$5001,B3080,$E$2:$E$5001,"Em ajustes",$N$2:$N$5001,"&lt;"&amp;I3080)&gt;0,1,0),0))</f>
        <v/>
      </c>
      <c r="L3080" s="16" t="str">
        <f aca="false">IF(B3080="","",IF(N3080=_xlfn.MAXIFS($N$2:$N$5001,$B$2:$B$5001,B3080,$I$2:$I$5001,I3080),1,0))</f>
        <v/>
      </c>
      <c r="M3080" s="16" t="str">
        <f aca="false">IF(B3080="","",IF(E3080="Em ajustes",IF(N3080=_xlfn.MINIFS($N$2:$N$5001,$B$2:$B$5001,B3080,$E$2:$E$5001,"Em ajustes"),1,0),0))</f>
        <v/>
      </c>
      <c r="N3080" s="17" t="str">
        <f aca="false">IF(A3080="","",IF(ISNUMBER(A3080),A3080,IFERROR(DATE(VALUE(MID(A3080,7,4)),VALUE(MID(A3080,4,2)),VALUE(MID(A3080,1,2)))+TIME(VALUE(MID(A3080,12,2)),VALUE(MID(A3080,15,2)),VALUE(MID(A3080,18,2))),"")))</f>
        <v/>
      </c>
    </row>
    <row r="3081" customFormat="false" ht="15" hidden="false" customHeight="false" outlineLevel="0" collapsed="false">
      <c r="I3081" s="15" t="str">
        <f aca="false">IF(N3081="","",INT(N3081))</f>
        <v/>
      </c>
      <c r="J3081" s="16" t="str">
        <f aca="false">IF(B3081="","",IF(N3081=_xlfn.MINIFS($N$2:$N$5001,$B$2:$B$5001,B3081),1,0))</f>
        <v/>
      </c>
      <c r="K3081" s="16" t="str">
        <f aca="false">IF(B3081="","",IF(AND(D3081="Formalização",E3081="Concluído"),IF(COUNTIFS($B$2:$B$5001,B3081,$E$2:$E$5001,"Em ajustes",$N$2:$N$5001,"&lt;"&amp;I3081)&gt;0,1,0),0))</f>
        <v/>
      </c>
      <c r="L3081" s="16" t="str">
        <f aca="false">IF(B3081="","",IF(N3081=_xlfn.MAXIFS($N$2:$N$5001,$B$2:$B$5001,B3081,$I$2:$I$5001,I3081),1,0))</f>
        <v/>
      </c>
      <c r="M3081" s="16" t="str">
        <f aca="false">IF(B3081="","",IF(E3081="Em ajustes",IF(N3081=_xlfn.MINIFS($N$2:$N$5001,$B$2:$B$5001,B3081,$E$2:$E$5001,"Em ajustes"),1,0),0))</f>
        <v/>
      </c>
      <c r="N3081" s="17" t="str">
        <f aca="false">IF(A3081="","",IF(ISNUMBER(A3081),A3081,IFERROR(DATE(VALUE(MID(A3081,7,4)),VALUE(MID(A3081,4,2)),VALUE(MID(A3081,1,2)))+TIME(VALUE(MID(A3081,12,2)),VALUE(MID(A3081,15,2)),VALUE(MID(A3081,18,2))),"")))</f>
        <v/>
      </c>
    </row>
    <row r="3082" customFormat="false" ht="15" hidden="false" customHeight="false" outlineLevel="0" collapsed="false">
      <c r="I3082" s="15" t="str">
        <f aca="false">IF(N3082="","",INT(N3082))</f>
        <v/>
      </c>
      <c r="J3082" s="16" t="str">
        <f aca="false">IF(B3082="","",IF(N3082=_xlfn.MINIFS($N$2:$N$5001,$B$2:$B$5001,B3082),1,0))</f>
        <v/>
      </c>
      <c r="K3082" s="16" t="str">
        <f aca="false">IF(B3082="","",IF(AND(D3082="Formalização",E3082="Concluído"),IF(COUNTIFS($B$2:$B$5001,B3082,$E$2:$E$5001,"Em ajustes",$N$2:$N$5001,"&lt;"&amp;I3082)&gt;0,1,0),0))</f>
        <v/>
      </c>
      <c r="L3082" s="16" t="str">
        <f aca="false">IF(B3082="","",IF(N3082=_xlfn.MAXIFS($N$2:$N$5001,$B$2:$B$5001,B3082,$I$2:$I$5001,I3082),1,0))</f>
        <v/>
      </c>
      <c r="M3082" s="16" t="str">
        <f aca="false">IF(B3082="","",IF(E3082="Em ajustes",IF(N3082=_xlfn.MINIFS($N$2:$N$5001,$B$2:$B$5001,B3082,$E$2:$E$5001,"Em ajustes"),1,0),0))</f>
        <v/>
      </c>
      <c r="N3082" s="17" t="str">
        <f aca="false">IF(A3082="","",IF(ISNUMBER(A3082),A3082,IFERROR(DATE(VALUE(MID(A3082,7,4)),VALUE(MID(A3082,4,2)),VALUE(MID(A3082,1,2)))+TIME(VALUE(MID(A3082,12,2)),VALUE(MID(A3082,15,2)),VALUE(MID(A3082,18,2))),"")))</f>
        <v/>
      </c>
    </row>
    <row r="3083" customFormat="false" ht="15" hidden="false" customHeight="false" outlineLevel="0" collapsed="false">
      <c r="I3083" s="15" t="str">
        <f aca="false">IF(N3083="","",INT(N3083))</f>
        <v/>
      </c>
      <c r="J3083" s="16" t="str">
        <f aca="false">IF(B3083="","",IF(N3083=_xlfn.MINIFS($N$2:$N$5001,$B$2:$B$5001,B3083),1,0))</f>
        <v/>
      </c>
      <c r="K3083" s="16" t="str">
        <f aca="false">IF(B3083="","",IF(AND(D3083="Formalização",E3083="Concluído"),IF(COUNTIFS($B$2:$B$5001,B3083,$E$2:$E$5001,"Em ajustes",$N$2:$N$5001,"&lt;"&amp;I3083)&gt;0,1,0),0))</f>
        <v/>
      </c>
      <c r="L3083" s="16" t="str">
        <f aca="false">IF(B3083="","",IF(N3083=_xlfn.MAXIFS($N$2:$N$5001,$B$2:$B$5001,B3083,$I$2:$I$5001,I3083),1,0))</f>
        <v/>
      </c>
      <c r="M3083" s="16" t="str">
        <f aca="false">IF(B3083="","",IF(E3083="Em ajustes",IF(N3083=_xlfn.MINIFS($N$2:$N$5001,$B$2:$B$5001,B3083,$E$2:$E$5001,"Em ajustes"),1,0),0))</f>
        <v/>
      </c>
      <c r="N3083" s="17" t="str">
        <f aca="false">IF(A3083="","",IF(ISNUMBER(A3083),A3083,IFERROR(DATE(VALUE(MID(A3083,7,4)),VALUE(MID(A3083,4,2)),VALUE(MID(A3083,1,2)))+TIME(VALUE(MID(A3083,12,2)),VALUE(MID(A3083,15,2)),VALUE(MID(A3083,18,2))),"")))</f>
        <v/>
      </c>
    </row>
    <row r="3084" customFormat="false" ht="15" hidden="false" customHeight="false" outlineLevel="0" collapsed="false">
      <c r="I3084" s="15" t="str">
        <f aca="false">IF(N3084="","",INT(N3084))</f>
        <v/>
      </c>
      <c r="J3084" s="16" t="str">
        <f aca="false">IF(B3084="","",IF(N3084=_xlfn.MINIFS($N$2:$N$5001,$B$2:$B$5001,B3084),1,0))</f>
        <v/>
      </c>
      <c r="K3084" s="16" t="str">
        <f aca="false">IF(B3084="","",IF(AND(D3084="Formalização",E3084="Concluído"),IF(COUNTIFS($B$2:$B$5001,B3084,$E$2:$E$5001,"Em ajustes",$N$2:$N$5001,"&lt;"&amp;I3084)&gt;0,1,0),0))</f>
        <v/>
      </c>
      <c r="L3084" s="16" t="str">
        <f aca="false">IF(B3084="","",IF(N3084=_xlfn.MAXIFS($N$2:$N$5001,$B$2:$B$5001,B3084,$I$2:$I$5001,I3084),1,0))</f>
        <v/>
      </c>
      <c r="M3084" s="16" t="str">
        <f aca="false">IF(B3084="","",IF(E3084="Em ajustes",IF(N3084=_xlfn.MINIFS($N$2:$N$5001,$B$2:$B$5001,B3084,$E$2:$E$5001,"Em ajustes"),1,0),0))</f>
        <v/>
      </c>
      <c r="N3084" s="17" t="str">
        <f aca="false">IF(A3084="","",IF(ISNUMBER(A3084),A3084,IFERROR(DATE(VALUE(MID(A3084,7,4)),VALUE(MID(A3084,4,2)),VALUE(MID(A3084,1,2)))+TIME(VALUE(MID(A3084,12,2)),VALUE(MID(A3084,15,2)),VALUE(MID(A3084,18,2))),"")))</f>
        <v/>
      </c>
    </row>
    <row r="3085" customFormat="false" ht="15" hidden="false" customHeight="false" outlineLevel="0" collapsed="false">
      <c r="I3085" s="15" t="str">
        <f aca="false">IF(N3085="","",INT(N3085))</f>
        <v/>
      </c>
      <c r="J3085" s="16" t="str">
        <f aca="false">IF(B3085="","",IF(N3085=_xlfn.MINIFS($N$2:$N$5001,$B$2:$B$5001,B3085),1,0))</f>
        <v/>
      </c>
      <c r="K3085" s="16" t="str">
        <f aca="false">IF(B3085="","",IF(AND(D3085="Formalização",E3085="Concluído"),IF(COUNTIFS($B$2:$B$5001,B3085,$E$2:$E$5001,"Em ajustes",$N$2:$N$5001,"&lt;"&amp;I3085)&gt;0,1,0),0))</f>
        <v/>
      </c>
      <c r="L3085" s="16" t="str">
        <f aca="false">IF(B3085="","",IF(N3085=_xlfn.MAXIFS($N$2:$N$5001,$B$2:$B$5001,B3085,$I$2:$I$5001,I3085),1,0))</f>
        <v/>
      </c>
      <c r="M3085" s="16" t="str">
        <f aca="false">IF(B3085="","",IF(E3085="Em ajustes",IF(N3085=_xlfn.MINIFS($N$2:$N$5001,$B$2:$B$5001,B3085,$E$2:$E$5001,"Em ajustes"),1,0),0))</f>
        <v/>
      </c>
      <c r="N3085" s="17" t="str">
        <f aca="false">IF(A3085="","",IF(ISNUMBER(A3085),A3085,IFERROR(DATE(VALUE(MID(A3085,7,4)),VALUE(MID(A3085,4,2)),VALUE(MID(A3085,1,2)))+TIME(VALUE(MID(A3085,12,2)),VALUE(MID(A3085,15,2)),VALUE(MID(A3085,18,2))),"")))</f>
        <v/>
      </c>
    </row>
    <row r="3086" customFormat="false" ht="15" hidden="false" customHeight="false" outlineLevel="0" collapsed="false">
      <c r="I3086" s="15" t="str">
        <f aca="false">IF(N3086="","",INT(N3086))</f>
        <v/>
      </c>
      <c r="J3086" s="16" t="str">
        <f aca="false">IF(B3086="","",IF(N3086=_xlfn.MINIFS($N$2:$N$5001,$B$2:$B$5001,B3086),1,0))</f>
        <v/>
      </c>
      <c r="K3086" s="16" t="str">
        <f aca="false">IF(B3086="","",IF(AND(D3086="Formalização",E3086="Concluído"),IF(COUNTIFS($B$2:$B$5001,B3086,$E$2:$E$5001,"Em ajustes",$N$2:$N$5001,"&lt;"&amp;I3086)&gt;0,1,0),0))</f>
        <v/>
      </c>
      <c r="L3086" s="16" t="str">
        <f aca="false">IF(B3086="","",IF(N3086=_xlfn.MAXIFS($N$2:$N$5001,$B$2:$B$5001,B3086,$I$2:$I$5001,I3086),1,0))</f>
        <v/>
      </c>
      <c r="M3086" s="16" t="str">
        <f aca="false">IF(B3086="","",IF(E3086="Em ajustes",IF(N3086=_xlfn.MINIFS($N$2:$N$5001,$B$2:$B$5001,B3086,$E$2:$E$5001,"Em ajustes"),1,0),0))</f>
        <v/>
      </c>
      <c r="N3086" s="17" t="str">
        <f aca="false">IF(A3086="","",IF(ISNUMBER(A3086),A3086,IFERROR(DATE(VALUE(MID(A3086,7,4)),VALUE(MID(A3086,4,2)),VALUE(MID(A3086,1,2)))+TIME(VALUE(MID(A3086,12,2)),VALUE(MID(A3086,15,2)),VALUE(MID(A3086,18,2))),"")))</f>
        <v/>
      </c>
    </row>
    <row r="3087" customFormat="false" ht="15" hidden="false" customHeight="false" outlineLevel="0" collapsed="false">
      <c r="I3087" s="15" t="str">
        <f aca="false">IF(N3087="","",INT(N3087))</f>
        <v/>
      </c>
      <c r="J3087" s="16" t="str">
        <f aca="false">IF(B3087="","",IF(N3087=_xlfn.MINIFS($N$2:$N$5001,$B$2:$B$5001,B3087),1,0))</f>
        <v/>
      </c>
      <c r="K3087" s="16" t="str">
        <f aca="false">IF(B3087="","",IF(AND(D3087="Formalização",E3087="Concluído"),IF(COUNTIFS($B$2:$B$5001,B3087,$E$2:$E$5001,"Em ajustes",$N$2:$N$5001,"&lt;"&amp;I3087)&gt;0,1,0),0))</f>
        <v/>
      </c>
      <c r="L3087" s="16" t="str">
        <f aca="false">IF(B3087="","",IF(N3087=_xlfn.MAXIFS($N$2:$N$5001,$B$2:$B$5001,B3087,$I$2:$I$5001,I3087),1,0))</f>
        <v/>
      </c>
      <c r="M3087" s="16" t="str">
        <f aca="false">IF(B3087="","",IF(E3087="Em ajustes",IF(N3087=_xlfn.MINIFS($N$2:$N$5001,$B$2:$B$5001,B3087,$E$2:$E$5001,"Em ajustes"),1,0),0))</f>
        <v/>
      </c>
      <c r="N3087" s="17" t="str">
        <f aca="false">IF(A3087="","",IF(ISNUMBER(A3087),A3087,IFERROR(DATE(VALUE(MID(A3087,7,4)),VALUE(MID(A3087,4,2)),VALUE(MID(A3087,1,2)))+TIME(VALUE(MID(A3087,12,2)),VALUE(MID(A3087,15,2)),VALUE(MID(A3087,18,2))),"")))</f>
        <v/>
      </c>
    </row>
    <row r="3088" customFormat="false" ht="15" hidden="false" customHeight="false" outlineLevel="0" collapsed="false">
      <c r="I3088" s="15" t="str">
        <f aca="false">IF(N3088="","",INT(N3088))</f>
        <v/>
      </c>
      <c r="J3088" s="16" t="str">
        <f aca="false">IF(B3088="","",IF(N3088=_xlfn.MINIFS($N$2:$N$5001,$B$2:$B$5001,B3088),1,0))</f>
        <v/>
      </c>
      <c r="K3088" s="16" t="str">
        <f aca="false">IF(B3088="","",IF(AND(D3088="Formalização",E3088="Concluído"),IF(COUNTIFS($B$2:$B$5001,B3088,$E$2:$E$5001,"Em ajustes",$N$2:$N$5001,"&lt;"&amp;I3088)&gt;0,1,0),0))</f>
        <v/>
      </c>
      <c r="L3088" s="16" t="str">
        <f aca="false">IF(B3088="","",IF(N3088=_xlfn.MAXIFS($N$2:$N$5001,$B$2:$B$5001,B3088,$I$2:$I$5001,I3088),1,0))</f>
        <v/>
      </c>
      <c r="M3088" s="16" t="str">
        <f aca="false">IF(B3088="","",IF(E3088="Em ajustes",IF(N3088=_xlfn.MINIFS($N$2:$N$5001,$B$2:$B$5001,B3088,$E$2:$E$5001,"Em ajustes"),1,0),0))</f>
        <v/>
      </c>
      <c r="N3088" s="17" t="str">
        <f aca="false">IF(A3088="","",IF(ISNUMBER(A3088),A3088,IFERROR(DATE(VALUE(MID(A3088,7,4)),VALUE(MID(A3088,4,2)),VALUE(MID(A3088,1,2)))+TIME(VALUE(MID(A3088,12,2)),VALUE(MID(A3088,15,2)),VALUE(MID(A3088,18,2))),"")))</f>
        <v/>
      </c>
    </row>
    <row r="3089" customFormat="false" ht="15" hidden="false" customHeight="false" outlineLevel="0" collapsed="false">
      <c r="I3089" s="15" t="str">
        <f aca="false">IF(N3089="","",INT(N3089))</f>
        <v/>
      </c>
      <c r="J3089" s="16" t="str">
        <f aca="false">IF(B3089="","",IF(N3089=_xlfn.MINIFS($N$2:$N$5001,$B$2:$B$5001,B3089),1,0))</f>
        <v/>
      </c>
      <c r="K3089" s="16" t="str">
        <f aca="false">IF(B3089="","",IF(AND(D3089="Formalização",E3089="Concluído"),IF(COUNTIFS($B$2:$B$5001,B3089,$E$2:$E$5001,"Em ajustes",$N$2:$N$5001,"&lt;"&amp;I3089)&gt;0,1,0),0))</f>
        <v/>
      </c>
      <c r="L3089" s="16" t="str">
        <f aca="false">IF(B3089="","",IF(N3089=_xlfn.MAXIFS($N$2:$N$5001,$B$2:$B$5001,B3089,$I$2:$I$5001,I3089),1,0))</f>
        <v/>
      </c>
      <c r="M3089" s="16" t="str">
        <f aca="false">IF(B3089="","",IF(E3089="Em ajustes",IF(N3089=_xlfn.MINIFS($N$2:$N$5001,$B$2:$B$5001,B3089,$E$2:$E$5001,"Em ajustes"),1,0),0))</f>
        <v/>
      </c>
      <c r="N3089" s="17" t="str">
        <f aca="false">IF(A3089="","",IF(ISNUMBER(A3089),A3089,IFERROR(DATE(VALUE(MID(A3089,7,4)),VALUE(MID(A3089,4,2)),VALUE(MID(A3089,1,2)))+TIME(VALUE(MID(A3089,12,2)),VALUE(MID(A3089,15,2)),VALUE(MID(A3089,18,2))),"")))</f>
        <v/>
      </c>
    </row>
    <row r="3090" customFormat="false" ht="15" hidden="false" customHeight="false" outlineLevel="0" collapsed="false">
      <c r="I3090" s="15" t="str">
        <f aca="false">IF(N3090="","",INT(N3090))</f>
        <v/>
      </c>
      <c r="J3090" s="16" t="str">
        <f aca="false">IF(B3090="","",IF(N3090=_xlfn.MINIFS($N$2:$N$5001,$B$2:$B$5001,B3090),1,0))</f>
        <v/>
      </c>
      <c r="K3090" s="16" t="str">
        <f aca="false">IF(B3090="","",IF(AND(D3090="Formalização",E3090="Concluído"),IF(COUNTIFS($B$2:$B$5001,B3090,$E$2:$E$5001,"Em ajustes",$N$2:$N$5001,"&lt;"&amp;I3090)&gt;0,1,0),0))</f>
        <v/>
      </c>
      <c r="L3090" s="16" t="str">
        <f aca="false">IF(B3090="","",IF(N3090=_xlfn.MAXIFS($N$2:$N$5001,$B$2:$B$5001,B3090,$I$2:$I$5001,I3090),1,0))</f>
        <v/>
      </c>
      <c r="M3090" s="16" t="str">
        <f aca="false">IF(B3090="","",IF(E3090="Em ajustes",IF(N3090=_xlfn.MINIFS($N$2:$N$5001,$B$2:$B$5001,B3090,$E$2:$E$5001,"Em ajustes"),1,0),0))</f>
        <v/>
      </c>
      <c r="N3090" s="17" t="str">
        <f aca="false">IF(A3090="","",IF(ISNUMBER(A3090),A3090,IFERROR(DATE(VALUE(MID(A3090,7,4)),VALUE(MID(A3090,4,2)),VALUE(MID(A3090,1,2)))+TIME(VALUE(MID(A3090,12,2)),VALUE(MID(A3090,15,2)),VALUE(MID(A3090,18,2))),"")))</f>
        <v/>
      </c>
    </row>
    <row r="3091" customFormat="false" ht="15" hidden="false" customHeight="false" outlineLevel="0" collapsed="false">
      <c r="I3091" s="15" t="str">
        <f aca="false">IF(N3091="","",INT(N3091))</f>
        <v/>
      </c>
      <c r="J3091" s="16" t="str">
        <f aca="false">IF(B3091="","",IF(N3091=_xlfn.MINIFS($N$2:$N$5001,$B$2:$B$5001,B3091),1,0))</f>
        <v/>
      </c>
      <c r="K3091" s="16" t="str">
        <f aca="false">IF(B3091="","",IF(AND(D3091="Formalização",E3091="Concluído"),IF(COUNTIFS($B$2:$B$5001,B3091,$E$2:$E$5001,"Em ajustes",$N$2:$N$5001,"&lt;"&amp;I3091)&gt;0,1,0),0))</f>
        <v/>
      </c>
      <c r="L3091" s="16" t="str">
        <f aca="false">IF(B3091="","",IF(N3091=_xlfn.MAXIFS($N$2:$N$5001,$B$2:$B$5001,B3091,$I$2:$I$5001,I3091),1,0))</f>
        <v/>
      </c>
      <c r="M3091" s="16" t="str">
        <f aca="false">IF(B3091="","",IF(E3091="Em ajustes",IF(N3091=_xlfn.MINIFS($N$2:$N$5001,$B$2:$B$5001,B3091,$E$2:$E$5001,"Em ajustes"),1,0),0))</f>
        <v/>
      </c>
      <c r="N3091" s="17" t="str">
        <f aca="false">IF(A3091="","",IF(ISNUMBER(A3091),A3091,IFERROR(DATE(VALUE(MID(A3091,7,4)),VALUE(MID(A3091,4,2)),VALUE(MID(A3091,1,2)))+TIME(VALUE(MID(A3091,12,2)),VALUE(MID(A3091,15,2)),VALUE(MID(A3091,18,2))),"")))</f>
        <v/>
      </c>
    </row>
    <row r="3092" customFormat="false" ht="15" hidden="false" customHeight="false" outlineLevel="0" collapsed="false">
      <c r="I3092" s="15" t="str">
        <f aca="false">IF(N3092="","",INT(N3092))</f>
        <v/>
      </c>
      <c r="J3092" s="16" t="str">
        <f aca="false">IF(B3092="","",IF(N3092=_xlfn.MINIFS($N$2:$N$5001,$B$2:$B$5001,B3092),1,0))</f>
        <v/>
      </c>
      <c r="K3092" s="16" t="str">
        <f aca="false">IF(B3092="","",IF(AND(D3092="Formalização",E3092="Concluído"),IF(COUNTIFS($B$2:$B$5001,B3092,$E$2:$E$5001,"Em ajustes",$N$2:$N$5001,"&lt;"&amp;I3092)&gt;0,1,0),0))</f>
        <v/>
      </c>
      <c r="L3092" s="16" t="str">
        <f aca="false">IF(B3092="","",IF(N3092=_xlfn.MAXIFS($N$2:$N$5001,$B$2:$B$5001,B3092,$I$2:$I$5001,I3092),1,0))</f>
        <v/>
      </c>
      <c r="M3092" s="16" t="str">
        <f aca="false">IF(B3092="","",IF(E3092="Em ajustes",IF(N3092=_xlfn.MINIFS($N$2:$N$5001,$B$2:$B$5001,B3092,$E$2:$E$5001,"Em ajustes"),1,0),0))</f>
        <v/>
      </c>
      <c r="N3092" s="17" t="str">
        <f aca="false">IF(A3092="","",IF(ISNUMBER(A3092),A3092,IFERROR(DATE(VALUE(MID(A3092,7,4)),VALUE(MID(A3092,4,2)),VALUE(MID(A3092,1,2)))+TIME(VALUE(MID(A3092,12,2)),VALUE(MID(A3092,15,2)),VALUE(MID(A3092,18,2))),"")))</f>
        <v/>
      </c>
    </row>
    <row r="3093" customFormat="false" ht="15" hidden="false" customHeight="false" outlineLevel="0" collapsed="false">
      <c r="I3093" s="15" t="str">
        <f aca="false">IF(N3093="","",INT(N3093))</f>
        <v/>
      </c>
      <c r="J3093" s="16" t="str">
        <f aca="false">IF(B3093="","",IF(N3093=_xlfn.MINIFS($N$2:$N$5001,$B$2:$B$5001,B3093),1,0))</f>
        <v/>
      </c>
      <c r="K3093" s="16" t="str">
        <f aca="false">IF(B3093="","",IF(AND(D3093="Formalização",E3093="Concluído"),IF(COUNTIFS($B$2:$B$5001,B3093,$E$2:$E$5001,"Em ajustes",$N$2:$N$5001,"&lt;"&amp;I3093)&gt;0,1,0),0))</f>
        <v/>
      </c>
      <c r="L3093" s="16" t="str">
        <f aca="false">IF(B3093="","",IF(N3093=_xlfn.MAXIFS($N$2:$N$5001,$B$2:$B$5001,B3093,$I$2:$I$5001,I3093),1,0))</f>
        <v/>
      </c>
      <c r="M3093" s="16" t="str">
        <f aca="false">IF(B3093="","",IF(E3093="Em ajustes",IF(N3093=_xlfn.MINIFS($N$2:$N$5001,$B$2:$B$5001,B3093,$E$2:$E$5001,"Em ajustes"),1,0),0))</f>
        <v/>
      </c>
      <c r="N3093" s="17" t="str">
        <f aca="false">IF(A3093="","",IF(ISNUMBER(A3093),A3093,IFERROR(DATE(VALUE(MID(A3093,7,4)),VALUE(MID(A3093,4,2)),VALUE(MID(A3093,1,2)))+TIME(VALUE(MID(A3093,12,2)),VALUE(MID(A3093,15,2)),VALUE(MID(A3093,18,2))),"")))</f>
        <v/>
      </c>
    </row>
    <row r="3094" customFormat="false" ht="15" hidden="false" customHeight="false" outlineLevel="0" collapsed="false">
      <c r="I3094" s="15" t="str">
        <f aca="false">IF(N3094="","",INT(N3094))</f>
        <v/>
      </c>
      <c r="J3094" s="16" t="str">
        <f aca="false">IF(B3094="","",IF(N3094=_xlfn.MINIFS($N$2:$N$5001,$B$2:$B$5001,B3094),1,0))</f>
        <v/>
      </c>
      <c r="K3094" s="16" t="str">
        <f aca="false">IF(B3094="","",IF(AND(D3094="Formalização",E3094="Concluído"),IF(COUNTIFS($B$2:$B$5001,B3094,$E$2:$E$5001,"Em ajustes",$N$2:$N$5001,"&lt;"&amp;I3094)&gt;0,1,0),0))</f>
        <v/>
      </c>
      <c r="L3094" s="16" t="str">
        <f aca="false">IF(B3094="","",IF(N3094=_xlfn.MAXIFS($N$2:$N$5001,$B$2:$B$5001,B3094,$I$2:$I$5001,I3094),1,0))</f>
        <v/>
      </c>
      <c r="M3094" s="16" t="str">
        <f aca="false">IF(B3094="","",IF(E3094="Em ajustes",IF(N3094=_xlfn.MINIFS($N$2:$N$5001,$B$2:$B$5001,B3094,$E$2:$E$5001,"Em ajustes"),1,0),0))</f>
        <v/>
      </c>
      <c r="N3094" s="17" t="str">
        <f aca="false">IF(A3094="","",IF(ISNUMBER(A3094),A3094,IFERROR(DATE(VALUE(MID(A3094,7,4)),VALUE(MID(A3094,4,2)),VALUE(MID(A3094,1,2)))+TIME(VALUE(MID(A3094,12,2)),VALUE(MID(A3094,15,2)),VALUE(MID(A3094,18,2))),"")))</f>
        <v/>
      </c>
    </row>
    <row r="3095" customFormat="false" ht="15" hidden="false" customHeight="false" outlineLevel="0" collapsed="false">
      <c r="I3095" s="15" t="str">
        <f aca="false">IF(N3095="","",INT(N3095))</f>
        <v/>
      </c>
      <c r="J3095" s="16" t="str">
        <f aca="false">IF(B3095="","",IF(N3095=_xlfn.MINIFS($N$2:$N$5001,$B$2:$B$5001,B3095),1,0))</f>
        <v/>
      </c>
      <c r="K3095" s="16" t="str">
        <f aca="false">IF(B3095="","",IF(AND(D3095="Formalização",E3095="Concluído"),IF(COUNTIFS($B$2:$B$5001,B3095,$E$2:$E$5001,"Em ajustes",$N$2:$N$5001,"&lt;"&amp;I3095)&gt;0,1,0),0))</f>
        <v/>
      </c>
      <c r="L3095" s="16" t="str">
        <f aca="false">IF(B3095="","",IF(N3095=_xlfn.MAXIFS($N$2:$N$5001,$B$2:$B$5001,B3095,$I$2:$I$5001,I3095),1,0))</f>
        <v/>
      </c>
      <c r="M3095" s="16" t="str">
        <f aca="false">IF(B3095="","",IF(E3095="Em ajustes",IF(N3095=_xlfn.MINIFS($N$2:$N$5001,$B$2:$B$5001,B3095,$E$2:$E$5001,"Em ajustes"),1,0),0))</f>
        <v/>
      </c>
      <c r="N3095" s="17" t="str">
        <f aca="false">IF(A3095="","",IF(ISNUMBER(A3095),A3095,IFERROR(DATE(VALUE(MID(A3095,7,4)),VALUE(MID(A3095,4,2)),VALUE(MID(A3095,1,2)))+TIME(VALUE(MID(A3095,12,2)),VALUE(MID(A3095,15,2)),VALUE(MID(A3095,18,2))),"")))</f>
        <v/>
      </c>
    </row>
    <row r="3096" customFormat="false" ht="15" hidden="false" customHeight="false" outlineLevel="0" collapsed="false">
      <c r="I3096" s="15" t="str">
        <f aca="false">IF(N3096="","",INT(N3096))</f>
        <v/>
      </c>
      <c r="J3096" s="16" t="str">
        <f aca="false">IF(B3096="","",IF(N3096=_xlfn.MINIFS($N$2:$N$5001,$B$2:$B$5001,B3096),1,0))</f>
        <v/>
      </c>
      <c r="K3096" s="16" t="str">
        <f aca="false">IF(B3096="","",IF(AND(D3096="Formalização",E3096="Concluído"),IF(COUNTIFS($B$2:$B$5001,B3096,$E$2:$E$5001,"Em ajustes",$N$2:$N$5001,"&lt;"&amp;I3096)&gt;0,1,0),0))</f>
        <v/>
      </c>
      <c r="L3096" s="16" t="str">
        <f aca="false">IF(B3096="","",IF(N3096=_xlfn.MAXIFS($N$2:$N$5001,$B$2:$B$5001,B3096,$I$2:$I$5001,I3096),1,0))</f>
        <v/>
      </c>
      <c r="M3096" s="16" t="str">
        <f aca="false">IF(B3096="","",IF(E3096="Em ajustes",IF(N3096=_xlfn.MINIFS($N$2:$N$5001,$B$2:$B$5001,B3096,$E$2:$E$5001,"Em ajustes"),1,0),0))</f>
        <v/>
      </c>
      <c r="N3096" s="17" t="str">
        <f aca="false">IF(A3096="","",IF(ISNUMBER(A3096),A3096,IFERROR(DATE(VALUE(MID(A3096,7,4)),VALUE(MID(A3096,4,2)),VALUE(MID(A3096,1,2)))+TIME(VALUE(MID(A3096,12,2)),VALUE(MID(A3096,15,2)),VALUE(MID(A3096,18,2))),"")))</f>
        <v/>
      </c>
    </row>
    <row r="3097" customFormat="false" ht="15" hidden="false" customHeight="false" outlineLevel="0" collapsed="false">
      <c r="I3097" s="15" t="str">
        <f aca="false">IF(N3097="","",INT(N3097))</f>
        <v/>
      </c>
      <c r="J3097" s="16" t="str">
        <f aca="false">IF(B3097="","",IF(N3097=_xlfn.MINIFS($N$2:$N$5001,$B$2:$B$5001,B3097),1,0))</f>
        <v/>
      </c>
      <c r="K3097" s="16" t="str">
        <f aca="false">IF(B3097="","",IF(AND(D3097="Formalização",E3097="Concluído"),IF(COUNTIFS($B$2:$B$5001,B3097,$E$2:$E$5001,"Em ajustes",$N$2:$N$5001,"&lt;"&amp;I3097)&gt;0,1,0),0))</f>
        <v/>
      </c>
      <c r="L3097" s="16" t="str">
        <f aca="false">IF(B3097="","",IF(N3097=_xlfn.MAXIFS($N$2:$N$5001,$B$2:$B$5001,B3097,$I$2:$I$5001,I3097),1,0))</f>
        <v/>
      </c>
      <c r="M3097" s="16" t="str">
        <f aca="false">IF(B3097="","",IF(E3097="Em ajustes",IF(N3097=_xlfn.MINIFS($N$2:$N$5001,$B$2:$B$5001,B3097,$E$2:$E$5001,"Em ajustes"),1,0),0))</f>
        <v/>
      </c>
      <c r="N3097" s="17" t="str">
        <f aca="false">IF(A3097="","",IF(ISNUMBER(A3097),A3097,IFERROR(DATE(VALUE(MID(A3097,7,4)),VALUE(MID(A3097,4,2)),VALUE(MID(A3097,1,2)))+TIME(VALUE(MID(A3097,12,2)),VALUE(MID(A3097,15,2)),VALUE(MID(A3097,18,2))),"")))</f>
        <v/>
      </c>
    </row>
    <row r="3098" customFormat="false" ht="15" hidden="false" customHeight="false" outlineLevel="0" collapsed="false">
      <c r="I3098" s="15" t="str">
        <f aca="false">IF(N3098="","",INT(N3098))</f>
        <v/>
      </c>
      <c r="J3098" s="16" t="str">
        <f aca="false">IF(B3098="","",IF(N3098=_xlfn.MINIFS($N$2:$N$5001,$B$2:$B$5001,B3098),1,0))</f>
        <v/>
      </c>
      <c r="K3098" s="16" t="str">
        <f aca="false">IF(B3098="","",IF(AND(D3098="Formalização",E3098="Concluído"),IF(COUNTIFS($B$2:$B$5001,B3098,$E$2:$E$5001,"Em ajustes",$N$2:$N$5001,"&lt;"&amp;I3098)&gt;0,1,0),0))</f>
        <v/>
      </c>
      <c r="L3098" s="16" t="str">
        <f aca="false">IF(B3098="","",IF(N3098=_xlfn.MAXIFS($N$2:$N$5001,$B$2:$B$5001,B3098,$I$2:$I$5001,I3098),1,0))</f>
        <v/>
      </c>
      <c r="M3098" s="16" t="str">
        <f aca="false">IF(B3098="","",IF(E3098="Em ajustes",IF(N3098=_xlfn.MINIFS($N$2:$N$5001,$B$2:$B$5001,B3098,$E$2:$E$5001,"Em ajustes"),1,0),0))</f>
        <v/>
      </c>
      <c r="N3098" s="17" t="str">
        <f aca="false">IF(A3098="","",IF(ISNUMBER(A3098),A3098,IFERROR(DATE(VALUE(MID(A3098,7,4)),VALUE(MID(A3098,4,2)),VALUE(MID(A3098,1,2)))+TIME(VALUE(MID(A3098,12,2)),VALUE(MID(A3098,15,2)),VALUE(MID(A3098,18,2))),"")))</f>
        <v/>
      </c>
    </row>
    <row r="3099" customFormat="false" ht="15" hidden="false" customHeight="false" outlineLevel="0" collapsed="false">
      <c r="I3099" s="15" t="str">
        <f aca="false">IF(N3099="","",INT(N3099))</f>
        <v/>
      </c>
      <c r="J3099" s="16" t="str">
        <f aca="false">IF(B3099="","",IF(N3099=_xlfn.MINIFS($N$2:$N$5001,$B$2:$B$5001,B3099),1,0))</f>
        <v/>
      </c>
      <c r="K3099" s="16" t="str">
        <f aca="false">IF(B3099="","",IF(AND(D3099="Formalização",E3099="Concluído"),IF(COUNTIFS($B$2:$B$5001,B3099,$E$2:$E$5001,"Em ajustes",$N$2:$N$5001,"&lt;"&amp;I3099)&gt;0,1,0),0))</f>
        <v/>
      </c>
      <c r="L3099" s="16" t="str">
        <f aca="false">IF(B3099="","",IF(N3099=_xlfn.MAXIFS($N$2:$N$5001,$B$2:$B$5001,B3099,$I$2:$I$5001,I3099),1,0))</f>
        <v/>
      </c>
      <c r="M3099" s="16" t="str">
        <f aca="false">IF(B3099="","",IF(E3099="Em ajustes",IF(N3099=_xlfn.MINIFS($N$2:$N$5001,$B$2:$B$5001,B3099,$E$2:$E$5001,"Em ajustes"),1,0),0))</f>
        <v/>
      </c>
      <c r="N3099" s="17" t="str">
        <f aca="false">IF(A3099="","",IF(ISNUMBER(A3099),A3099,IFERROR(DATE(VALUE(MID(A3099,7,4)),VALUE(MID(A3099,4,2)),VALUE(MID(A3099,1,2)))+TIME(VALUE(MID(A3099,12,2)),VALUE(MID(A3099,15,2)),VALUE(MID(A3099,18,2))),"")))</f>
        <v/>
      </c>
    </row>
    <row r="3100" customFormat="false" ht="15" hidden="false" customHeight="false" outlineLevel="0" collapsed="false">
      <c r="I3100" s="15" t="str">
        <f aca="false">IF(N3100="","",INT(N3100))</f>
        <v/>
      </c>
      <c r="J3100" s="16" t="str">
        <f aca="false">IF(B3100="","",IF(N3100=_xlfn.MINIFS($N$2:$N$5001,$B$2:$B$5001,B3100),1,0))</f>
        <v/>
      </c>
      <c r="K3100" s="16" t="str">
        <f aca="false">IF(B3100="","",IF(AND(D3100="Formalização",E3100="Concluído"),IF(COUNTIFS($B$2:$B$5001,B3100,$E$2:$E$5001,"Em ajustes",$N$2:$N$5001,"&lt;"&amp;I3100)&gt;0,1,0),0))</f>
        <v/>
      </c>
      <c r="L3100" s="16" t="str">
        <f aca="false">IF(B3100="","",IF(N3100=_xlfn.MAXIFS($N$2:$N$5001,$B$2:$B$5001,B3100,$I$2:$I$5001,I3100),1,0))</f>
        <v/>
      </c>
      <c r="M3100" s="16" t="str">
        <f aca="false">IF(B3100="","",IF(E3100="Em ajustes",IF(N3100=_xlfn.MINIFS($N$2:$N$5001,$B$2:$B$5001,B3100,$E$2:$E$5001,"Em ajustes"),1,0),0))</f>
        <v/>
      </c>
      <c r="N3100" s="17" t="str">
        <f aca="false">IF(A3100="","",IF(ISNUMBER(A3100),A3100,IFERROR(DATE(VALUE(MID(A3100,7,4)),VALUE(MID(A3100,4,2)),VALUE(MID(A3100,1,2)))+TIME(VALUE(MID(A3100,12,2)),VALUE(MID(A3100,15,2)),VALUE(MID(A3100,18,2))),"")))</f>
        <v/>
      </c>
    </row>
    <row r="3101" customFormat="false" ht="15" hidden="false" customHeight="false" outlineLevel="0" collapsed="false">
      <c r="I3101" s="15" t="str">
        <f aca="false">IF(N3101="","",INT(N3101))</f>
        <v/>
      </c>
      <c r="J3101" s="16" t="str">
        <f aca="false">IF(B3101="","",IF(N3101=_xlfn.MINIFS($N$2:$N$5001,$B$2:$B$5001,B3101),1,0))</f>
        <v/>
      </c>
      <c r="K3101" s="16" t="str">
        <f aca="false">IF(B3101="","",IF(AND(D3101="Formalização",E3101="Concluído"),IF(COUNTIFS($B$2:$B$5001,B3101,$E$2:$E$5001,"Em ajustes",$N$2:$N$5001,"&lt;"&amp;I3101)&gt;0,1,0),0))</f>
        <v/>
      </c>
      <c r="L3101" s="16" t="str">
        <f aca="false">IF(B3101="","",IF(N3101=_xlfn.MAXIFS($N$2:$N$5001,$B$2:$B$5001,B3101,$I$2:$I$5001,I3101),1,0))</f>
        <v/>
      </c>
      <c r="M3101" s="16" t="str">
        <f aca="false">IF(B3101="","",IF(E3101="Em ajustes",IF(N3101=_xlfn.MINIFS($N$2:$N$5001,$B$2:$B$5001,B3101,$E$2:$E$5001,"Em ajustes"),1,0),0))</f>
        <v/>
      </c>
      <c r="N3101" s="17" t="str">
        <f aca="false">IF(A3101="","",IF(ISNUMBER(A3101),A3101,IFERROR(DATE(VALUE(MID(A3101,7,4)),VALUE(MID(A3101,4,2)),VALUE(MID(A3101,1,2)))+TIME(VALUE(MID(A3101,12,2)),VALUE(MID(A3101,15,2)),VALUE(MID(A3101,18,2))),"")))</f>
        <v/>
      </c>
    </row>
    <row r="3102" customFormat="false" ht="15" hidden="false" customHeight="false" outlineLevel="0" collapsed="false">
      <c r="I3102" s="15" t="str">
        <f aca="false">IF(N3102="","",INT(N3102))</f>
        <v/>
      </c>
      <c r="J3102" s="16" t="str">
        <f aca="false">IF(B3102="","",IF(N3102=_xlfn.MINIFS($N$2:$N$5001,$B$2:$B$5001,B3102),1,0))</f>
        <v/>
      </c>
      <c r="K3102" s="16" t="str">
        <f aca="false">IF(B3102="","",IF(AND(D3102="Formalização",E3102="Concluído"),IF(COUNTIFS($B$2:$B$5001,B3102,$E$2:$E$5001,"Em ajustes",$N$2:$N$5001,"&lt;"&amp;I3102)&gt;0,1,0),0))</f>
        <v/>
      </c>
      <c r="L3102" s="16" t="str">
        <f aca="false">IF(B3102="","",IF(N3102=_xlfn.MAXIFS($N$2:$N$5001,$B$2:$B$5001,B3102,$I$2:$I$5001,I3102),1,0))</f>
        <v/>
      </c>
      <c r="M3102" s="16" t="str">
        <f aca="false">IF(B3102="","",IF(E3102="Em ajustes",IF(N3102=_xlfn.MINIFS($N$2:$N$5001,$B$2:$B$5001,B3102,$E$2:$E$5001,"Em ajustes"),1,0),0))</f>
        <v/>
      </c>
      <c r="N3102" s="17" t="str">
        <f aca="false">IF(A3102="","",IF(ISNUMBER(A3102),A3102,IFERROR(DATE(VALUE(MID(A3102,7,4)),VALUE(MID(A3102,4,2)),VALUE(MID(A3102,1,2)))+TIME(VALUE(MID(A3102,12,2)),VALUE(MID(A3102,15,2)),VALUE(MID(A3102,18,2))),"")))</f>
        <v/>
      </c>
    </row>
    <row r="3103" customFormat="false" ht="15" hidden="false" customHeight="false" outlineLevel="0" collapsed="false">
      <c r="I3103" s="15" t="str">
        <f aca="false">IF(N3103="","",INT(N3103))</f>
        <v/>
      </c>
      <c r="J3103" s="16" t="str">
        <f aca="false">IF(B3103="","",IF(N3103=_xlfn.MINIFS($N$2:$N$5001,$B$2:$B$5001,B3103),1,0))</f>
        <v/>
      </c>
      <c r="K3103" s="16" t="str">
        <f aca="false">IF(B3103="","",IF(AND(D3103="Formalização",E3103="Concluído"),IF(COUNTIFS($B$2:$B$5001,B3103,$E$2:$E$5001,"Em ajustes",$N$2:$N$5001,"&lt;"&amp;I3103)&gt;0,1,0),0))</f>
        <v/>
      </c>
      <c r="L3103" s="16" t="str">
        <f aca="false">IF(B3103="","",IF(N3103=_xlfn.MAXIFS($N$2:$N$5001,$B$2:$B$5001,B3103,$I$2:$I$5001,I3103),1,0))</f>
        <v/>
      </c>
      <c r="M3103" s="16" t="str">
        <f aca="false">IF(B3103="","",IF(E3103="Em ajustes",IF(N3103=_xlfn.MINIFS($N$2:$N$5001,$B$2:$B$5001,B3103,$E$2:$E$5001,"Em ajustes"),1,0),0))</f>
        <v/>
      </c>
      <c r="N3103" s="17" t="str">
        <f aca="false">IF(A3103="","",IF(ISNUMBER(A3103),A3103,IFERROR(DATE(VALUE(MID(A3103,7,4)),VALUE(MID(A3103,4,2)),VALUE(MID(A3103,1,2)))+TIME(VALUE(MID(A3103,12,2)),VALUE(MID(A3103,15,2)),VALUE(MID(A3103,18,2))),"")))</f>
        <v/>
      </c>
    </row>
    <row r="3104" customFormat="false" ht="15" hidden="false" customHeight="false" outlineLevel="0" collapsed="false">
      <c r="I3104" s="15" t="str">
        <f aca="false">IF(N3104="","",INT(N3104))</f>
        <v/>
      </c>
      <c r="J3104" s="16" t="str">
        <f aca="false">IF(B3104="","",IF(N3104=_xlfn.MINIFS($N$2:$N$5001,$B$2:$B$5001,B3104),1,0))</f>
        <v/>
      </c>
      <c r="K3104" s="16" t="str">
        <f aca="false">IF(B3104="","",IF(AND(D3104="Formalização",E3104="Concluído"),IF(COUNTIFS($B$2:$B$5001,B3104,$E$2:$E$5001,"Em ajustes",$N$2:$N$5001,"&lt;"&amp;I3104)&gt;0,1,0),0))</f>
        <v/>
      </c>
      <c r="L3104" s="16" t="str">
        <f aca="false">IF(B3104="","",IF(N3104=_xlfn.MAXIFS($N$2:$N$5001,$B$2:$B$5001,B3104,$I$2:$I$5001,I3104),1,0))</f>
        <v/>
      </c>
      <c r="M3104" s="16" t="str">
        <f aca="false">IF(B3104="","",IF(E3104="Em ajustes",IF(N3104=_xlfn.MINIFS($N$2:$N$5001,$B$2:$B$5001,B3104,$E$2:$E$5001,"Em ajustes"),1,0),0))</f>
        <v/>
      </c>
      <c r="N3104" s="17" t="str">
        <f aca="false">IF(A3104="","",IF(ISNUMBER(A3104),A3104,IFERROR(DATE(VALUE(MID(A3104,7,4)),VALUE(MID(A3104,4,2)),VALUE(MID(A3104,1,2)))+TIME(VALUE(MID(A3104,12,2)),VALUE(MID(A3104,15,2)),VALUE(MID(A3104,18,2))),"")))</f>
        <v/>
      </c>
    </row>
    <row r="3105" customFormat="false" ht="15" hidden="false" customHeight="false" outlineLevel="0" collapsed="false">
      <c r="I3105" s="15" t="str">
        <f aca="false">IF(N3105="","",INT(N3105))</f>
        <v/>
      </c>
      <c r="J3105" s="16" t="str">
        <f aca="false">IF(B3105="","",IF(N3105=_xlfn.MINIFS($N$2:$N$5001,$B$2:$B$5001,B3105),1,0))</f>
        <v/>
      </c>
      <c r="K3105" s="16" t="str">
        <f aca="false">IF(B3105="","",IF(AND(D3105="Formalização",E3105="Concluído"),IF(COUNTIFS($B$2:$B$5001,B3105,$E$2:$E$5001,"Em ajustes",$N$2:$N$5001,"&lt;"&amp;I3105)&gt;0,1,0),0))</f>
        <v/>
      </c>
      <c r="L3105" s="16" t="str">
        <f aca="false">IF(B3105="","",IF(N3105=_xlfn.MAXIFS($N$2:$N$5001,$B$2:$B$5001,B3105,$I$2:$I$5001,I3105),1,0))</f>
        <v/>
      </c>
      <c r="M3105" s="16" t="str">
        <f aca="false">IF(B3105="","",IF(E3105="Em ajustes",IF(N3105=_xlfn.MINIFS($N$2:$N$5001,$B$2:$B$5001,B3105,$E$2:$E$5001,"Em ajustes"),1,0),0))</f>
        <v/>
      </c>
      <c r="N3105" s="17" t="str">
        <f aca="false">IF(A3105="","",IF(ISNUMBER(A3105),A3105,IFERROR(DATE(VALUE(MID(A3105,7,4)),VALUE(MID(A3105,4,2)),VALUE(MID(A3105,1,2)))+TIME(VALUE(MID(A3105,12,2)),VALUE(MID(A3105,15,2)),VALUE(MID(A3105,18,2))),"")))</f>
        <v/>
      </c>
    </row>
    <row r="3106" customFormat="false" ht="15" hidden="false" customHeight="false" outlineLevel="0" collapsed="false">
      <c r="I3106" s="15" t="str">
        <f aca="false">IF(N3106="","",INT(N3106))</f>
        <v/>
      </c>
      <c r="J3106" s="16" t="str">
        <f aca="false">IF(B3106="","",IF(N3106=_xlfn.MINIFS($N$2:$N$5001,$B$2:$B$5001,B3106),1,0))</f>
        <v/>
      </c>
      <c r="K3106" s="16" t="str">
        <f aca="false">IF(B3106="","",IF(AND(D3106="Formalização",E3106="Concluído"),IF(COUNTIFS($B$2:$B$5001,B3106,$E$2:$E$5001,"Em ajustes",$N$2:$N$5001,"&lt;"&amp;I3106)&gt;0,1,0),0))</f>
        <v/>
      </c>
      <c r="L3106" s="16" t="str">
        <f aca="false">IF(B3106="","",IF(N3106=_xlfn.MAXIFS($N$2:$N$5001,$B$2:$B$5001,B3106,$I$2:$I$5001,I3106),1,0))</f>
        <v/>
      </c>
      <c r="M3106" s="16" t="str">
        <f aca="false">IF(B3106="","",IF(E3106="Em ajustes",IF(N3106=_xlfn.MINIFS($N$2:$N$5001,$B$2:$B$5001,B3106,$E$2:$E$5001,"Em ajustes"),1,0),0))</f>
        <v/>
      </c>
      <c r="N3106" s="17" t="str">
        <f aca="false">IF(A3106="","",IF(ISNUMBER(A3106),A3106,IFERROR(DATE(VALUE(MID(A3106,7,4)),VALUE(MID(A3106,4,2)),VALUE(MID(A3106,1,2)))+TIME(VALUE(MID(A3106,12,2)),VALUE(MID(A3106,15,2)),VALUE(MID(A3106,18,2))),"")))</f>
        <v/>
      </c>
    </row>
    <row r="3107" customFormat="false" ht="15" hidden="false" customHeight="false" outlineLevel="0" collapsed="false">
      <c r="I3107" s="15" t="str">
        <f aca="false">IF(N3107="","",INT(N3107))</f>
        <v/>
      </c>
      <c r="J3107" s="16" t="str">
        <f aca="false">IF(B3107="","",IF(N3107=_xlfn.MINIFS($N$2:$N$5001,$B$2:$B$5001,B3107),1,0))</f>
        <v/>
      </c>
      <c r="K3107" s="16" t="str">
        <f aca="false">IF(B3107="","",IF(AND(D3107="Formalização",E3107="Concluído"),IF(COUNTIFS($B$2:$B$5001,B3107,$E$2:$E$5001,"Em ajustes",$N$2:$N$5001,"&lt;"&amp;I3107)&gt;0,1,0),0))</f>
        <v/>
      </c>
      <c r="L3107" s="16" t="str">
        <f aca="false">IF(B3107="","",IF(N3107=_xlfn.MAXIFS($N$2:$N$5001,$B$2:$B$5001,B3107,$I$2:$I$5001,I3107),1,0))</f>
        <v/>
      </c>
      <c r="M3107" s="16" t="str">
        <f aca="false">IF(B3107="","",IF(E3107="Em ajustes",IF(N3107=_xlfn.MINIFS($N$2:$N$5001,$B$2:$B$5001,B3107,$E$2:$E$5001,"Em ajustes"),1,0),0))</f>
        <v/>
      </c>
      <c r="N3107" s="17" t="str">
        <f aca="false">IF(A3107="","",IF(ISNUMBER(A3107),A3107,IFERROR(DATE(VALUE(MID(A3107,7,4)),VALUE(MID(A3107,4,2)),VALUE(MID(A3107,1,2)))+TIME(VALUE(MID(A3107,12,2)),VALUE(MID(A3107,15,2)),VALUE(MID(A3107,18,2))),"")))</f>
        <v/>
      </c>
    </row>
    <row r="3108" customFormat="false" ht="15" hidden="false" customHeight="false" outlineLevel="0" collapsed="false">
      <c r="I3108" s="15" t="str">
        <f aca="false">IF(N3108="","",INT(N3108))</f>
        <v/>
      </c>
      <c r="J3108" s="16" t="str">
        <f aca="false">IF(B3108="","",IF(N3108=_xlfn.MINIFS($N$2:$N$5001,$B$2:$B$5001,B3108),1,0))</f>
        <v/>
      </c>
      <c r="K3108" s="16" t="str">
        <f aca="false">IF(B3108="","",IF(AND(D3108="Formalização",E3108="Concluído"),IF(COUNTIFS($B$2:$B$5001,B3108,$E$2:$E$5001,"Em ajustes",$N$2:$N$5001,"&lt;"&amp;I3108)&gt;0,1,0),0))</f>
        <v/>
      </c>
      <c r="L3108" s="16" t="str">
        <f aca="false">IF(B3108="","",IF(N3108=_xlfn.MAXIFS($N$2:$N$5001,$B$2:$B$5001,B3108,$I$2:$I$5001,I3108),1,0))</f>
        <v/>
      </c>
      <c r="M3108" s="16" t="str">
        <f aca="false">IF(B3108="","",IF(E3108="Em ajustes",IF(N3108=_xlfn.MINIFS($N$2:$N$5001,$B$2:$B$5001,B3108,$E$2:$E$5001,"Em ajustes"),1,0),0))</f>
        <v/>
      </c>
      <c r="N3108" s="17" t="str">
        <f aca="false">IF(A3108="","",IF(ISNUMBER(A3108),A3108,IFERROR(DATE(VALUE(MID(A3108,7,4)),VALUE(MID(A3108,4,2)),VALUE(MID(A3108,1,2)))+TIME(VALUE(MID(A3108,12,2)),VALUE(MID(A3108,15,2)),VALUE(MID(A3108,18,2))),"")))</f>
        <v/>
      </c>
    </row>
    <row r="3109" customFormat="false" ht="15" hidden="false" customHeight="false" outlineLevel="0" collapsed="false">
      <c r="I3109" s="15" t="str">
        <f aca="false">IF(N3109="","",INT(N3109))</f>
        <v/>
      </c>
      <c r="J3109" s="16" t="str">
        <f aca="false">IF(B3109="","",IF(N3109=_xlfn.MINIFS($N$2:$N$5001,$B$2:$B$5001,B3109),1,0))</f>
        <v/>
      </c>
      <c r="K3109" s="16" t="str">
        <f aca="false">IF(B3109="","",IF(AND(D3109="Formalização",E3109="Concluído"),IF(COUNTIFS($B$2:$B$5001,B3109,$E$2:$E$5001,"Em ajustes",$N$2:$N$5001,"&lt;"&amp;I3109)&gt;0,1,0),0))</f>
        <v/>
      </c>
      <c r="L3109" s="16" t="str">
        <f aca="false">IF(B3109="","",IF(N3109=_xlfn.MAXIFS($N$2:$N$5001,$B$2:$B$5001,B3109,$I$2:$I$5001,I3109),1,0))</f>
        <v/>
      </c>
      <c r="M3109" s="16" t="str">
        <f aca="false">IF(B3109="","",IF(E3109="Em ajustes",IF(N3109=_xlfn.MINIFS($N$2:$N$5001,$B$2:$B$5001,B3109,$E$2:$E$5001,"Em ajustes"),1,0),0))</f>
        <v/>
      </c>
      <c r="N3109" s="17" t="str">
        <f aca="false">IF(A3109="","",IF(ISNUMBER(A3109),A3109,IFERROR(DATE(VALUE(MID(A3109,7,4)),VALUE(MID(A3109,4,2)),VALUE(MID(A3109,1,2)))+TIME(VALUE(MID(A3109,12,2)),VALUE(MID(A3109,15,2)),VALUE(MID(A3109,18,2))),"")))</f>
        <v/>
      </c>
    </row>
    <row r="3110" customFormat="false" ht="15" hidden="false" customHeight="false" outlineLevel="0" collapsed="false">
      <c r="I3110" s="15" t="str">
        <f aca="false">IF(N3110="","",INT(N3110))</f>
        <v/>
      </c>
      <c r="J3110" s="16" t="str">
        <f aca="false">IF(B3110="","",IF(N3110=_xlfn.MINIFS($N$2:$N$5001,$B$2:$B$5001,B3110),1,0))</f>
        <v/>
      </c>
      <c r="K3110" s="16" t="str">
        <f aca="false">IF(B3110="","",IF(AND(D3110="Formalização",E3110="Concluído"),IF(COUNTIFS($B$2:$B$5001,B3110,$E$2:$E$5001,"Em ajustes",$N$2:$N$5001,"&lt;"&amp;I3110)&gt;0,1,0),0))</f>
        <v/>
      </c>
      <c r="L3110" s="16" t="str">
        <f aca="false">IF(B3110="","",IF(N3110=_xlfn.MAXIFS($N$2:$N$5001,$B$2:$B$5001,B3110,$I$2:$I$5001,I3110),1,0))</f>
        <v/>
      </c>
      <c r="M3110" s="16" t="str">
        <f aca="false">IF(B3110="","",IF(E3110="Em ajustes",IF(N3110=_xlfn.MINIFS($N$2:$N$5001,$B$2:$B$5001,B3110,$E$2:$E$5001,"Em ajustes"),1,0),0))</f>
        <v/>
      </c>
      <c r="N3110" s="17" t="str">
        <f aca="false">IF(A3110="","",IF(ISNUMBER(A3110),A3110,IFERROR(DATE(VALUE(MID(A3110,7,4)),VALUE(MID(A3110,4,2)),VALUE(MID(A3110,1,2)))+TIME(VALUE(MID(A3110,12,2)),VALUE(MID(A3110,15,2)),VALUE(MID(A3110,18,2))),"")))</f>
        <v/>
      </c>
    </row>
    <row r="3111" customFormat="false" ht="15" hidden="false" customHeight="false" outlineLevel="0" collapsed="false">
      <c r="I3111" s="15" t="str">
        <f aca="false">IF(N3111="","",INT(N3111))</f>
        <v/>
      </c>
      <c r="J3111" s="16" t="str">
        <f aca="false">IF(B3111="","",IF(N3111=_xlfn.MINIFS($N$2:$N$5001,$B$2:$B$5001,B3111),1,0))</f>
        <v/>
      </c>
      <c r="K3111" s="16" t="str">
        <f aca="false">IF(B3111="","",IF(AND(D3111="Formalização",E3111="Concluído"),IF(COUNTIFS($B$2:$B$5001,B3111,$E$2:$E$5001,"Em ajustes",$N$2:$N$5001,"&lt;"&amp;I3111)&gt;0,1,0),0))</f>
        <v/>
      </c>
      <c r="L3111" s="16" t="str">
        <f aca="false">IF(B3111="","",IF(N3111=_xlfn.MAXIFS($N$2:$N$5001,$B$2:$B$5001,B3111,$I$2:$I$5001,I3111),1,0))</f>
        <v/>
      </c>
      <c r="M3111" s="16" t="str">
        <f aca="false">IF(B3111="","",IF(E3111="Em ajustes",IF(N3111=_xlfn.MINIFS($N$2:$N$5001,$B$2:$B$5001,B3111,$E$2:$E$5001,"Em ajustes"),1,0),0))</f>
        <v/>
      </c>
      <c r="N3111" s="17" t="str">
        <f aca="false">IF(A3111="","",IF(ISNUMBER(A3111),A3111,IFERROR(DATE(VALUE(MID(A3111,7,4)),VALUE(MID(A3111,4,2)),VALUE(MID(A3111,1,2)))+TIME(VALUE(MID(A3111,12,2)),VALUE(MID(A3111,15,2)),VALUE(MID(A3111,18,2))),"")))</f>
        <v/>
      </c>
    </row>
    <row r="3112" customFormat="false" ht="15" hidden="false" customHeight="false" outlineLevel="0" collapsed="false">
      <c r="I3112" s="15" t="str">
        <f aca="false">IF(N3112="","",INT(N3112))</f>
        <v/>
      </c>
      <c r="J3112" s="16" t="str">
        <f aca="false">IF(B3112="","",IF(N3112=_xlfn.MINIFS($N$2:$N$5001,$B$2:$B$5001,B3112),1,0))</f>
        <v/>
      </c>
      <c r="K3112" s="16" t="str">
        <f aca="false">IF(B3112="","",IF(AND(D3112="Formalização",E3112="Concluído"),IF(COUNTIFS($B$2:$B$5001,B3112,$E$2:$E$5001,"Em ajustes",$N$2:$N$5001,"&lt;"&amp;I3112)&gt;0,1,0),0))</f>
        <v/>
      </c>
      <c r="L3112" s="16" t="str">
        <f aca="false">IF(B3112="","",IF(N3112=_xlfn.MAXIFS($N$2:$N$5001,$B$2:$B$5001,B3112,$I$2:$I$5001,I3112),1,0))</f>
        <v/>
      </c>
      <c r="M3112" s="16" t="str">
        <f aca="false">IF(B3112="","",IF(E3112="Em ajustes",IF(N3112=_xlfn.MINIFS($N$2:$N$5001,$B$2:$B$5001,B3112,$E$2:$E$5001,"Em ajustes"),1,0),0))</f>
        <v/>
      </c>
      <c r="N3112" s="17" t="str">
        <f aca="false">IF(A3112="","",IF(ISNUMBER(A3112),A3112,IFERROR(DATE(VALUE(MID(A3112,7,4)),VALUE(MID(A3112,4,2)),VALUE(MID(A3112,1,2)))+TIME(VALUE(MID(A3112,12,2)),VALUE(MID(A3112,15,2)),VALUE(MID(A3112,18,2))),"")))</f>
        <v/>
      </c>
    </row>
    <row r="3113" customFormat="false" ht="15" hidden="false" customHeight="false" outlineLevel="0" collapsed="false">
      <c r="I3113" s="15" t="str">
        <f aca="false">IF(N3113="","",INT(N3113))</f>
        <v/>
      </c>
      <c r="J3113" s="16" t="str">
        <f aca="false">IF(B3113="","",IF(N3113=_xlfn.MINIFS($N$2:$N$5001,$B$2:$B$5001,B3113),1,0))</f>
        <v/>
      </c>
      <c r="K3113" s="16" t="str">
        <f aca="false">IF(B3113="","",IF(AND(D3113="Formalização",E3113="Concluído"),IF(COUNTIFS($B$2:$B$5001,B3113,$E$2:$E$5001,"Em ajustes",$N$2:$N$5001,"&lt;"&amp;I3113)&gt;0,1,0),0))</f>
        <v/>
      </c>
      <c r="L3113" s="16" t="str">
        <f aca="false">IF(B3113="","",IF(N3113=_xlfn.MAXIFS($N$2:$N$5001,$B$2:$B$5001,B3113,$I$2:$I$5001,I3113),1,0))</f>
        <v/>
      </c>
      <c r="M3113" s="16" t="str">
        <f aca="false">IF(B3113="","",IF(E3113="Em ajustes",IF(N3113=_xlfn.MINIFS($N$2:$N$5001,$B$2:$B$5001,B3113,$E$2:$E$5001,"Em ajustes"),1,0),0))</f>
        <v/>
      </c>
      <c r="N3113" s="17" t="str">
        <f aca="false">IF(A3113="","",IF(ISNUMBER(A3113),A3113,IFERROR(DATE(VALUE(MID(A3113,7,4)),VALUE(MID(A3113,4,2)),VALUE(MID(A3113,1,2)))+TIME(VALUE(MID(A3113,12,2)),VALUE(MID(A3113,15,2)),VALUE(MID(A3113,18,2))),"")))</f>
        <v/>
      </c>
    </row>
    <row r="3114" customFormat="false" ht="15" hidden="false" customHeight="false" outlineLevel="0" collapsed="false">
      <c r="I3114" s="15" t="str">
        <f aca="false">IF(N3114="","",INT(N3114))</f>
        <v/>
      </c>
      <c r="J3114" s="16" t="str">
        <f aca="false">IF(B3114="","",IF(N3114=_xlfn.MINIFS($N$2:$N$5001,$B$2:$B$5001,B3114),1,0))</f>
        <v/>
      </c>
      <c r="K3114" s="16" t="str">
        <f aca="false">IF(B3114="","",IF(AND(D3114="Formalização",E3114="Concluído"),IF(COUNTIFS($B$2:$B$5001,B3114,$E$2:$E$5001,"Em ajustes",$N$2:$N$5001,"&lt;"&amp;I3114)&gt;0,1,0),0))</f>
        <v/>
      </c>
      <c r="L3114" s="16" t="str">
        <f aca="false">IF(B3114="","",IF(N3114=_xlfn.MAXIFS($N$2:$N$5001,$B$2:$B$5001,B3114,$I$2:$I$5001,I3114),1,0))</f>
        <v/>
      </c>
      <c r="M3114" s="16" t="str">
        <f aca="false">IF(B3114="","",IF(E3114="Em ajustes",IF(N3114=_xlfn.MINIFS($N$2:$N$5001,$B$2:$B$5001,B3114,$E$2:$E$5001,"Em ajustes"),1,0),0))</f>
        <v/>
      </c>
      <c r="N3114" s="17" t="str">
        <f aca="false">IF(A3114="","",IF(ISNUMBER(A3114),A3114,IFERROR(DATE(VALUE(MID(A3114,7,4)),VALUE(MID(A3114,4,2)),VALUE(MID(A3114,1,2)))+TIME(VALUE(MID(A3114,12,2)),VALUE(MID(A3114,15,2)),VALUE(MID(A3114,18,2))),"")))</f>
        <v/>
      </c>
    </row>
    <row r="3115" customFormat="false" ht="15" hidden="false" customHeight="false" outlineLevel="0" collapsed="false">
      <c r="I3115" s="15" t="str">
        <f aca="false">IF(N3115="","",INT(N3115))</f>
        <v/>
      </c>
      <c r="J3115" s="16" t="str">
        <f aca="false">IF(B3115="","",IF(N3115=_xlfn.MINIFS($N$2:$N$5001,$B$2:$B$5001,B3115),1,0))</f>
        <v/>
      </c>
      <c r="K3115" s="16" t="str">
        <f aca="false">IF(B3115="","",IF(AND(D3115="Formalização",E3115="Concluído"),IF(COUNTIFS($B$2:$B$5001,B3115,$E$2:$E$5001,"Em ajustes",$N$2:$N$5001,"&lt;"&amp;I3115)&gt;0,1,0),0))</f>
        <v/>
      </c>
      <c r="L3115" s="16" t="str">
        <f aca="false">IF(B3115="","",IF(N3115=_xlfn.MAXIFS($N$2:$N$5001,$B$2:$B$5001,B3115,$I$2:$I$5001,I3115),1,0))</f>
        <v/>
      </c>
      <c r="M3115" s="16" t="str">
        <f aca="false">IF(B3115="","",IF(E3115="Em ajustes",IF(N3115=_xlfn.MINIFS($N$2:$N$5001,$B$2:$B$5001,B3115,$E$2:$E$5001,"Em ajustes"),1,0),0))</f>
        <v/>
      </c>
      <c r="N3115" s="17" t="str">
        <f aca="false">IF(A3115="","",IF(ISNUMBER(A3115),A3115,IFERROR(DATE(VALUE(MID(A3115,7,4)),VALUE(MID(A3115,4,2)),VALUE(MID(A3115,1,2)))+TIME(VALUE(MID(A3115,12,2)),VALUE(MID(A3115,15,2)),VALUE(MID(A3115,18,2))),"")))</f>
        <v/>
      </c>
    </row>
    <row r="3116" customFormat="false" ht="15" hidden="false" customHeight="false" outlineLevel="0" collapsed="false">
      <c r="I3116" s="15" t="str">
        <f aca="false">IF(N3116="","",INT(N3116))</f>
        <v/>
      </c>
      <c r="J3116" s="16" t="str">
        <f aca="false">IF(B3116="","",IF(N3116=_xlfn.MINIFS($N$2:$N$5001,$B$2:$B$5001,B3116),1,0))</f>
        <v/>
      </c>
      <c r="K3116" s="16" t="str">
        <f aca="false">IF(B3116="","",IF(AND(D3116="Formalização",E3116="Concluído"),IF(COUNTIFS($B$2:$B$5001,B3116,$E$2:$E$5001,"Em ajustes",$N$2:$N$5001,"&lt;"&amp;I3116)&gt;0,1,0),0))</f>
        <v/>
      </c>
      <c r="L3116" s="16" t="str">
        <f aca="false">IF(B3116="","",IF(N3116=_xlfn.MAXIFS($N$2:$N$5001,$B$2:$B$5001,B3116,$I$2:$I$5001,I3116),1,0))</f>
        <v/>
      </c>
      <c r="M3116" s="16" t="str">
        <f aca="false">IF(B3116="","",IF(E3116="Em ajustes",IF(N3116=_xlfn.MINIFS($N$2:$N$5001,$B$2:$B$5001,B3116,$E$2:$E$5001,"Em ajustes"),1,0),0))</f>
        <v/>
      </c>
      <c r="N3116" s="17" t="str">
        <f aca="false">IF(A3116="","",IF(ISNUMBER(A3116),A3116,IFERROR(DATE(VALUE(MID(A3116,7,4)),VALUE(MID(A3116,4,2)),VALUE(MID(A3116,1,2)))+TIME(VALUE(MID(A3116,12,2)),VALUE(MID(A3116,15,2)),VALUE(MID(A3116,18,2))),"")))</f>
        <v/>
      </c>
    </row>
    <row r="3117" customFormat="false" ht="15" hidden="false" customHeight="false" outlineLevel="0" collapsed="false">
      <c r="I3117" s="15" t="str">
        <f aca="false">IF(N3117="","",INT(N3117))</f>
        <v/>
      </c>
      <c r="J3117" s="16" t="str">
        <f aca="false">IF(B3117="","",IF(N3117=_xlfn.MINIFS($N$2:$N$5001,$B$2:$B$5001,B3117),1,0))</f>
        <v/>
      </c>
      <c r="K3117" s="16" t="str">
        <f aca="false">IF(B3117="","",IF(AND(D3117="Formalização",E3117="Concluído"),IF(COUNTIFS($B$2:$B$5001,B3117,$E$2:$E$5001,"Em ajustes",$N$2:$N$5001,"&lt;"&amp;I3117)&gt;0,1,0),0))</f>
        <v/>
      </c>
      <c r="L3117" s="16" t="str">
        <f aca="false">IF(B3117="","",IF(N3117=_xlfn.MAXIFS($N$2:$N$5001,$B$2:$B$5001,B3117,$I$2:$I$5001,I3117),1,0))</f>
        <v/>
      </c>
      <c r="M3117" s="16" t="str">
        <f aca="false">IF(B3117="","",IF(E3117="Em ajustes",IF(N3117=_xlfn.MINIFS($N$2:$N$5001,$B$2:$B$5001,B3117,$E$2:$E$5001,"Em ajustes"),1,0),0))</f>
        <v/>
      </c>
      <c r="N3117" s="17" t="str">
        <f aca="false">IF(A3117="","",IF(ISNUMBER(A3117),A3117,IFERROR(DATE(VALUE(MID(A3117,7,4)),VALUE(MID(A3117,4,2)),VALUE(MID(A3117,1,2)))+TIME(VALUE(MID(A3117,12,2)),VALUE(MID(A3117,15,2)),VALUE(MID(A3117,18,2))),"")))</f>
        <v/>
      </c>
    </row>
    <row r="3118" customFormat="false" ht="15" hidden="false" customHeight="false" outlineLevel="0" collapsed="false">
      <c r="I3118" s="15" t="str">
        <f aca="false">IF(N3118="","",INT(N3118))</f>
        <v/>
      </c>
      <c r="J3118" s="16" t="str">
        <f aca="false">IF(B3118="","",IF(N3118=_xlfn.MINIFS($N$2:$N$5001,$B$2:$B$5001,B3118),1,0))</f>
        <v/>
      </c>
      <c r="K3118" s="16" t="str">
        <f aca="false">IF(B3118="","",IF(AND(D3118="Formalização",E3118="Concluído"),IF(COUNTIFS($B$2:$B$5001,B3118,$E$2:$E$5001,"Em ajustes",$N$2:$N$5001,"&lt;"&amp;I3118)&gt;0,1,0),0))</f>
        <v/>
      </c>
      <c r="L3118" s="16" t="str">
        <f aca="false">IF(B3118="","",IF(N3118=_xlfn.MAXIFS($N$2:$N$5001,$B$2:$B$5001,B3118,$I$2:$I$5001,I3118),1,0))</f>
        <v/>
      </c>
      <c r="M3118" s="16" t="str">
        <f aca="false">IF(B3118="","",IF(E3118="Em ajustes",IF(N3118=_xlfn.MINIFS($N$2:$N$5001,$B$2:$B$5001,B3118,$E$2:$E$5001,"Em ajustes"),1,0),0))</f>
        <v/>
      </c>
      <c r="N3118" s="17" t="str">
        <f aca="false">IF(A3118="","",IF(ISNUMBER(A3118),A3118,IFERROR(DATE(VALUE(MID(A3118,7,4)),VALUE(MID(A3118,4,2)),VALUE(MID(A3118,1,2)))+TIME(VALUE(MID(A3118,12,2)),VALUE(MID(A3118,15,2)),VALUE(MID(A3118,18,2))),"")))</f>
        <v/>
      </c>
    </row>
    <row r="3119" customFormat="false" ht="15" hidden="false" customHeight="false" outlineLevel="0" collapsed="false">
      <c r="I3119" s="15" t="str">
        <f aca="false">IF(N3119="","",INT(N3119))</f>
        <v/>
      </c>
      <c r="J3119" s="16" t="str">
        <f aca="false">IF(B3119="","",IF(N3119=_xlfn.MINIFS($N$2:$N$5001,$B$2:$B$5001,B3119),1,0))</f>
        <v/>
      </c>
      <c r="K3119" s="16" t="str">
        <f aca="false">IF(B3119="","",IF(AND(D3119="Formalização",E3119="Concluído"),IF(COUNTIFS($B$2:$B$5001,B3119,$E$2:$E$5001,"Em ajustes",$N$2:$N$5001,"&lt;"&amp;I3119)&gt;0,1,0),0))</f>
        <v/>
      </c>
      <c r="L3119" s="16" t="str">
        <f aca="false">IF(B3119="","",IF(N3119=_xlfn.MAXIFS($N$2:$N$5001,$B$2:$B$5001,B3119,$I$2:$I$5001,I3119),1,0))</f>
        <v/>
      </c>
      <c r="M3119" s="16" t="str">
        <f aca="false">IF(B3119="","",IF(E3119="Em ajustes",IF(N3119=_xlfn.MINIFS($N$2:$N$5001,$B$2:$B$5001,B3119,$E$2:$E$5001,"Em ajustes"),1,0),0))</f>
        <v/>
      </c>
      <c r="N3119" s="17" t="str">
        <f aca="false">IF(A3119="","",IF(ISNUMBER(A3119),A3119,IFERROR(DATE(VALUE(MID(A3119,7,4)),VALUE(MID(A3119,4,2)),VALUE(MID(A3119,1,2)))+TIME(VALUE(MID(A3119,12,2)),VALUE(MID(A3119,15,2)),VALUE(MID(A3119,18,2))),"")))</f>
        <v/>
      </c>
    </row>
    <row r="3120" customFormat="false" ht="15" hidden="false" customHeight="false" outlineLevel="0" collapsed="false">
      <c r="I3120" s="15" t="str">
        <f aca="false">IF(N3120="","",INT(N3120))</f>
        <v/>
      </c>
      <c r="J3120" s="16" t="str">
        <f aca="false">IF(B3120="","",IF(N3120=_xlfn.MINIFS($N$2:$N$5001,$B$2:$B$5001,B3120),1,0))</f>
        <v/>
      </c>
      <c r="K3120" s="16" t="str">
        <f aca="false">IF(B3120="","",IF(AND(D3120="Formalização",E3120="Concluído"),IF(COUNTIFS($B$2:$B$5001,B3120,$E$2:$E$5001,"Em ajustes",$N$2:$N$5001,"&lt;"&amp;I3120)&gt;0,1,0),0))</f>
        <v/>
      </c>
      <c r="L3120" s="16" t="str">
        <f aca="false">IF(B3120="","",IF(N3120=_xlfn.MAXIFS($N$2:$N$5001,$B$2:$B$5001,B3120,$I$2:$I$5001,I3120),1,0))</f>
        <v/>
      </c>
      <c r="M3120" s="16" t="str">
        <f aca="false">IF(B3120="","",IF(E3120="Em ajustes",IF(N3120=_xlfn.MINIFS($N$2:$N$5001,$B$2:$B$5001,B3120,$E$2:$E$5001,"Em ajustes"),1,0),0))</f>
        <v/>
      </c>
      <c r="N3120" s="17" t="str">
        <f aca="false">IF(A3120="","",IF(ISNUMBER(A3120),A3120,IFERROR(DATE(VALUE(MID(A3120,7,4)),VALUE(MID(A3120,4,2)),VALUE(MID(A3120,1,2)))+TIME(VALUE(MID(A3120,12,2)),VALUE(MID(A3120,15,2)),VALUE(MID(A3120,18,2))),"")))</f>
        <v/>
      </c>
    </row>
    <row r="3121" customFormat="false" ht="15" hidden="false" customHeight="false" outlineLevel="0" collapsed="false">
      <c r="I3121" s="15" t="str">
        <f aca="false">IF(N3121="","",INT(N3121))</f>
        <v/>
      </c>
      <c r="J3121" s="16" t="str">
        <f aca="false">IF(B3121="","",IF(N3121=_xlfn.MINIFS($N$2:$N$5001,$B$2:$B$5001,B3121),1,0))</f>
        <v/>
      </c>
      <c r="K3121" s="16" t="str">
        <f aca="false">IF(B3121="","",IF(AND(D3121="Formalização",E3121="Concluído"),IF(COUNTIFS($B$2:$B$5001,B3121,$E$2:$E$5001,"Em ajustes",$N$2:$N$5001,"&lt;"&amp;I3121)&gt;0,1,0),0))</f>
        <v/>
      </c>
      <c r="L3121" s="16" t="str">
        <f aca="false">IF(B3121="","",IF(N3121=_xlfn.MAXIFS($N$2:$N$5001,$B$2:$B$5001,B3121,$I$2:$I$5001,I3121),1,0))</f>
        <v/>
      </c>
      <c r="M3121" s="16" t="str">
        <f aca="false">IF(B3121="","",IF(E3121="Em ajustes",IF(N3121=_xlfn.MINIFS($N$2:$N$5001,$B$2:$B$5001,B3121,$E$2:$E$5001,"Em ajustes"),1,0),0))</f>
        <v/>
      </c>
      <c r="N3121" s="17" t="str">
        <f aca="false">IF(A3121="","",IF(ISNUMBER(A3121),A3121,IFERROR(DATE(VALUE(MID(A3121,7,4)),VALUE(MID(A3121,4,2)),VALUE(MID(A3121,1,2)))+TIME(VALUE(MID(A3121,12,2)),VALUE(MID(A3121,15,2)),VALUE(MID(A3121,18,2))),"")))</f>
        <v/>
      </c>
    </row>
    <row r="3122" customFormat="false" ht="15" hidden="false" customHeight="false" outlineLevel="0" collapsed="false">
      <c r="I3122" s="15" t="str">
        <f aca="false">IF(N3122="","",INT(N3122))</f>
        <v/>
      </c>
      <c r="J3122" s="16" t="str">
        <f aca="false">IF(B3122="","",IF(N3122=_xlfn.MINIFS($N$2:$N$5001,$B$2:$B$5001,B3122),1,0))</f>
        <v/>
      </c>
      <c r="K3122" s="16" t="str">
        <f aca="false">IF(B3122="","",IF(AND(D3122="Formalização",E3122="Concluído"),IF(COUNTIFS($B$2:$B$5001,B3122,$E$2:$E$5001,"Em ajustes",$N$2:$N$5001,"&lt;"&amp;I3122)&gt;0,1,0),0))</f>
        <v/>
      </c>
      <c r="L3122" s="16" t="str">
        <f aca="false">IF(B3122="","",IF(N3122=_xlfn.MAXIFS($N$2:$N$5001,$B$2:$B$5001,B3122,$I$2:$I$5001,I3122),1,0))</f>
        <v/>
      </c>
      <c r="M3122" s="16" t="str">
        <f aca="false">IF(B3122="","",IF(E3122="Em ajustes",IF(N3122=_xlfn.MINIFS($N$2:$N$5001,$B$2:$B$5001,B3122,$E$2:$E$5001,"Em ajustes"),1,0),0))</f>
        <v/>
      </c>
      <c r="N3122" s="17" t="str">
        <f aca="false">IF(A3122="","",IF(ISNUMBER(A3122),A3122,IFERROR(DATE(VALUE(MID(A3122,7,4)),VALUE(MID(A3122,4,2)),VALUE(MID(A3122,1,2)))+TIME(VALUE(MID(A3122,12,2)),VALUE(MID(A3122,15,2)),VALUE(MID(A3122,18,2))),"")))</f>
        <v/>
      </c>
    </row>
    <row r="3123" customFormat="false" ht="15" hidden="false" customHeight="false" outlineLevel="0" collapsed="false">
      <c r="I3123" s="15" t="str">
        <f aca="false">IF(N3123="","",INT(N3123))</f>
        <v/>
      </c>
      <c r="J3123" s="16" t="str">
        <f aca="false">IF(B3123="","",IF(N3123=_xlfn.MINIFS($N$2:$N$5001,$B$2:$B$5001,B3123),1,0))</f>
        <v/>
      </c>
      <c r="K3123" s="16" t="str">
        <f aca="false">IF(B3123="","",IF(AND(D3123="Formalização",E3123="Concluído"),IF(COUNTIFS($B$2:$B$5001,B3123,$E$2:$E$5001,"Em ajustes",$N$2:$N$5001,"&lt;"&amp;I3123)&gt;0,1,0),0))</f>
        <v/>
      </c>
      <c r="L3123" s="16" t="str">
        <f aca="false">IF(B3123="","",IF(N3123=_xlfn.MAXIFS($N$2:$N$5001,$B$2:$B$5001,B3123,$I$2:$I$5001,I3123),1,0))</f>
        <v/>
      </c>
      <c r="M3123" s="16" t="str">
        <f aca="false">IF(B3123="","",IF(E3123="Em ajustes",IF(N3123=_xlfn.MINIFS($N$2:$N$5001,$B$2:$B$5001,B3123,$E$2:$E$5001,"Em ajustes"),1,0),0))</f>
        <v/>
      </c>
      <c r="N3123" s="17" t="str">
        <f aca="false">IF(A3123="","",IF(ISNUMBER(A3123),A3123,IFERROR(DATE(VALUE(MID(A3123,7,4)),VALUE(MID(A3123,4,2)),VALUE(MID(A3123,1,2)))+TIME(VALUE(MID(A3123,12,2)),VALUE(MID(A3123,15,2)),VALUE(MID(A3123,18,2))),"")))</f>
        <v/>
      </c>
    </row>
    <row r="3124" customFormat="false" ht="15" hidden="false" customHeight="false" outlineLevel="0" collapsed="false">
      <c r="I3124" s="15" t="str">
        <f aca="false">IF(N3124="","",INT(N3124))</f>
        <v/>
      </c>
      <c r="J3124" s="16" t="str">
        <f aca="false">IF(B3124="","",IF(N3124=_xlfn.MINIFS($N$2:$N$5001,$B$2:$B$5001,B3124),1,0))</f>
        <v/>
      </c>
      <c r="K3124" s="16" t="str">
        <f aca="false">IF(B3124="","",IF(AND(D3124="Formalização",E3124="Concluído"),IF(COUNTIFS($B$2:$B$5001,B3124,$E$2:$E$5001,"Em ajustes",$N$2:$N$5001,"&lt;"&amp;I3124)&gt;0,1,0),0))</f>
        <v/>
      </c>
      <c r="L3124" s="16" t="str">
        <f aca="false">IF(B3124="","",IF(N3124=_xlfn.MAXIFS($N$2:$N$5001,$B$2:$B$5001,B3124,$I$2:$I$5001,I3124),1,0))</f>
        <v/>
      </c>
      <c r="M3124" s="16" t="str">
        <f aca="false">IF(B3124="","",IF(E3124="Em ajustes",IF(N3124=_xlfn.MINIFS($N$2:$N$5001,$B$2:$B$5001,B3124,$E$2:$E$5001,"Em ajustes"),1,0),0))</f>
        <v/>
      </c>
      <c r="N3124" s="17" t="str">
        <f aca="false">IF(A3124="","",IF(ISNUMBER(A3124),A3124,IFERROR(DATE(VALUE(MID(A3124,7,4)),VALUE(MID(A3124,4,2)),VALUE(MID(A3124,1,2)))+TIME(VALUE(MID(A3124,12,2)),VALUE(MID(A3124,15,2)),VALUE(MID(A3124,18,2))),"")))</f>
        <v/>
      </c>
    </row>
    <row r="3125" customFormat="false" ht="15" hidden="false" customHeight="false" outlineLevel="0" collapsed="false">
      <c r="I3125" s="15" t="str">
        <f aca="false">IF(N3125="","",INT(N3125))</f>
        <v/>
      </c>
      <c r="J3125" s="16" t="str">
        <f aca="false">IF(B3125="","",IF(N3125=_xlfn.MINIFS($N$2:$N$5001,$B$2:$B$5001,B3125),1,0))</f>
        <v/>
      </c>
      <c r="K3125" s="16" t="str">
        <f aca="false">IF(B3125="","",IF(AND(D3125="Formalização",E3125="Concluído"),IF(COUNTIFS($B$2:$B$5001,B3125,$E$2:$E$5001,"Em ajustes",$N$2:$N$5001,"&lt;"&amp;I3125)&gt;0,1,0),0))</f>
        <v/>
      </c>
      <c r="L3125" s="16" t="str">
        <f aca="false">IF(B3125="","",IF(N3125=_xlfn.MAXIFS($N$2:$N$5001,$B$2:$B$5001,B3125,$I$2:$I$5001,I3125),1,0))</f>
        <v/>
      </c>
      <c r="M3125" s="16" t="str">
        <f aca="false">IF(B3125="","",IF(E3125="Em ajustes",IF(N3125=_xlfn.MINIFS($N$2:$N$5001,$B$2:$B$5001,B3125,$E$2:$E$5001,"Em ajustes"),1,0),0))</f>
        <v/>
      </c>
      <c r="N3125" s="17" t="str">
        <f aca="false">IF(A3125="","",IF(ISNUMBER(A3125),A3125,IFERROR(DATE(VALUE(MID(A3125,7,4)),VALUE(MID(A3125,4,2)),VALUE(MID(A3125,1,2)))+TIME(VALUE(MID(A3125,12,2)),VALUE(MID(A3125,15,2)),VALUE(MID(A3125,18,2))),"")))</f>
        <v/>
      </c>
    </row>
    <row r="3126" customFormat="false" ht="15" hidden="false" customHeight="false" outlineLevel="0" collapsed="false">
      <c r="I3126" s="15" t="str">
        <f aca="false">IF(N3126="","",INT(N3126))</f>
        <v/>
      </c>
      <c r="J3126" s="16" t="str">
        <f aca="false">IF(B3126="","",IF(N3126=_xlfn.MINIFS($N$2:$N$5001,$B$2:$B$5001,B3126),1,0))</f>
        <v/>
      </c>
      <c r="K3126" s="16" t="str">
        <f aca="false">IF(B3126="","",IF(AND(D3126="Formalização",E3126="Concluído"),IF(COUNTIFS($B$2:$B$5001,B3126,$E$2:$E$5001,"Em ajustes",$N$2:$N$5001,"&lt;"&amp;I3126)&gt;0,1,0),0))</f>
        <v/>
      </c>
      <c r="L3126" s="16" t="str">
        <f aca="false">IF(B3126="","",IF(N3126=_xlfn.MAXIFS($N$2:$N$5001,$B$2:$B$5001,B3126,$I$2:$I$5001,I3126),1,0))</f>
        <v/>
      </c>
      <c r="M3126" s="16" t="str">
        <f aca="false">IF(B3126="","",IF(E3126="Em ajustes",IF(N3126=_xlfn.MINIFS($N$2:$N$5001,$B$2:$B$5001,B3126,$E$2:$E$5001,"Em ajustes"),1,0),0))</f>
        <v/>
      </c>
      <c r="N3126" s="17" t="str">
        <f aca="false">IF(A3126="","",IF(ISNUMBER(A3126),A3126,IFERROR(DATE(VALUE(MID(A3126,7,4)),VALUE(MID(A3126,4,2)),VALUE(MID(A3126,1,2)))+TIME(VALUE(MID(A3126,12,2)),VALUE(MID(A3126,15,2)),VALUE(MID(A3126,18,2))),"")))</f>
        <v/>
      </c>
    </row>
    <row r="3127" customFormat="false" ht="15" hidden="false" customHeight="false" outlineLevel="0" collapsed="false">
      <c r="I3127" s="15" t="str">
        <f aca="false">IF(N3127="","",INT(N3127))</f>
        <v/>
      </c>
      <c r="J3127" s="16" t="str">
        <f aca="false">IF(B3127="","",IF(N3127=_xlfn.MINIFS($N$2:$N$5001,$B$2:$B$5001,B3127),1,0))</f>
        <v/>
      </c>
      <c r="K3127" s="16" t="str">
        <f aca="false">IF(B3127="","",IF(AND(D3127="Formalização",E3127="Concluído"),IF(COUNTIFS($B$2:$B$5001,B3127,$E$2:$E$5001,"Em ajustes",$N$2:$N$5001,"&lt;"&amp;I3127)&gt;0,1,0),0))</f>
        <v/>
      </c>
      <c r="L3127" s="16" t="str">
        <f aca="false">IF(B3127="","",IF(N3127=_xlfn.MAXIFS($N$2:$N$5001,$B$2:$B$5001,B3127,$I$2:$I$5001,I3127),1,0))</f>
        <v/>
      </c>
      <c r="M3127" s="16" t="str">
        <f aca="false">IF(B3127="","",IF(E3127="Em ajustes",IF(N3127=_xlfn.MINIFS($N$2:$N$5001,$B$2:$B$5001,B3127,$E$2:$E$5001,"Em ajustes"),1,0),0))</f>
        <v/>
      </c>
      <c r="N3127" s="17" t="str">
        <f aca="false">IF(A3127="","",IF(ISNUMBER(A3127),A3127,IFERROR(DATE(VALUE(MID(A3127,7,4)),VALUE(MID(A3127,4,2)),VALUE(MID(A3127,1,2)))+TIME(VALUE(MID(A3127,12,2)),VALUE(MID(A3127,15,2)),VALUE(MID(A3127,18,2))),"")))</f>
        <v/>
      </c>
    </row>
    <row r="3128" customFormat="false" ht="15" hidden="false" customHeight="false" outlineLevel="0" collapsed="false">
      <c r="I3128" s="15" t="str">
        <f aca="false">IF(N3128="","",INT(N3128))</f>
        <v/>
      </c>
      <c r="J3128" s="16" t="str">
        <f aca="false">IF(B3128="","",IF(N3128=_xlfn.MINIFS($N$2:$N$5001,$B$2:$B$5001,B3128),1,0))</f>
        <v/>
      </c>
      <c r="K3128" s="16" t="str">
        <f aca="false">IF(B3128="","",IF(AND(D3128="Formalização",E3128="Concluído"),IF(COUNTIFS($B$2:$B$5001,B3128,$E$2:$E$5001,"Em ajustes",$N$2:$N$5001,"&lt;"&amp;I3128)&gt;0,1,0),0))</f>
        <v/>
      </c>
      <c r="L3128" s="16" t="str">
        <f aca="false">IF(B3128="","",IF(N3128=_xlfn.MAXIFS($N$2:$N$5001,$B$2:$B$5001,B3128,$I$2:$I$5001,I3128),1,0))</f>
        <v/>
      </c>
      <c r="M3128" s="16" t="str">
        <f aca="false">IF(B3128="","",IF(E3128="Em ajustes",IF(N3128=_xlfn.MINIFS($N$2:$N$5001,$B$2:$B$5001,B3128,$E$2:$E$5001,"Em ajustes"),1,0),0))</f>
        <v/>
      </c>
      <c r="N3128" s="17" t="str">
        <f aca="false">IF(A3128="","",IF(ISNUMBER(A3128),A3128,IFERROR(DATE(VALUE(MID(A3128,7,4)),VALUE(MID(A3128,4,2)),VALUE(MID(A3128,1,2)))+TIME(VALUE(MID(A3128,12,2)),VALUE(MID(A3128,15,2)),VALUE(MID(A3128,18,2))),"")))</f>
        <v/>
      </c>
    </row>
    <row r="3129" customFormat="false" ht="15" hidden="false" customHeight="false" outlineLevel="0" collapsed="false">
      <c r="I3129" s="15" t="str">
        <f aca="false">IF(N3129="","",INT(N3129))</f>
        <v/>
      </c>
      <c r="J3129" s="16" t="str">
        <f aca="false">IF(B3129="","",IF(N3129=_xlfn.MINIFS($N$2:$N$5001,$B$2:$B$5001,B3129),1,0))</f>
        <v/>
      </c>
      <c r="K3129" s="16" t="str">
        <f aca="false">IF(B3129="","",IF(AND(D3129="Formalização",E3129="Concluído"),IF(COUNTIFS($B$2:$B$5001,B3129,$E$2:$E$5001,"Em ajustes",$N$2:$N$5001,"&lt;"&amp;I3129)&gt;0,1,0),0))</f>
        <v/>
      </c>
      <c r="L3129" s="16" t="str">
        <f aca="false">IF(B3129="","",IF(N3129=_xlfn.MAXIFS($N$2:$N$5001,$B$2:$B$5001,B3129,$I$2:$I$5001,I3129),1,0))</f>
        <v/>
      </c>
      <c r="M3129" s="16" t="str">
        <f aca="false">IF(B3129="","",IF(E3129="Em ajustes",IF(N3129=_xlfn.MINIFS($N$2:$N$5001,$B$2:$B$5001,B3129,$E$2:$E$5001,"Em ajustes"),1,0),0))</f>
        <v/>
      </c>
      <c r="N3129" s="17" t="str">
        <f aca="false">IF(A3129="","",IF(ISNUMBER(A3129),A3129,IFERROR(DATE(VALUE(MID(A3129,7,4)),VALUE(MID(A3129,4,2)),VALUE(MID(A3129,1,2)))+TIME(VALUE(MID(A3129,12,2)),VALUE(MID(A3129,15,2)),VALUE(MID(A3129,18,2))),"")))</f>
        <v/>
      </c>
    </row>
    <row r="3130" customFormat="false" ht="15" hidden="false" customHeight="false" outlineLevel="0" collapsed="false">
      <c r="I3130" s="15" t="str">
        <f aca="false">IF(N3130="","",INT(N3130))</f>
        <v/>
      </c>
      <c r="J3130" s="16" t="str">
        <f aca="false">IF(B3130="","",IF(N3130=_xlfn.MINIFS($N$2:$N$5001,$B$2:$B$5001,B3130),1,0))</f>
        <v/>
      </c>
      <c r="K3130" s="16" t="str">
        <f aca="false">IF(B3130="","",IF(AND(D3130="Formalização",E3130="Concluído"),IF(COUNTIFS($B$2:$B$5001,B3130,$E$2:$E$5001,"Em ajustes",$N$2:$N$5001,"&lt;"&amp;I3130)&gt;0,1,0),0))</f>
        <v/>
      </c>
      <c r="L3130" s="16" t="str">
        <f aca="false">IF(B3130="","",IF(N3130=_xlfn.MAXIFS($N$2:$N$5001,$B$2:$B$5001,B3130,$I$2:$I$5001,I3130),1,0))</f>
        <v/>
      </c>
      <c r="M3130" s="16" t="str">
        <f aca="false">IF(B3130="","",IF(E3130="Em ajustes",IF(N3130=_xlfn.MINIFS($N$2:$N$5001,$B$2:$B$5001,B3130,$E$2:$E$5001,"Em ajustes"),1,0),0))</f>
        <v/>
      </c>
      <c r="N3130" s="17" t="str">
        <f aca="false">IF(A3130="","",IF(ISNUMBER(A3130),A3130,IFERROR(DATE(VALUE(MID(A3130,7,4)),VALUE(MID(A3130,4,2)),VALUE(MID(A3130,1,2)))+TIME(VALUE(MID(A3130,12,2)),VALUE(MID(A3130,15,2)),VALUE(MID(A3130,18,2))),"")))</f>
        <v/>
      </c>
    </row>
    <row r="3131" customFormat="false" ht="15" hidden="false" customHeight="false" outlineLevel="0" collapsed="false">
      <c r="I3131" s="15" t="str">
        <f aca="false">IF(N3131="","",INT(N3131))</f>
        <v/>
      </c>
      <c r="J3131" s="16" t="str">
        <f aca="false">IF(B3131="","",IF(N3131=_xlfn.MINIFS($N$2:$N$5001,$B$2:$B$5001,B3131),1,0))</f>
        <v/>
      </c>
      <c r="K3131" s="16" t="str">
        <f aca="false">IF(B3131="","",IF(AND(D3131="Formalização",E3131="Concluído"),IF(COUNTIFS($B$2:$B$5001,B3131,$E$2:$E$5001,"Em ajustes",$N$2:$N$5001,"&lt;"&amp;I3131)&gt;0,1,0),0))</f>
        <v/>
      </c>
      <c r="L3131" s="16" t="str">
        <f aca="false">IF(B3131="","",IF(N3131=_xlfn.MAXIFS($N$2:$N$5001,$B$2:$B$5001,B3131,$I$2:$I$5001,I3131),1,0))</f>
        <v/>
      </c>
      <c r="M3131" s="16" t="str">
        <f aca="false">IF(B3131="","",IF(E3131="Em ajustes",IF(N3131=_xlfn.MINIFS($N$2:$N$5001,$B$2:$B$5001,B3131,$E$2:$E$5001,"Em ajustes"),1,0),0))</f>
        <v/>
      </c>
      <c r="N3131" s="17" t="str">
        <f aca="false">IF(A3131="","",IF(ISNUMBER(A3131),A3131,IFERROR(DATE(VALUE(MID(A3131,7,4)),VALUE(MID(A3131,4,2)),VALUE(MID(A3131,1,2)))+TIME(VALUE(MID(A3131,12,2)),VALUE(MID(A3131,15,2)),VALUE(MID(A3131,18,2))),"")))</f>
        <v/>
      </c>
    </row>
    <row r="3132" customFormat="false" ht="15" hidden="false" customHeight="false" outlineLevel="0" collapsed="false">
      <c r="I3132" s="15" t="str">
        <f aca="false">IF(N3132="","",INT(N3132))</f>
        <v/>
      </c>
      <c r="J3132" s="16" t="str">
        <f aca="false">IF(B3132="","",IF(N3132=_xlfn.MINIFS($N$2:$N$5001,$B$2:$B$5001,B3132),1,0))</f>
        <v/>
      </c>
      <c r="K3132" s="16" t="str">
        <f aca="false">IF(B3132="","",IF(AND(D3132="Formalização",E3132="Concluído"),IF(COUNTIFS($B$2:$B$5001,B3132,$E$2:$E$5001,"Em ajustes",$N$2:$N$5001,"&lt;"&amp;I3132)&gt;0,1,0),0))</f>
        <v/>
      </c>
      <c r="L3132" s="16" t="str">
        <f aca="false">IF(B3132="","",IF(N3132=_xlfn.MAXIFS($N$2:$N$5001,$B$2:$B$5001,B3132,$I$2:$I$5001,I3132),1,0))</f>
        <v/>
      </c>
      <c r="M3132" s="16" t="str">
        <f aca="false">IF(B3132="","",IF(E3132="Em ajustes",IF(N3132=_xlfn.MINIFS($N$2:$N$5001,$B$2:$B$5001,B3132,$E$2:$E$5001,"Em ajustes"),1,0),0))</f>
        <v/>
      </c>
      <c r="N3132" s="17" t="str">
        <f aca="false">IF(A3132="","",IF(ISNUMBER(A3132),A3132,IFERROR(DATE(VALUE(MID(A3132,7,4)),VALUE(MID(A3132,4,2)),VALUE(MID(A3132,1,2)))+TIME(VALUE(MID(A3132,12,2)),VALUE(MID(A3132,15,2)),VALUE(MID(A3132,18,2))),"")))</f>
        <v/>
      </c>
    </row>
    <row r="3133" customFormat="false" ht="15" hidden="false" customHeight="false" outlineLevel="0" collapsed="false">
      <c r="I3133" s="15" t="str">
        <f aca="false">IF(N3133="","",INT(N3133))</f>
        <v/>
      </c>
      <c r="J3133" s="16" t="str">
        <f aca="false">IF(B3133="","",IF(N3133=_xlfn.MINIFS($N$2:$N$5001,$B$2:$B$5001,B3133),1,0))</f>
        <v/>
      </c>
      <c r="K3133" s="16" t="str">
        <f aca="false">IF(B3133="","",IF(AND(D3133="Formalização",E3133="Concluído"),IF(COUNTIFS($B$2:$B$5001,B3133,$E$2:$E$5001,"Em ajustes",$N$2:$N$5001,"&lt;"&amp;I3133)&gt;0,1,0),0))</f>
        <v/>
      </c>
      <c r="L3133" s="16" t="str">
        <f aca="false">IF(B3133="","",IF(N3133=_xlfn.MAXIFS($N$2:$N$5001,$B$2:$B$5001,B3133,$I$2:$I$5001,I3133),1,0))</f>
        <v/>
      </c>
      <c r="M3133" s="16" t="str">
        <f aca="false">IF(B3133="","",IF(E3133="Em ajustes",IF(N3133=_xlfn.MINIFS($N$2:$N$5001,$B$2:$B$5001,B3133,$E$2:$E$5001,"Em ajustes"),1,0),0))</f>
        <v/>
      </c>
      <c r="N3133" s="17" t="str">
        <f aca="false">IF(A3133="","",IF(ISNUMBER(A3133),A3133,IFERROR(DATE(VALUE(MID(A3133,7,4)),VALUE(MID(A3133,4,2)),VALUE(MID(A3133,1,2)))+TIME(VALUE(MID(A3133,12,2)),VALUE(MID(A3133,15,2)),VALUE(MID(A3133,18,2))),"")))</f>
        <v/>
      </c>
    </row>
    <row r="3134" customFormat="false" ht="15" hidden="false" customHeight="false" outlineLevel="0" collapsed="false">
      <c r="I3134" s="15" t="str">
        <f aca="false">IF(N3134="","",INT(N3134))</f>
        <v/>
      </c>
      <c r="J3134" s="16" t="str">
        <f aca="false">IF(B3134="","",IF(N3134=_xlfn.MINIFS($N$2:$N$5001,$B$2:$B$5001,B3134),1,0))</f>
        <v/>
      </c>
      <c r="K3134" s="16" t="str">
        <f aca="false">IF(B3134="","",IF(AND(D3134="Formalização",E3134="Concluído"),IF(COUNTIFS($B$2:$B$5001,B3134,$E$2:$E$5001,"Em ajustes",$N$2:$N$5001,"&lt;"&amp;I3134)&gt;0,1,0),0))</f>
        <v/>
      </c>
      <c r="L3134" s="16" t="str">
        <f aca="false">IF(B3134="","",IF(N3134=_xlfn.MAXIFS($N$2:$N$5001,$B$2:$B$5001,B3134,$I$2:$I$5001,I3134),1,0))</f>
        <v/>
      </c>
      <c r="M3134" s="16" t="str">
        <f aca="false">IF(B3134="","",IF(E3134="Em ajustes",IF(N3134=_xlfn.MINIFS($N$2:$N$5001,$B$2:$B$5001,B3134,$E$2:$E$5001,"Em ajustes"),1,0),0))</f>
        <v/>
      </c>
      <c r="N3134" s="17" t="str">
        <f aca="false">IF(A3134="","",IF(ISNUMBER(A3134),A3134,IFERROR(DATE(VALUE(MID(A3134,7,4)),VALUE(MID(A3134,4,2)),VALUE(MID(A3134,1,2)))+TIME(VALUE(MID(A3134,12,2)),VALUE(MID(A3134,15,2)),VALUE(MID(A3134,18,2))),"")))</f>
        <v/>
      </c>
    </row>
    <row r="3135" customFormat="false" ht="15" hidden="false" customHeight="false" outlineLevel="0" collapsed="false">
      <c r="I3135" s="15" t="str">
        <f aca="false">IF(N3135="","",INT(N3135))</f>
        <v/>
      </c>
      <c r="J3135" s="16" t="str">
        <f aca="false">IF(B3135="","",IF(N3135=_xlfn.MINIFS($N$2:$N$5001,$B$2:$B$5001,B3135),1,0))</f>
        <v/>
      </c>
      <c r="K3135" s="16" t="str">
        <f aca="false">IF(B3135="","",IF(AND(D3135="Formalização",E3135="Concluído"),IF(COUNTIFS($B$2:$B$5001,B3135,$E$2:$E$5001,"Em ajustes",$N$2:$N$5001,"&lt;"&amp;I3135)&gt;0,1,0),0))</f>
        <v/>
      </c>
      <c r="L3135" s="16" t="str">
        <f aca="false">IF(B3135="","",IF(N3135=_xlfn.MAXIFS($N$2:$N$5001,$B$2:$B$5001,B3135,$I$2:$I$5001,I3135),1,0))</f>
        <v/>
      </c>
      <c r="M3135" s="16" t="str">
        <f aca="false">IF(B3135="","",IF(E3135="Em ajustes",IF(N3135=_xlfn.MINIFS($N$2:$N$5001,$B$2:$B$5001,B3135,$E$2:$E$5001,"Em ajustes"),1,0),0))</f>
        <v/>
      </c>
      <c r="N3135" s="17" t="str">
        <f aca="false">IF(A3135="","",IF(ISNUMBER(A3135),A3135,IFERROR(DATE(VALUE(MID(A3135,7,4)),VALUE(MID(A3135,4,2)),VALUE(MID(A3135,1,2)))+TIME(VALUE(MID(A3135,12,2)),VALUE(MID(A3135,15,2)),VALUE(MID(A3135,18,2))),"")))</f>
        <v/>
      </c>
    </row>
    <row r="3136" customFormat="false" ht="15" hidden="false" customHeight="false" outlineLevel="0" collapsed="false">
      <c r="I3136" s="15" t="str">
        <f aca="false">IF(N3136="","",INT(N3136))</f>
        <v/>
      </c>
      <c r="J3136" s="16" t="str">
        <f aca="false">IF(B3136="","",IF(N3136=_xlfn.MINIFS($N$2:$N$5001,$B$2:$B$5001,B3136),1,0))</f>
        <v/>
      </c>
      <c r="K3136" s="16" t="str">
        <f aca="false">IF(B3136="","",IF(AND(D3136="Formalização",E3136="Concluído"),IF(COUNTIFS($B$2:$B$5001,B3136,$E$2:$E$5001,"Em ajustes",$N$2:$N$5001,"&lt;"&amp;I3136)&gt;0,1,0),0))</f>
        <v/>
      </c>
      <c r="L3136" s="16" t="str">
        <f aca="false">IF(B3136="","",IF(N3136=_xlfn.MAXIFS($N$2:$N$5001,$B$2:$B$5001,B3136,$I$2:$I$5001,I3136),1,0))</f>
        <v/>
      </c>
      <c r="M3136" s="16" t="str">
        <f aca="false">IF(B3136="","",IF(E3136="Em ajustes",IF(N3136=_xlfn.MINIFS($N$2:$N$5001,$B$2:$B$5001,B3136,$E$2:$E$5001,"Em ajustes"),1,0),0))</f>
        <v/>
      </c>
      <c r="N3136" s="17" t="str">
        <f aca="false">IF(A3136="","",IF(ISNUMBER(A3136),A3136,IFERROR(DATE(VALUE(MID(A3136,7,4)),VALUE(MID(A3136,4,2)),VALUE(MID(A3136,1,2)))+TIME(VALUE(MID(A3136,12,2)),VALUE(MID(A3136,15,2)),VALUE(MID(A3136,18,2))),"")))</f>
        <v/>
      </c>
    </row>
    <row r="3137" customFormat="false" ht="15" hidden="false" customHeight="false" outlineLevel="0" collapsed="false">
      <c r="I3137" s="15" t="str">
        <f aca="false">IF(N3137="","",INT(N3137))</f>
        <v/>
      </c>
      <c r="J3137" s="16" t="str">
        <f aca="false">IF(B3137="","",IF(N3137=_xlfn.MINIFS($N$2:$N$5001,$B$2:$B$5001,B3137),1,0))</f>
        <v/>
      </c>
      <c r="K3137" s="16" t="str">
        <f aca="false">IF(B3137="","",IF(AND(D3137="Formalização",E3137="Concluído"),IF(COUNTIFS($B$2:$B$5001,B3137,$E$2:$E$5001,"Em ajustes",$N$2:$N$5001,"&lt;"&amp;I3137)&gt;0,1,0),0))</f>
        <v/>
      </c>
      <c r="L3137" s="16" t="str">
        <f aca="false">IF(B3137="","",IF(N3137=_xlfn.MAXIFS($N$2:$N$5001,$B$2:$B$5001,B3137,$I$2:$I$5001,I3137),1,0))</f>
        <v/>
      </c>
      <c r="M3137" s="16" t="str">
        <f aca="false">IF(B3137="","",IF(E3137="Em ajustes",IF(N3137=_xlfn.MINIFS($N$2:$N$5001,$B$2:$B$5001,B3137,$E$2:$E$5001,"Em ajustes"),1,0),0))</f>
        <v/>
      </c>
      <c r="N3137" s="17" t="str">
        <f aca="false">IF(A3137="","",IF(ISNUMBER(A3137),A3137,IFERROR(DATE(VALUE(MID(A3137,7,4)),VALUE(MID(A3137,4,2)),VALUE(MID(A3137,1,2)))+TIME(VALUE(MID(A3137,12,2)),VALUE(MID(A3137,15,2)),VALUE(MID(A3137,18,2))),"")))</f>
        <v/>
      </c>
    </row>
    <row r="3138" customFormat="false" ht="15" hidden="false" customHeight="false" outlineLevel="0" collapsed="false">
      <c r="I3138" s="15" t="str">
        <f aca="false">IF(N3138="","",INT(N3138))</f>
        <v/>
      </c>
      <c r="J3138" s="16" t="str">
        <f aca="false">IF(B3138="","",IF(N3138=_xlfn.MINIFS($N$2:$N$5001,$B$2:$B$5001,B3138),1,0))</f>
        <v/>
      </c>
      <c r="K3138" s="16" t="str">
        <f aca="false">IF(B3138="","",IF(AND(D3138="Formalização",E3138="Concluído"),IF(COUNTIFS($B$2:$B$5001,B3138,$E$2:$E$5001,"Em ajustes",$N$2:$N$5001,"&lt;"&amp;I3138)&gt;0,1,0),0))</f>
        <v/>
      </c>
      <c r="L3138" s="16" t="str">
        <f aca="false">IF(B3138="","",IF(N3138=_xlfn.MAXIFS($N$2:$N$5001,$B$2:$B$5001,B3138,$I$2:$I$5001,I3138),1,0))</f>
        <v/>
      </c>
      <c r="M3138" s="16" t="str">
        <f aca="false">IF(B3138="","",IF(E3138="Em ajustes",IF(N3138=_xlfn.MINIFS($N$2:$N$5001,$B$2:$B$5001,B3138,$E$2:$E$5001,"Em ajustes"),1,0),0))</f>
        <v/>
      </c>
      <c r="N3138" s="17" t="str">
        <f aca="false">IF(A3138="","",IF(ISNUMBER(A3138),A3138,IFERROR(DATE(VALUE(MID(A3138,7,4)),VALUE(MID(A3138,4,2)),VALUE(MID(A3138,1,2)))+TIME(VALUE(MID(A3138,12,2)),VALUE(MID(A3138,15,2)),VALUE(MID(A3138,18,2))),"")))</f>
        <v/>
      </c>
    </row>
    <row r="3139" customFormat="false" ht="15" hidden="false" customHeight="false" outlineLevel="0" collapsed="false">
      <c r="I3139" s="15" t="str">
        <f aca="false">IF(N3139="","",INT(N3139))</f>
        <v/>
      </c>
      <c r="J3139" s="16" t="str">
        <f aca="false">IF(B3139="","",IF(N3139=_xlfn.MINIFS($N$2:$N$5001,$B$2:$B$5001,B3139),1,0))</f>
        <v/>
      </c>
      <c r="K3139" s="16" t="str">
        <f aca="false">IF(B3139="","",IF(AND(D3139="Formalização",E3139="Concluído"),IF(COUNTIFS($B$2:$B$5001,B3139,$E$2:$E$5001,"Em ajustes",$N$2:$N$5001,"&lt;"&amp;I3139)&gt;0,1,0),0))</f>
        <v/>
      </c>
      <c r="L3139" s="16" t="str">
        <f aca="false">IF(B3139="","",IF(N3139=_xlfn.MAXIFS($N$2:$N$5001,$B$2:$B$5001,B3139,$I$2:$I$5001,I3139),1,0))</f>
        <v/>
      </c>
      <c r="M3139" s="16" t="str">
        <f aca="false">IF(B3139="","",IF(E3139="Em ajustes",IF(N3139=_xlfn.MINIFS($N$2:$N$5001,$B$2:$B$5001,B3139,$E$2:$E$5001,"Em ajustes"),1,0),0))</f>
        <v/>
      </c>
      <c r="N3139" s="17" t="str">
        <f aca="false">IF(A3139="","",IF(ISNUMBER(A3139),A3139,IFERROR(DATE(VALUE(MID(A3139,7,4)),VALUE(MID(A3139,4,2)),VALUE(MID(A3139,1,2)))+TIME(VALUE(MID(A3139,12,2)),VALUE(MID(A3139,15,2)),VALUE(MID(A3139,18,2))),"")))</f>
        <v/>
      </c>
    </row>
    <row r="3140" customFormat="false" ht="15" hidden="false" customHeight="false" outlineLevel="0" collapsed="false">
      <c r="I3140" s="15" t="str">
        <f aca="false">IF(N3140="","",INT(N3140))</f>
        <v/>
      </c>
      <c r="J3140" s="16" t="str">
        <f aca="false">IF(B3140="","",IF(N3140=_xlfn.MINIFS($N$2:$N$5001,$B$2:$B$5001,B3140),1,0))</f>
        <v/>
      </c>
      <c r="K3140" s="16" t="str">
        <f aca="false">IF(B3140="","",IF(AND(D3140="Formalização",E3140="Concluído"),IF(COUNTIFS($B$2:$B$5001,B3140,$E$2:$E$5001,"Em ajustes",$N$2:$N$5001,"&lt;"&amp;I3140)&gt;0,1,0),0))</f>
        <v/>
      </c>
      <c r="L3140" s="16" t="str">
        <f aca="false">IF(B3140="","",IF(N3140=_xlfn.MAXIFS($N$2:$N$5001,$B$2:$B$5001,B3140,$I$2:$I$5001,I3140),1,0))</f>
        <v/>
      </c>
      <c r="M3140" s="16" t="str">
        <f aca="false">IF(B3140="","",IF(E3140="Em ajustes",IF(N3140=_xlfn.MINIFS($N$2:$N$5001,$B$2:$B$5001,B3140,$E$2:$E$5001,"Em ajustes"),1,0),0))</f>
        <v/>
      </c>
      <c r="N3140" s="17" t="str">
        <f aca="false">IF(A3140="","",IF(ISNUMBER(A3140),A3140,IFERROR(DATE(VALUE(MID(A3140,7,4)),VALUE(MID(A3140,4,2)),VALUE(MID(A3140,1,2)))+TIME(VALUE(MID(A3140,12,2)),VALUE(MID(A3140,15,2)),VALUE(MID(A3140,18,2))),"")))</f>
        <v/>
      </c>
    </row>
    <row r="3141" customFormat="false" ht="15" hidden="false" customHeight="false" outlineLevel="0" collapsed="false">
      <c r="I3141" s="15" t="str">
        <f aca="false">IF(N3141="","",INT(N3141))</f>
        <v/>
      </c>
      <c r="J3141" s="16" t="str">
        <f aca="false">IF(B3141="","",IF(N3141=_xlfn.MINIFS($N$2:$N$5001,$B$2:$B$5001,B3141),1,0))</f>
        <v/>
      </c>
      <c r="K3141" s="16" t="str">
        <f aca="false">IF(B3141="","",IF(AND(D3141="Formalização",E3141="Concluído"),IF(COUNTIFS($B$2:$B$5001,B3141,$E$2:$E$5001,"Em ajustes",$N$2:$N$5001,"&lt;"&amp;I3141)&gt;0,1,0),0))</f>
        <v/>
      </c>
      <c r="L3141" s="16" t="str">
        <f aca="false">IF(B3141="","",IF(N3141=_xlfn.MAXIFS($N$2:$N$5001,$B$2:$B$5001,B3141,$I$2:$I$5001,I3141),1,0))</f>
        <v/>
      </c>
      <c r="M3141" s="16" t="str">
        <f aca="false">IF(B3141="","",IF(E3141="Em ajustes",IF(N3141=_xlfn.MINIFS($N$2:$N$5001,$B$2:$B$5001,B3141,$E$2:$E$5001,"Em ajustes"),1,0),0))</f>
        <v/>
      </c>
      <c r="N3141" s="17" t="str">
        <f aca="false">IF(A3141="","",IF(ISNUMBER(A3141),A3141,IFERROR(DATE(VALUE(MID(A3141,7,4)),VALUE(MID(A3141,4,2)),VALUE(MID(A3141,1,2)))+TIME(VALUE(MID(A3141,12,2)),VALUE(MID(A3141,15,2)),VALUE(MID(A3141,18,2))),"")))</f>
        <v/>
      </c>
    </row>
    <row r="3142" customFormat="false" ht="15" hidden="false" customHeight="false" outlineLevel="0" collapsed="false">
      <c r="I3142" s="15" t="str">
        <f aca="false">IF(N3142="","",INT(N3142))</f>
        <v/>
      </c>
      <c r="J3142" s="16" t="str">
        <f aca="false">IF(B3142="","",IF(N3142=_xlfn.MINIFS($N$2:$N$5001,$B$2:$B$5001,B3142),1,0))</f>
        <v/>
      </c>
      <c r="K3142" s="16" t="str">
        <f aca="false">IF(B3142="","",IF(AND(D3142="Formalização",E3142="Concluído"),IF(COUNTIFS($B$2:$B$5001,B3142,$E$2:$E$5001,"Em ajustes",$N$2:$N$5001,"&lt;"&amp;I3142)&gt;0,1,0),0))</f>
        <v/>
      </c>
      <c r="L3142" s="16" t="str">
        <f aca="false">IF(B3142="","",IF(N3142=_xlfn.MAXIFS($N$2:$N$5001,$B$2:$B$5001,B3142,$I$2:$I$5001,I3142),1,0))</f>
        <v/>
      </c>
      <c r="M3142" s="16" t="str">
        <f aca="false">IF(B3142="","",IF(E3142="Em ajustes",IF(N3142=_xlfn.MINIFS($N$2:$N$5001,$B$2:$B$5001,B3142,$E$2:$E$5001,"Em ajustes"),1,0),0))</f>
        <v/>
      </c>
      <c r="N3142" s="17" t="str">
        <f aca="false">IF(A3142="","",IF(ISNUMBER(A3142),A3142,IFERROR(DATE(VALUE(MID(A3142,7,4)),VALUE(MID(A3142,4,2)),VALUE(MID(A3142,1,2)))+TIME(VALUE(MID(A3142,12,2)),VALUE(MID(A3142,15,2)),VALUE(MID(A3142,18,2))),"")))</f>
        <v/>
      </c>
    </row>
    <row r="3143" customFormat="false" ht="15" hidden="false" customHeight="false" outlineLevel="0" collapsed="false">
      <c r="I3143" s="15" t="str">
        <f aca="false">IF(N3143="","",INT(N3143))</f>
        <v/>
      </c>
      <c r="J3143" s="16" t="str">
        <f aca="false">IF(B3143="","",IF(N3143=_xlfn.MINIFS($N$2:$N$5001,$B$2:$B$5001,B3143),1,0))</f>
        <v/>
      </c>
      <c r="K3143" s="16" t="str">
        <f aca="false">IF(B3143="","",IF(AND(D3143="Formalização",E3143="Concluído"),IF(COUNTIFS($B$2:$B$5001,B3143,$E$2:$E$5001,"Em ajustes",$N$2:$N$5001,"&lt;"&amp;I3143)&gt;0,1,0),0))</f>
        <v/>
      </c>
      <c r="L3143" s="16" t="str">
        <f aca="false">IF(B3143="","",IF(N3143=_xlfn.MAXIFS($N$2:$N$5001,$B$2:$B$5001,B3143,$I$2:$I$5001,I3143),1,0))</f>
        <v/>
      </c>
      <c r="M3143" s="16" t="str">
        <f aca="false">IF(B3143="","",IF(E3143="Em ajustes",IF(N3143=_xlfn.MINIFS($N$2:$N$5001,$B$2:$B$5001,B3143,$E$2:$E$5001,"Em ajustes"),1,0),0))</f>
        <v/>
      </c>
      <c r="N3143" s="17" t="str">
        <f aca="false">IF(A3143="","",IF(ISNUMBER(A3143),A3143,IFERROR(DATE(VALUE(MID(A3143,7,4)),VALUE(MID(A3143,4,2)),VALUE(MID(A3143,1,2)))+TIME(VALUE(MID(A3143,12,2)),VALUE(MID(A3143,15,2)),VALUE(MID(A3143,18,2))),"")))</f>
        <v/>
      </c>
    </row>
    <row r="3144" customFormat="false" ht="15" hidden="false" customHeight="false" outlineLevel="0" collapsed="false">
      <c r="I3144" s="15" t="str">
        <f aca="false">IF(N3144="","",INT(N3144))</f>
        <v/>
      </c>
      <c r="J3144" s="16" t="str">
        <f aca="false">IF(B3144="","",IF(N3144=_xlfn.MINIFS($N$2:$N$5001,$B$2:$B$5001,B3144),1,0))</f>
        <v/>
      </c>
      <c r="K3144" s="16" t="str">
        <f aca="false">IF(B3144="","",IF(AND(D3144="Formalização",E3144="Concluído"),IF(COUNTIFS($B$2:$B$5001,B3144,$E$2:$E$5001,"Em ajustes",$N$2:$N$5001,"&lt;"&amp;I3144)&gt;0,1,0),0))</f>
        <v/>
      </c>
      <c r="L3144" s="16" t="str">
        <f aca="false">IF(B3144="","",IF(N3144=_xlfn.MAXIFS($N$2:$N$5001,$B$2:$B$5001,B3144,$I$2:$I$5001,I3144),1,0))</f>
        <v/>
      </c>
      <c r="M3144" s="16" t="str">
        <f aca="false">IF(B3144="","",IF(E3144="Em ajustes",IF(N3144=_xlfn.MINIFS($N$2:$N$5001,$B$2:$B$5001,B3144,$E$2:$E$5001,"Em ajustes"),1,0),0))</f>
        <v/>
      </c>
      <c r="N3144" s="17" t="str">
        <f aca="false">IF(A3144="","",IF(ISNUMBER(A3144),A3144,IFERROR(DATE(VALUE(MID(A3144,7,4)),VALUE(MID(A3144,4,2)),VALUE(MID(A3144,1,2)))+TIME(VALUE(MID(A3144,12,2)),VALUE(MID(A3144,15,2)),VALUE(MID(A3144,18,2))),"")))</f>
        <v/>
      </c>
    </row>
    <row r="3145" customFormat="false" ht="15" hidden="false" customHeight="false" outlineLevel="0" collapsed="false">
      <c r="I3145" s="15" t="str">
        <f aca="false">IF(N3145="","",INT(N3145))</f>
        <v/>
      </c>
      <c r="J3145" s="16" t="str">
        <f aca="false">IF(B3145="","",IF(N3145=_xlfn.MINIFS($N$2:$N$5001,$B$2:$B$5001,B3145),1,0))</f>
        <v/>
      </c>
      <c r="K3145" s="16" t="str">
        <f aca="false">IF(B3145="","",IF(AND(D3145="Formalização",E3145="Concluído"),IF(COUNTIFS($B$2:$B$5001,B3145,$E$2:$E$5001,"Em ajustes",$N$2:$N$5001,"&lt;"&amp;I3145)&gt;0,1,0),0))</f>
        <v/>
      </c>
      <c r="L3145" s="16" t="str">
        <f aca="false">IF(B3145="","",IF(N3145=_xlfn.MAXIFS($N$2:$N$5001,$B$2:$B$5001,B3145,$I$2:$I$5001,I3145),1,0))</f>
        <v/>
      </c>
      <c r="M3145" s="16" t="str">
        <f aca="false">IF(B3145="","",IF(E3145="Em ajustes",IF(N3145=_xlfn.MINIFS($N$2:$N$5001,$B$2:$B$5001,B3145,$E$2:$E$5001,"Em ajustes"),1,0),0))</f>
        <v/>
      </c>
      <c r="N3145" s="17" t="str">
        <f aca="false">IF(A3145="","",IF(ISNUMBER(A3145),A3145,IFERROR(DATE(VALUE(MID(A3145,7,4)),VALUE(MID(A3145,4,2)),VALUE(MID(A3145,1,2)))+TIME(VALUE(MID(A3145,12,2)),VALUE(MID(A3145,15,2)),VALUE(MID(A3145,18,2))),"")))</f>
        <v/>
      </c>
    </row>
    <row r="3146" customFormat="false" ht="15" hidden="false" customHeight="false" outlineLevel="0" collapsed="false">
      <c r="I3146" s="15" t="str">
        <f aca="false">IF(N3146="","",INT(N3146))</f>
        <v/>
      </c>
      <c r="J3146" s="16" t="str">
        <f aca="false">IF(B3146="","",IF(N3146=_xlfn.MINIFS($N$2:$N$5001,$B$2:$B$5001,B3146),1,0))</f>
        <v/>
      </c>
      <c r="K3146" s="16" t="str">
        <f aca="false">IF(B3146="","",IF(AND(D3146="Formalização",E3146="Concluído"),IF(COUNTIFS($B$2:$B$5001,B3146,$E$2:$E$5001,"Em ajustes",$N$2:$N$5001,"&lt;"&amp;I3146)&gt;0,1,0),0))</f>
        <v/>
      </c>
      <c r="L3146" s="16" t="str">
        <f aca="false">IF(B3146="","",IF(N3146=_xlfn.MAXIFS($N$2:$N$5001,$B$2:$B$5001,B3146,$I$2:$I$5001,I3146),1,0))</f>
        <v/>
      </c>
      <c r="M3146" s="16" t="str">
        <f aca="false">IF(B3146="","",IF(E3146="Em ajustes",IF(N3146=_xlfn.MINIFS($N$2:$N$5001,$B$2:$B$5001,B3146,$E$2:$E$5001,"Em ajustes"),1,0),0))</f>
        <v/>
      </c>
      <c r="N3146" s="17" t="str">
        <f aca="false">IF(A3146="","",IF(ISNUMBER(A3146),A3146,IFERROR(DATE(VALUE(MID(A3146,7,4)),VALUE(MID(A3146,4,2)),VALUE(MID(A3146,1,2)))+TIME(VALUE(MID(A3146,12,2)),VALUE(MID(A3146,15,2)),VALUE(MID(A3146,18,2))),"")))</f>
        <v/>
      </c>
    </row>
    <row r="3147" customFormat="false" ht="15" hidden="false" customHeight="false" outlineLevel="0" collapsed="false">
      <c r="I3147" s="15" t="str">
        <f aca="false">IF(N3147="","",INT(N3147))</f>
        <v/>
      </c>
      <c r="J3147" s="16" t="str">
        <f aca="false">IF(B3147="","",IF(N3147=_xlfn.MINIFS($N$2:$N$5001,$B$2:$B$5001,B3147),1,0))</f>
        <v/>
      </c>
      <c r="K3147" s="16" t="str">
        <f aca="false">IF(B3147="","",IF(AND(D3147="Formalização",E3147="Concluído"),IF(COUNTIFS($B$2:$B$5001,B3147,$E$2:$E$5001,"Em ajustes",$N$2:$N$5001,"&lt;"&amp;I3147)&gt;0,1,0),0))</f>
        <v/>
      </c>
      <c r="L3147" s="16" t="str">
        <f aca="false">IF(B3147="","",IF(N3147=_xlfn.MAXIFS($N$2:$N$5001,$B$2:$B$5001,B3147,$I$2:$I$5001,I3147),1,0))</f>
        <v/>
      </c>
      <c r="M3147" s="16" t="str">
        <f aca="false">IF(B3147="","",IF(E3147="Em ajustes",IF(N3147=_xlfn.MINIFS($N$2:$N$5001,$B$2:$B$5001,B3147,$E$2:$E$5001,"Em ajustes"),1,0),0))</f>
        <v/>
      </c>
      <c r="N3147" s="17" t="str">
        <f aca="false">IF(A3147="","",IF(ISNUMBER(A3147),A3147,IFERROR(DATE(VALUE(MID(A3147,7,4)),VALUE(MID(A3147,4,2)),VALUE(MID(A3147,1,2)))+TIME(VALUE(MID(A3147,12,2)),VALUE(MID(A3147,15,2)),VALUE(MID(A3147,18,2))),"")))</f>
        <v/>
      </c>
    </row>
    <row r="3148" customFormat="false" ht="15" hidden="false" customHeight="false" outlineLevel="0" collapsed="false">
      <c r="I3148" s="15" t="str">
        <f aca="false">IF(N3148="","",INT(N3148))</f>
        <v/>
      </c>
      <c r="J3148" s="16" t="str">
        <f aca="false">IF(B3148="","",IF(N3148=_xlfn.MINIFS($N$2:$N$5001,$B$2:$B$5001,B3148),1,0))</f>
        <v/>
      </c>
      <c r="K3148" s="16" t="str">
        <f aca="false">IF(B3148="","",IF(AND(D3148="Formalização",E3148="Concluído"),IF(COUNTIFS($B$2:$B$5001,B3148,$E$2:$E$5001,"Em ajustes",$N$2:$N$5001,"&lt;"&amp;I3148)&gt;0,1,0),0))</f>
        <v/>
      </c>
      <c r="L3148" s="16" t="str">
        <f aca="false">IF(B3148="","",IF(N3148=_xlfn.MAXIFS($N$2:$N$5001,$B$2:$B$5001,B3148,$I$2:$I$5001,I3148),1,0))</f>
        <v/>
      </c>
      <c r="M3148" s="16" t="str">
        <f aca="false">IF(B3148="","",IF(E3148="Em ajustes",IF(N3148=_xlfn.MINIFS($N$2:$N$5001,$B$2:$B$5001,B3148,$E$2:$E$5001,"Em ajustes"),1,0),0))</f>
        <v/>
      </c>
      <c r="N3148" s="17" t="str">
        <f aca="false">IF(A3148="","",IF(ISNUMBER(A3148),A3148,IFERROR(DATE(VALUE(MID(A3148,7,4)),VALUE(MID(A3148,4,2)),VALUE(MID(A3148,1,2)))+TIME(VALUE(MID(A3148,12,2)),VALUE(MID(A3148,15,2)),VALUE(MID(A3148,18,2))),"")))</f>
        <v/>
      </c>
    </row>
    <row r="3149" customFormat="false" ht="15" hidden="false" customHeight="false" outlineLevel="0" collapsed="false">
      <c r="I3149" s="15" t="str">
        <f aca="false">IF(N3149="","",INT(N3149))</f>
        <v/>
      </c>
      <c r="J3149" s="16" t="str">
        <f aca="false">IF(B3149="","",IF(N3149=_xlfn.MINIFS($N$2:$N$5001,$B$2:$B$5001,B3149),1,0))</f>
        <v/>
      </c>
      <c r="K3149" s="16" t="str">
        <f aca="false">IF(B3149="","",IF(AND(D3149="Formalização",E3149="Concluído"),IF(COUNTIFS($B$2:$B$5001,B3149,$E$2:$E$5001,"Em ajustes",$N$2:$N$5001,"&lt;"&amp;I3149)&gt;0,1,0),0))</f>
        <v/>
      </c>
      <c r="L3149" s="16" t="str">
        <f aca="false">IF(B3149="","",IF(N3149=_xlfn.MAXIFS($N$2:$N$5001,$B$2:$B$5001,B3149,$I$2:$I$5001,I3149),1,0))</f>
        <v/>
      </c>
      <c r="M3149" s="16" t="str">
        <f aca="false">IF(B3149="","",IF(E3149="Em ajustes",IF(N3149=_xlfn.MINIFS($N$2:$N$5001,$B$2:$B$5001,B3149,$E$2:$E$5001,"Em ajustes"),1,0),0))</f>
        <v/>
      </c>
      <c r="N3149" s="17" t="str">
        <f aca="false">IF(A3149="","",IF(ISNUMBER(A3149),A3149,IFERROR(DATE(VALUE(MID(A3149,7,4)),VALUE(MID(A3149,4,2)),VALUE(MID(A3149,1,2)))+TIME(VALUE(MID(A3149,12,2)),VALUE(MID(A3149,15,2)),VALUE(MID(A3149,18,2))),"")))</f>
        <v/>
      </c>
    </row>
    <row r="3150" customFormat="false" ht="15" hidden="false" customHeight="false" outlineLevel="0" collapsed="false">
      <c r="I3150" s="15" t="str">
        <f aca="false">IF(N3150="","",INT(N3150))</f>
        <v/>
      </c>
      <c r="J3150" s="16" t="str">
        <f aca="false">IF(B3150="","",IF(N3150=_xlfn.MINIFS($N$2:$N$5001,$B$2:$B$5001,B3150),1,0))</f>
        <v/>
      </c>
      <c r="K3150" s="16" t="str">
        <f aca="false">IF(B3150="","",IF(AND(D3150="Formalização",E3150="Concluído"),IF(COUNTIFS($B$2:$B$5001,B3150,$E$2:$E$5001,"Em ajustes",$N$2:$N$5001,"&lt;"&amp;I3150)&gt;0,1,0),0))</f>
        <v/>
      </c>
      <c r="L3150" s="16" t="str">
        <f aca="false">IF(B3150="","",IF(N3150=_xlfn.MAXIFS($N$2:$N$5001,$B$2:$B$5001,B3150,$I$2:$I$5001,I3150),1,0))</f>
        <v/>
      </c>
      <c r="M3150" s="16" t="str">
        <f aca="false">IF(B3150="","",IF(E3150="Em ajustes",IF(N3150=_xlfn.MINIFS($N$2:$N$5001,$B$2:$B$5001,B3150,$E$2:$E$5001,"Em ajustes"),1,0),0))</f>
        <v/>
      </c>
      <c r="N3150" s="17" t="str">
        <f aca="false">IF(A3150="","",IF(ISNUMBER(A3150),A3150,IFERROR(DATE(VALUE(MID(A3150,7,4)),VALUE(MID(A3150,4,2)),VALUE(MID(A3150,1,2)))+TIME(VALUE(MID(A3150,12,2)),VALUE(MID(A3150,15,2)),VALUE(MID(A3150,18,2))),"")))</f>
        <v/>
      </c>
    </row>
    <row r="3151" customFormat="false" ht="15" hidden="false" customHeight="false" outlineLevel="0" collapsed="false">
      <c r="I3151" s="15" t="str">
        <f aca="false">IF(N3151="","",INT(N3151))</f>
        <v/>
      </c>
      <c r="J3151" s="16" t="str">
        <f aca="false">IF(B3151="","",IF(N3151=_xlfn.MINIFS($N$2:$N$5001,$B$2:$B$5001,B3151),1,0))</f>
        <v/>
      </c>
      <c r="K3151" s="16" t="str">
        <f aca="false">IF(B3151="","",IF(AND(D3151="Formalização",E3151="Concluído"),IF(COUNTIFS($B$2:$B$5001,B3151,$E$2:$E$5001,"Em ajustes",$N$2:$N$5001,"&lt;"&amp;I3151)&gt;0,1,0),0))</f>
        <v/>
      </c>
      <c r="L3151" s="16" t="str">
        <f aca="false">IF(B3151="","",IF(N3151=_xlfn.MAXIFS($N$2:$N$5001,$B$2:$B$5001,B3151,$I$2:$I$5001,I3151),1,0))</f>
        <v/>
      </c>
      <c r="M3151" s="16" t="str">
        <f aca="false">IF(B3151="","",IF(E3151="Em ajustes",IF(N3151=_xlfn.MINIFS($N$2:$N$5001,$B$2:$B$5001,B3151,$E$2:$E$5001,"Em ajustes"),1,0),0))</f>
        <v/>
      </c>
      <c r="N3151" s="17" t="str">
        <f aca="false">IF(A3151="","",IF(ISNUMBER(A3151),A3151,IFERROR(DATE(VALUE(MID(A3151,7,4)),VALUE(MID(A3151,4,2)),VALUE(MID(A3151,1,2)))+TIME(VALUE(MID(A3151,12,2)),VALUE(MID(A3151,15,2)),VALUE(MID(A3151,18,2))),"")))</f>
        <v/>
      </c>
    </row>
    <row r="3152" customFormat="false" ht="15" hidden="false" customHeight="false" outlineLevel="0" collapsed="false">
      <c r="I3152" s="15" t="str">
        <f aca="false">IF(N3152="","",INT(N3152))</f>
        <v/>
      </c>
      <c r="J3152" s="16" t="str">
        <f aca="false">IF(B3152="","",IF(N3152=_xlfn.MINIFS($N$2:$N$5001,$B$2:$B$5001,B3152),1,0))</f>
        <v/>
      </c>
      <c r="K3152" s="16" t="str">
        <f aca="false">IF(B3152="","",IF(AND(D3152="Formalização",E3152="Concluído"),IF(COUNTIFS($B$2:$B$5001,B3152,$E$2:$E$5001,"Em ajustes",$N$2:$N$5001,"&lt;"&amp;I3152)&gt;0,1,0),0))</f>
        <v/>
      </c>
      <c r="L3152" s="16" t="str">
        <f aca="false">IF(B3152="","",IF(N3152=_xlfn.MAXIFS($N$2:$N$5001,$B$2:$B$5001,B3152,$I$2:$I$5001,I3152),1,0))</f>
        <v/>
      </c>
      <c r="M3152" s="16" t="str">
        <f aca="false">IF(B3152="","",IF(E3152="Em ajustes",IF(N3152=_xlfn.MINIFS($N$2:$N$5001,$B$2:$B$5001,B3152,$E$2:$E$5001,"Em ajustes"),1,0),0))</f>
        <v/>
      </c>
      <c r="N3152" s="17" t="str">
        <f aca="false">IF(A3152="","",IF(ISNUMBER(A3152),A3152,IFERROR(DATE(VALUE(MID(A3152,7,4)),VALUE(MID(A3152,4,2)),VALUE(MID(A3152,1,2)))+TIME(VALUE(MID(A3152,12,2)),VALUE(MID(A3152,15,2)),VALUE(MID(A3152,18,2))),"")))</f>
        <v/>
      </c>
    </row>
    <row r="3153" customFormat="false" ht="15" hidden="false" customHeight="false" outlineLevel="0" collapsed="false">
      <c r="I3153" s="15" t="str">
        <f aca="false">IF(N3153="","",INT(N3153))</f>
        <v/>
      </c>
      <c r="J3153" s="16" t="str">
        <f aca="false">IF(B3153="","",IF(N3153=_xlfn.MINIFS($N$2:$N$5001,$B$2:$B$5001,B3153),1,0))</f>
        <v/>
      </c>
      <c r="K3153" s="16" t="str">
        <f aca="false">IF(B3153="","",IF(AND(D3153="Formalização",E3153="Concluído"),IF(COUNTIFS($B$2:$B$5001,B3153,$E$2:$E$5001,"Em ajustes",$N$2:$N$5001,"&lt;"&amp;I3153)&gt;0,1,0),0))</f>
        <v/>
      </c>
      <c r="L3153" s="16" t="str">
        <f aca="false">IF(B3153="","",IF(N3153=_xlfn.MAXIFS($N$2:$N$5001,$B$2:$B$5001,B3153,$I$2:$I$5001,I3153),1,0))</f>
        <v/>
      </c>
      <c r="M3153" s="16" t="str">
        <f aca="false">IF(B3153="","",IF(E3153="Em ajustes",IF(N3153=_xlfn.MINIFS($N$2:$N$5001,$B$2:$B$5001,B3153,$E$2:$E$5001,"Em ajustes"),1,0),0))</f>
        <v/>
      </c>
      <c r="N3153" s="17" t="str">
        <f aca="false">IF(A3153="","",IF(ISNUMBER(A3153),A3153,IFERROR(DATE(VALUE(MID(A3153,7,4)),VALUE(MID(A3153,4,2)),VALUE(MID(A3153,1,2)))+TIME(VALUE(MID(A3153,12,2)),VALUE(MID(A3153,15,2)),VALUE(MID(A3153,18,2))),"")))</f>
        <v/>
      </c>
    </row>
    <row r="3154" customFormat="false" ht="15" hidden="false" customHeight="false" outlineLevel="0" collapsed="false">
      <c r="I3154" s="15" t="str">
        <f aca="false">IF(N3154="","",INT(N3154))</f>
        <v/>
      </c>
      <c r="J3154" s="16" t="str">
        <f aca="false">IF(B3154="","",IF(N3154=_xlfn.MINIFS($N$2:$N$5001,$B$2:$B$5001,B3154),1,0))</f>
        <v/>
      </c>
      <c r="K3154" s="16" t="str">
        <f aca="false">IF(B3154="","",IF(AND(D3154="Formalização",E3154="Concluído"),IF(COUNTIFS($B$2:$B$5001,B3154,$E$2:$E$5001,"Em ajustes",$N$2:$N$5001,"&lt;"&amp;I3154)&gt;0,1,0),0))</f>
        <v/>
      </c>
      <c r="L3154" s="16" t="str">
        <f aca="false">IF(B3154="","",IF(N3154=_xlfn.MAXIFS($N$2:$N$5001,$B$2:$B$5001,B3154,$I$2:$I$5001,I3154),1,0))</f>
        <v/>
      </c>
      <c r="M3154" s="16" t="str">
        <f aca="false">IF(B3154="","",IF(E3154="Em ajustes",IF(N3154=_xlfn.MINIFS($N$2:$N$5001,$B$2:$B$5001,B3154,$E$2:$E$5001,"Em ajustes"),1,0),0))</f>
        <v/>
      </c>
      <c r="N3154" s="17" t="str">
        <f aca="false">IF(A3154="","",IF(ISNUMBER(A3154),A3154,IFERROR(DATE(VALUE(MID(A3154,7,4)),VALUE(MID(A3154,4,2)),VALUE(MID(A3154,1,2)))+TIME(VALUE(MID(A3154,12,2)),VALUE(MID(A3154,15,2)),VALUE(MID(A3154,18,2))),"")))</f>
        <v/>
      </c>
    </row>
    <row r="3155" customFormat="false" ht="15" hidden="false" customHeight="false" outlineLevel="0" collapsed="false">
      <c r="I3155" s="15" t="str">
        <f aca="false">IF(N3155="","",INT(N3155))</f>
        <v/>
      </c>
      <c r="J3155" s="16" t="str">
        <f aca="false">IF(B3155="","",IF(N3155=_xlfn.MINIFS($N$2:$N$5001,$B$2:$B$5001,B3155),1,0))</f>
        <v/>
      </c>
      <c r="K3155" s="16" t="str">
        <f aca="false">IF(B3155="","",IF(AND(D3155="Formalização",E3155="Concluído"),IF(COUNTIFS($B$2:$B$5001,B3155,$E$2:$E$5001,"Em ajustes",$N$2:$N$5001,"&lt;"&amp;I3155)&gt;0,1,0),0))</f>
        <v/>
      </c>
      <c r="L3155" s="16" t="str">
        <f aca="false">IF(B3155="","",IF(N3155=_xlfn.MAXIFS($N$2:$N$5001,$B$2:$B$5001,B3155,$I$2:$I$5001,I3155),1,0))</f>
        <v/>
      </c>
      <c r="M3155" s="16" t="str">
        <f aca="false">IF(B3155="","",IF(E3155="Em ajustes",IF(N3155=_xlfn.MINIFS($N$2:$N$5001,$B$2:$B$5001,B3155,$E$2:$E$5001,"Em ajustes"),1,0),0))</f>
        <v/>
      </c>
      <c r="N3155" s="17" t="str">
        <f aca="false">IF(A3155="","",IF(ISNUMBER(A3155),A3155,IFERROR(DATE(VALUE(MID(A3155,7,4)),VALUE(MID(A3155,4,2)),VALUE(MID(A3155,1,2)))+TIME(VALUE(MID(A3155,12,2)),VALUE(MID(A3155,15,2)),VALUE(MID(A3155,18,2))),"")))</f>
        <v/>
      </c>
    </row>
    <row r="3156" customFormat="false" ht="15" hidden="false" customHeight="false" outlineLevel="0" collapsed="false">
      <c r="I3156" s="15" t="str">
        <f aca="false">IF(N3156="","",INT(N3156))</f>
        <v/>
      </c>
      <c r="J3156" s="16" t="str">
        <f aca="false">IF(B3156="","",IF(N3156=_xlfn.MINIFS($N$2:$N$5001,$B$2:$B$5001,B3156),1,0))</f>
        <v/>
      </c>
      <c r="K3156" s="16" t="str">
        <f aca="false">IF(B3156="","",IF(AND(D3156="Formalização",E3156="Concluído"),IF(COUNTIFS($B$2:$B$5001,B3156,$E$2:$E$5001,"Em ajustes",$N$2:$N$5001,"&lt;"&amp;I3156)&gt;0,1,0),0))</f>
        <v/>
      </c>
      <c r="L3156" s="16" t="str">
        <f aca="false">IF(B3156="","",IF(N3156=_xlfn.MAXIFS($N$2:$N$5001,$B$2:$B$5001,B3156,$I$2:$I$5001,I3156),1,0))</f>
        <v/>
      </c>
      <c r="M3156" s="16" t="str">
        <f aca="false">IF(B3156="","",IF(E3156="Em ajustes",IF(N3156=_xlfn.MINIFS($N$2:$N$5001,$B$2:$B$5001,B3156,$E$2:$E$5001,"Em ajustes"),1,0),0))</f>
        <v/>
      </c>
      <c r="N3156" s="17" t="str">
        <f aca="false">IF(A3156="","",IF(ISNUMBER(A3156),A3156,IFERROR(DATE(VALUE(MID(A3156,7,4)),VALUE(MID(A3156,4,2)),VALUE(MID(A3156,1,2)))+TIME(VALUE(MID(A3156,12,2)),VALUE(MID(A3156,15,2)),VALUE(MID(A3156,18,2))),"")))</f>
        <v/>
      </c>
    </row>
    <row r="3157" customFormat="false" ht="15" hidden="false" customHeight="false" outlineLevel="0" collapsed="false">
      <c r="I3157" s="15" t="str">
        <f aca="false">IF(N3157="","",INT(N3157))</f>
        <v/>
      </c>
      <c r="J3157" s="16" t="str">
        <f aca="false">IF(B3157="","",IF(N3157=_xlfn.MINIFS($N$2:$N$5001,$B$2:$B$5001,B3157),1,0))</f>
        <v/>
      </c>
      <c r="K3157" s="16" t="str">
        <f aca="false">IF(B3157="","",IF(AND(D3157="Formalização",E3157="Concluído"),IF(COUNTIFS($B$2:$B$5001,B3157,$E$2:$E$5001,"Em ajustes",$N$2:$N$5001,"&lt;"&amp;I3157)&gt;0,1,0),0))</f>
        <v/>
      </c>
      <c r="L3157" s="16" t="str">
        <f aca="false">IF(B3157="","",IF(N3157=_xlfn.MAXIFS($N$2:$N$5001,$B$2:$B$5001,B3157,$I$2:$I$5001,I3157),1,0))</f>
        <v/>
      </c>
      <c r="M3157" s="16" t="str">
        <f aca="false">IF(B3157="","",IF(E3157="Em ajustes",IF(N3157=_xlfn.MINIFS($N$2:$N$5001,$B$2:$B$5001,B3157,$E$2:$E$5001,"Em ajustes"),1,0),0))</f>
        <v/>
      </c>
      <c r="N3157" s="17" t="str">
        <f aca="false">IF(A3157="","",IF(ISNUMBER(A3157),A3157,IFERROR(DATE(VALUE(MID(A3157,7,4)),VALUE(MID(A3157,4,2)),VALUE(MID(A3157,1,2)))+TIME(VALUE(MID(A3157,12,2)),VALUE(MID(A3157,15,2)),VALUE(MID(A3157,18,2))),"")))</f>
        <v/>
      </c>
    </row>
    <row r="3158" customFormat="false" ht="15" hidden="false" customHeight="false" outlineLevel="0" collapsed="false">
      <c r="I3158" s="15" t="str">
        <f aca="false">IF(N3158="","",INT(N3158))</f>
        <v/>
      </c>
      <c r="J3158" s="16" t="str">
        <f aca="false">IF(B3158="","",IF(N3158=_xlfn.MINIFS($N$2:$N$5001,$B$2:$B$5001,B3158),1,0))</f>
        <v/>
      </c>
      <c r="K3158" s="16" t="str">
        <f aca="false">IF(B3158="","",IF(AND(D3158="Formalização",E3158="Concluído"),IF(COUNTIFS($B$2:$B$5001,B3158,$E$2:$E$5001,"Em ajustes",$N$2:$N$5001,"&lt;"&amp;I3158)&gt;0,1,0),0))</f>
        <v/>
      </c>
      <c r="L3158" s="16" t="str">
        <f aca="false">IF(B3158="","",IF(N3158=_xlfn.MAXIFS($N$2:$N$5001,$B$2:$B$5001,B3158,$I$2:$I$5001,I3158),1,0))</f>
        <v/>
      </c>
      <c r="M3158" s="16" t="str">
        <f aca="false">IF(B3158="","",IF(E3158="Em ajustes",IF(N3158=_xlfn.MINIFS($N$2:$N$5001,$B$2:$B$5001,B3158,$E$2:$E$5001,"Em ajustes"),1,0),0))</f>
        <v/>
      </c>
      <c r="N3158" s="17" t="str">
        <f aca="false">IF(A3158="","",IF(ISNUMBER(A3158),A3158,IFERROR(DATE(VALUE(MID(A3158,7,4)),VALUE(MID(A3158,4,2)),VALUE(MID(A3158,1,2)))+TIME(VALUE(MID(A3158,12,2)),VALUE(MID(A3158,15,2)),VALUE(MID(A3158,18,2))),"")))</f>
        <v/>
      </c>
    </row>
    <row r="3159" customFormat="false" ht="15" hidden="false" customHeight="false" outlineLevel="0" collapsed="false">
      <c r="I3159" s="15" t="str">
        <f aca="false">IF(N3159="","",INT(N3159))</f>
        <v/>
      </c>
      <c r="J3159" s="16" t="str">
        <f aca="false">IF(B3159="","",IF(N3159=_xlfn.MINIFS($N$2:$N$5001,$B$2:$B$5001,B3159),1,0))</f>
        <v/>
      </c>
      <c r="K3159" s="16" t="str">
        <f aca="false">IF(B3159="","",IF(AND(D3159="Formalização",E3159="Concluído"),IF(COUNTIFS($B$2:$B$5001,B3159,$E$2:$E$5001,"Em ajustes",$N$2:$N$5001,"&lt;"&amp;I3159)&gt;0,1,0),0))</f>
        <v/>
      </c>
      <c r="L3159" s="16" t="str">
        <f aca="false">IF(B3159="","",IF(N3159=_xlfn.MAXIFS($N$2:$N$5001,$B$2:$B$5001,B3159,$I$2:$I$5001,I3159),1,0))</f>
        <v/>
      </c>
      <c r="M3159" s="16" t="str">
        <f aca="false">IF(B3159="","",IF(E3159="Em ajustes",IF(N3159=_xlfn.MINIFS($N$2:$N$5001,$B$2:$B$5001,B3159,$E$2:$E$5001,"Em ajustes"),1,0),0))</f>
        <v/>
      </c>
      <c r="N3159" s="17" t="str">
        <f aca="false">IF(A3159="","",IF(ISNUMBER(A3159),A3159,IFERROR(DATE(VALUE(MID(A3159,7,4)),VALUE(MID(A3159,4,2)),VALUE(MID(A3159,1,2)))+TIME(VALUE(MID(A3159,12,2)),VALUE(MID(A3159,15,2)),VALUE(MID(A3159,18,2))),"")))</f>
        <v/>
      </c>
    </row>
    <row r="3160" customFormat="false" ht="15" hidden="false" customHeight="false" outlineLevel="0" collapsed="false">
      <c r="I3160" s="15" t="str">
        <f aca="false">IF(N3160="","",INT(N3160))</f>
        <v/>
      </c>
      <c r="J3160" s="16" t="str">
        <f aca="false">IF(B3160="","",IF(N3160=_xlfn.MINIFS($N$2:$N$5001,$B$2:$B$5001,B3160),1,0))</f>
        <v/>
      </c>
      <c r="K3160" s="16" t="str">
        <f aca="false">IF(B3160="","",IF(AND(D3160="Formalização",E3160="Concluído"),IF(COUNTIFS($B$2:$B$5001,B3160,$E$2:$E$5001,"Em ajustes",$N$2:$N$5001,"&lt;"&amp;I3160)&gt;0,1,0),0))</f>
        <v/>
      </c>
      <c r="L3160" s="16" t="str">
        <f aca="false">IF(B3160="","",IF(N3160=_xlfn.MAXIFS($N$2:$N$5001,$B$2:$B$5001,B3160,$I$2:$I$5001,I3160),1,0))</f>
        <v/>
      </c>
      <c r="M3160" s="16" t="str">
        <f aca="false">IF(B3160="","",IF(E3160="Em ajustes",IF(N3160=_xlfn.MINIFS($N$2:$N$5001,$B$2:$B$5001,B3160,$E$2:$E$5001,"Em ajustes"),1,0),0))</f>
        <v/>
      </c>
      <c r="N3160" s="17" t="str">
        <f aca="false">IF(A3160="","",IF(ISNUMBER(A3160),A3160,IFERROR(DATE(VALUE(MID(A3160,7,4)),VALUE(MID(A3160,4,2)),VALUE(MID(A3160,1,2)))+TIME(VALUE(MID(A3160,12,2)),VALUE(MID(A3160,15,2)),VALUE(MID(A3160,18,2))),"")))</f>
        <v/>
      </c>
    </row>
    <row r="3161" customFormat="false" ht="15" hidden="false" customHeight="false" outlineLevel="0" collapsed="false">
      <c r="I3161" s="15" t="str">
        <f aca="false">IF(N3161="","",INT(N3161))</f>
        <v/>
      </c>
      <c r="J3161" s="16" t="str">
        <f aca="false">IF(B3161="","",IF(N3161=_xlfn.MINIFS($N$2:$N$5001,$B$2:$B$5001,B3161),1,0))</f>
        <v/>
      </c>
      <c r="K3161" s="16" t="str">
        <f aca="false">IF(B3161="","",IF(AND(D3161="Formalização",E3161="Concluído"),IF(COUNTIFS($B$2:$B$5001,B3161,$E$2:$E$5001,"Em ajustes",$N$2:$N$5001,"&lt;"&amp;I3161)&gt;0,1,0),0))</f>
        <v/>
      </c>
      <c r="L3161" s="16" t="str">
        <f aca="false">IF(B3161="","",IF(N3161=_xlfn.MAXIFS($N$2:$N$5001,$B$2:$B$5001,B3161,$I$2:$I$5001,I3161),1,0))</f>
        <v/>
      </c>
      <c r="M3161" s="16" t="str">
        <f aca="false">IF(B3161="","",IF(E3161="Em ajustes",IF(N3161=_xlfn.MINIFS($N$2:$N$5001,$B$2:$B$5001,B3161,$E$2:$E$5001,"Em ajustes"),1,0),0))</f>
        <v/>
      </c>
      <c r="N3161" s="17" t="str">
        <f aca="false">IF(A3161="","",IF(ISNUMBER(A3161),A3161,IFERROR(DATE(VALUE(MID(A3161,7,4)),VALUE(MID(A3161,4,2)),VALUE(MID(A3161,1,2)))+TIME(VALUE(MID(A3161,12,2)),VALUE(MID(A3161,15,2)),VALUE(MID(A3161,18,2))),"")))</f>
        <v/>
      </c>
    </row>
    <row r="3162" customFormat="false" ht="15" hidden="false" customHeight="false" outlineLevel="0" collapsed="false">
      <c r="I3162" s="15" t="str">
        <f aca="false">IF(N3162="","",INT(N3162))</f>
        <v/>
      </c>
      <c r="J3162" s="16" t="str">
        <f aca="false">IF(B3162="","",IF(N3162=_xlfn.MINIFS($N$2:$N$5001,$B$2:$B$5001,B3162),1,0))</f>
        <v/>
      </c>
      <c r="K3162" s="16" t="str">
        <f aca="false">IF(B3162="","",IF(AND(D3162="Formalização",E3162="Concluído"),IF(COUNTIFS($B$2:$B$5001,B3162,$E$2:$E$5001,"Em ajustes",$N$2:$N$5001,"&lt;"&amp;I3162)&gt;0,1,0),0))</f>
        <v/>
      </c>
      <c r="L3162" s="16" t="str">
        <f aca="false">IF(B3162="","",IF(N3162=_xlfn.MAXIFS($N$2:$N$5001,$B$2:$B$5001,B3162,$I$2:$I$5001,I3162),1,0))</f>
        <v/>
      </c>
      <c r="M3162" s="16" t="str">
        <f aca="false">IF(B3162="","",IF(E3162="Em ajustes",IF(N3162=_xlfn.MINIFS($N$2:$N$5001,$B$2:$B$5001,B3162,$E$2:$E$5001,"Em ajustes"),1,0),0))</f>
        <v/>
      </c>
      <c r="N3162" s="17" t="str">
        <f aca="false">IF(A3162="","",IF(ISNUMBER(A3162),A3162,IFERROR(DATE(VALUE(MID(A3162,7,4)),VALUE(MID(A3162,4,2)),VALUE(MID(A3162,1,2)))+TIME(VALUE(MID(A3162,12,2)),VALUE(MID(A3162,15,2)),VALUE(MID(A3162,18,2))),"")))</f>
        <v/>
      </c>
    </row>
    <row r="3163" customFormat="false" ht="15" hidden="false" customHeight="false" outlineLevel="0" collapsed="false">
      <c r="I3163" s="15" t="str">
        <f aca="false">IF(N3163="","",INT(N3163))</f>
        <v/>
      </c>
      <c r="J3163" s="16" t="str">
        <f aca="false">IF(B3163="","",IF(N3163=_xlfn.MINIFS($N$2:$N$5001,$B$2:$B$5001,B3163),1,0))</f>
        <v/>
      </c>
      <c r="K3163" s="16" t="str">
        <f aca="false">IF(B3163="","",IF(AND(D3163="Formalização",E3163="Concluído"),IF(COUNTIFS($B$2:$B$5001,B3163,$E$2:$E$5001,"Em ajustes",$N$2:$N$5001,"&lt;"&amp;I3163)&gt;0,1,0),0))</f>
        <v/>
      </c>
      <c r="L3163" s="16" t="str">
        <f aca="false">IF(B3163="","",IF(N3163=_xlfn.MAXIFS($N$2:$N$5001,$B$2:$B$5001,B3163,$I$2:$I$5001,I3163),1,0))</f>
        <v/>
      </c>
      <c r="M3163" s="16" t="str">
        <f aca="false">IF(B3163="","",IF(E3163="Em ajustes",IF(N3163=_xlfn.MINIFS($N$2:$N$5001,$B$2:$B$5001,B3163,$E$2:$E$5001,"Em ajustes"),1,0),0))</f>
        <v/>
      </c>
      <c r="N3163" s="17" t="str">
        <f aca="false">IF(A3163="","",IF(ISNUMBER(A3163),A3163,IFERROR(DATE(VALUE(MID(A3163,7,4)),VALUE(MID(A3163,4,2)),VALUE(MID(A3163,1,2)))+TIME(VALUE(MID(A3163,12,2)),VALUE(MID(A3163,15,2)),VALUE(MID(A3163,18,2))),"")))</f>
        <v/>
      </c>
    </row>
    <row r="3164" customFormat="false" ht="15" hidden="false" customHeight="false" outlineLevel="0" collapsed="false">
      <c r="I3164" s="15" t="str">
        <f aca="false">IF(N3164="","",INT(N3164))</f>
        <v/>
      </c>
      <c r="J3164" s="16" t="str">
        <f aca="false">IF(B3164="","",IF(N3164=_xlfn.MINIFS($N$2:$N$5001,$B$2:$B$5001,B3164),1,0))</f>
        <v/>
      </c>
      <c r="K3164" s="16" t="str">
        <f aca="false">IF(B3164="","",IF(AND(D3164="Formalização",E3164="Concluído"),IF(COUNTIFS($B$2:$B$5001,B3164,$E$2:$E$5001,"Em ajustes",$N$2:$N$5001,"&lt;"&amp;I3164)&gt;0,1,0),0))</f>
        <v/>
      </c>
      <c r="L3164" s="16" t="str">
        <f aca="false">IF(B3164="","",IF(N3164=_xlfn.MAXIFS($N$2:$N$5001,$B$2:$B$5001,B3164,$I$2:$I$5001,I3164),1,0))</f>
        <v/>
      </c>
      <c r="M3164" s="16" t="str">
        <f aca="false">IF(B3164="","",IF(E3164="Em ajustes",IF(N3164=_xlfn.MINIFS($N$2:$N$5001,$B$2:$B$5001,B3164,$E$2:$E$5001,"Em ajustes"),1,0),0))</f>
        <v/>
      </c>
      <c r="N3164" s="17" t="str">
        <f aca="false">IF(A3164="","",IF(ISNUMBER(A3164),A3164,IFERROR(DATE(VALUE(MID(A3164,7,4)),VALUE(MID(A3164,4,2)),VALUE(MID(A3164,1,2)))+TIME(VALUE(MID(A3164,12,2)),VALUE(MID(A3164,15,2)),VALUE(MID(A3164,18,2))),"")))</f>
        <v/>
      </c>
    </row>
    <row r="3165" customFormat="false" ht="15" hidden="false" customHeight="false" outlineLevel="0" collapsed="false">
      <c r="I3165" s="15" t="str">
        <f aca="false">IF(N3165="","",INT(N3165))</f>
        <v/>
      </c>
      <c r="J3165" s="16" t="str">
        <f aca="false">IF(B3165="","",IF(N3165=_xlfn.MINIFS($N$2:$N$5001,$B$2:$B$5001,B3165),1,0))</f>
        <v/>
      </c>
      <c r="K3165" s="16" t="str">
        <f aca="false">IF(B3165="","",IF(AND(D3165="Formalização",E3165="Concluído"),IF(COUNTIFS($B$2:$B$5001,B3165,$E$2:$E$5001,"Em ajustes",$N$2:$N$5001,"&lt;"&amp;I3165)&gt;0,1,0),0))</f>
        <v/>
      </c>
      <c r="L3165" s="16" t="str">
        <f aca="false">IF(B3165="","",IF(N3165=_xlfn.MAXIFS($N$2:$N$5001,$B$2:$B$5001,B3165,$I$2:$I$5001,I3165),1,0))</f>
        <v/>
      </c>
      <c r="M3165" s="16" t="str">
        <f aca="false">IF(B3165="","",IF(E3165="Em ajustes",IF(N3165=_xlfn.MINIFS($N$2:$N$5001,$B$2:$B$5001,B3165,$E$2:$E$5001,"Em ajustes"),1,0),0))</f>
        <v/>
      </c>
      <c r="N3165" s="17" t="str">
        <f aca="false">IF(A3165="","",IF(ISNUMBER(A3165),A3165,IFERROR(DATE(VALUE(MID(A3165,7,4)),VALUE(MID(A3165,4,2)),VALUE(MID(A3165,1,2)))+TIME(VALUE(MID(A3165,12,2)),VALUE(MID(A3165,15,2)),VALUE(MID(A3165,18,2))),"")))</f>
        <v/>
      </c>
    </row>
    <row r="3166" customFormat="false" ht="15" hidden="false" customHeight="false" outlineLevel="0" collapsed="false">
      <c r="I3166" s="15" t="str">
        <f aca="false">IF(N3166="","",INT(N3166))</f>
        <v/>
      </c>
      <c r="J3166" s="16" t="str">
        <f aca="false">IF(B3166="","",IF(N3166=_xlfn.MINIFS($N$2:$N$5001,$B$2:$B$5001,B3166),1,0))</f>
        <v/>
      </c>
      <c r="K3166" s="16" t="str">
        <f aca="false">IF(B3166="","",IF(AND(D3166="Formalização",E3166="Concluído"),IF(COUNTIFS($B$2:$B$5001,B3166,$E$2:$E$5001,"Em ajustes",$N$2:$N$5001,"&lt;"&amp;I3166)&gt;0,1,0),0))</f>
        <v/>
      </c>
      <c r="L3166" s="16" t="str">
        <f aca="false">IF(B3166="","",IF(N3166=_xlfn.MAXIFS($N$2:$N$5001,$B$2:$B$5001,B3166,$I$2:$I$5001,I3166),1,0))</f>
        <v/>
      </c>
      <c r="M3166" s="16" t="str">
        <f aca="false">IF(B3166="","",IF(E3166="Em ajustes",IF(N3166=_xlfn.MINIFS($N$2:$N$5001,$B$2:$B$5001,B3166,$E$2:$E$5001,"Em ajustes"),1,0),0))</f>
        <v/>
      </c>
      <c r="N3166" s="17" t="str">
        <f aca="false">IF(A3166="","",IF(ISNUMBER(A3166),A3166,IFERROR(DATE(VALUE(MID(A3166,7,4)),VALUE(MID(A3166,4,2)),VALUE(MID(A3166,1,2)))+TIME(VALUE(MID(A3166,12,2)),VALUE(MID(A3166,15,2)),VALUE(MID(A3166,18,2))),"")))</f>
        <v/>
      </c>
    </row>
    <row r="3167" customFormat="false" ht="15" hidden="false" customHeight="false" outlineLevel="0" collapsed="false">
      <c r="I3167" s="15" t="str">
        <f aca="false">IF(N3167="","",INT(N3167))</f>
        <v/>
      </c>
      <c r="J3167" s="16" t="str">
        <f aca="false">IF(B3167="","",IF(N3167=_xlfn.MINIFS($N$2:$N$5001,$B$2:$B$5001,B3167),1,0))</f>
        <v/>
      </c>
      <c r="K3167" s="16" t="str">
        <f aca="false">IF(B3167="","",IF(AND(D3167="Formalização",E3167="Concluído"),IF(COUNTIFS($B$2:$B$5001,B3167,$E$2:$E$5001,"Em ajustes",$N$2:$N$5001,"&lt;"&amp;I3167)&gt;0,1,0),0))</f>
        <v/>
      </c>
      <c r="L3167" s="16" t="str">
        <f aca="false">IF(B3167="","",IF(N3167=_xlfn.MAXIFS($N$2:$N$5001,$B$2:$B$5001,B3167,$I$2:$I$5001,I3167),1,0))</f>
        <v/>
      </c>
      <c r="M3167" s="16" t="str">
        <f aca="false">IF(B3167="","",IF(E3167="Em ajustes",IF(N3167=_xlfn.MINIFS($N$2:$N$5001,$B$2:$B$5001,B3167,$E$2:$E$5001,"Em ajustes"),1,0),0))</f>
        <v/>
      </c>
      <c r="N3167" s="17" t="str">
        <f aca="false">IF(A3167="","",IF(ISNUMBER(A3167),A3167,IFERROR(DATE(VALUE(MID(A3167,7,4)),VALUE(MID(A3167,4,2)),VALUE(MID(A3167,1,2)))+TIME(VALUE(MID(A3167,12,2)),VALUE(MID(A3167,15,2)),VALUE(MID(A3167,18,2))),"")))</f>
        <v/>
      </c>
    </row>
    <row r="3168" customFormat="false" ht="15" hidden="false" customHeight="false" outlineLevel="0" collapsed="false">
      <c r="I3168" s="15" t="str">
        <f aca="false">IF(N3168="","",INT(N3168))</f>
        <v/>
      </c>
      <c r="J3168" s="16" t="str">
        <f aca="false">IF(B3168="","",IF(N3168=_xlfn.MINIFS($N$2:$N$5001,$B$2:$B$5001,B3168),1,0))</f>
        <v/>
      </c>
      <c r="K3168" s="16" t="str">
        <f aca="false">IF(B3168="","",IF(AND(D3168="Formalização",E3168="Concluído"),IF(COUNTIFS($B$2:$B$5001,B3168,$E$2:$E$5001,"Em ajustes",$N$2:$N$5001,"&lt;"&amp;I3168)&gt;0,1,0),0))</f>
        <v/>
      </c>
      <c r="L3168" s="16" t="str">
        <f aca="false">IF(B3168="","",IF(N3168=_xlfn.MAXIFS($N$2:$N$5001,$B$2:$B$5001,B3168,$I$2:$I$5001,I3168),1,0))</f>
        <v/>
      </c>
      <c r="M3168" s="16" t="str">
        <f aca="false">IF(B3168="","",IF(E3168="Em ajustes",IF(N3168=_xlfn.MINIFS($N$2:$N$5001,$B$2:$B$5001,B3168,$E$2:$E$5001,"Em ajustes"),1,0),0))</f>
        <v/>
      </c>
      <c r="N3168" s="17" t="str">
        <f aca="false">IF(A3168="","",IF(ISNUMBER(A3168),A3168,IFERROR(DATE(VALUE(MID(A3168,7,4)),VALUE(MID(A3168,4,2)),VALUE(MID(A3168,1,2)))+TIME(VALUE(MID(A3168,12,2)),VALUE(MID(A3168,15,2)),VALUE(MID(A3168,18,2))),"")))</f>
        <v/>
      </c>
    </row>
    <row r="3169" customFormat="false" ht="15" hidden="false" customHeight="false" outlineLevel="0" collapsed="false">
      <c r="I3169" s="15" t="str">
        <f aca="false">IF(N3169="","",INT(N3169))</f>
        <v/>
      </c>
      <c r="J3169" s="16" t="str">
        <f aca="false">IF(B3169="","",IF(N3169=_xlfn.MINIFS($N$2:$N$5001,$B$2:$B$5001,B3169),1,0))</f>
        <v/>
      </c>
      <c r="K3169" s="16" t="str">
        <f aca="false">IF(B3169="","",IF(AND(D3169="Formalização",E3169="Concluído"),IF(COUNTIFS($B$2:$B$5001,B3169,$E$2:$E$5001,"Em ajustes",$N$2:$N$5001,"&lt;"&amp;I3169)&gt;0,1,0),0))</f>
        <v/>
      </c>
      <c r="L3169" s="16" t="str">
        <f aca="false">IF(B3169="","",IF(N3169=_xlfn.MAXIFS($N$2:$N$5001,$B$2:$B$5001,B3169,$I$2:$I$5001,I3169),1,0))</f>
        <v/>
      </c>
      <c r="M3169" s="16" t="str">
        <f aca="false">IF(B3169="","",IF(E3169="Em ajustes",IF(N3169=_xlfn.MINIFS($N$2:$N$5001,$B$2:$B$5001,B3169,$E$2:$E$5001,"Em ajustes"),1,0),0))</f>
        <v/>
      </c>
      <c r="N3169" s="17" t="str">
        <f aca="false">IF(A3169="","",IF(ISNUMBER(A3169),A3169,IFERROR(DATE(VALUE(MID(A3169,7,4)),VALUE(MID(A3169,4,2)),VALUE(MID(A3169,1,2)))+TIME(VALUE(MID(A3169,12,2)),VALUE(MID(A3169,15,2)),VALUE(MID(A3169,18,2))),"")))</f>
        <v/>
      </c>
    </row>
    <row r="3170" customFormat="false" ht="15" hidden="false" customHeight="false" outlineLevel="0" collapsed="false">
      <c r="I3170" s="15" t="str">
        <f aca="false">IF(N3170="","",INT(N3170))</f>
        <v/>
      </c>
      <c r="J3170" s="16" t="str">
        <f aca="false">IF(B3170="","",IF(N3170=_xlfn.MINIFS($N$2:$N$5001,$B$2:$B$5001,B3170),1,0))</f>
        <v/>
      </c>
      <c r="K3170" s="16" t="str">
        <f aca="false">IF(B3170="","",IF(AND(D3170="Formalização",E3170="Concluído"),IF(COUNTIFS($B$2:$B$5001,B3170,$E$2:$E$5001,"Em ajustes",$N$2:$N$5001,"&lt;"&amp;I3170)&gt;0,1,0),0))</f>
        <v/>
      </c>
      <c r="L3170" s="16" t="str">
        <f aca="false">IF(B3170="","",IF(N3170=_xlfn.MAXIFS($N$2:$N$5001,$B$2:$B$5001,B3170,$I$2:$I$5001,I3170),1,0))</f>
        <v/>
      </c>
      <c r="M3170" s="16" t="str">
        <f aca="false">IF(B3170="","",IF(E3170="Em ajustes",IF(N3170=_xlfn.MINIFS($N$2:$N$5001,$B$2:$B$5001,B3170,$E$2:$E$5001,"Em ajustes"),1,0),0))</f>
        <v/>
      </c>
      <c r="N3170" s="17" t="str">
        <f aca="false">IF(A3170="","",IF(ISNUMBER(A3170),A3170,IFERROR(DATE(VALUE(MID(A3170,7,4)),VALUE(MID(A3170,4,2)),VALUE(MID(A3170,1,2)))+TIME(VALUE(MID(A3170,12,2)),VALUE(MID(A3170,15,2)),VALUE(MID(A3170,18,2))),"")))</f>
        <v/>
      </c>
    </row>
    <row r="3171" customFormat="false" ht="15" hidden="false" customHeight="false" outlineLevel="0" collapsed="false">
      <c r="I3171" s="15" t="str">
        <f aca="false">IF(N3171="","",INT(N3171))</f>
        <v/>
      </c>
      <c r="J3171" s="16" t="str">
        <f aca="false">IF(B3171="","",IF(N3171=_xlfn.MINIFS($N$2:$N$5001,$B$2:$B$5001,B3171),1,0))</f>
        <v/>
      </c>
      <c r="K3171" s="16" t="str">
        <f aca="false">IF(B3171="","",IF(AND(D3171="Formalização",E3171="Concluído"),IF(COUNTIFS($B$2:$B$5001,B3171,$E$2:$E$5001,"Em ajustes",$N$2:$N$5001,"&lt;"&amp;I3171)&gt;0,1,0),0))</f>
        <v/>
      </c>
      <c r="L3171" s="16" t="str">
        <f aca="false">IF(B3171="","",IF(N3171=_xlfn.MAXIFS($N$2:$N$5001,$B$2:$B$5001,B3171,$I$2:$I$5001,I3171),1,0))</f>
        <v/>
      </c>
      <c r="M3171" s="16" t="str">
        <f aca="false">IF(B3171="","",IF(E3171="Em ajustes",IF(N3171=_xlfn.MINIFS($N$2:$N$5001,$B$2:$B$5001,B3171,$E$2:$E$5001,"Em ajustes"),1,0),0))</f>
        <v/>
      </c>
      <c r="N3171" s="17" t="str">
        <f aca="false">IF(A3171="","",IF(ISNUMBER(A3171),A3171,IFERROR(DATE(VALUE(MID(A3171,7,4)),VALUE(MID(A3171,4,2)),VALUE(MID(A3171,1,2)))+TIME(VALUE(MID(A3171,12,2)),VALUE(MID(A3171,15,2)),VALUE(MID(A3171,18,2))),"")))</f>
        <v/>
      </c>
    </row>
    <row r="3172" customFormat="false" ht="15" hidden="false" customHeight="false" outlineLevel="0" collapsed="false">
      <c r="I3172" s="15" t="str">
        <f aca="false">IF(N3172="","",INT(N3172))</f>
        <v/>
      </c>
      <c r="J3172" s="16" t="str">
        <f aca="false">IF(B3172="","",IF(N3172=_xlfn.MINIFS($N$2:$N$5001,$B$2:$B$5001,B3172),1,0))</f>
        <v/>
      </c>
      <c r="K3172" s="16" t="str">
        <f aca="false">IF(B3172="","",IF(AND(D3172="Formalização",E3172="Concluído"),IF(COUNTIFS($B$2:$B$5001,B3172,$E$2:$E$5001,"Em ajustes",$N$2:$N$5001,"&lt;"&amp;I3172)&gt;0,1,0),0))</f>
        <v/>
      </c>
      <c r="L3172" s="16" t="str">
        <f aca="false">IF(B3172="","",IF(N3172=_xlfn.MAXIFS($N$2:$N$5001,$B$2:$B$5001,B3172,$I$2:$I$5001,I3172),1,0))</f>
        <v/>
      </c>
      <c r="M3172" s="16" t="str">
        <f aca="false">IF(B3172="","",IF(E3172="Em ajustes",IF(N3172=_xlfn.MINIFS($N$2:$N$5001,$B$2:$B$5001,B3172,$E$2:$E$5001,"Em ajustes"),1,0),0))</f>
        <v/>
      </c>
      <c r="N3172" s="17" t="str">
        <f aca="false">IF(A3172="","",IF(ISNUMBER(A3172),A3172,IFERROR(DATE(VALUE(MID(A3172,7,4)),VALUE(MID(A3172,4,2)),VALUE(MID(A3172,1,2)))+TIME(VALUE(MID(A3172,12,2)),VALUE(MID(A3172,15,2)),VALUE(MID(A3172,18,2))),"")))</f>
        <v/>
      </c>
    </row>
    <row r="3173" customFormat="false" ht="15" hidden="false" customHeight="false" outlineLevel="0" collapsed="false">
      <c r="I3173" s="15" t="str">
        <f aca="false">IF(N3173="","",INT(N3173))</f>
        <v/>
      </c>
      <c r="J3173" s="16" t="str">
        <f aca="false">IF(B3173="","",IF(N3173=_xlfn.MINIFS($N$2:$N$5001,$B$2:$B$5001,B3173),1,0))</f>
        <v/>
      </c>
      <c r="K3173" s="16" t="str">
        <f aca="false">IF(B3173="","",IF(AND(D3173="Formalização",E3173="Concluído"),IF(COUNTIFS($B$2:$B$5001,B3173,$E$2:$E$5001,"Em ajustes",$N$2:$N$5001,"&lt;"&amp;I3173)&gt;0,1,0),0))</f>
        <v/>
      </c>
      <c r="L3173" s="16" t="str">
        <f aca="false">IF(B3173="","",IF(N3173=_xlfn.MAXIFS($N$2:$N$5001,$B$2:$B$5001,B3173,$I$2:$I$5001,I3173),1,0))</f>
        <v/>
      </c>
      <c r="M3173" s="16" t="str">
        <f aca="false">IF(B3173="","",IF(E3173="Em ajustes",IF(N3173=_xlfn.MINIFS($N$2:$N$5001,$B$2:$B$5001,B3173,$E$2:$E$5001,"Em ajustes"),1,0),0))</f>
        <v/>
      </c>
      <c r="N3173" s="17" t="str">
        <f aca="false">IF(A3173="","",IF(ISNUMBER(A3173),A3173,IFERROR(DATE(VALUE(MID(A3173,7,4)),VALUE(MID(A3173,4,2)),VALUE(MID(A3173,1,2)))+TIME(VALUE(MID(A3173,12,2)),VALUE(MID(A3173,15,2)),VALUE(MID(A3173,18,2))),"")))</f>
        <v/>
      </c>
    </row>
    <row r="3174" customFormat="false" ht="15" hidden="false" customHeight="false" outlineLevel="0" collapsed="false">
      <c r="I3174" s="15" t="str">
        <f aca="false">IF(N3174="","",INT(N3174))</f>
        <v/>
      </c>
      <c r="J3174" s="16" t="str">
        <f aca="false">IF(B3174="","",IF(N3174=_xlfn.MINIFS($N$2:$N$5001,$B$2:$B$5001,B3174),1,0))</f>
        <v/>
      </c>
      <c r="K3174" s="16" t="str">
        <f aca="false">IF(B3174="","",IF(AND(D3174="Formalização",E3174="Concluído"),IF(COUNTIFS($B$2:$B$5001,B3174,$E$2:$E$5001,"Em ajustes",$N$2:$N$5001,"&lt;"&amp;I3174)&gt;0,1,0),0))</f>
        <v/>
      </c>
      <c r="L3174" s="16" t="str">
        <f aca="false">IF(B3174="","",IF(N3174=_xlfn.MAXIFS($N$2:$N$5001,$B$2:$B$5001,B3174,$I$2:$I$5001,I3174),1,0))</f>
        <v/>
      </c>
      <c r="M3174" s="16" t="str">
        <f aca="false">IF(B3174="","",IF(E3174="Em ajustes",IF(N3174=_xlfn.MINIFS($N$2:$N$5001,$B$2:$B$5001,B3174,$E$2:$E$5001,"Em ajustes"),1,0),0))</f>
        <v/>
      </c>
      <c r="N3174" s="17" t="str">
        <f aca="false">IF(A3174="","",IF(ISNUMBER(A3174),A3174,IFERROR(DATE(VALUE(MID(A3174,7,4)),VALUE(MID(A3174,4,2)),VALUE(MID(A3174,1,2)))+TIME(VALUE(MID(A3174,12,2)),VALUE(MID(A3174,15,2)),VALUE(MID(A3174,18,2))),"")))</f>
        <v/>
      </c>
    </row>
    <row r="3175" customFormat="false" ht="15" hidden="false" customHeight="false" outlineLevel="0" collapsed="false">
      <c r="I3175" s="15" t="str">
        <f aca="false">IF(N3175="","",INT(N3175))</f>
        <v/>
      </c>
      <c r="J3175" s="16" t="str">
        <f aca="false">IF(B3175="","",IF(N3175=_xlfn.MINIFS($N$2:$N$5001,$B$2:$B$5001,B3175),1,0))</f>
        <v/>
      </c>
      <c r="K3175" s="16" t="str">
        <f aca="false">IF(B3175="","",IF(AND(D3175="Formalização",E3175="Concluído"),IF(COUNTIFS($B$2:$B$5001,B3175,$E$2:$E$5001,"Em ajustes",$N$2:$N$5001,"&lt;"&amp;I3175)&gt;0,1,0),0))</f>
        <v/>
      </c>
      <c r="L3175" s="16" t="str">
        <f aca="false">IF(B3175="","",IF(N3175=_xlfn.MAXIFS($N$2:$N$5001,$B$2:$B$5001,B3175,$I$2:$I$5001,I3175),1,0))</f>
        <v/>
      </c>
      <c r="M3175" s="16" t="str">
        <f aca="false">IF(B3175="","",IF(E3175="Em ajustes",IF(N3175=_xlfn.MINIFS($N$2:$N$5001,$B$2:$B$5001,B3175,$E$2:$E$5001,"Em ajustes"),1,0),0))</f>
        <v/>
      </c>
      <c r="N3175" s="17" t="str">
        <f aca="false">IF(A3175="","",IF(ISNUMBER(A3175),A3175,IFERROR(DATE(VALUE(MID(A3175,7,4)),VALUE(MID(A3175,4,2)),VALUE(MID(A3175,1,2)))+TIME(VALUE(MID(A3175,12,2)),VALUE(MID(A3175,15,2)),VALUE(MID(A3175,18,2))),"")))</f>
        <v/>
      </c>
    </row>
    <row r="3176" customFormat="false" ht="15" hidden="false" customHeight="false" outlineLevel="0" collapsed="false">
      <c r="I3176" s="15" t="str">
        <f aca="false">IF(N3176="","",INT(N3176))</f>
        <v/>
      </c>
      <c r="J3176" s="16" t="str">
        <f aca="false">IF(B3176="","",IF(N3176=_xlfn.MINIFS($N$2:$N$5001,$B$2:$B$5001,B3176),1,0))</f>
        <v/>
      </c>
      <c r="K3176" s="16" t="str">
        <f aca="false">IF(B3176="","",IF(AND(D3176="Formalização",E3176="Concluído"),IF(COUNTIFS($B$2:$B$5001,B3176,$E$2:$E$5001,"Em ajustes",$N$2:$N$5001,"&lt;"&amp;I3176)&gt;0,1,0),0))</f>
        <v/>
      </c>
      <c r="L3176" s="16" t="str">
        <f aca="false">IF(B3176="","",IF(N3176=_xlfn.MAXIFS($N$2:$N$5001,$B$2:$B$5001,B3176,$I$2:$I$5001,I3176),1,0))</f>
        <v/>
      </c>
      <c r="M3176" s="16" t="str">
        <f aca="false">IF(B3176="","",IF(E3176="Em ajustes",IF(N3176=_xlfn.MINIFS($N$2:$N$5001,$B$2:$B$5001,B3176,$E$2:$E$5001,"Em ajustes"),1,0),0))</f>
        <v/>
      </c>
      <c r="N3176" s="17" t="str">
        <f aca="false">IF(A3176="","",IF(ISNUMBER(A3176),A3176,IFERROR(DATE(VALUE(MID(A3176,7,4)),VALUE(MID(A3176,4,2)),VALUE(MID(A3176,1,2)))+TIME(VALUE(MID(A3176,12,2)),VALUE(MID(A3176,15,2)),VALUE(MID(A3176,18,2))),"")))</f>
        <v/>
      </c>
    </row>
    <row r="3177" customFormat="false" ht="15" hidden="false" customHeight="false" outlineLevel="0" collapsed="false">
      <c r="I3177" s="15" t="str">
        <f aca="false">IF(N3177="","",INT(N3177))</f>
        <v/>
      </c>
      <c r="J3177" s="16" t="str">
        <f aca="false">IF(B3177="","",IF(N3177=_xlfn.MINIFS($N$2:$N$5001,$B$2:$B$5001,B3177),1,0))</f>
        <v/>
      </c>
      <c r="K3177" s="16" t="str">
        <f aca="false">IF(B3177="","",IF(AND(D3177="Formalização",E3177="Concluído"),IF(COUNTIFS($B$2:$B$5001,B3177,$E$2:$E$5001,"Em ajustes",$N$2:$N$5001,"&lt;"&amp;I3177)&gt;0,1,0),0))</f>
        <v/>
      </c>
      <c r="L3177" s="16" t="str">
        <f aca="false">IF(B3177="","",IF(N3177=_xlfn.MAXIFS($N$2:$N$5001,$B$2:$B$5001,B3177,$I$2:$I$5001,I3177),1,0))</f>
        <v/>
      </c>
      <c r="M3177" s="16" t="str">
        <f aca="false">IF(B3177="","",IF(E3177="Em ajustes",IF(N3177=_xlfn.MINIFS($N$2:$N$5001,$B$2:$B$5001,B3177,$E$2:$E$5001,"Em ajustes"),1,0),0))</f>
        <v/>
      </c>
      <c r="N3177" s="17" t="str">
        <f aca="false">IF(A3177="","",IF(ISNUMBER(A3177),A3177,IFERROR(DATE(VALUE(MID(A3177,7,4)),VALUE(MID(A3177,4,2)),VALUE(MID(A3177,1,2)))+TIME(VALUE(MID(A3177,12,2)),VALUE(MID(A3177,15,2)),VALUE(MID(A3177,18,2))),"")))</f>
        <v/>
      </c>
    </row>
    <row r="3178" customFormat="false" ht="15" hidden="false" customHeight="false" outlineLevel="0" collapsed="false">
      <c r="I3178" s="15" t="str">
        <f aca="false">IF(N3178="","",INT(N3178))</f>
        <v/>
      </c>
      <c r="J3178" s="16" t="str">
        <f aca="false">IF(B3178="","",IF(N3178=_xlfn.MINIFS($N$2:$N$5001,$B$2:$B$5001,B3178),1,0))</f>
        <v/>
      </c>
      <c r="K3178" s="16" t="str">
        <f aca="false">IF(B3178="","",IF(AND(D3178="Formalização",E3178="Concluído"),IF(COUNTIFS($B$2:$B$5001,B3178,$E$2:$E$5001,"Em ajustes",$N$2:$N$5001,"&lt;"&amp;I3178)&gt;0,1,0),0))</f>
        <v/>
      </c>
      <c r="L3178" s="16" t="str">
        <f aca="false">IF(B3178="","",IF(N3178=_xlfn.MAXIFS($N$2:$N$5001,$B$2:$B$5001,B3178,$I$2:$I$5001,I3178),1,0))</f>
        <v/>
      </c>
      <c r="M3178" s="16" t="str">
        <f aca="false">IF(B3178="","",IF(E3178="Em ajustes",IF(N3178=_xlfn.MINIFS($N$2:$N$5001,$B$2:$B$5001,B3178,$E$2:$E$5001,"Em ajustes"),1,0),0))</f>
        <v/>
      </c>
      <c r="N3178" s="17" t="str">
        <f aca="false">IF(A3178="","",IF(ISNUMBER(A3178),A3178,IFERROR(DATE(VALUE(MID(A3178,7,4)),VALUE(MID(A3178,4,2)),VALUE(MID(A3178,1,2)))+TIME(VALUE(MID(A3178,12,2)),VALUE(MID(A3178,15,2)),VALUE(MID(A3178,18,2))),"")))</f>
        <v/>
      </c>
    </row>
    <row r="3179" customFormat="false" ht="15" hidden="false" customHeight="false" outlineLevel="0" collapsed="false">
      <c r="I3179" s="15" t="str">
        <f aca="false">IF(N3179="","",INT(N3179))</f>
        <v/>
      </c>
      <c r="J3179" s="16" t="str">
        <f aca="false">IF(B3179="","",IF(N3179=_xlfn.MINIFS($N$2:$N$5001,$B$2:$B$5001,B3179),1,0))</f>
        <v/>
      </c>
      <c r="K3179" s="16" t="str">
        <f aca="false">IF(B3179="","",IF(AND(D3179="Formalização",E3179="Concluído"),IF(COUNTIFS($B$2:$B$5001,B3179,$E$2:$E$5001,"Em ajustes",$N$2:$N$5001,"&lt;"&amp;I3179)&gt;0,1,0),0))</f>
        <v/>
      </c>
      <c r="L3179" s="16" t="str">
        <f aca="false">IF(B3179="","",IF(N3179=_xlfn.MAXIFS($N$2:$N$5001,$B$2:$B$5001,B3179,$I$2:$I$5001,I3179),1,0))</f>
        <v/>
      </c>
      <c r="M3179" s="16" t="str">
        <f aca="false">IF(B3179="","",IF(E3179="Em ajustes",IF(N3179=_xlfn.MINIFS($N$2:$N$5001,$B$2:$B$5001,B3179,$E$2:$E$5001,"Em ajustes"),1,0),0))</f>
        <v/>
      </c>
      <c r="N3179" s="17" t="str">
        <f aca="false">IF(A3179="","",IF(ISNUMBER(A3179),A3179,IFERROR(DATE(VALUE(MID(A3179,7,4)),VALUE(MID(A3179,4,2)),VALUE(MID(A3179,1,2)))+TIME(VALUE(MID(A3179,12,2)),VALUE(MID(A3179,15,2)),VALUE(MID(A3179,18,2))),"")))</f>
        <v/>
      </c>
    </row>
    <row r="3180" customFormat="false" ht="15" hidden="false" customHeight="false" outlineLevel="0" collapsed="false">
      <c r="I3180" s="15" t="str">
        <f aca="false">IF(N3180="","",INT(N3180))</f>
        <v/>
      </c>
      <c r="J3180" s="16" t="str">
        <f aca="false">IF(B3180="","",IF(N3180=_xlfn.MINIFS($N$2:$N$5001,$B$2:$B$5001,B3180),1,0))</f>
        <v/>
      </c>
      <c r="K3180" s="16" t="str">
        <f aca="false">IF(B3180="","",IF(AND(D3180="Formalização",E3180="Concluído"),IF(COUNTIFS($B$2:$B$5001,B3180,$E$2:$E$5001,"Em ajustes",$N$2:$N$5001,"&lt;"&amp;I3180)&gt;0,1,0),0))</f>
        <v/>
      </c>
      <c r="L3180" s="16" t="str">
        <f aca="false">IF(B3180="","",IF(N3180=_xlfn.MAXIFS($N$2:$N$5001,$B$2:$B$5001,B3180,$I$2:$I$5001,I3180),1,0))</f>
        <v/>
      </c>
      <c r="M3180" s="16" t="str">
        <f aca="false">IF(B3180="","",IF(E3180="Em ajustes",IF(N3180=_xlfn.MINIFS($N$2:$N$5001,$B$2:$B$5001,B3180,$E$2:$E$5001,"Em ajustes"),1,0),0))</f>
        <v/>
      </c>
      <c r="N3180" s="17" t="str">
        <f aca="false">IF(A3180="","",IF(ISNUMBER(A3180),A3180,IFERROR(DATE(VALUE(MID(A3180,7,4)),VALUE(MID(A3180,4,2)),VALUE(MID(A3180,1,2)))+TIME(VALUE(MID(A3180,12,2)),VALUE(MID(A3180,15,2)),VALUE(MID(A3180,18,2))),"")))</f>
        <v/>
      </c>
    </row>
    <row r="3181" customFormat="false" ht="15" hidden="false" customHeight="false" outlineLevel="0" collapsed="false">
      <c r="I3181" s="15" t="str">
        <f aca="false">IF(N3181="","",INT(N3181))</f>
        <v/>
      </c>
      <c r="J3181" s="16" t="str">
        <f aca="false">IF(B3181="","",IF(N3181=_xlfn.MINIFS($N$2:$N$5001,$B$2:$B$5001,B3181),1,0))</f>
        <v/>
      </c>
      <c r="K3181" s="16" t="str">
        <f aca="false">IF(B3181="","",IF(AND(D3181="Formalização",E3181="Concluído"),IF(COUNTIFS($B$2:$B$5001,B3181,$E$2:$E$5001,"Em ajustes",$N$2:$N$5001,"&lt;"&amp;I3181)&gt;0,1,0),0))</f>
        <v/>
      </c>
      <c r="L3181" s="16" t="str">
        <f aca="false">IF(B3181="","",IF(N3181=_xlfn.MAXIFS($N$2:$N$5001,$B$2:$B$5001,B3181,$I$2:$I$5001,I3181),1,0))</f>
        <v/>
      </c>
      <c r="M3181" s="16" t="str">
        <f aca="false">IF(B3181="","",IF(E3181="Em ajustes",IF(N3181=_xlfn.MINIFS($N$2:$N$5001,$B$2:$B$5001,B3181,$E$2:$E$5001,"Em ajustes"),1,0),0))</f>
        <v/>
      </c>
      <c r="N3181" s="17" t="str">
        <f aca="false">IF(A3181="","",IF(ISNUMBER(A3181),A3181,IFERROR(DATE(VALUE(MID(A3181,7,4)),VALUE(MID(A3181,4,2)),VALUE(MID(A3181,1,2)))+TIME(VALUE(MID(A3181,12,2)),VALUE(MID(A3181,15,2)),VALUE(MID(A3181,18,2))),"")))</f>
        <v/>
      </c>
    </row>
    <row r="3182" customFormat="false" ht="15" hidden="false" customHeight="false" outlineLevel="0" collapsed="false">
      <c r="I3182" s="15" t="str">
        <f aca="false">IF(N3182="","",INT(N3182))</f>
        <v/>
      </c>
      <c r="J3182" s="16" t="str">
        <f aca="false">IF(B3182="","",IF(N3182=_xlfn.MINIFS($N$2:$N$5001,$B$2:$B$5001,B3182),1,0))</f>
        <v/>
      </c>
      <c r="K3182" s="16" t="str">
        <f aca="false">IF(B3182="","",IF(AND(D3182="Formalização",E3182="Concluído"),IF(COUNTIFS($B$2:$B$5001,B3182,$E$2:$E$5001,"Em ajustes",$N$2:$N$5001,"&lt;"&amp;I3182)&gt;0,1,0),0))</f>
        <v/>
      </c>
      <c r="L3182" s="16" t="str">
        <f aca="false">IF(B3182="","",IF(N3182=_xlfn.MAXIFS($N$2:$N$5001,$B$2:$B$5001,B3182,$I$2:$I$5001,I3182),1,0))</f>
        <v/>
      </c>
      <c r="M3182" s="16" t="str">
        <f aca="false">IF(B3182="","",IF(E3182="Em ajustes",IF(N3182=_xlfn.MINIFS($N$2:$N$5001,$B$2:$B$5001,B3182,$E$2:$E$5001,"Em ajustes"),1,0),0))</f>
        <v/>
      </c>
      <c r="N3182" s="17" t="str">
        <f aca="false">IF(A3182="","",IF(ISNUMBER(A3182),A3182,IFERROR(DATE(VALUE(MID(A3182,7,4)),VALUE(MID(A3182,4,2)),VALUE(MID(A3182,1,2)))+TIME(VALUE(MID(A3182,12,2)),VALUE(MID(A3182,15,2)),VALUE(MID(A3182,18,2))),"")))</f>
        <v/>
      </c>
    </row>
    <row r="3183" customFormat="false" ht="15" hidden="false" customHeight="false" outlineLevel="0" collapsed="false">
      <c r="I3183" s="15" t="str">
        <f aca="false">IF(N3183="","",INT(N3183))</f>
        <v/>
      </c>
      <c r="J3183" s="16" t="str">
        <f aca="false">IF(B3183="","",IF(N3183=_xlfn.MINIFS($N$2:$N$5001,$B$2:$B$5001,B3183),1,0))</f>
        <v/>
      </c>
      <c r="K3183" s="16" t="str">
        <f aca="false">IF(B3183="","",IF(AND(D3183="Formalização",E3183="Concluído"),IF(COUNTIFS($B$2:$B$5001,B3183,$E$2:$E$5001,"Em ajustes",$N$2:$N$5001,"&lt;"&amp;I3183)&gt;0,1,0),0))</f>
        <v/>
      </c>
      <c r="L3183" s="16" t="str">
        <f aca="false">IF(B3183="","",IF(N3183=_xlfn.MAXIFS($N$2:$N$5001,$B$2:$B$5001,B3183,$I$2:$I$5001,I3183),1,0))</f>
        <v/>
      </c>
      <c r="M3183" s="16" t="str">
        <f aca="false">IF(B3183="","",IF(E3183="Em ajustes",IF(N3183=_xlfn.MINIFS($N$2:$N$5001,$B$2:$B$5001,B3183,$E$2:$E$5001,"Em ajustes"),1,0),0))</f>
        <v/>
      </c>
      <c r="N3183" s="17" t="str">
        <f aca="false">IF(A3183="","",IF(ISNUMBER(A3183),A3183,IFERROR(DATE(VALUE(MID(A3183,7,4)),VALUE(MID(A3183,4,2)),VALUE(MID(A3183,1,2)))+TIME(VALUE(MID(A3183,12,2)),VALUE(MID(A3183,15,2)),VALUE(MID(A3183,18,2))),"")))</f>
        <v/>
      </c>
    </row>
    <row r="3184" customFormat="false" ht="15" hidden="false" customHeight="false" outlineLevel="0" collapsed="false">
      <c r="I3184" s="15" t="str">
        <f aca="false">IF(N3184="","",INT(N3184))</f>
        <v/>
      </c>
      <c r="J3184" s="16" t="str">
        <f aca="false">IF(B3184="","",IF(N3184=_xlfn.MINIFS($N$2:$N$5001,$B$2:$B$5001,B3184),1,0))</f>
        <v/>
      </c>
      <c r="K3184" s="16" t="str">
        <f aca="false">IF(B3184="","",IF(AND(D3184="Formalização",E3184="Concluído"),IF(COUNTIFS($B$2:$B$5001,B3184,$E$2:$E$5001,"Em ajustes",$N$2:$N$5001,"&lt;"&amp;I3184)&gt;0,1,0),0))</f>
        <v/>
      </c>
      <c r="L3184" s="16" t="str">
        <f aca="false">IF(B3184="","",IF(N3184=_xlfn.MAXIFS($N$2:$N$5001,$B$2:$B$5001,B3184,$I$2:$I$5001,I3184),1,0))</f>
        <v/>
      </c>
      <c r="M3184" s="16" t="str">
        <f aca="false">IF(B3184="","",IF(E3184="Em ajustes",IF(N3184=_xlfn.MINIFS($N$2:$N$5001,$B$2:$B$5001,B3184,$E$2:$E$5001,"Em ajustes"),1,0),0))</f>
        <v/>
      </c>
      <c r="N3184" s="17" t="str">
        <f aca="false">IF(A3184="","",IF(ISNUMBER(A3184),A3184,IFERROR(DATE(VALUE(MID(A3184,7,4)),VALUE(MID(A3184,4,2)),VALUE(MID(A3184,1,2)))+TIME(VALUE(MID(A3184,12,2)),VALUE(MID(A3184,15,2)),VALUE(MID(A3184,18,2))),"")))</f>
        <v/>
      </c>
    </row>
    <row r="3185" customFormat="false" ht="15" hidden="false" customHeight="false" outlineLevel="0" collapsed="false">
      <c r="I3185" s="15" t="str">
        <f aca="false">IF(N3185="","",INT(N3185))</f>
        <v/>
      </c>
      <c r="J3185" s="16" t="str">
        <f aca="false">IF(B3185="","",IF(N3185=_xlfn.MINIFS($N$2:$N$5001,$B$2:$B$5001,B3185),1,0))</f>
        <v/>
      </c>
      <c r="K3185" s="16" t="str">
        <f aca="false">IF(B3185="","",IF(AND(D3185="Formalização",E3185="Concluído"),IF(COUNTIFS($B$2:$B$5001,B3185,$E$2:$E$5001,"Em ajustes",$N$2:$N$5001,"&lt;"&amp;I3185)&gt;0,1,0),0))</f>
        <v/>
      </c>
      <c r="L3185" s="16" t="str">
        <f aca="false">IF(B3185="","",IF(N3185=_xlfn.MAXIFS($N$2:$N$5001,$B$2:$B$5001,B3185,$I$2:$I$5001,I3185),1,0))</f>
        <v/>
      </c>
      <c r="M3185" s="16" t="str">
        <f aca="false">IF(B3185="","",IF(E3185="Em ajustes",IF(N3185=_xlfn.MINIFS($N$2:$N$5001,$B$2:$B$5001,B3185,$E$2:$E$5001,"Em ajustes"),1,0),0))</f>
        <v/>
      </c>
      <c r="N3185" s="17" t="str">
        <f aca="false">IF(A3185="","",IF(ISNUMBER(A3185),A3185,IFERROR(DATE(VALUE(MID(A3185,7,4)),VALUE(MID(A3185,4,2)),VALUE(MID(A3185,1,2)))+TIME(VALUE(MID(A3185,12,2)),VALUE(MID(A3185,15,2)),VALUE(MID(A3185,18,2))),"")))</f>
        <v/>
      </c>
    </row>
    <row r="3186" customFormat="false" ht="15" hidden="false" customHeight="false" outlineLevel="0" collapsed="false">
      <c r="I3186" s="15" t="str">
        <f aca="false">IF(N3186="","",INT(N3186))</f>
        <v/>
      </c>
      <c r="J3186" s="16" t="str">
        <f aca="false">IF(B3186="","",IF(N3186=_xlfn.MINIFS($N$2:$N$5001,$B$2:$B$5001,B3186),1,0))</f>
        <v/>
      </c>
      <c r="K3186" s="16" t="str">
        <f aca="false">IF(B3186="","",IF(AND(D3186="Formalização",E3186="Concluído"),IF(COUNTIFS($B$2:$B$5001,B3186,$E$2:$E$5001,"Em ajustes",$N$2:$N$5001,"&lt;"&amp;I3186)&gt;0,1,0),0))</f>
        <v/>
      </c>
      <c r="L3186" s="16" t="str">
        <f aca="false">IF(B3186="","",IF(N3186=_xlfn.MAXIFS($N$2:$N$5001,$B$2:$B$5001,B3186,$I$2:$I$5001,I3186),1,0))</f>
        <v/>
      </c>
      <c r="M3186" s="16" t="str">
        <f aca="false">IF(B3186="","",IF(E3186="Em ajustes",IF(N3186=_xlfn.MINIFS($N$2:$N$5001,$B$2:$B$5001,B3186,$E$2:$E$5001,"Em ajustes"),1,0),0))</f>
        <v/>
      </c>
      <c r="N3186" s="17" t="str">
        <f aca="false">IF(A3186="","",IF(ISNUMBER(A3186),A3186,IFERROR(DATE(VALUE(MID(A3186,7,4)),VALUE(MID(A3186,4,2)),VALUE(MID(A3186,1,2)))+TIME(VALUE(MID(A3186,12,2)),VALUE(MID(A3186,15,2)),VALUE(MID(A3186,18,2))),"")))</f>
        <v/>
      </c>
    </row>
    <row r="3187" customFormat="false" ht="15" hidden="false" customHeight="false" outlineLevel="0" collapsed="false">
      <c r="I3187" s="15" t="str">
        <f aca="false">IF(N3187="","",INT(N3187))</f>
        <v/>
      </c>
      <c r="J3187" s="16" t="str">
        <f aca="false">IF(B3187="","",IF(N3187=_xlfn.MINIFS($N$2:$N$5001,$B$2:$B$5001,B3187),1,0))</f>
        <v/>
      </c>
      <c r="K3187" s="16" t="str">
        <f aca="false">IF(B3187="","",IF(AND(D3187="Formalização",E3187="Concluído"),IF(COUNTIFS($B$2:$B$5001,B3187,$E$2:$E$5001,"Em ajustes",$N$2:$N$5001,"&lt;"&amp;I3187)&gt;0,1,0),0))</f>
        <v/>
      </c>
      <c r="L3187" s="16" t="str">
        <f aca="false">IF(B3187="","",IF(N3187=_xlfn.MAXIFS($N$2:$N$5001,$B$2:$B$5001,B3187,$I$2:$I$5001,I3187),1,0))</f>
        <v/>
      </c>
      <c r="M3187" s="16" t="str">
        <f aca="false">IF(B3187="","",IF(E3187="Em ajustes",IF(N3187=_xlfn.MINIFS($N$2:$N$5001,$B$2:$B$5001,B3187,$E$2:$E$5001,"Em ajustes"),1,0),0))</f>
        <v/>
      </c>
      <c r="N3187" s="17" t="str">
        <f aca="false">IF(A3187="","",IF(ISNUMBER(A3187),A3187,IFERROR(DATE(VALUE(MID(A3187,7,4)),VALUE(MID(A3187,4,2)),VALUE(MID(A3187,1,2)))+TIME(VALUE(MID(A3187,12,2)),VALUE(MID(A3187,15,2)),VALUE(MID(A3187,18,2))),"")))</f>
        <v/>
      </c>
    </row>
    <row r="3188" customFormat="false" ht="15" hidden="false" customHeight="false" outlineLevel="0" collapsed="false">
      <c r="I3188" s="15" t="str">
        <f aca="false">IF(N3188="","",INT(N3188))</f>
        <v/>
      </c>
      <c r="J3188" s="16" t="str">
        <f aca="false">IF(B3188="","",IF(N3188=_xlfn.MINIFS($N$2:$N$5001,$B$2:$B$5001,B3188),1,0))</f>
        <v/>
      </c>
      <c r="K3188" s="16" t="str">
        <f aca="false">IF(B3188="","",IF(AND(D3188="Formalização",E3188="Concluído"),IF(COUNTIFS($B$2:$B$5001,B3188,$E$2:$E$5001,"Em ajustes",$N$2:$N$5001,"&lt;"&amp;I3188)&gt;0,1,0),0))</f>
        <v/>
      </c>
      <c r="L3188" s="16" t="str">
        <f aca="false">IF(B3188="","",IF(N3188=_xlfn.MAXIFS($N$2:$N$5001,$B$2:$B$5001,B3188,$I$2:$I$5001,I3188),1,0))</f>
        <v/>
      </c>
      <c r="M3188" s="16" t="str">
        <f aca="false">IF(B3188="","",IF(E3188="Em ajustes",IF(N3188=_xlfn.MINIFS($N$2:$N$5001,$B$2:$B$5001,B3188,$E$2:$E$5001,"Em ajustes"),1,0),0))</f>
        <v/>
      </c>
      <c r="N3188" s="17" t="str">
        <f aca="false">IF(A3188="","",IF(ISNUMBER(A3188),A3188,IFERROR(DATE(VALUE(MID(A3188,7,4)),VALUE(MID(A3188,4,2)),VALUE(MID(A3188,1,2)))+TIME(VALUE(MID(A3188,12,2)),VALUE(MID(A3188,15,2)),VALUE(MID(A3188,18,2))),"")))</f>
        <v/>
      </c>
    </row>
    <row r="3189" customFormat="false" ht="15" hidden="false" customHeight="false" outlineLevel="0" collapsed="false">
      <c r="I3189" s="15" t="str">
        <f aca="false">IF(N3189="","",INT(N3189))</f>
        <v/>
      </c>
      <c r="J3189" s="16" t="str">
        <f aca="false">IF(B3189="","",IF(N3189=_xlfn.MINIFS($N$2:$N$5001,$B$2:$B$5001,B3189),1,0))</f>
        <v/>
      </c>
      <c r="K3189" s="16" t="str">
        <f aca="false">IF(B3189="","",IF(AND(D3189="Formalização",E3189="Concluído"),IF(COUNTIFS($B$2:$B$5001,B3189,$E$2:$E$5001,"Em ajustes",$N$2:$N$5001,"&lt;"&amp;I3189)&gt;0,1,0),0))</f>
        <v/>
      </c>
      <c r="L3189" s="16" t="str">
        <f aca="false">IF(B3189="","",IF(N3189=_xlfn.MAXIFS($N$2:$N$5001,$B$2:$B$5001,B3189,$I$2:$I$5001,I3189),1,0))</f>
        <v/>
      </c>
      <c r="M3189" s="16" t="str">
        <f aca="false">IF(B3189="","",IF(E3189="Em ajustes",IF(N3189=_xlfn.MINIFS($N$2:$N$5001,$B$2:$B$5001,B3189,$E$2:$E$5001,"Em ajustes"),1,0),0))</f>
        <v/>
      </c>
      <c r="N3189" s="17" t="str">
        <f aca="false">IF(A3189="","",IF(ISNUMBER(A3189),A3189,IFERROR(DATE(VALUE(MID(A3189,7,4)),VALUE(MID(A3189,4,2)),VALUE(MID(A3189,1,2)))+TIME(VALUE(MID(A3189,12,2)),VALUE(MID(A3189,15,2)),VALUE(MID(A3189,18,2))),"")))</f>
        <v/>
      </c>
    </row>
    <row r="3190" customFormat="false" ht="15" hidden="false" customHeight="false" outlineLevel="0" collapsed="false">
      <c r="I3190" s="15" t="str">
        <f aca="false">IF(N3190="","",INT(N3190))</f>
        <v/>
      </c>
      <c r="J3190" s="16" t="str">
        <f aca="false">IF(B3190="","",IF(N3190=_xlfn.MINIFS($N$2:$N$5001,$B$2:$B$5001,B3190),1,0))</f>
        <v/>
      </c>
      <c r="K3190" s="16" t="str">
        <f aca="false">IF(B3190="","",IF(AND(D3190="Formalização",E3190="Concluído"),IF(COUNTIFS($B$2:$B$5001,B3190,$E$2:$E$5001,"Em ajustes",$N$2:$N$5001,"&lt;"&amp;I3190)&gt;0,1,0),0))</f>
        <v/>
      </c>
      <c r="L3190" s="16" t="str">
        <f aca="false">IF(B3190="","",IF(N3190=_xlfn.MAXIFS($N$2:$N$5001,$B$2:$B$5001,B3190,$I$2:$I$5001,I3190),1,0))</f>
        <v/>
      </c>
      <c r="M3190" s="16" t="str">
        <f aca="false">IF(B3190="","",IF(E3190="Em ajustes",IF(N3190=_xlfn.MINIFS($N$2:$N$5001,$B$2:$B$5001,B3190,$E$2:$E$5001,"Em ajustes"),1,0),0))</f>
        <v/>
      </c>
      <c r="N3190" s="17" t="str">
        <f aca="false">IF(A3190="","",IF(ISNUMBER(A3190),A3190,IFERROR(DATE(VALUE(MID(A3190,7,4)),VALUE(MID(A3190,4,2)),VALUE(MID(A3190,1,2)))+TIME(VALUE(MID(A3190,12,2)),VALUE(MID(A3190,15,2)),VALUE(MID(A3190,18,2))),"")))</f>
        <v/>
      </c>
    </row>
    <row r="3191" customFormat="false" ht="15" hidden="false" customHeight="false" outlineLevel="0" collapsed="false">
      <c r="I3191" s="15" t="str">
        <f aca="false">IF(N3191="","",INT(N3191))</f>
        <v/>
      </c>
      <c r="J3191" s="16" t="str">
        <f aca="false">IF(B3191="","",IF(N3191=_xlfn.MINIFS($N$2:$N$5001,$B$2:$B$5001,B3191),1,0))</f>
        <v/>
      </c>
      <c r="K3191" s="16" t="str">
        <f aca="false">IF(B3191="","",IF(AND(D3191="Formalização",E3191="Concluído"),IF(COUNTIFS($B$2:$B$5001,B3191,$E$2:$E$5001,"Em ajustes",$N$2:$N$5001,"&lt;"&amp;I3191)&gt;0,1,0),0))</f>
        <v/>
      </c>
      <c r="L3191" s="16" t="str">
        <f aca="false">IF(B3191="","",IF(N3191=_xlfn.MAXIFS($N$2:$N$5001,$B$2:$B$5001,B3191,$I$2:$I$5001,I3191),1,0))</f>
        <v/>
      </c>
      <c r="M3191" s="16" t="str">
        <f aca="false">IF(B3191="","",IF(E3191="Em ajustes",IF(N3191=_xlfn.MINIFS($N$2:$N$5001,$B$2:$B$5001,B3191,$E$2:$E$5001,"Em ajustes"),1,0),0))</f>
        <v/>
      </c>
      <c r="N3191" s="17" t="str">
        <f aca="false">IF(A3191="","",IF(ISNUMBER(A3191),A3191,IFERROR(DATE(VALUE(MID(A3191,7,4)),VALUE(MID(A3191,4,2)),VALUE(MID(A3191,1,2)))+TIME(VALUE(MID(A3191,12,2)),VALUE(MID(A3191,15,2)),VALUE(MID(A3191,18,2))),"")))</f>
        <v/>
      </c>
    </row>
    <row r="3192" customFormat="false" ht="15" hidden="false" customHeight="false" outlineLevel="0" collapsed="false">
      <c r="I3192" s="15" t="str">
        <f aca="false">IF(N3192="","",INT(N3192))</f>
        <v/>
      </c>
      <c r="J3192" s="16" t="str">
        <f aca="false">IF(B3192="","",IF(N3192=_xlfn.MINIFS($N$2:$N$5001,$B$2:$B$5001,B3192),1,0))</f>
        <v/>
      </c>
      <c r="K3192" s="16" t="str">
        <f aca="false">IF(B3192="","",IF(AND(D3192="Formalização",E3192="Concluído"),IF(COUNTIFS($B$2:$B$5001,B3192,$E$2:$E$5001,"Em ajustes",$N$2:$N$5001,"&lt;"&amp;I3192)&gt;0,1,0),0))</f>
        <v/>
      </c>
      <c r="L3192" s="16" t="str">
        <f aca="false">IF(B3192="","",IF(N3192=_xlfn.MAXIFS($N$2:$N$5001,$B$2:$B$5001,B3192,$I$2:$I$5001,I3192),1,0))</f>
        <v/>
      </c>
      <c r="M3192" s="16" t="str">
        <f aca="false">IF(B3192="","",IF(E3192="Em ajustes",IF(N3192=_xlfn.MINIFS($N$2:$N$5001,$B$2:$B$5001,B3192,$E$2:$E$5001,"Em ajustes"),1,0),0))</f>
        <v/>
      </c>
      <c r="N3192" s="17" t="str">
        <f aca="false">IF(A3192="","",IF(ISNUMBER(A3192),A3192,IFERROR(DATE(VALUE(MID(A3192,7,4)),VALUE(MID(A3192,4,2)),VALUE(MID(A3192,1,2)))+TIME(VALUE(MID(A3192,12,2)),VALUE(MID(A3192,15,2)),VALUE(MID(A3192,18,2))),"")))</f>
        <v/>
      </c>
    </row>
    <row r="3193" customFormat="false" ht="15" hidden="false" customHeight="false" outlineLevel="0" collapsed="false">
      <c r="I3193" s="15" t="str">
        <f aca="false">IF(N3193="","",INT(N3193))</f>
        <v/>
      </c>
      <c r="J3193" s="16" t="str">
        <f aca="false">IF(B3193="","",IF(N3193=_xlfn.MINIFS($N$2:$N$5001,$B$2:$B$5001,B3193),1,0))</f>
        <v/>
      </c>
      <c r="K3193" s="16" t="str">
        <f aca="false">IF(B3193="","",IF(AND(D3193="Formalização",E3193="Concluído"),IF(COUNTIFS($B$2:$B$5001,B3193,$E$2:$E$5001,"Em ajustes",$N$2:$N$5001,"&lt;"&amp;I3193)&gt;0,1,0),0))</f>
        <v/>
      </c>
      <c r="L3193" s="16" t="str">
        <f aca="false">IF(B3193="","",IF(N3193=_xlfn.MAXIFS($N$2:$N$5001,$B$2:$B$5001,B3193,$I$2:$I$5001,I3193),1,0))</f>
        <v/>
      </c>
      <c r="M3193" s="16" t="str">
        <f aca="false">IF(B3193="","",IF(E3193="Em ajustes",IF(N3193=_xlfn.MINIFS($N$2:$N$5001,$B$2:$B$5001,B3193,$E$2:$E$5001,"Em ajustes"),1,0),0))</f>
        <v/>
      </c>
      <c r="N3193" s="17" t="str">
        <f aca="false">IF(A3193="","",IF(ISNUMBER(A3193),A3193,IFERROR(DATE(VALUE(MID(A3193,7,4)),VALUE(MID(A3193,4,2)),VALUE(MID(A3193,1,2)))+TIME(VALUE(MID(A3193,12,2)),VALUE(MID(A3193,15,2)),VALUE(MID(A3193,18,2))),"")))</f>
        <v/>
      </c>
    </row>
    <row r="3194" customFormat="false" ht="15" hidden="false" customHeight="false" outlineLevel="0" collapsed="false">
      <c r="I3194" s="15" t="str">
        <f aca="false">IF(N3194="","",INT(N3194))</f>
        <v/>
      </c>
      <c r="J3194" s="16" t="str">
        <f aca="false">IF(B3194="","",IF(N3194=_xlfn.MINIFS($N$2:$N$5001,$B$2:$B$5001,B3194),1,0))</f>
        <v/>
      </c>
      <c r="K3194" s="16" t="str">
        <f aca="false">IF(B3194="","",IF(AND(D3194="Formalização",E3194="Concluído"),IF(COUNTIFS($B$2:$B$5001,B3194,$E$2:$E$5001,"Em ajustes",$N$2:$N$5001,"&lt;"&amp;I3194)&gt;0,1,0),0))</f>
        <v/>
      </c>
      <c r="L3194" s="16" t="str">
        <f aca="false">IF(B3194="","",IF(N3194=_xlfn.MAXIFS($N$2:$N$5001,$B$2:$B$5001,B3194,$I$2:$I$5001,I3194),1,0))</f>
        <v/>
      </c>
      <c r="M3194" s="16" t="str">
        <f aca="false">IF(B3194="","",IF(E3194="Em ajustes",IF(N3194=_xlfn.MINIFS($N$2:$N$5001,$B$2:$B$5001,B3194,$E$2:$E$5001,"Em ajustes"),1,0),0))</f>
        <v/>
      </c>
      <c r="N3194" s="17" t="str">
        <f aca="false">IF(A3194="","",IF(ISNUMBER(A3194),A3194,IFERROR(DATE(VALUE(MID(A3194,7,4)),VALUE(MID(A3194,4,2)),VALUE(MID(A3194,1,2)))+TIME(VALUE(MID(A3194,12,2)),VALUE(MID(A3194,15,2)),VALUE(MID(A3194,18,2))),"")))</f>
        <v/>
      </c>
    </row>
    <row r="3195" customFormat="false" ht="15" hidden="false" customHeight="false" outlineLevel="0" collapsed="false">
      <c r="I3195" s="15" t="str">
        <f aca="false">IF(N3195="","",INT(N3195))</f>
        <v/>
      </c>
      <c r="J3195" s="16" t="str">
        <f aca="false">IF(B3195="","",IF(N3195=_xlfn.MINIFS($N$2:$N$5001,$B$2:$B$5001,B3195),1,0))</f>
        <v/>
      </c>
      <c r="K3195" s="16" t="str">
        <f aca="false">IF(B3195="","",IF(AND(D3195="Formalização",E3195="Concluído"),IF(COUNTIFS($B$2:$B$5001,B3195,$E$2:$E$5001,"Em ajustes",$N$2:$N$5001,"&lt;"&amp;I3195)&gt;0,1,0),0))</f>
        <v/>
      </c>
      <c r="L3195" s="16" t="str">
        <f aca="false">IF(B3195="","",IF(N3195=_xlfn.MAXIFS($N$2:$N$5001,$B$2:$B$5001,B3195,$I$2:$I$5001,I3195),1,0))</f>
        <v/>
      </c>
      <c r="M3195" s="16" t="str">
        <f aca="false">IF(B3195="","",IF(E3195="Em ajustes",IF(N3195=_xlfn.MINIFS($N$2:$N$5001,$B$2:$B$5001,B3195,$E$2:$E$5001,"Em ajustes"),1,0),0))</f>
        <v/>
      </c>
      <c r="N3195" s="17" t="str">
        <f aca="false">IF(A3195="","",IF(ISNUMBER(A3195),A3195,IFERROR(DATE(VALUE(MID(A3195,7,4)),VALUE(MID(A3195,4,2)),VALUE(MID(A3195,1,2)))+TIME(VALUE(MID(A3195,12,2)),VALUE(MID(A3195,15,2)),VALUE(MID(A3195,18,2))),"")))</f>
        <v/>
      </c>
    </row>
    <row r="3196" customFormat="false" ht="15" hidden="false" customHeight="false" outlineLevel="0" collapsed="false">
      <c r="I3196" s="15" t="str">
        <f aca="false">IF(N3196="","",INT(N3196))</f>
        <v/>
      </c>
      <c r="J3196" s="16" t="str">
        <f aca="false">IF(B3196="","",IF(N3196=_xlfn.MINIFS($N$2:$N$5001,$B$2:$B$5001,B3196),1,0))</f>
        <v/>
      </c>
      <c r="K3196" s="16" t="str">
        <f aca="false">IF(B3196="","",IF(AND(D3196="Formalização",E3196="Concluído"),IF(COUNTIFS($B$2:$B$5001,B3196,$E$2:$E$5001,"Em ajustes",$N$2:$N$5001,"&lt;"&amp;I3196)&gt;0,1,0),0))</f>
        <v/>
      </c>
      <c r="L3196" s="16" t="str">
        <f aca="false">IF(B3196="","",IF(N3196=_xlfn.MAXIFS($N$2:$N$5001,$B$2:$B$5001,B3196,$I$2:$I$5001,I3196),1,0))</f>
        <v/>
      </c>
      <c r="M3196" s="16" t="str">
        <f aca="false">IF(B3196="","",IF(E3196="Em ajustes",IF(N3196=_xlfn.MINIFS($N$2:$N$5001,$B$2:$B$5001,B3196,$E$2:$E$5001,"Em ajustes"),1,0),0))</f>
        <v/>
      </c>
      <c r="N3196" s="17" t="str">
        <f aca="false">IF(A3196="","",IF(ISNUMBER(A3196),A3196,IFERROR(DATE(VALUE(MID(A3196,7,4)),VALUE(MID(A3196,4,2)),VALUE(MID(A3196,1,2)))+TIME(VALUE(MID(A3196,12,2)),VALUE(MID(A3196,15,2)),VALUE(MID(A3196,18,2))),"")))</f>
        <v/>
      </c>
    </row>
    <row r="3197" customFormat="false" ht="15" hidden="false" customHeight="false" outlineLevel="0" collapsed="false">
      <c r="I3197" s="15" t="str">
        <f aca="false">IF(N3197="","",INT(N3197))</f>
        <v/>
      </c>
      <c r="J3197" s="16" t="str">
        <f aca="false">IF(B3197="","",IF(N3197=_xlfn.MINIFS($N$2:$N$5001,$B$2:$B$5001,B3197),1,0))</f>
        <v/>
      </c>
      <c r="K3197" s="16" t="str">
        <f aca="false">IF(B3197="","",IF(AND(D3197="Formalização",E3197="Concluído"),IF(COUNTIFS($B$2:$B$5001,B3197,$E$2:$E$5001,"Em ajustes",$N$2:$N$5001,"&lt;"&amp;I3197)&gt;0,1,0),0))</f>
        <v/>
      </c>
      <c r="L3197" s="16" t="str">
        <f aca="false">IF(B3197="","",IF(N3197=_xlfn.MAXIFS($N$2:$N$5001,$B$2:$B$5001,B3197,$I$2:$I$5001,I3197),1,0))</f>
        <v/>
      </c>
      <c r="M3197" s="16" t="str">
        <f aca="false">IF(B3197="","",IF(E3197="Em ajustes",IF(N3197=_xlfn.MINIFS($N$2:$N$5001,$B$2:$B$5001,B3197,$E$2:$E$5001,"Em ajustes"),1,0),0))</f>
        <v/>
      </c>
      <c r="N3197" s="17" t="str">
        <f aca="false">IF(A3197="","",IF(ISNUMBER(A3197),A3197,IFERROR(DATE(VALUE(MID(A3197,7,4)),VALUE(MID(A3197,4,2)),VALUE(MID(A3197,1,2)))+TIME(VALUE(MID(A3197,12,2)),VALUE(MID(A3197,15,2)),VALUE(MID(A3197,18,2))),"")))</f>
        <v/>
      </c>
    </row>
    <row r="3198" customFormat="false" ht="15" hidden="false" customHeight="false" outlineLevel="0" collapsed="false">
      <c r="I3198" s="15" t="str">
        <f aca="false">IF(N3198="","",INT(N3198))</f>
        <v/>
      </c>
      <c r="J3198" s="16" t="str">
        <f aca="false">IF(B3198="","",IF(N3198=_xlfn.MINIFS($N$2:$N$5001,$B$2:$B$5001,B3198),1,0))</f>
        <v/>
      </c>
      <c r="K3198" s="16" t="str">
        <f aca="false">IF(B3198="","",IF(AND(D3198="Formalização",E3198="Concluído"),IF(COUNTIFS($B$2:$B$5001,B3198,$E$2:$E$5001,"Em ajustes",$N$2:$N$5001,"&lt;"&amp;I3198)&gt;0,1,0),0))</f>
        <v/>
      </c>
      <c r="L3198" s="16" t="str">
        <f aca="false">IF(B3198="","",IF(N3198=_xlfn.MAXIFS($N$2:$N$5001,$B$2:$B$5001,B3198,$I$2:$I$5001,I3198),1,0))</f>
        <v/>
      </c>
      <c r="M3198" s="16" t="str">
        <f aca="false">IF(B3198="","",IF(E3198="Em ajustes",IF(N3198=_xlfn.MINIFS($N$2:$N$5001,$B$2:$B$5001,B3198,$E$2:$E$5001,"Em ajustes"),1,0),0))</f>
        <v/>
      </c>
      <c r="N3198" s="17" t="str">
        <f aca="false">IF(A3198="","",IF(ISNUMBER(A3198),A3198,IFERROR(DATE(VALUE(MID(A3198,7,4)),VALUE(MID(A3198,4,2)),VALUE(MID(A3198,1,2)))+TIME(VALUE(MID(A3198,12,2)),VALUE(MID(A3198,15,2)),VALUE(MID(A3198,18,2))),"")))</f>
        <v/>
      </c>
    </row>
    <row r="3199" customFormat="false" ht="15" hidden="false" customHeight="false" outlineLevel="0" collapsed="false">
      <c r="I3199" s="15" t="str">
        <f aca="false">IF(N3199="","",INT(N3199))</f>
        <v/>
      </c>
      <c r="J3199" s="16" t="str">
        <f aca="false">IF(B3199="","",IF(N3199=_xlfn.MINIFS($N$2:$N$5001,$B$2:$B$5001,B3199),1,0))</f>
        <v/>
      </c>
      <c r="K3199" s="16" t="str">
        <f aca="false">IF(B3199="","",IF(AND(D3199="Formalização",E3199="Concluído"),IF(COUNTIFS($B$2:$B$5001,B3199,$E$2:$E$5001,"Em ajustes",$N$2:$N$5001,"&lt;"&amp;I3199)&gt;0,1,0),0))</f>
        <v/>
      </c>
      <c r="L3199" s="16" t="str">
        <f aca="false">IF(B3199="","",IF(N3199=_xlfn.MAXIFS($N$2:$N$5001,$B$2:$B$5001,B3199,$I$2:$I$5001,I3199),1,0))</f>
        <v/>
      </c>
      <c r="M3199" s="16" t="str">
        <f aca="false">IF(B3199="","",IF(E3199="Em ajustes",IF(N3199=_xlfn.MINIFS($N$2:$N$5001,$B$2:$B$5001,B3199,$E$2:$E$5001,"Em ajustes"),1,0),0))</f>
        <v/>
      </c>
      <c r="N3199" s="17" t="str">
        <f aca="false">IF(A3199="","",IF(ISNUMBER(A3199),A3199,IFERROR(DATE(VALUE(MID(A3199,7,4)),VALUE(MID(A3199,4,2)),VALUE(MID(A3199,1,2)))+TIME(VALUE(MID(A3199,12,2)),VALUE(MID(A3199,15,2)),VALUE(MID(A3199,18,2))),"")))</f>
        <v/>
      </c>
    </row>
    <row r="3200" customFormat="false" ht="15" hidden="false" customHeight="false" outlineLevel="0" collapsed="false">
      <c r="I3200" s="15" t="str">
        <f aca="false">IF(N3200="","",INT(N3200))</f>
        <v/>
      </c>
      <c r="J3200" s="16" t="str">
        <f aca="false">IF(B3200="","",IF(N3200=_xlfn.MINIFS($N$2:$N$5001,$B$2:$B$5001,B3200),1,0))</f>
        <v/>
      </c>
      <c r="K3200" s="16" t="str">
        <f aca="false">IF(B3200="","",IF(AND(D3200="Formalização",E3200="Concluído"),IF(COUNTIFS($B$2:$B$5001,B3200,$E$2:$E$5001,"Em ajustes",$N$2:$N$5001,"&lt;"&amp;I3200)&gt;0,1,0),0))</f>
        <v/>
      </c>
      <c r="L3200" s="16" t="str">
        <f aca="false">IF(B3200="","",IF(N3200=_xlfn.MAXIFS($N$2:$N$5001,$B$2:$B$5001,B3200,$I$2:$I$5001,I3200),1,0))</f>
        <v/>
      </c>
      <c r="M3200" s="16" t="str">
        <f aca="false">IF(B3200="","",IF(E3200="Em ajustes",IF(N3200=_xlfn.MINIFS($N$2:$N$5001,$B$2:$B$5001,B3200,$E$2:$E$5001,"Em ajustes"),1,0),0))</f>
        <v/>
      </c>
      <c r="N3200" s="17" t="str">
        <f aca="false">IF(A3200="","",IF(ISNUMBER(A3200),A3200,IFERROR(DATE(VALUE(MID(A3200,7,4)),VALUE(MID(A3200,4,2)),VALUE(MID(A3200,1,2)))+TIME(VALUE(MID(A3200,12,2)),VALUE(MID(A3200,15,2)),VALUE(MID(A3200,18,2))),"")))</f>
        <v/>
      </c>
    </row>
    <row r="3201" customFormat="false" ht="15" hidden="false" customHeight="false" outlineLevel="0" collapsed="false">
      <c r="I3201" s="15" t="str">
        <f aca="false">IF(N3201="","",INT(N3201))</f>
        <v/>
      </c>
      <c r="J3201" s="16" t="str">
        <f aca="false">IF(B3201="","",IF(N3201=_xlfn.MINIFS($N$2:$N$5001,$B$2:$B$5001,B3201),1,0))</f>
        <v/>
      </c>
      <c r="K3201" s="16" t="str">
        <f aca="false">IF(B3201="","",IF(AND(D3201="Formalização",E3201="Concluído"),IF(COUNTIFS($B$2:$B$5001,B3201,$E$2:$E$5001,"Em ajustes",$N$2:$N$5001,"&lt;"&amp;I3201)&gt;0,1,0),0))</f>
        <v/>
      </c>
      <c r="L3201" s="16" t="str">
        <f aca="false">IF(B3201="","",IF(N3201=_xlfn.MAXIFS($N$2:$N$5001,$B$2:$B$5001,B3201,$I$2:$I$5001,I3201),1,0))</f>
        <v/>
      </c>
      <c r="M3201" s="16" t="str">
        <f aca="false">IF(B3201="","",IF(E3201="Em ajustes",IF(N3201=_xlfn.MINIFS($N$2:$N$5001,$B$2:$B$5001,B3201,$E$2:$E$5001,"Em ajustes"),1,0),0))</f>
        <v/>
      </c>
      <c r="N3201" s="17" t="str">
        <f aca="false">IF(A3201="","",IF(ISNUMBER(A3201),A3201,IFERROR(DATE(VALUE(MID(A3201,7,4)),VALUE(MID(A3201,4,2)),VALUE(MID(A3201,1,2)))+TIME(VALUE(MID(A3201,12,2)),VALUE(MID(A3201,15,2)),VALUE(MID(A3201,18,2))),"")))</f>
        <v/>
      </c>
    </row>
    <row r="3202" customFormat="false" ht="15" hidden="false" customHeight="false" outlineLevel="0" collapsed="false">
      <c r="I3202" s="15" t="str">
        <f aca="false">IF(N3202="","",INT(N3202))</f>
        <v/>
      </c>
      <c r="J3202" s="16" t="str">
        <f aca="false">IF(B3202="","",IF(N3202=_xlfn.MINIFS($N$2:$N$5001,$B$2:$B$5001,B3202),1,0))</f>
        <v/>
      </c>
      <c r="K3202" s="16" t="str">
        <f aca="false">IF(B3202="","",IF(AND(D3202="Formalização",E3202="Concluído"),IF(COUNTIFS($B$2:$B$5001,B3202,$E$2:$E$5001,"Em ajustes",$N$2:$N$5001,"&lt;"&amp;I3202)&gt;0,1,0),0))</f>
        <v/>
      </c>
      <c r="L3202" s="16" t="str">
        <f aca="false">IF(B3202="","",IF(N3202=_xlfn.MAXIFS($N$2:$N$5001,$B$2:$B$5001,B3202,$I$2:$I$5001,I3202),1,0))</f>
        <v/>
      </c>
      <c r="M3202" s="16" t="str">
        <f aca="false">IF(B3202="","",IF(E3202="Em ajustes",IF(N3202=_xlfn.MINIFS($N$2:$N$5001,$B$2:$B$5001,B3202,$E$2:$E$5001,"Em ajustes"),1,0),0))</f>
        <v/>
      </c>
      <c r="N3202" s="17" t="str">
        <f aca="false">IF(A3202="","",IF(ISNUMBER(A3202),A3202,IFERROR(DATE(VALUE(MID(A3202,7,4)),VALUE(MID(A3202,4,2)),VALUE(MID(A3202,1,2)))+TIME(VALUE(MID(A3202,12,2)),VALUE(MID(A3202,15,2)),VALUE(MID(A3202,18,2))),"")))</f>
        <v/>
      </c>
    </row>
    <row r="3203" customFormat="false" ht="15" hidden="false" customHeight="false" outlineLevel="0" collapsed="false">
      <c r="I3203" s="15" t="str">
        <f aca="false">IF(N3203="","",INT(N3203))</f>
        <v/>
      </c>
      <c r="J3203" s="16" t="str">
        <f aca="false">IF(B3203="","",IF(N3203=_xlfn.MINIFS($N$2:$N$5001,$B$2:$B$5001,B3203),1,0))</f>
        <v/>
      </c>
      <c r="K3203" s="16" t="str">
        <f aca="false">IF(B3203="","",IF(AND(D3203="Formalização",E3203="Concluído"),IF(COUNTIFS($B$2:$B$5001,B3203,$E$2:$E$5001,"Em ajustes",$N$2:$N$5001,"&lt;"&amp;I3203)&gt;0,1,0),0))</f>
        <v/>
      </c>
      <c r="L3203" s="16" t="str">
        <f aca="false">IF(B3203="","",IF(N3203=_xlfn.MAXIFS($N$2:$N$5001,$B$2:$B$5001,B3203,$I$2:$I$5001,I3203),1,0))</f>
        <v/>
      </c>
      <c r="M3203" s="16" t="str">
        <f aca="false">IF(B3203="","",IF(E3203="Em ajustes",IF(N3203=_xlfn.MINIFS($N$2:$N$5001,$B$2:$B$5001,B3203,$E$2:$E$5001,"Em ajustes"),1,0),0))</f>
        <v/>
      </c>
      <c r="N3203" s="17" t="str">
        <f aca="false">IF(A3203="","",IF(ISNUMBER(A3203),A3203,IFERROR(DATE(VALUE(MID(A3203,7,4)),VALUE(MID(A3203,4,2)),VALUE(MID(A3203,1,2)))+TIME(VALUE(MID(A3203,12,2)),VALUE(MID(A3203,15,2)),VALUE(MID(A3203,18,2))),"")))</f>
        <v/>
      </c>
    </row>
    <row r="3204" customFormat="false" ht="15" hidden="false" customHeight="false" outlineLevel="0" collapsed="false">
      <c r="I3204" s="15" t="str">
        <f aca="false">IF(N3204="","",INT(N3204))</f>
        <v/>
      </c>
      <c r="J3204" s="16" t="str">
        <f aca="false">IF(B3204="","",IF(N3204=_xlfn.MINIFS($N$2:$N$5001,$B$2:$B$5001,B3204),1,0))</f>
        <v/>
      </c>
      <c r="K3204" s="16" t="str">
        <f aca="false">IF(B3204="","",IF(AND(D3204="Formalização",E3204="Concluído"),IF(COUNTIFS($B$2:$B$5001,B3204,$E$2:$E$5001,"Em ajustes",$N$2:$N$5001,"&lt;"&amp;I3204)&gt;0,1,0),0))</f>
        <v/>
      </c>
      <c r="L3204" s="16" t="str">
        <f aca="false">IF(B3204="","",IF(N3204=_xlfn.MAXIFS($N$2:$N$5001,$B$2:$B$5001,B3204,$I$2:$I$5001,I3204),1,0))</f>
        <v/>
      </c>
      <c r="M3204" s="16" t="str">
        <f aca="false">IF(B3204="","",IF(E3204="Em ajustes",IF(N3204=_xlfn.MINIFS($N$2:$N$5001,$B$2:$B$5001,B3204,$E$2:$E$5001,"Em ajustes"),1,0),0))</f>
        <v/>
      </c>
      <c r="N3204" s="17" t="str">
        <f aca="false">IF(A3204="","",IF(ISNUMBER(A3204),A3204,IFERROR(DATE(VALUE(MID(A3204,7,4)),VALUE(MID(A3204,4,2)),VALUE(MID(A3204,1,2)))+TIME(VALUE(MID(A3204,12,2)),VALUE(MID(A3204,15,2)),VALUE(MID(A3204,18,2))),"")))</f>
        <v/>
      </c>
    </row>
    <row r="3205" customFormat="false" ht="15" hidden="false" customHeight="false" outlineLevel="0" collapsed="false">
      <c r="I3205" s="15" t="str">
        <f aca="false">IF(N3205="","",INT(N3205))</f>
        <v/>
      </c>
      <c r="J3205" s="16" t="str">
        <f aca="false">IF(B3205="","",IF(N3205=_xlfn.MINIFS($N$2:$N$5001,$B$2:$B$5001,B3205),1,0))</f>
        <v/>
      </c>
      <c r="K3205" s="16" t="str">
        <f aca="false">IF(B3205="","",IF(AND(D3205="Formalização",E3205="Concluído"),IF(COUNTIFS($B$2:$B$5001,B3205,$E$2:$E$5001,"Em ajustes",$N$2:$N$5001,"&lt;"&amp;I3205)&gt;0,1,0),0))</f>
        <v/>
      </c>
      <c r="L3205" s="16" t="str">
        <f aca="false">IF(B3205="","",IF(N3205=_xlfn.MAXIFS($N$2:$N$5001,$B$2:$B$5001,B3205,$I$2:$I$5001,I3205),1,0))</f>
        <v/>
      </c>
      <c r="M3205" s="16" t="str">
        <f aca="false">IF(B3205="","",IF(E3205="Em ajustes",IF(N3205=_xlfn.MINIFS($N$2:$N$5001,$B$2:$B$5001,B3205,$E$2:$E$5001,"Em ajustes"),1,0),0))</f>
        <v/>
      </c>
      <c r="N3205" s="17" t="str">
        <f aca="false">IF(A3205="","",IF(ISNUMBER(A3205),A3205,IFERROR(DATE(VALUE(MID(A3205,7,4)),VALUE(MID(A3205,4,2)),VALUE(MID(A3205,1,2)))+TIME(VALUE(MID(A3205,12,2)),VALUE(MID(A3205,15,2)),VALUE(MID(A3205,18,2))),"")))</f>
        <v/>
      </c>
    </row>
    <row r="3206" customFormat="false" ht="15" hidden="false" customHeight="false" outlineLevel="0" collapsed="false">
      <c r="I3206" s="15" t="str">
        <f aca="false">IF(N3206="","",INT(N3206))</f>
        <v/>
      </c>
      <c r="J3206" s="16" t="str">
        <f aca="false">IF(B3206="","",IF(N3206=_xlfn.MINIFS($N$2:$N$5001,$B$2:$B$5001,B3206),1,0))</f>
        <v/>
      </c>
      <c r="K3206" s="16" t="str">
        <f aca="false">IF(B3206="","",IF(AND(D3206="Formalização",E3206="Concluído"),IF(COUNTIFS($B$2:$B$5001,B3206,$E$2:$E$5001,"Em ajustes",$N$2:$N$5001,"&lt;"&amp;I3206)&gt;0,1,0),0))</f>
        <v/>
      </c>
      <c r="L3206" s="16" t="str">
        <f aca="false">IF(B3206="","",IF(N3206=_xlfn.MAXIFS($N$2:$N$5001,$B$2:$B$5001,B3206,$I$2:$I$5001,I3206),1,0))</f>
        <v/>
      </c>
      <c r="M3206" s="16" t="str">
        <f aca="false">IF(B3206="","",IF(E3206="Em ajustes",IF(N3206=_xlfn.MINIFS($N$2:$N$5001,$B$2:$B$5001,B3206,$E$2:$E$5001,"Em ajustes"),1,0),0))</f>
        <v/>
      </c>
      <c r="N3206" s="17" t="str">
        <f aca="false">IF(A3206="","",IF(ISNUMBER(A3206),A3206,IFERROR(DATE(VALUE(MID(A3206,7,4)),VALUE(MID(A3206,4,2)),VALUE(MID(A3206,1,2)))+TIME(VALUE(MID(A3206,12,2)),VALUE(MID(A3206,15,2)),VALUE(MID(A3206,18,2))),"")))</f>
        <v/>
      </c>
    </row>
    <row r="3207" customFormat="false" ht="15" hidden="false" customHeight="false" outlineLevel="0" collapsed="false">
      <c r="I3207" s="15" t="str">
        <f aca="false">IF(N3207="","",INT(N3207))</f>
        <v/>
      </c>
      <c r="J3207" s="16" t="str">
        <f aca="false">IF(B3207="","",IF(N3207=_xlfn.MINIFS($N$2:$N$5001,$B$2:$B$5001,B3207),1,0))</f>
        <v/>
      </c>
      <c r="K3207" s="16" t="str">
        <f aca="false">IF(B3207="","",IF(AND(D3207="Formalização",E3207="Concluído"),IF(COUNTIFS($B$2:$B$5001,B3207,$E$2:$E$5001,"Em ajustes",$N$2:$N$5001,"&lt;"&amp;I3207)&gt;0,1,0),0))</f>
        <v/>
      </c>
      <c r="L3207" s="16" t="str">
        <f aca="false">IF(B3207="","",IF(N3207=_xlfn.MAXIFS($N$2:$N$5001,$B$2:$B$5001,B3207,$I$2:$I$5001,I3207),1,0))</f>
        <v/>
      </c>
      <c r="M3207" s="16" t="str">
        <f aca="false">IF(B3207="","",IF(E3207="Em ajustes",IF(N3207=_xlfn.MINIFS($N$2:$N$5001,$B$2:$B$5001,B3207,$E$2:$E$5001,"Em ajustes"),1,0),0))</f>
        <v/>
      </c>
      <c r="N3207" s="17" t="str">
        <f aca="false">IF(A3207="","",IF(ISNUMBER(A3207),A3207,IFERROR(DATE(VALUE(MID(A3207,7,4)),VALUE(MID(A3207,4,2)),VALUE(MID(A3207,1,2)))+TIME(VALUE(MID(A3207,12,2)),VALUE(MID(A3207,15,2)),VALUE(MID(A3207,18,2))),"")))</f>
        <v/>
      </c>
    </row>
    <row r="3208" customFormat="false" ht="15" hidden="false" customHeight="false" outlineLevel="0" collapsed="false">
      <c r="I3208" s="15" t="str">
        <f aca="false">IF(N3208="","",INT(N3208))</f>
        <v/>
      </c>
      <c r="J3208" s="16" t="str">
        <f aca="false">IF(B3208="","",IF(N3208=_xlfn.MINIFS($N$2:$N$5001,$B$2:$B$5001,B3208),1,0))</f>
        <v/>
      </c>
      <c r="K3208" s="16" t="str">
        <f aca="false">IF(B3208="","",IF(AND(D3208="Formalização",E3208="Concluído"),IF(COUNTIFS($B$2:$B$5001,B3208,$E$2:$E$5001,"Em ajustes",$N$2:$N$5001,"&lt;"&amp;I3208)&gt;0,1,0),0))</f>
        <v/>
      </c>
      <c r="L3208" s="16" t="str">
        <f aca="false">IF(B3208="","",IF(N3208=_xlfn.MAXIFS($N$2:$N$5001,$B$2:$B$5001,B3208,$I$2:$I$5001,I3208),1,0))</f>
        <v/>
      </c>
      <c r="M3208" s="16" t="str">
        <f aca="false">IF(B3208="","",IF(E3208="Em ajustes",IF(N3208=_xlfn.MINIFS($N$2:$N$5001,$B$2:$B$5001,B3208,$E$2:$E$5001,"Em ajustes"),1,0),0))</f>
        <v/>
      </c>
      <c r="N3208" s="17" t="str">
        <f aca="false">IF(A3208="","",IF(ISNUMBER(A3208),A3208,IFERROR(DATE(VALUE(MID(A3208,7,4)),VALUE(MID(A3208,4,2)),VALUE(MID(A3208,1,2)))+TIME(VALUE(MID(A3208,12,2)),VALUE(MID(A3208,15,2)),VALUE(MID(A3208,18,2))),"")))</f>
        <v/>
      </c>
    </row>
    <row r="3209" customFormat="false" ht="15" hidden="false" customHeight="false" outlineLevel="0" collapsed="false">
      <c r="I3209" s="15" t="str">
        <f aca="false">IF(N3209="","",INT(N3209))</f>
        <v/>
      </c>
      <c r="J3209" s="16" t="str">
        <f aca="false">IF(B3209="","",IF(N3209=_xlfn.MINIFS($N$2:$N$5001,$B$2:$B$5001,B3209),1,0))</f>
        <v/>
      </c>
      <c r="K3209" s="16" t="str">
        <f aca="false">IF(B3209="","",IF(AND(D3209="Formalização",E3209="Concluído"),IF(COUNTIFS($B$2:$B$5001,B3209,$E$2:$E$5001,"Em ajustes",$N$2:$N$5001,"&lt;"&amp;I3209)&gt;0,1,0),0))</f>
        <v/>
      </c>
      <c r="L3209" s="16" t="str">
        <f aca="false">IF(B3209="","",IF(N3209=_xlfn.MAXIFS($N$2:$N$5001,$B$2:$B$5001,B3209,$I$2:$I$5001,I3209),1,0))</f>
        <v/>
      </c>
      <c r="M3209" s="16" t="str">
        <f aca="false">IF(B3209="","",IF(E3209="Em ajustes",IF(N3209=_xlfn.MINIFS($N$2:$N$5001,$B$2:$B$5001,B3209,$E$2:$E$5001,"Em ajustes"),1,0),0))</f>
        <v/>
      </c>
      <c r="N3209" s="17" t="str">
        <f aca="false">IF(A3209="","",IF(ISNUMBER(A3209),A3209,IFERROR(DATE(VALUE(MID(A3209,7,4)),VALUE(MID(A3209,4,2)),VALUE(MID(A3209,1,2)))+TIME(VALUE(MID(A3209,12,2)),VALUE(MID(A3209,15,2)),VALUE(MID(A3209,18,2))),"")))</f>
        <v/>
      </c>
    </row>
    <row r="3210" customFormat="false" ht="15" hidden="false" customHeight="false" outlineLevel="0" collapsed="false">
      <c r="I3210" s="15" t="str">
        <f aca="false">IF(N3210="","",INT(N3210))</f>
        <v/>
      </c>
      <c r="J3210" s="16" t="str">
        <f aca="false">IF(B3210="","",IF(N3210=_xlfn.MINIFS($N$2:$N$5001,$B$2:$B$5001,B3210),1,0))</f>
        <v/>
      </c>
      <c r="K3210" s="16" t="str">
        <f aca="false">IF(B3210="","",IF(AND(D3210="Formalização",E3210="Concluído"),IF(COUNTIFS($B$2:$B$5001,B3210,$E$2:$E$5001,"Em ajustes",$N$2:$N$5001,"&lt;"&amp;I3210)&gt;0,1,0),0))</f>
        <v/>
      </c>
      <c r="L3210" s="16" t="str">
        <f aca="false">IF(B3210="","",IF(N3210=_xlfn.MAXIFS($N$2:$N$5001,$B$2:$B$5001,B3210,$I$2:$I$5001,I3210),1,0))</f>
        <v/>
      </c>
      <c r="M3210" s="16" t="str">
        <f aca="false">IF(B3210="","",IF(E3210="Em ajustes",IF(N3210=_xlfn.MINIFS($N$2:$N$5001,$B$2:$B$5001,B3210,$E$2:$E$5001,"Em ajustes"),1,0),0))</f>
        <v/>
      </c>
      <c r="N3210" s="17" t="str">
        <f aca="false">IF(A3210="","",IF(ISNUMBER(A3210),A3210,IFERROR(DATE(VALUE(MID(A3210,7,4)),VALUE(MID(A3210,4,2)),VALUE(MID(A3210,1,2)))+TIME(VALUE(MID(A3210,12,2)),VALUE(MID(A3210,15,2)),VALUE(MID(A3210,18,2))),"")))</f>
        <v/>
      </c>
    </row>
    <row r="3211" customFormat="false" ht="15" hidden="false" customHeight="false" outlineLevel="0" collapsed="false">
      <c r="I3211" s="15" t="str">
        <f aca="false">IF(N3211="","",INT(N3211))</f>
        <v/>
      </c>
      <c r="J3211" s="16" t="str">
        <f aca="false">IF(B3211="","",IF(N3211=_xlfn.MINIFS($N$2:$N$5001,$B$2:$B$5001,B3211),1,0))</f>
        <v/>
      </c>
      <c r="K3211" s="16" t="str">
        <f aca="false">IF(B3211="","",IF(AND(D3211="Formalização",E3211="Concluído"),IF(COUNTIFS($B$2:$B$5001,B3211,$E$2:$E$5001,"Em ajustes",$N$2:$N$5001,"&lt;"&amp;I3211)&gt;0,1,0),0))</f>
        <v/>
      </c>
      <c r="L3211" s="16" t="str">
        <f aca="false">IF(B3211="","",IF(N3211=_xlfn.MAXIFS($N$2:$N$5001,$B$2:$B$5001,B3211,$I$2:$I$5001,I3211),1,0))</f>
        <v/>
      </c>
      <c r="M3211" s="16" t="str">
        <f aca="false">IF(B3211="","",IF(E3211="Em ajustes",IF(N3211=_xlfn.MINIFS($N$2:$N$5001,$B$2:$B$5001,B3211,$E$2:$E$5001,"Em ajustes"),1,0),0))</f>
        <v/>
      </c>
      <c r="N3211" s="17" t="str">
        <f aca="false">IF(A3211="","",IF(ISNUMBER(A3211),A3211,IFERROR(DATE(VALUE(MID(A3211,7,4)),VALUE(MID(A3211,4,2)),VALUE(MID(A3211,1,2)))+TIME(VALUE(MID(A3211,12,2)),VALUE(MID(A3211,15,2)),VALUE(MID(A3211,18,2))),"")))</f>
        <v/>
      </c>
    </row>
    <row r="3212" customFormat="false" ht="15" hidden="false" customHeight="false" outlineLevel="0" collapsed="false">
      <c r="I3212" s="15" t="str">
        <f aca="false">IF(N3212="","",INT(N3212))</f>
        <v/>
      </c>
      <c r="J3212" s="16" t="str">
        <f aca="false">IF(B3212="","",IF(N3212=_xlfn.MINIFS($N$2:$N$5001,$B$2:$B$5001,B3212),1,0))</f>
        <v/>
      </c>
      <c r="K3212" s="16" t="str">
        <f aca="false">IF(B3212="","",IF(AND(D3212="Formalização",E3212="Concluído"),IF(COUNTIFS($B$2:$B$5001,B3212,$E$2:$E$5001,"Em ajustes",$N$2:$N$5001,"&lt;"&amp;I3212)&gt;0,1,0),0))</f>
        <v/>
      </c>
      <c r="L3212" s="16" t="str">
        <f aca="false">IF(B3212="","",IF(N3212=_xlfn.MAXIFS($N$2:$N$5001,$B$2:$B$5001,B3212,$I$2:$I$5001,I3212),1,0))</f>
        <v/>
      </c>
      <c r="M3212" s="16" t="str">
        <f aca="false">IF(B3212="","",IF(E3212="Em ajustes",IF(N3212=_xlfn.MINIFS($N$2:$N$5001,$B$2:$B$5001,B3212,$E$2:$E$5001,"Em ajustes"),1,0),0))</f>
        <v/>
      </c>
      <c r="N3212" s="17" t="str">
        <f aca="false">IF(A3212="","",IF(ISNUMBER(A3212),A3212,IFERROR(DATE(VALUE(MID(A3212,7,4)),VALUE(MID(A3212,4,2)),VALUE(MID(A3212,1,2)))+TIME(VALUE(MID(A3212,12,2)),VALUE(MID(A3212,15,2)),VALUE(MID(A3212,18,2))),"")))</f>
        <v/>
      </c>
    </row>
    <row r="3213" customFormat="false" ht="15" hidden="false" customHeight="false" outlineLevel="0" collapsed="false">
      <c r="I3213" s="15" t="str">
        <f aca="false">IF(N3213="","",INT(N3213))</f>
        <v/>
      </c>
      <c r="J3213" s="16" t="str">
        <f aca="false">IF(B3213="","",IF(N3213=_xlfn.MINIFS($N$2:$N$5001,$B$2:$B$5001,B3213),1,0))</f>
        <v/>
      </c>
      <c r="K3213" s="16" t="str">
        <f aca="false">IF(B3213="","",IF(AND(D3213="Formalização",E3213="Concluído"),IF(COUNTIFS($B$2:$B$5001,B3213,$E$2:$E$5001,"Em ajustes",$N$2:$N$5001,"&lt;"&amp;I3213)&gt;0,1,0),0))</f>
        <v/>
      </c>
      <c r="L3213" s="16" t="str">
        <f aca="false">IF(B3213="","",IF(N3213=_xlfn.MAXIFS($N$2:$N$5001,$B$2:$B$5001,B3213,$I$2:$I$5001,I3213),1,0))</f>
        <v/>
      </c>
      <c r="M3213" s="16" t="str">
        <f aca="false">IF(B3213="","",IF(E3213="Em ajustes",IF(N3213=_xlfn.MINIFS($N$2:$N$5001,$B$2:$B$5001,B3213,$E$2:$E$5001,"Em ajustes"),1,0),0))</f>
        <v/>
      </c>
      <c r="N3213" s="17" t="str">
        <f aca="false">IF(A3213="","",IF(ISNUMBER(A3213),A3213,IFERROR(DATE(VALUE(MID(A3213,7,4)),VALUE(MID(A3213,4,2)),VALUE(MID(A3213,1,2)))+TIME(VALUE(MID(A3213,12,2)),VALUE(MID(A3213,15,2)),VALUE(MID(A3213,18,2))),"")))</f>
        <v/>
      </c>
    </row>
    <row r="3214" customFormat="false" ht="15" hidden="false" customHeight="false" outlineLevel="0" collapsed="false">
      <c r="I3214" s="15" t="str">
        <f aca="false">IF(N3214="","",INT(N3214))</f>
        <v/>
      </c>
      <c r="J3214" s="16" t="str">
        <f aca="false">IF(B3214="","",IF(N3214=_xlfn.MINIFS($N$2:$N$5001,$B$2:$B$5001,B3214),1,0))</f>
        <v/>
      </c>
      <c r="K3214" s="16" t="str">
        <f aca="false">IF(B3214="","",IF(AND(D3214="Formalização",E3214="Concluído"),IF(COUNTIFS($B$2:$B$5001,B3214,$E$2:$E$5001,"Em ajustes",$N$2:$N$5001,"&lt;"&amp;I3214)&gt;0,1,0),0))</f>
        <v/>
      </c>
      <c r="L3214" s="16" t="str">
        <f aca="false">IF(B3214="","",IF(N3214=_xlfn.MAXIFS($N$2:$N$5001,$B$2:$B$5001,B3214,$I$2:$I$5001,I3214),1,0))</f>
        <v/>
      </c>
      <c r="M3214" s="16" t="str">
        <f aca="false">IF(B3214="","",IF(E3214="Em ajustes",IF(N3214=_xlfn.MINIFS($N$2:$N$5001,$B$2:$B$5001,B3214,$E$2:$E$5001,"Em ajustes"),1,0),0))</f>
        <v/>
      </c>
      <c r="N3214" s="17" t="str">
        <f aca="false">IF(A3214="","",IF(ISNUMBER(A3214),A3214,IFERROR(DATE(VALUE(MID(A3214,7,4)),VALUE(MID(A3214,4,2)),VALUE(MID(A3214,1,2)))+TIME(VALUE(MID(A3214,12,2)),VALUE(MID(A3214,15,2)),VALUE(MID(A3214,18,2))),"")))</f>
        <v/>
      </c>
    </row>
    <row r="3215" customFormat="false" ht="15" hidden="false" customHeight="false" outlineLevel="0" collapsed="false">
      <c r="I3215" s="15" t="str">
        <f aca="false">IF(N3215="","",INT(N3215))</f>
        <v/>
      </c>
      <c r="J3215" s="16" t="str">
        <f aca="false">IF(B3215="","",IF(N3215=_xlfn.MINIFS($N$2:$N$5001,$B$2:$B$5001,B3215),1,0))</f>
        <v/>
      </c>
      <c r="K3215" s="16" t="str">
        <f aca="false">IF(B3215="","",IF(AND(D3215="Formalização",E3215="Concluído"),IF(COUNTIFS($B$2:$B$5001,B3215,$E$2:$E$5001,"Em ajustes",$N$2:$N$5001,"&lt;"&amp;I3215)&gt;0,1,0),0))</f>
        <v/>
      </c>
      <c r="L3215" s="16" t="str">
        <f aca="false">IF(B3215="","",IF(N3215=_xlfn.MAXIFS($N$2:$N$5001,$B$2:$B$5001,B3215,$I$2:$I$5001,I3215),1,0))</f>
        <v/>
      </c>
      <c r="M3215" s="16" t="str">
        <f aca="false">IF(B3215="","",IF(E3215="Em ajustes",IF(N3215=_xlfn.MINIFS($N$2:$N$5001,$B$2:$B$5001,B3215,$E$2:$E$5001,"Em ajustes"),1,0),0))</f>
        <v/>
      </c>
      <c r="N3215" s="17" t="str">
        <f aca="false">IF(A3215="","",IF(ISNUMBER(A3215),A3215,IFERROR(DATE(VALUE(MID(A3215,7,4)),VALUE(MID(A3215,4,2)),VALUE(MID(A3215,1,2)))+TIME(VALUE(MID(A3215,12,2)),VALUE(MID(A3215,15,2)),VALUE(MID(A3215,18,2))),"")))</f>
        <v/>
      </c>
    </row>
    <row r="3216" customFormat="false" ht="15" hidden="false" customHeight="false" outlineLevel="0" collapsed="false">
      <c r="I3216" s="15" t="str">
        <f aca="false">IF(N3216="","",INT(N3216))</f>
        <v/>
      </c>
      <c r="J3216" s="16" t="str">
        <f aca="false">IF(B3216="","",IF(N3216=_xlfn.MINIFS($N$2:$N$5001,$B$2:$B$5001,B3216),1,0))</f>
        <v/>
      </c>
      <c r="K3216" s="16" t="str">
        <f aca="false">IF(B3216="","",IF(AND(D3216="Formalização",E3216="Concluído"),IF(COUNTIFS($B$2:$B$5001,B3216,$E$2:$E$5001,"Em ajustes",$N$2:$N$5001,"&lt;"&amp;I3216)&gt;0,1,0),0))</f>
        <v/>
      </c>
      <c r="L3216" s="16" t="str">
        <f aca="false">IF(B3216="","",IF(N3216=_xlfn.MAXIFS($N$2:$N$5001,$B$2:$B$5001,B3216,$I$2:$I$5001,I3216),1,0))</f>
        <v/>
      </c>
      <c r="M3216" s="16" t="str">
        <f aca="false">IF(B3216="","",IF(E3216="Em ajustes",IF(N3216=_xlfn.MINIFS($N$2:$N$5001,$B$2:$B$5001,B3216,$E$2:$E$5001,"Em ajustes"),1,0),0))</f>
        <v/>
      </c>
      <c r="N3216" s="17" t="str">
        <f aca="false">IF(A3216="","",IF(ISNUMBER(A3216),A3216,IFERROR(DATE(VALUE(MID(A3216,7,4)),VALUE(MID(A3216,4,2)),VALUE(MID(A3216,1,2)))+TIME(VALUE(MID(A3216,12,2)),VALUE(MID(A3216,15,2)),VALUE(MID(A3216,18,2))),"")))</f>
        <v/>
      </c>
    </row>
    <row r="3217" customFormat="false" ht="15" hidden="false" customHeight="false" outlineLevel="0" collapsed="false">
      <c r="I3217" s="15" t="str">
        <f aca="false">IF(N3217="","",INT(N3217))</f>
        <v/>
      </c>
      <c r="J3217" s="16" t="str">
        <f aca="false">IF(B3217="","",IF(N3217=_xlfn.MINIFS($N$2:$N$5001,$B$2:$B$5001,B3217),1,0))</f>
        <v/>
      </c>
      <c r="K3217" s="16" t="str">
        <f aca="false">IF(B3217="","",IF(AND(D3217="Formalização",E3217="Concluído"),IF(COUNTIFS($B$2:$B$5001,B3217,$E$2:$E$5001,"Em ajustes",$N$2:$N$5001,"&lt;"&amp;I3217)&gt;0,1,0),0))</f>
        <v/>
      </c>
      <c r="L3217" s="16" t="str">
        <f aca="false">IF(B3217="","",IF(N3217=_xlfn.MAXIFS($N$2:$N$5001,$B$2:$B$5001,B3217,$I$2:$I$5001,I3217),1,0))</f>
        <v/>
      </c>
      <c r="M3217" s="16" t="str">
        <f aca="false">IF(B3217="","",IF(E3217="Em ajustes",IF(N3217=_xlfn.MINIFS($N$2:$N$5001,$B$2:$B$5001,B3217,$E$2:$E$5001,"Em ajustes"),1,0),0))</f>
        <v/>
      </c>
      <c r="N3217" s="17" t="str">
        <f aca="false">IF(A3217="","",IF(ISNUMBER(A3217),A3217,IFERROR(DATE(VALUE(MID(A3217,7,4)),VALUE(MID(A3217,4,2)),VALUE(MID(A3217,1,2)))+TIME(VALUE(MID(A3217,12,2)),VALUE(MID(A3217,15,2)),VALUE(MID(A3217,18,2))),"")))</f>
        <v/>
      </c>
    </row>
    <row r="3218" customFormat="false" ht="15" hidden="false" customHeight="false" outlineLevel="0" collapsed="false">
      <c r="I3218" s="15" t="str">
        <f aca="false">IF(N3218="","",INT(N3218))</f>
        <v/>
      </c>
      <c r="J3218" s="16" t="str">
        <f aca="false">IF(B3218="","",IF(N3218=_xlfn.MINIFS($N$2:$N$5001,$B$2:$B$5001,B3218),1,0))</f>
        <v/>
      </c>
      <c r="K3218" s="16" t="str">
        <f aca="false">IF(B3218="","",IF(AND(D3218="Formalização",E3218="Concluído"),IF(COUNTIFS($B$2:$B$5001,B3218,$E$2:$E$5001,"Em ajustes",$N$2:$N$5001,"&lt;"&amp;I3218)&gt;0,1,0),0))</f>
        <v/>
      </c>
      <c r="L3218" s="16" t="str">
        <f aca="false">IF(B3218="","",IF(N3218=_xlfn.MAXIFS($N$2:$N$5001,$B$2:$B$5001,B3218,$I$2:$I$5001,I3218),1,0))</f>
        <v/>
      </c>
      <c r="M3218" s="16" t="str">
        <f aca="false">IF(B3218="","",IF(E3218="Em ajustes",IF(N3218=_xlfn.MINIFS($N$2:$N$5001,$B$2:$B$5001,B3218,$E$2:$E$5001,"Em ajustes"),1,0),0))</f>
        <v/>
      </c>
      <c r="N3218" s="17" t="str">
        <f aca="false">IF(A3218="","",IF(ISNUMBER(A3218),A3218,IFERROR(DATE(VALUE(MID(A3218,7,4)),VALUE(MID(A3218,4,2)),VALUE(MID(A3218,1,2)))+TIME(VALUE(MID(A3218,12,2)),VALUE(MID(A3218,15,2)),VALUE(MID(A3218,18,2))),"")))</f>
        <v/>
      </c>
    </row>
    <row r="3219" customFormat="false" ht="15" hidden="false" customHeight="false" outlineLevel="0" collapsed="false">
      <c r="I3219" s="15" t="str">
        <f aca="false">IF(N3219="","",INT(N3219))</f>
        <v/>
      </c>
      <c r="J3219" s="16" t="str">
        <f aca="false">IF(B3219="","",IF(N3219=_xlfn.MINIFS($N$2:$N$5001,$B$2:$B$5001,B3219),1,0))</f>
        <v/>
      </c>
      <c r="K3219" s="16" t="str">
        <f aca="false">IF(B3219="","",IF(AND(D3219="Formalização",E3219="Concluído"),IF(COUNTIFS($B$2:$B$5001,B3219,$E$2:$E$5001,"Em ajustes",$N$2:$N$5001,"&lt;"&amp;I3219)&gt;0,1,0),0))</f>
        <v/>
      </c>
      <c r="L3219" s="16" t="str">
        <f aca="false">IF(B3219="","",IF(N3219=_xlfn.MAXIFS($N$2:$N$5001,$B$2:$B$5001,B3219,$I$2:$I$5001,I3219),1,0))</f>
        <v/>
      </c>
      <c r="M3219" s="16" t="str">
        <f aca="false">IF(B3219="","",IF(E3219="Em ajustes",IF(N3219=_xlfn.MINIFS($N$2:$N$5001,$B$2:$B$5001,B3219,$E$2:$E$5001,"Em ajustes"),1,0),0))</f>
        <v/>
      </c>
      <c r="N3219" s="17" t="str">
        <f aca="false">IF(A3219="","",IF(ISNUMBER(A3219),A3219,IFERROR(DATE(VALUE(MID(A3219,7,4)),VALUE(MID(A3219,4,2)),VALUE(MID(A3219,1,2)))+TIME(VALUE(MID(A3219,12,2)),VALUE(MID(A3219,15,2)),VALUE(MID(A3219,18,2))),"")))</f>
        <v/>
      </c>
    </row>
    <row r="3220" customFormat="false" ht="15" hidden="false" customHeight="false" outlineLevel="0" collapsed="false">
      <c r="I3220" s="15" t="str">
        <f aca="false">IF(N3220="","",INT(N3220))</f>
        <v/>
      </c>
      <c r="J3220" s="16" t="str">
        <f aca="false">IF(B3220="","",IF(N3220=_xlfn.MINIFS($N$2:$N$5001,$B$2:$B$5001,B3220),1,0))</f>
        <v/>
      </c>
      <c r="K3220" s="16" t="str">
        <f aca="false">IF(B3220="","",IF(AND(D3220="Formalização",E3220="Concluído"),IF(COUNTIFS($B$2:$B$5001,B3220,$E$2:$E$5001,"Em ajustes",$N$2:$N$5001,"&lt;"&amp;I3220)&gt;0,1,0),0))</f>
        <v/>
      </c>
      <c r="L3220" s="16" t="str">
        <f aca="false">IF(B3220="","",IF(N3220=_xlfn.MAXIFS($N$2:$N$5001,$B$2:$B$5001,B3220,$I$2:$I$5001,I3220),1,0))</f>
        <v/>
      </c>
      <c r="M3220" s="16" t="str">
        <f aca="false">IF(B3220="","",IF(E3220="Em ajustes",IF(N3220=_xlfn.MINIFS($N$2:$N$5001,$B$2:$B$5001,B3220,$E$2:$E$5001,"Em ajustes"),1,0),0))</f>
        <v/>
      </c>
      <c r="N3220" s="17" t="str">
        <f aca="false">IF(A3220="","",IF(ISNUMBER(A3220),A3220,IFERROR(DATE(VALUE(MID(A3220,7,4)),VALUE(MID(A3220,4,2)),VALUE(MID(A3220,1,2)))+TIME(VALUE(MID(A3220,12,2)),VALUE(MID(A3220,15,2)),VALUE(MID(A3220,18,2))),"")))</f>
        <v/>
      </c>
    </row>
    <row r="3221" customFormat="false" ht="15" hidden="false" customHeight="false" outlineLevel="0" collapsed="false">
      <c r="I3221" s="15" t="str">
        <f aca="false">IF(N3221="","",INT(N3221))</f>
        <v/>
      </c>
      <c r="J3221" s="16" t="str">
        <f aca="false">IF(B3221="","",IF(N3221=_xlfn.MINIFS($N$2:$N$5001,$B$2:$B$5001,B3221),1,0))</f>
        <v/>
      </c>
      <c r="K3221" s="16" t="str">
        <f aca="false">IF(B3221="","",IF(AND(D3221="Formalização",E3221="Concluído"),IF(COUNTIFS($B$2:$B$5001,B3221,$E$2:$E$5001,"Em ajustes",$N$2:$N$5001,"&lt;"&amp;I3221)&gt;0,1,0),0))</f>
        <v/>
      </c>
      <c r="L3221" s="16" t="str">
        <f aca="false">IF(B3221="","",IF(N3221=_xlfn.MAXIFS($N$2:$N$5001,$B$2:$B$5001,B3221,$I$2:$I$5001,I3221),1,0))</f>
        <v/>
      </c>
      <c r="M3221" s="16" t="str">
        <f aca="false">IF(B3221="","",IF(E3221="Em ajustes",IF(N3221=_xlfn.MINIFS($N$2:$N$5001,$B$2:$B$5001,B3221,$E$2:$E$5001,"Em ajustes"),1,0),0))</f>
        <v/>
      </c>
      <c r="N3221" s="17" t="str">
        <f aca="false">IF(A3221="","",IF(ISNUMBER(A3221),A3221,IFERROR(DATE(VALUE(MID(A3221,7,4)),VALUE(MID(A3221,4,2)),VALUE(MID(A3221,1,2)))+TIME(VALUE(MID(A3221,12,2)),VALUE(MID(A3221,15,2)),VALUE(MID(A3221,18,2))),"")))</f>
        <v/>
      </c>
    </row>
    <row r="3222" customFormat="false" ht="15" hidden="false" customHeight="false" outlineLevel="0" collapsed="false">
      <c r="I3222" s="15" t="str">
        <f aca="false">IF(N3222="","",INT(N3222))</f>
        <v/>
      </c>
      <c r="J3222" s="16" t="str">
        <f aca="false">IF(B3222="","",IF(N3222=_xlfn.MINIFS($N$2:$N$5001,$B$2:$B$5001,B3222),1,0))</f>
        <v/>
      </c>
      <c r="K3222" s="16" t="str">
        <f aca="false">IF(B3222="","",IF(AND(D3222="Formalização",E3222="Concluído"),IF(COUNTIFS($B$2:$B$5001,B3222,$E$2:$E$5001,"Em ajustes",$N$2:$N$5001,"&lt;"&amp;I3222)&gt;0,1,0),0))</f>
        <v/>
      </c>
      <c r="L3222" s="16" t="str">
        <f aca="false">IF(B3222="","",IF(N3222=_xlfn.MAXIFS($N$2:$N$5001,$B$2:$B$5001,B3222,$I$2:$I$5001,I3222),1,0))</f>
        <v/>
      </c>
      <c r="M3222" s="16" t="str">
        <f aca="false">IF(B3222="","",IF(E3222="Em ajustes",IF(N3222=_xlfn.MINIFS($N$2:$N$5001,$B$2:$B$5001,B3222,$E$2:$E$5001,"Em ajustes"),1,0),0))</f>
        <v/>
      </c>
      <c r="N3222" s="17" t="str">
        <f aca="false">IF(A3222="","",IF(ISNUMBER(A3222),A3222,IFERROR(DATE(VALUE(MID(A3222,7,4)),VALUE(MID(A3222,4,2)),VALUE(MID(A3222,1,2)))+TIME(VALUE(MID(A3222,12,2)),VALUE(MID(A3222,15,2)),VALUE(MID(A3222,18,2))),"")))</f>
        <v/>
      </c>
    </row>
    <row r="3223" customFormat="false" ht="15" hidden="false" customHeight="false" outlineLevel="0" collapsed="false">
      <c r="I3223" s="15" t="str">
        <f aca="false">IF(N3223="","",INT(N3223))</f>
        <v/>
      </c>
      <c r="J3223" s="16" t="str">
        <f aca="false">IF(B3223="","",IF(N3223=_xlfn.MINIFS($N$2:$N$5001,$B$2:$B$5001,B3223),1,0))</f>
        <v/>
      </c>
      <c r="K3223" s="16" t="str">
        <f aca="false">IF(B3223="","",IF(AND(D3223="Formalização",E3223="Concluído"),IF(COUNTIFS($B$2:$B$5001,B3223,$E$2:$E$5001,"Em ajustes",$N$2:$N$5001,"&lt;"&amp;I3223)&gt;0,1,0),0))</f>
        <v/>
      </c>
      <c r="L3223" s="16" t="str">
        <f aca="false">IF(B3223="","",IF(N3223=_xlfn.MAXIFS($N$2:$N$5001,$B$2:$B$5001,B3223,$I$2:$I$5001,I3223),1,0))</f>
        <v/>
      </c>
      <c r="M3223" s="16" t="str">
        <f aca="false">IF(B3223="","",IF(E3223="Em ajustes",IF(N3223=_xlfn.MINIFS($N$2:$N$5001,$B$2:$B$5001,B3223,$E$2:$E$5001,"Em ajustes"),1,0),0))</f>
        <v/>
      </c>
      <c r="N3223" s="17" t="str">
        <f aca="false">IF(A3223="","",IF(ISNUMBER(A3223),A3223,IFERROR(DATE(VALUE(MID(A3223,7,4)),VALUE(MID(A3223,4,2)),VALUE(MID(A3223,1,2)))+TIME(VALUE(MID(A3223,12,2)),VALUE(MID(A3223,15,2)),VALUE(MID(A3223,18,2))),"")))</f>
        <v/>
      </c>
    </row>
    <row r="3224" customFormat="false" ht="15" hidden="false" customHeight="false" outlineLevel="0" collapsed="false">
      <c r="I3224" s="15" t="str">
        <f aca="false">IF(N3224="","",INT(N3224))</f>
        <v/>
      </c>
      <c r="J3224" s="16" t="str">
        <f aca="false">IF(B3224="","",IF(N3224=_xlfn.MINIFS($N$2:$N$5001,$B$2:$B$5001,B3224),1,0))</f>
        <v/>
      </c>
      <c r="K3224" s="16" t="str">
        <f aca="false">IF(B3224="","",IF(AND(D3224="Formalização",E3224="Concluído"),IF(COUNTIFS($B$2:$B$5001,B3224,$E$2:$E$5001,"Em ajustes",$N$2:$N$5001,"&lt;"&amp;I3224)&gt;0,1,0),0))</f>
        <v/>
      </c>
      <c r="L3224" s="16" t="str">
        <f aca="false">IF(B3224="","",IF(N3224=_xlfn.MAXIFS($N$2:$N$5001,$B$2:$B$5001,B3224,$I$2:$I$5001,I3224),1,0))</f>
        <v/>
      </c>
      <c r="M3224" s="16" t="str">
        <f aca="false">IF(B3224="","",IF(E3224="Em ajustes",IF(N3224=_xlfn.MINIFS($N$2:$N$5001,$B$2:$B$5001,B3224,$E$2:$E$5001,"Em ajustes"),1,0),0))</f>
        <v/>
      </c>
      <c r="N3224" s="17" t="str">
        <f aca="false">IF(A3224="","",IF(ISNUMBER(A3224),A3224,IFERROR(DATE(VALUE(MID(A3224,7,4)),VALUE(MID(A3224,4,2)),VALUE(MID(A3224,1,2)))+TIME(VALUE(MID(A3224,12,2)),VALUE(MID(A3224,15,2)),VALUE(MID(A3224,18,2))),"")))</f>
        <v/>
      </c>
    </row>
    <row r="3225" customFormat="false" ht="15" hidden="false" customHeight="false" outlineLevel="0" collapsed="false">
      <c r="I3225" s="15" t="str">
        <f aca="false">IF(N3225="","",INT(N3225))</f>
        <v/>
      </c>
      <c r="J3225" s="16" t="str">
        <f aca="false">IF(B3225="","",IF(N3225=_xlfn.MINIFS($N$2:$N$5001,$B$2:$B$5001,B3225),1,0))</f>
        <v/>
      </c>
      <c r="K3225" s="16" t="str">
        <f aca="false">IF(B3225="","",IF(AND(D3225="Formalização",E3225="Concluído"),IF(COUNTIFS($B$2:$B$5001,B3225,$E$2:$E$5001,"Em ajustes",$N$2:$N$5001,"&lt;"&amp;I3225)&gt;0,1,0),0))</f>
        <v/>
      </c>
      <c r="L3225" s="16" t="str">
        <f aca="false">IF(B3225="","",IF(N3225=_xlfn.MAXIFS($N$2:$N$5001,$B$2:$B$5001,B3225,$I$2:$I$5001,I3225),1,0))</f>
        <v/>
      </c>
      <c r="M3225" s="16" t="str">
        <f aca="false">IF(B3225="","",IF(E3225="Em ajustes",IF(N3225=_xlfn.MINIFS($N$2:$N$5001,$B$2:$B$5001,B3225,$E$2:$E$5001,"Em ajustes"),1,0),0))</f>
        <v/>
      </c>
      <c r="N3225" s="17" t="str">
        <f aca="false">IF(A3225="","",IF(ISNUMBER(A3225),A3225,IFERROR(DATE(VALUE(MID(A3225,7,4)),VALUE(MID(A3225,4,2)),VALUE(MID(A3225,1,2)))+TIME(VALUE(MID(A3225,12,2)),VALUE(MID(A3225,15,2)),VALUE(MID(A3225,18,2))),"")))</f>
        <v/>
      </c>
    </row>
    <row r="3226" customFormat="false" ht="15" hidden="false" customHeight="false" outlineLevel="0" collapsed="false">
      <c r="I3226" s="15" t="str">
        <f aca="false">IF(N3226="","",INT(N3226))</f>
        <v/>
      </c>
      <c r="J3226" s="16" t="str">
        <f aca="false">IF(B3226="","",IF(N3226=_xlfn.MINIFS($N$2:$N$5001,$B$2:$B$5001,B3226),1,0))</f>
        <v/>
      </c>
      <c r="K3226" s="16" t="str">
        <f aca="false">IF(B3226="","",IF(AND(D3226="Formalização",E3226="Concluído"),IF(COUNTIFS($B$2:$B$5001,B3226,$E$2:$E$5001,"Em ajustes",$N$2:$N$5001,"&lt;"&amp;I3226)&gt;0,1,0),0))</f>
        <v/>
      </c>
      <c r="L3226" s="16" t="str">
        <f aca="false">IF(B3226="","",IF(N3226=_xlfn.MAXIFS($N$2:$N$5001,$B$2:$B$5001,B3226,$I$2:$I$5001,I3226),1,0))</f>
        <v/>
      </c>
      <c r="M3226" s="16" t="str">
        <f aca="false">IF(B3226="","",IF(E3226="Em ajustes",IF(N3226=_xlfn.MINIFS($N$2:$N$5001,$B$2:$B$5001,B3226,$E$2:$E$5001,"Em ajustes"),1,0),0))</f>
        <v/>
      </c>
      <c r="N3226" s="17" t="str">
        <f aca="false">IF(A3226="","",IF(ISNUMBER(A3226),A3226,IFERROR(DATE(VALUE(MID(A3226,7,4)),VALUE(MID(A3226,4,2)),VALUE(MID(A3226,1,2)))+TIME(VALUE(MID(A3226,12,2)),VALUE(MID(A3226,15,2)),VALUE(MID(A3226,18,2))),"")))</f>
        <v/>
      </c>
    </row>
    <row r="3227" customFormat="false" ht="15" hidden="false" customHeight="false" outlineLevel="0" collapsed="false">
      <c r="I3227" s="15" t="str">
        <f aca="false">IF(N3227="","",INT(N3227))</f>
        <v/>
      </c>
      <c r="J3227" s="16" t="str">
        <f aca="false">IF(B3227="","",IF(N3227=_xlfn.MINIFS($N$2:$N$5001,$B$2:$B$5001,B3227),1,0))</f>
        <v/>
      </c>
      <c r="K3227" s="16" t="str">
        <f aca="false">IF(B3227="","",IF(AND(D3227="Formalização",E3227="Concluído"),IF(COUNTIFS($B$2:$B$5001,B3227,$E$2:$E$5001,"Em ajustes",$N$2:$N$5001,"&lt;"&amp;I3227)&gt;0,1,0),0))</f>
        <v/>
      </c>
      <c r="L3227" s="16" t="str">
        <f aca="false">IF(B3227="","",IF(N3227=_xlfn.MAXIFS($N$2:$N$5001,$B$2:$B$5001,B3227,$I$2:$I$5001,I3227),1,0))</f>
        <v/>
      </c>
      <c r="M3227" s="16" t="str">
        <f aca="false">IF(B3227="","",IF(E3227="Em ajustes",IF(N3227=_xlfn.MINIFS($N$2:$N$5001,$B$2:$B$5001,B3227,$E$2:$E$5001,"Em ajustes"),1,0),0))</f>
        <v/>
      </c>
      <c r="N3227" s="17" t="str">
        <f aca="false">IF(A3227="","",IF(ISNUMBER(A3227),A3227,IFERROR(DATE(VALUE(MID(A3227,7,4)),VALUE(MID(A3227,4,2)),VALUE(MID(A3227,1,2)))+TIME(VALUE(MID(A3227,12,2)),VALUE(MID(A3227,15,2)),VALUE(MID(A3227,18,2))),"")))</f>
        <v/>
      </c>
    </row>
    <row r="3228" customFormat="false" ht="15" hidden="false" customHeight="false" outlineLevel="0" collapsed="false">
      <c r="I3228" s="15" t="str">
        <f aca="false">IF(N3228="","",INT(N3228))</f>
        <v/>
      </c>
      <c r="J3228" s="16" t="str">
        <f aca="false">IF(B3228="","",IF(N3228=_xlfn.MINIFS($N$2:$N$5001,$B$2:$B$5001,B3228),1,0))</f>
        <v/>
      </c>
      <c r="K3228" s="16" t="str">
        <f aca="false">IF(B3228="","",IF(AND(D3228="Formalização",E3228="Concluído"),IF(COUNTIFS($B$2:$B$5001,B3228,$E$2:$E$5001,"Em ajustes",$N$2:$N$5001,"&lt;"&amp;I3228)&gt;0,1,0),0))</f>
        <v/>
      </c>
      <c r="L3228" s="16" t="str">
        <f aca="false">IF(B3228="","",IF(N3228=_xlfn.MAXIFS($N$2:$N$5001,$B$2:$B$5001,B3228,$I$2:$I$5001,I3228),1,0))</f>
        <v/>
      </c>
      <c r="M3228" s="16" t="str">
        <f aca="false">IF(B3228="","",IF(E3228="Em ajustes",IF(N3228=_xlfn.MINIFS($N$2:$N$5001,$B$2:$B$5001,B3228,$E$2:$E$5001,"Em ajustes"),1,0),0))</f>
        <v/>
      </c>
      <c r="N3228" s="17" t="str">
        <f aca="false">IF(A3228="","",IF(ISNUMBER(A3228),A3228,IFERROR(DATE(VALUE(MID(A3228,7,4)),VALUE(MID(A3228,4,2)),VALUE(MID(A3228,1,2)))+TIME(VALUE(MID(A3228,12,2)),VALUE(MID(A3228,15,2)),VALUE(MID(A3228,18,2))),"")))</f>
        <v/>
      </c>
    </row>
    <row r="3229" customFormat="false" ht="15" hidden="false" customHeight="false" outlineLevel="0" collapsed="false">
      <c r="I3229" s="15" t="str">
        <f aca="false">IF(N3229="","",INT(N3229))</f>
        <v/>
      </c>
      <c r="J3229" s="16" t="str">
        <f aca="false">IF(B3229="","",IF(N3229=_xlfn.MINIFS($N$2:$N$5001,$B$2:$B$5001,B3229),1,0))</f>
        <v/>
      </c>
      <c r="K3229" s="16" t="str">
        <f aca="false">IF(B3229="","",IF(AND(D3229="Formalização",E3229="Concluído"),IF(COUNTIFS($B$2:$B$5001,B3229,$E$2:$E$5001,"Em ajustes",$N$2:$N$5001,"&lt;"&amp;I3229)&gt;0,1,0),0))</f>
        <v/>
      </c>
      <c r="L3229" s="16" t="str">
        <f aca="false">IF(B3229="","",IF(N3229=_xlfn.MAXIFS($N$2:$N$5001,$B$2:$B$5001,B3229,$I$2:$I$5001,I3229),1,0))</f>
        <v/>
      </c>
      <c r="M3229" s="16" t="str">
        <f aca="false">IF(B3229="","",IF(E3229="Em ajustes",IF(N3229=_xlfn.MINIFS($N$2:$N$5001,$B$2:$B$5001,B3229,$E$2:$E$5001,"Em ajustes"),1,0),0))</f>
        <v/>
      </c>
      <c r="N3229" s="17" t="str">
        <f aca="false">IF(A3229="","",IF(ISNUMBER(A3229),A3229,IFERROR(DATE(VALUE(MID(A3229,7,4)),VALUE(MID(A3229,4,2)),VALUE(MID(A3229,1,2)))+TIME(VALUE(MID(A3229,12,2)),VALUE(MID(A3229,15,2)),VALUE(MID(A3229,18,2))),"")))</f>
        <v/>
      </c>
    </row>
    <row r="3230" customFormat="false" ht="15" hidden="false" customHeight="false" outlineLevel="0" collapsed="false">
      <c r="I3230" s="15" t="str">
        <f aca="false">IF(N3230="","",INT(N3230))</f>
        <v/>
      </c>
      <c r="J3230" s="16" t="str">
        <f aca="false">IF(B3230="","",IF(N3230=_xlfn.MINIFS($N$2:$N$5001,$B$2:$B$5001,B3230),1,0))</f>
        <v/>
      </c>
      <c r="K3230" s="16" t="str">
        <f aca="false">IF(B3230="","",IF(AND(D3230="Formalização",E3230="Concluído"),IF(COUNTIFS($B$2:$B$5001,B3230,$E$2:$E$5001,"Em ajustes",$N$2:$N$5001,"&lt;"&amp;I3230)&gt;0,1,0),0))</f>
        <v/>
      </c>
      <c r="L3230" s="16" t="str">
        <f aca="false">IF(B3230="","",IF(N3230=_xlfn.MAXIFS($N$2:$N$5001,$B$2:$B$5001,B3230,$I$2:$I$5001,I3230),1,0))</f>
        <v/>
      </c>
      <c r="M3230" s="16" t="str">
        <f aca="false">IF(B3230="","",IF(E3230="Em ajustes",IF(N3230=_xlfn.MINIFS($N$2:$N$5001,$B$2:$B$5001,B3230,$E$2:$E$5001,"Em ajustes"),1,0),0))</f>
        <v/>
      </c>
      <c r="N3230" s="17" t="str">
        <f aca="false">IF(A3230="","",IF(ISNUMBER(A3230),A3230,IFERROR(DATE(VALUE(MID(A3230,7,4)),VALUE(MID(A3230,4,2)),VALUE(MID(A3230,1,2)))+TIME(VALUE(MID(A3230,12,2)),VALUE(MID(A3230,15,2)),VALUE(MID(A3230,18,2))),"")))</f>
        <v/>
      </c>
    </row>
    <row r="3231" customFormat="false" ht="15" hidden="false" customHeight="false" outlineLevel="0" collapsed="false">
      <c r="I3231" s="15" t="str">
        <f aca="false">IF(N3231="","",INT(N3231))</f>
        <v/>
      </c>
      <c r="J3231" s="16" t="str">
        <f aca="false">IF(B3231="","",IF(N3231=_xlfn.MINIFS($N$2:$N$5001,$B$2:$B$5001,B3231),1,0))</f>
        <v/>
      </c>
      <c r="K3231" s="16" t="str">
        <f aca="false">IF(B3231="","",IF(AND(D3231="Formalização",E3231="Concluído"),IF(COUNTIFS($B$2:$B$5001,B3231,$E$2:$E$5001,"Em ajustes",$N$2:$N$5001,"&lt;"&amp;I3231)&gt;0,1,0),0))</f>
        <v/>
      </c>
      <c r="L3231" s="16" t="str">
        <f aca="false">IF(B3231="","",IF(N3231=_xlfn.MAXIFS($N$2:$N$5001,$B$2:$B$5001,B3231,$I$2:$I$5001,I3231),1,0))</f>
        <v/>
      </c>
      <c r="M3231" s="16" t="str">
        <f aca="false">IF(B3231="","",IF(E3231="Em ajustes",IF(N3231=_xlfn.MINIFS($N$2:$N$5001,$B$2:$B$5001,B3231,$E$2:$E$5001,"Em ajustes"),1,0),0))</f>
        <v/>
      </c>
      <c r="N3231" s="17" t="str">
        <f aca="false">IF(A3231="","",IF(ISNUMBER(A3231),A3231,IFERROR(DATE(VALUE(MID(A3231,7,4)),VALUE(MID(A3231,4,2)),VALUE(MID(A3231,1,2)))+TIME(VALUE(MID(A3231,12,2)),VALUE(MID(A3231,15,2)),VALUE(MID(A3231,18,2))),"")))</f>
        <v/>
      </c>
    </row>
    <row r="3232" customFormat="false" ht="15" hidden="false" customHeight="false" outlineLevel="0" collapsed="false">
      <c r="I3232" s="15" t="str">
        <f aca="false">IF(N3232="","",INT(N3232))</f>
        <v/>
      </c>
      <c r="J3232" s="16" t="str">
        <f aca="false">IF(B3232="","",IF(N3232=_xlfn.MINIFS($N$2:$N$5001,$B$2:$B$5001,B3232),1,0))</f>
        <v/>
      </c>
      <c r="K3232" s="16" t="str">
        <f aca="false">IF(B3232="","",IF(AND(D3232="Formalização",E3232="Concluído"),IF(COUNTIFS($B$2:$B$5001,B3232,$E$2:$E$5001,"Em ajustes",$N$2:$N$5001,"&lt;"&amp;I3232)&gt;0,1,0),0))</f>
        <v/>
      </c>
      <c r="L3232" s="16" t="str">
        <f aca="false">IF(B3232="","",IF(N3232=_xlfn.MAXIFS($N$2:$N$5001,$B$2:$B$5001,B3232,$I$2:$I$5001,I3232),1,0))</f>
        <v/>
      </c>
      <c r="M3232" s="16" t="str">
        <f aca="false">IF(B3232="","",IF(E3232="Em ajustes",IF(N3232=_xlfn.MINIFS($N$2:$N$5001,$B$2:$B$5001,B3232,$E$2:$E$5001,"Em ajustes"),1,0),0))</f>
        <v/>
      </c>
      <c r="N3232" s="17" t="str">
        <f aca="false">IF(A3232="","",IF(ISNUMBER(A3232),A3232,IFERROR(DATE(VALUE(MID(A3232,7,4)),VALUE(MID(A3232,4,2)),VALUE(MID(A3232,1,2)))+TIME(VALUE(MID(A3232,12,2)),VALUE(MID(A3232,15,2)),VALUE(MID(A3232,18,2))),"")))</f>
        <v/>
      </c>
    </row>
    <row r="3233" customFormat="false" ht="15" hidden="false" customHeight="false" outlineLevel="0" collapsed="false">
      <c r="I3233" s="15" t="str">
        <f aca="false">IF(N3233="","",INT(N3233))</f>
        <v/>
      </c>
      <c r="J3233" s="16" t="str">
        <f aca="false">IF(B3233="","",IF(N3233=_xlfn.MINIFS($N$2:$N$5001,$B$2:$B$5001,B3233),1,0))</f>
        <v/>
      </c>
      <c r="K3233" s="16" t="str">
        <f aca="false">IF(B3233="","",IF(AND(D3233="Formalização",E3233="Concluído"),IF(COUNTIFS($B$2:$B$5001,B3233,$E$2:$E$5001,"Em ajustes",$N$2:$N$5001,"&lt;"&amp;I3233)&gt;0,1,0),0))</f>
        <v/>
      </c>
      <c r="L3233" s="16" t="str">
        <f aca="false">IF(B3233="","",IF(N3233=_xlfn.MAXIFS($N$2:$N$5001,$B$2:$B$5001,B3233,$I$2:$I$5001,I3233),1,0))</f>
        <v/>
      </c>
      <c r="M3233" s="16" t="str">
        <f aca="false">IF(B3233="","",IF(E3233="Em ajustes",IF(N3233=_xlfn.MINIFS($N$2:$N$5001,$B$2:$B$5001,B3233,$E$2:$E$5001,"Em ajustes"),1,0),0))</f>
        <v/>
      </c>
      <c r="N3233" s="17" t="str">
        <f aca="false">IF(A3233="","",IF(ISNUMBER(A3233),A3233,IFERROR(DATE(VALUE(MID(A3233,7,4)),VALUE(MID(A3233,4,2)),VALUE(MID(A3233,1,2)))+TIME(VALUE(MID(A3233,12,2)),VALUE(MID(A3233,15,2)),VALUE(MID(A3233,18,2))),"")))</f>
        <v/>
      </c>
    </row>
    <row r="3234" customFormat="false" ht="15" hidden="false" customHeight="false" outlineLevel="0" collapsed="false">
      <c r="I3234" s="15" t="str">
        <f aca="false">IF(N3234="","",INT(N3234))</f>
        <v/>
      </c>
      <c r="J3234" s="16" t="str">
        <f aca="false">IF(B3234="","",IF(N3234=_xlfn.MINIFS($N$2:$N$5001,$B$2:$B$5001,B3234),1,0))</f>
        <v/>
      </c>
      <c r="K3234" s="16" t="str">
        <f aca="false">IF(B3234="","",IF(AND(D3234="Formalização",E3234="Concluído"),IF(COUNTIFS($B$2:$B$5001,B3234,$E$2:$E$5001,"Em ajustes",$N$2:$N$5001,"&lt;"&amp;I3234)&gt;0,1,0),0))</f>
        <v/>
      </c>
      <c r="L3234" s="16" t="str">
        <f aca="false">IF(B3234="","",IF(N3234=_xlfn.MAXIFS($N$2:$N$5001,$B$2:$B$5001,B3234,$I$2:$I$5001,I3234),1,0))</f>
        <v/>
      </c>
      <c r="M3234" s="16" t="str">
        <f aca="false">IF(B3234="","",IF(E3234="Em ajustes",IF(N3234=_xlfn.MINIFS($N$2:$N$5001,$B$2:$B$5001,B3234,$E$2:$E$5001,"Em ajustes"),1,0),0))</f>
        <v/>
      </c>
      <c r="N3234" s="17" t="str">
        <f aca="false">IF(A3234="","",IF(ISNUMBER(A3234),A3234,IFERROR(DATE(VALUE(MID(A3234,7,4)),VALUE(MID(A3234,4,2)),VALUE(MID(A3234,1,2)))+TIME(VALUE(MID(A3234,12,2)),VALUE(MID(A3234,15,2)),VALUE(MID(A3234,18,2))),"")))</f>
        <v/>
      </c>
    </row>
    <row r="3235" customFormat="false" ht="15" hidden="false" customHeight="false" outlineLevel="0" collapsed="false">
      <c r="I3235" s="15" t="str">
        <f aca="false">IF(N3235="","",INT(N3235))</f>
        <v/>
      </c>
      <c r="J3235" s="16" t="str">
        <f aca="false">IF(B3235="","",IF(N3235=_xlfn.MINIFS($N$2:$N$5001,$B$2:$B$5001,B3235),1,0))</f>
        <v/>
      </c>
      <c r="K3235" s="16" t="str">
        <f aca="false">IF(B3235="","",IF(AND(D3235="Formalização",E3235="Concluído"),IF(COUNTIFS($B$2:$B$5001,B3235,$E$2:$E$5001,"Em ajustes",$N$2:$N$5001,"&lt;"&amp;I3235)&gt;0,1,0),0))</f>
        <v/>
      </c>
      <c r="L3235" s="16" t="str">
        <f aca="false">IF(B3235="","",IF(N3235=_xlfn.MAXIFS($N$2:$N$5001,$B$2:$B$5001,B3235,$I$2:$I$5001,I3235),1,0))</f>
        <v/>
      </c>
      <c r="M3235" s="16" t="str">
        <f aca="false">IF(B3235="","",IF(E3235="Em ajustes",IF(N3235=_xlfn.MINIFS($N$2:$N$5001,$B$2:$B$5001,B3235,$E$2:$E$5001,"Em ajustes"),1,0),0))</f>
        <v/>
      </c>
      <c r="N3235" s="17" t="str">
        <f aca="false">IF(A3235="","",IF(ISNUMBER(A3235),A3235,IFERROR(DATE(VALUE(MID(A3235,7,4)),VALUE(MID(A3235,4,2)),VALUE(MID(A3235,1,2)))+TIME(VALUE(MID(A3235,12,2)),VALUE(MID(A3235,15,2)),VALUE(MID(A3235,18,2))),"")))</f>
        <v/>
      </c>
    </row>
    <row r="3236" customFormat="false" ht="15" hidden="false" customHeight="false" outlineLevel="0" collapsed="false">
      <c r="I3236" s="15" t="str">
        <f aca="false">IF(N3236="","",INT(N3236))</f>
        <v/>
      </c>
      <c r="J3236" s="16" t="str">
        <f aca="false">IF(B3236="","",IF(N3236=_xlfn.MINIFS($N$2:$N$5001,$B$2:$B$5001,B3236),1,0))</f>
        <v/>
      </c>
      <c r="K3236" s="16" t="str">
        <f aca="false">IF(B3236="","",IF(AND(D3236="Formalização",E3236="Concluído"),IF(COUNTIFS($B$2:$B$5001,B3236,$E$2:$E$5001,"Em ajustes",$N$2:$N$5001,"&lt;"&amp;I3236)&gt;0,1,0),0))</f>
        <v/>
      </c>
      <c r="L3236" s="16" t="str">
        <f aca="false">IF(B3236="","",IF(N3236=_xlfn.MAXIFS($N$2:$N$5001,$B$2:$B$5001,B3236,$I$2:$I$5001,I3236),1,0))</f>
        <v/>
      </c>
      <c r="M3236" s="16" t="str">
        <f aca="false">IF(B3236="","",IF(E3236="Em ajustes",IF(N3236=_xlfn.MINIFS($N$2:$N$5001,$B$2:$B$5001,B3236,$E$2:$E$5001,"Em ajustes"),1,0),0))</f>
        <v/>
      </c>
      <c r="N3236" s="17" t="str">
        <f aca="false">IF(A3236="","",IF(ISNUMBER(A3236),A3236,IFERROR(DATE(VALUE(MID(A3236,7,4)),VALUE(MID(A3236,4,2)),VALUE(MID(A3236,1,2)))+TIME(VALUE(MID(A3236,12,2)),VALUE(MID(A3236,15,2)),VALUE(MID(A3236,18,2))),"")))</f>
        <v/>
      </c>
    </row>
    <row r="3237" customFormat="false" ht="15" hidden="false" customHeight="false" outlineLevel="0" collapsed="false">
      <c r="I3237" s="15" t="str">
        <f aca="false">IF(N3237="","",INT(N3237))</f>
        <v/>
      </c>
      <c r="J3237" s="16" t="str">
        <f aca="false">IF(B3237="","",IF(N3237=_xlfn.MINIFS($N$2:$N$5001,$B$2:$B$5001,B3237),1,0))</f>
        <v/>
      </c>
      <c r="K3237" s="16" t="str">
        <f aca="false">IF(B3237="","",IF(AND(D3237="Formalização",E3237="Concluído"),IF(COUNTIFS($B$2:$B$5001,B3237,$E$2:$E$5001,"Em ajustes",$N$2:$N$5001,"&lt;"&amp;I3237)&gt;0,1,0),0))</f>
        <v/>
      </c>
      <c r="L3237" s="16" t="str">
        <f aca="false">IF(B3237="","",IF(N3237=_xlfn.MAXIFS($N$2:$N$5001,$B$2:$B$5001,B3237,$I$2:$I$5001,I3237),1,0))</f>
        <v/>
      </c>
      <c r="M3237" s="16" t="str">
        <f aca="false">IF(B3237="","",IF(E3237="Em ajustes",IF(N3237=_xlfn.MINIFS($N$2:$N$5001,$B$2:$B$5001,B3237,$E$2:$E$5001,"Em ajustes"),1,0),0))</f>
        <v/>
      </c>
      <c r="N3237" s="17" t="str">
        <f aca="false">IF(A3237="","",IF(ISNUMBER(A3237),A3237,IFERROR(DATE(VALUE(MID(A3237,7,4)),VALUE(MID(A3237,4,2)),VALUE(MID(A3237,1,2)))+TIME(VALUE(MID(A3237,12,2)),VALUE(MID(A3237,15,2)),VALUE(MID(A3237,18,2))),"")))</f>
        <v/>
      </c>
    </row>
    <row r="3238" customFormat="false" ht="15" hidden="false" customHeight="false" outlineLevel="0" collapsed="false">
      <c r="I3238" s="15" t="str">
        <f aca="false">IF(N3238="","",INT(N3238))</f>
        <v/>
      </c>
      <c r="J3238" s="16" t="str">
        <f aca="false">IF(B3238="","",IF(N3238=_xlfn.MINIFS($N$2:$N$5001,$B$2:$B$5001,B3238),1,0))</f>
        <v/>
      </c>
      <c r="K3238" s="16" t="str">
        <f aca="false">IF(B3238="","",IF(AND(D3238="Formalização",E3238="Concluído"),IF(COUNTIFS($B$2:$B$5001,B3238,$E$2:$E$5001,"Em ajustes",$N$2:$N$5001,"&lt;"&amp;I3238)&gt;0,1,0),0))</f>
        <v/>
      </c>
      <c r="L3238" s="16" t="str">
        <f aca="false">IF(B3238="","",IF(N3238=_xlfn.MAXIFS($N$2:$N$5001,$B$2:$B$5001,B3238,$I$2:$I$5001,I3238),1,0))</f>
        <v/>
      </c>
      <c r="M3238" s="16" t="str">
        <f aca="false">IF(B3238="","",IF(E3238="Em ajustes",IF(N3238=_xlfn.MINIFS($N$2:$N$5001,$B$2:$B$5001,B3238,$E$2:$E$5001,"Em ajustes"),1,0),0))</f>
        <v/>
      </c>
      <c r="N3238" s="17" t="str">
        <f aca="false">IF(A3238="","",IF(ISNUMBER(A3238),A3238,IFERROR(DATE(VALUE(MID(A3238,7,4)),VALUE(MID(A3238,4,2)),VALUE(MID(A3238,1,2)))+TIME(VALUE(MID(A3238,12,2)),VALUE(MID(A3238,15,2)),VALUE(MID(A3238,18,2))),"")))</f>
        <v/>
      </c>
    </row>
    <row r="3239" customFormat="false" ht="15" hidden="false" customHeight="false" outlineLevel="0" collapsed="false">
      <c r="I3239" s="15" t="str">
        <f aca="false">IF(N3239="","",INT(N3239))</f>
        <v/>
      </c>
      <c r="J3239" s="16" t="str">
        <f aca="false">IF(B3239="","",IF(N3239=_xlfn.MINIFS($N$2:$N$5001,$B$2:$B$5001,B3239),1,0))</f>
        <v/>
      </c>
      <c r="K3239" s="16" t="str">
        <f aca="false">IF(B3239="","",IF(AND(D3239="Formalização",E3239="Concluído"),IF(COUNTIFS($B$2:$B$5001,B3239,$E$2:$E$5001,"Em ajustes",$N$2:$N$5001,"&lt;"&amp;I3239)&gt;0,1,0),0))</f>
        <v/>
      </c>
      <c r="L3239" s="16" t="str">
        <f aca="false">IF(B3239="","",IF(N3239=_xlfn.MAXIFS($N$2:$N$5001,$B$2:$B$5001,B3239,$I$2:$I$5001,I3239),1,0))</f>
        <v/>
      </c>
      <c r="M3239" s="16" t="str">
        <f aca="false">IF(B3239="","",IF(E3239="Em ajustes",IF(N3239=_xlfn.MINIFS($N$2:$N$5001,$B$2:$B$5001,B3239,$E$2:$E$5001,"Em ajustes"),1,0),0))</f>
        <v/>
      </c>
      <c r="N3239" s="17" t="str">
        <f aca="false">IF(A3239="","",IF(ISNUMBER(A3239),A3239,IFERROR(DATE(VALUE(MID(A3239,7,4)),VALUE(MID(A3239,4,2)),VALUE(MID(A3239,1,2)))+TIME(VALUE(MID(A3239,12,2)),VALUE(MID(A3239,15,2)),VALUE(MID(A3239,18,2))),"")))</f>
        <v/>
      </c>
    </row>
    <row r="3240" customFormat="false" ht="15" hidden="false" customHeight="false" outlineLevel="0" collapsed="false">
      <c r="I3240" s="15" t="str">
        <f aca="false">IF(N3240="","",INT(N3240))</f>
        <v/>
      </c>
      <c r="J3240" s="16" t="str">
        <f aca="false">IF(B3240="","",IF(N3240=_xlfn.MINIFS($N$2:$N$5001,$B$2:$B$5001,B3240),1,0))</f>
        <v/>
      </c>
      <c r="K3240" s="16" t="str">
        <f aca="false">IF(B3240="","",IF(AND(D3240="Formalização",E3240="Concluído"),IF(COUNTIFS($B$2:$B$5001,B3240,$E$2:$E$5001,"Em ajustes",$N$2:$N$5001,"&lt;"&amp;I3240)&gt;0,1,0),0))</f>
        <v/>
      </c>
      <c r="L3240" s="16" t="str">
        <f aca="false">IF(B3240="","",IF(N3240=_xlfn.MAXIFS($N$2:$N$5001,$B$2:$B$5001,B3240,$I$2:$I$5001,I3240),1,0))</f>
        <v/>
      </c>
      <c r="M3240" s="16" t="str">
        <f aca="false">IF(B3240="","",IF(E3240="Em ajustes",IF(N3240=_xlfn.MINIFS($N$2:$N$5001,$B$2:$B$5001,B3240,$E$2:$E$5001,"Em ajustes"),1,0),0))</f>
        <v/>
      </c>
      <c r="N3240" s="17" t="str">
        <f aca="false">IF(A3240="","",IF(ISNUMBER(A3240),A3240,IFERROR(DATE(VALUE(MID(A3240,7,4)),VALUE(MID(A3240,4,2)),VALUE(MID(A3240,1,2)))+TIME(VALUE(MID(A3240,12,2)),VALUE(MID(A3240,15,2)),VALUE(MID(A3240,18,2))),"")))</f>
        <v/>
      </c>
    </row>
    <row r="3241" customFormat="false" ht="15" hidden="false" customHeight="false" outlineLevel="0" collapsed="false">
      <c r="I3241" s="15" t="str">
        <f aca="false">IF(N3241="","",INT(N3241))</f>
        <v/>
      </c>
      <c r="J3241" s="16" t="str">
        <f aca="false">IF(B3241="","",IF(N3241=_xlfn.MINIFS($N$2:$N$5001,$B$2:$B$5001,B3241),1,0))</f>
        <v/>
      </c>
      <c r="K3241" s="16" t="str">
        <f aca="false">IF(B3241="","",IF(AND(D3241="Formalização",E3241="Concluído"),IF(COUNTIFS($B$2:$B$5001,B3241,$E$2:$E$5001,"Em ajustes",$N$2:$N$5001,"&lt;"&amp;I3241)&gt;0,1,0),0))</f>
        <v/>
      </c>
      <c r="L3241" s="16" t="str">
        <f aca="false">IF(B3241="","",IF(N3241=_xlfn.MAXIFS($N$2:$N$5001,$B$2:$B$5001,B3241,$I$2:$I$5001,I3241),1,0))</f>
        <v/>
      </c>
      <c r="M3241" s="16" t="str">
        <f aca="false">IF(B3241="","",IF(E3241="Em ajustes",IF(N3241=_xlfn.MINIFS($N$2:$N$5001,$B$2:$B$5001,B3241,$E$2:$E$5001,"Em ajustes"),1,0),0))</f>
        <v/>
      </c>
      <c r="N3241" s="17" t="str">
        <f aca="false">IF(A3241="","",IF(ISNUMBER(A3241),A3241,IFERROR(DATE(VALUE(MID(A3241,7,4)),VALUE(MID(A3241,4,2)),VALUE(MID(A3241,1,2)))+TIME(VALUE(MID(A3241,12,2)),VALUE(MID(A3241,15,2)),VALUE(MID(A3241,18,2))),"")))</f>
        <v/>
      </c>
    </row>
    <row r="3242" customFormat="false" ht="15" hidden="false" customHeight="false" outlineLevel="0" collapsed="false">
      <c r="I3242" s="15" t="str">
        <f aca="false">IF(N3242="","",INT(N3242))</f>
        <v/>
      </c>
      <c r="J3242" s="16" t="str">
        <f aca="false">IF(B3242="","",IF(N3242=_xlfn.MINIFS($N$2:$N$5001,$B$2:$B$5001,B3242),1,0))</f>
        <v/>
      </c>
      <c r="K3242" s="16" t="str">
        <f aca="false">IF(B3242="","",IF(AND(D3242="Formalização",E3242="Concluído"),IF(COUNTIFS($B$2:$B$5001,B3242,$E$2:$E$5001,"Em ajustes",$N$2:$N$5001,"&lt;"&amp;I3242)&gt;0,1,0),0))</f>
        <v/>
      </c>
      <c r="L3242" s="16" t="str">
        <f aca="false">IF(B3242="","",IF(N3242=_xlfn.MAXIFS($N$2:$N$5001,$B$2:$B$5001,B3242,$I$2:$I$5001,I3242),1,0))</f>
        <v/>
      </c>
      <c r="M3242" s="16" t="str">
        <f aca="false">IF(B3242="","",IF(E3242="Em ajustes",IF(N3242=_xlfn.MINIFS($N$2:$N$5001,$B$2:$B$5001,B3242,$E$2:$E$5001,"Em ajustes"),1,0),0))</f>
        <v/>
      </c>
      <c r="N3242" s="17" t="str">
        <f aca="false">IF(A3242="","",IF(ISNUMBER(A3242),A3242,IFERROR(DATE(VALUE(MID(A3242,7,4)),VALUE(MID(A3242,4,2)),VALUE(MID(A3242,1,2)))+TIME(VALUE(MID(A3242,12,2)),VALUE(MID(A3242,15,2)),VALUE(MID(A3242,18,2))),"")))</f>
        <v/>
      </c>
    </row>
    <row r="3243" customFormat="false" ht="15" hidden="false" customHeight="false" outlineLevel="0" collapsed="false">
      <c r="I3243" s="15" t="str">
        <f aca="false">IF(N3243="","",INT(N3243))</f>
        <v/>
      </c>
      <c r="J3243" s="16" t="str">
        <f aca="false">IF(B3243="","",IF(N3243=_xlfn.MINIFS($N$2:$N$5001,$B$2:$B$5001,B3243),1,0))</f>
        <v/>
      </c>
      <c r="K3243" s="16" t="str">
        <f aca="false">IF(B3243="","",IF(AND(D3243="Formalização",E3243="Concluído"),IF(COUNTIFS($B$2:$B$5001,B3243,$E$2:$E$5001,"Em ajustes",$N$2:$N$5001,"&lt;"&amp;I3243)&gt;0,1,0),0))</f>
        <v/>
      </c>
      <c r="L3243" s="16" t="str">
        <f aca="false">IF(B3243="","",IF(N3243=_xlfn.MAXIFS($N$2:$N$5001,$B$2:$B$5001,B3243,$I$2:$I$5001,I3243),1,0))</f>
        <v/>
      </c>
      <c r="M3243" s="16" t="str">
        <f aca="false">IF(B3243="","",IF(E3243="Em ajustes",IF(N3243=_xlfn.MINIFS($N$2:$N$5001,$B$2:$B$5001,B3243,$E$2:$E$5001,"Em ajustes"),1,0),0))</f>
        <v/>
      </c>
      <c r="N3243" s="17" t="str">
        <f aca="false">IF(A3243="","",IF(ISNUMBER(A3243),A3243,IFERROR(DATE(VALUE(MID(A3243,7,4)),VALUE(MID(A3243,4,2)),VALUE(MID(A3243,1,2)))+TIME(VALUE(MID(A3243,12,2)),VALUE(MID(A3243,15,2)),VALUE(MID(A3243,18,2))),"")))</f>
        <v/>
      </c>
    </row>
    <row r="3244" customFormat="false" ht="15" hidden="false" customHeight="false" outlineLevel="0" collapsed="false">
      <c r="I3244" s="15" t="str">
        <f aca="false">IF(N3244="","",INT(N3244))</f>
        <v/>
      </c>
      <c r="J3244" s="16" t="str">
        <f aca="false">IF(B3244="","",IF(N3244=_xlfn.MINIFS($N$2:$N$5001,$B$2:$B$5001,B3244),1,0))</f>
        <v/>
      </c>
      <c r="K3244" s="16" t="str">
        <f aca="false">IF(B3244="","",IF(AND(D3244="Formalização",E3244="Concluído"),IF(COUNTIFS($B$2:$B$5001,B3244,$E$2:$E$5001,"Em ajustes",$N$2:$N$5001,"&lt;"&amp;I3244)&gt;0,1,0),0))</f>
        <v/>
      </c>
      <c r="L3244" s="16" t="str">
        <f aca="false">IF(B3244="","",IF(N3244=_xlfn.MAXIFS($N$2:$N$5001,$B$2:$B$5001,B3244,$I$2:$I$5001,I3244),1,0))</f>
        <v/>
      </c>
      <c r="M3244" s="16" t="str">
        <f aca="false">IF(B3244="","",IF(E3244="Em ajustes",IF(N3244=_xlfn.MINIFS($N$2:$N$5001,$B$2:$B$5001,B3244,$E$2:$E$5001,"Em ajustes"),1,0),0))</f>
        <v/>
      </c>
      <c r="N3244" s="17" t="str">
        <f aca="false">IF(A3244="","",IF(ISNUMBER(A3244),A3244,IFERROR(DATE(VALUE(MID(A3244,7,4)),VALUE(MID(A3244,4,2)),VALUE(MID(A3244,1,2)))+TIME(VALUE(MID(A3244,12,2)),VALUE(MID(A3244,15,2)),VALUE(MID(A3244,18,2))),"")))</f>
        <v/>
      </c>
    </row>
    <row r="3245" customFormat="false" ht="15" hidden="false" customHeight="false" outlineLevel="0" collapsed="false">
      <c r="I3245" s="15" t="str">
        <f aca="false">IF(N3245="","",INT(N3245))</f>
        <v/>
      </c>
      <c r="J3245" s="16" t="str">
        <f aca="false">IF(B3245="","",IF(N3245=_xlfn.MINIFS($N$2:$N$5001,$B$2:$B$5001,B3245),1,0))</f>
        <v/>
      </c>
      <c r="K3245" s="16" t="str">
        <f aca="false">IF(B3245="","",IF(AND(D3245="Formalização",E3245="Concluído"),IF(COUNTIFS($B$2:$B$5001,B3245,$E$2:$E$5001,"Em ajustes",$N$2:$N$5001,"&lt;"&amp;I3245)&gt;0,1,0),0))</f>
        <v/>
      </c>
      <c r="L3245" s="16" t="str">
        <f aca="false">IF(B3245="","",IF(N3245=_xlfn.MAXIFS($N$2:$N$5001,$B$2:$B$5001,B3245,$I$2:$I$5001,I3245),1,0))</f>
        <v/>
      </c>
      <c r="M3245" s="16" t="str">
        <f aca="false">IF(B3245="","",IF(E3245="Em ajustes",IF(N3245=_xlfn.MINIFS($N$2:$N$5001,$B$2:$B$5001,B3245,$E$2:$E$5001,"Em ajustes"),1,0),0))</f>
        <v/>
      </c>
      <c r="N3245" s="17" t="str">
        <f aca="false">IF(A3245="","",IF(ISNUMBER(A3245),A3245,IFERROR(DATE(VALUE(MID(A3245,7,4)),VALUE(MID(A3245,4,2)),VALUE(MID(A3245,1,2)))+TIME(VALUE(MID(A3245,12,2)),VALUE(MID(A3245,15,2)),VALUE(MID(A3245,18,2))),"")))</f>
        <v/>
      </c>
    </row>
    <row r="3246" customFormat="false" ht="15" hidden="false" customHeight="false" outlineLevel="0" collapsed="false">
      <c r="I3246" s="15" t="str">
        <f aca="false">IF(N3246="","",INT(N3246))</f>
        <v/>
      </c>
      <c r="J3246" s="16" t="str">
        <f aca="false">IF(B3246="","",IF(N3246=_xlfn.MINIFS($N$2:$N$5001,$B$2:$B$5001,B3246),1,0))</f>
        <v/>
      </c>
      <c r="K3246" s="16" t="str">
        <f aca="false">IF(B3246="","",IF(AND(D3246="Formalização",E3246="Concluído"),IF(COUNTIFS($B$2:$B$5001,B3246,$E$2:$E$5001,"Em ajustes",$N$2:$N$5001,"&lt;"&amp;I3246)&gt;0,1,0),0))</f>
        <v/>
      </c>
      <c r="L3246" s="16" t="str">
        <f aca="false">IF(B3246="","",IF(N3246=_xlfn.MAXIFS($N$2:$N$5001,$B$2:$B$5001,B3246,$I$2:$I$5001,I3246),1,0))</f>
        <v/>
      </c>
      <c r="M3246" s="16" t="str">
        <f aca="false">IF(B3246="","",IF(E3246="Em ajustes",IF(N3246=_xlfn.MINIFS($N$2:$N$5001,$B$2:$B$5001,B3246,$E$2:$E$5001,"Em ajustes"),1,0),0))</f>
        <v/>
      </c>
      <c r="N3246" s="17" t="str">
        <f aca="false">IF(A3246="","",IF(ISNUMBER(A3246),A3246,IFERROR(DATE(VALUE(MID(A3246,7,4)),VALUE(MID(A3246,4,2)),VALUE(MID(A3246,1,2)))+TIME(VALUE(MID(A3246,12,2)),VALUE(MID(A3246,15,2)),VALUE(MID(A3246,18,2))),"")))</f>
        <v/>
      </c>
    </row>
    <row r="3247" customFormat="false" ht="15" hidden="false" customHeight="false" outlineLevel="0" collapsed="false">
      <c r="I3247" s="15" t="str">
        <f aca="false">IF(N3247="","",INT(N3247))</f>
        <v/>
      </c>
      <c r="J3247" s="16" t="str">
        <f aca="false">IF(B3247="","",IF(N3247=_xlfn.MINIFS($N$2:$N$5001,$B$2:$B$5001,B3247),1,0))</f>
        <v/>
      </c>
      <c r="K3247" s="16" t="str">
        <f aca="false">IF(B3247="","",IF(AND(D3247="Formalização",E3247="Concluído"),IF(COUNTIFS($B$2:$B$5001,B3247,$E$2:$E$5001,"Em ajustes",$N$2:$N$5001,"&lt;"&amp;I3247)&gt;0,1,0),0))</f>
        <v/>
      </c>
      <c r="L3247" s="16" t="str">
        <f aca="false">IF(B3247="","",IF(N3247=_xlfn.MAXIFS($N$2:$N$5001,$B$2:$B$5001,B3247,$I$2:$I$5001,I3247),1,0))</f>
        <v/>
      </c>
      <c r="M3247" s="16" t="str">
        <f aca="false">IF(B3247="","",IF(E3247="Em ajustes",IF(N3247=_xlfn.MINIFS($N$2:$N$5001,$B$2:$B$5001,B3247,$E$2:$E$5001,"Em ajustes"),1,0),0))</f>
        <v/>
      </c>
      <c r="N3247" s="17" t="str">
        <f aca="false">IF(A3247="","",IF(ISNUMBER(A3247),A3247,IFERROR(DATE(VALUE(MID(A3247,7,4)),VALUE(MID(A3247,4,2)),VALUE(MID(A3247,1,2)))+TIME(VALUE(MID(A3247,12,2)),VALUE(MID(A3247,15,2)),VALUE(MID(A3247,18,2))),"")))</f>
        <v/>
      </c>
    </row>
    <row r="3248" customFormat="false" ht="15" hidden="false" customHeight="false" outlineLevel="0" collapsed="false">
      <c r="I3248" s="15" t="str">
        <f aca="false">IF(N3248="","",INT(N3248))</f>
        <v/>
      </c>
      <c r="J3248" s="16" t="str">
        <f aca="false">IF(B3248="","",IF(N3248=_xlfn.MINIFS($N$2:$N$5001,$B$2:$B$5001,B3248),1,0))</f>
        <v/>
      </c>
      <c r="K3248" s="16" t="str">
        <f aca="false">IF(B3248="","",IF(AND(D3248="Formalização",E3248="Concluído"),IF(COUNTIFS($B$2:$B$5001,B3248,$E$2:$E$5001,"Em ajustes",$N$2:$N$5001,"&lt;"&amp;I3248)&gt;0,1,0),0))</f>
        <v/>
      </c>
      <c r="L3248" s="16" t="str">
        <f aca="false">IF(B3248="","",IF(N3248=_xlfn.MAXIFS($N$2:$N$5001,$B$2:$B$5001,B3248,$I$2:$I$5001,I3248),1,0))</f>
        <v/>
      </c>
      <c r="M3248" s="16" t="str">
        <f aca="false">IF(B3248="","",IF(E3248="Em ajustes",IF(N3248=_xlfn.MINIFS($N$2:$N$5001,$B$2:$B$5001,B3248,$E$2:$E$5001,"Em ajustes"),1,0),0))</f>
        <v/>
      </c>
      <c r="N3248" s="17" t="str">
        <f aca="false">IF(A3248="","",IF(ISNUMBER(A3248),A3248,IFERROR(DATE(VALUE(MID(A3248,7,4)),VALUE(MID(A3248,4,2)),VALUE(MID(A3248,1,2)))+TIME(VALUE(MID(A3248,12,2)),VALUE(MID(A3248,15,2)),VALUE(MID(A3248,18,2))),"")))</f>
        <v/>
      </c>
    </row>
    <row r="3249" customFormat="false" ht="15" hidden="false" customHeight="false" outlineLevel="0" collapsed="false">
      <c r="I3249" s="15" t="str">
        <f aca="false">IF(N3249="","",INT(N3249))</f>
        <v/>
      </c>
      <c r="J3249" s="16" t="str">
        <f aca="false">IF(B3249="","",IF(N3249=_xlfn.MINIFS($N$2:$N$5001,$B$2:$B$5001,B3249),1,0))</f>
        <v/>
      </c>
      <c r="K3249" s="16" t="str">
        <f aca="false">IF(B3249="","",IF(AND(D3249="Formalização",E3249="Concluído"),IF(COUNTIFS($B$2:$B$5001,B3249,$E$2:$E$5001,"Em ajustes",$N$2:$N$5001,"&lt;"&amp;I3249)&gt;0,1,0),0))</f>
        <v/>
      </c>
      <c r="L3249" s="16" t="str">
        <f aca="false">IF(B3249="","",IF(N3249=_xlfn.MAXIFS($N$2:$N$5001,$B$2:$B$5001,B3249,$I$2:$I$5001,I3249),1,0))</f>
        <v/>
      </c>
      <c r="M3249" s="16" t="str">
        <f aca="false">IF(B3249="","",IF(E3249="Em ajustes",IF(N3249=_xlfn.MINIFS($N$2:$N$5001,$B$2:$B$5001,B3249,$E$2:$E$5001,"Em ajustes"),1,0),0))</f>
        <v/>
      </c>
      <c r="N3249" s="17" t="str">
        <f aca="false">IF(A3249="","",IF(ISNUMBER(A3249),A3249,IFERROR(DATE(VALUE(MID(A3249,7,4)),VALUE(MID(A3249,4,2)),VALUE(MID(A3249,1,2)))+TIME(VALUE(MID(A3249,12,2)),VALUE(MID(A3249,15,2)),VALUE(MID(A3249,18,2))),"")))</f>
        <v/>
      </c>
    </row>
    <row r="3250" customFormat="false" ht="15" hidden="false" customHeight="false" outlineLevel="0" collapsed="false">
      <c r="I3250" s="15" t="str">
        <f aca="false">IF(N3250="","",INT(N3250))</f>
        <v/>
      </c>
      <c r="J3250" s="16" t="str">
        <f aca="false">IF(B3250="","",IF(N3250=_xlfn.MINIFS($N$2:$N$5001,$B$2:$B$5001,B3250),1,0))</f>
        <v/>
      </c>
      <c r="K3250" s="16" t="str">
        <f aca="false">IF(B3250="","",IF(AND(D3250="Formalização",E3250="Concluído"),IF(COUNTIFS($B$2:$B$5001,B3250,$E$2:$E$5001,"Em ajustes",$N$2:$N$5001,"&lt;"&amp;I3250)&gt;0,1,0),0))</f>
        <v/>
      </c>
      <c r="L3250" s="16" t="str">
        <f aca="false">IF(B3250="","",IF(N3250=_xlfn.MAXIFS($N$2:$N$5001,$B$2:$B$5001,B3250,$I$2:$I$5001,I3250),1,0))</f>
        <v/>
      </c>
      <c r="M3250" s="16" t="str">
        <f aca="false">IF(B3250="","",IF(E3250="Em ajustes",IF(N3250=_xlfn.MINIFS($N$2:$N$5001,$B$2:$B$5001,B3250,$E$2:$E$5001,"Em ajustes"),1,0),0))</f>
        <v/>
      </c>
      <c r="N3250" s="17" t="str">
        <f aca="false">IF(A3250="","",IF(ISNUMBER(A3250),A3250,IFERROR(DATE(VALUE(MID(A3250,7,4)),VALUE(MID(A3250,4,2)),VALUE(MID(A3250,1,2)))+TIME(VALUE(MID(A3250,12,2)),VALUE(MID(A3250,15,2)),VALUE(MID(A3250,18,2))),"")))</f>
        <v/>
      </c>
    </row>
    <row r="3251" customFormat="false" ht="15" hidden="false" customHeight="false" outlineLevel="0" collapsed="false">
      <c r="I3251" s="15" t="str">
        <f aca="false">IF(N3251="","",INT(N3251))</f>
        <v/>
      </c>
      <c r="J3251" s="16" t="str">
        <f aca="false">IF(B3251="","",IF(N3251=_xlfn.MINIFS($N$2:$N$5001,$B$2:$B$5001,B3251),1,0))</f>
        <v/>
      </c>
      <c r="K3251" s="16" t="str">
        <f aca="false">IF(B3251="","",IF(AND(D3251="Formalização",E3251="Concluído"),IF(COUNTIFS($B$2:$B$5001,B3251,$E$2:$E$5001,"Em ajustes",$N$2:$N$5001,"&lt;"&amp;I3251)&gt;0,1,0),0))</f>
        <v/>
      </c>
      <c r="L3251" s="16" t="str">
        <f aca="false">IF(B3251="","",IF(N3251=_xlfn.MAXIFS($N$2:$N$5001,$B$2:$B$5001,B3251,$I$2:$I$5001,I3251),1,0))</f>
        <v/>
      </c>
      <c r="M3251" s="16" t="str">
        <f aca="false">IF(B3251="","",IF(E3251="Em ajustes",IF(N3251=_xlfn.MINIFS($N$2:$N$5001,$B$2:$B$5001,B3251,$E$2:$E$5001,"Em ajustes"),1,0),0))</f>
        <v/>
      </c>
      <c r="N3251" s="17" t="str">
        <f aca="false">IF(A3251="","",IF(ISNUMBER(A3251),A3251,IFERROR(DATE(VALUE(MID(A3251,7,4)),VALUE(MID(A3251,4,2)),VALUE(MID(A3251,1,2)))+TIME(VALUE(MID(A3251,12,2)),VALUE(MID(A3251,15,2)),VALUE(MID(A3251,18,2))),"")))</f>
        <v/>
      </c>
    </row>
    <row r="3252" customFormat="false" ht="15" hidden="false" customHeight="false" outlineLevel="0" collapsed="false">
      <c r="I3252" s="15" t="str">
        <f aca="false">IF(N3252="","",INT(N3252))</f>
        <v/>
      </c>
      <c r="J3252" s="16" t="str">
        <f aca="false">IF(B3252="","",IF(N3252=_xlfn.MINIFS($N$2:$N$5001,$B$2:$B$5001,B3252),1,0))</f>
        <v/>
      </c>
      <c r="K3252" s="16" t="str">
        <f aca="false">IF(B3252="","",IF(AND(D3252="Formalização",E3252="Concluído"),IF(COUNTIFS($B$2:$B$5001,B3252,$E$2:$E$5001,"Em ajustes",$N$2:$N$5001,"&lt;"&amp;I3252)&gt;0,1,0),0))</f>
        <v/>
      </c>
      <c r="L3252" s="16" t="str">
        <f aca="false">IF(B3252="","",IF(N3252=_xlfn.MAXIFS($N$2:$N$5001,$B$2:$B$5001,B3252,$I$2:$I$5001,I3252),1,0))</f>
        <v/>
      </c>
      <c r="M3252" s="16" t="str">
        <f aca="false">IF(B3252="","",IF(E3252="Em ajustes",IF(N3252=_xlfn.MINIFS($N$2:$N$5001,$B$2:$B$5001,B3252,$E$2:$E$5001,"Em ajustes"),1,0),0))</f>
        <v/>
      </c>
      <c r="N3252" s="17" t="str">
        <f aca="false">IF(A3252="","",IF(ISNUMBER(A3252),A3252,IFERROR(DATE(VALUE(MID(A3252,7,4)),VALUE(MID(A3252,4,2)),VALUE(MID(A3252,1,2)))+TIME(VALUE(MID(A3252,12,2)),VALUE(MID(A3252,15,2)),VALUE(MID(A3252,18,2))),"")))</f>
        <v/>
      </c>
    </row>
    <row r="3253" customFormat="false" ht="15" hidden="false" customHeight="false" outlineLevel="0" collapsed="false">
      <c r="I3253" s="15" t="str">
        <f aca="false">IF(N3253="","",INT(N3253))</f>
        <v/>
      </c>
      <c r="J3253" s="16" t="str">
        <f aca="false">IF(B3253="","",IF(N3253=_xlfn.MINIFS($N$2:$N$5001,$B$2:$B$5001,B3253),1,0))</f>
        <v/>
      </c>
      <c r="K3253" s="16" t="str">
        <f aca="false">IF(B3253="","",IF(AND(D3253="Formalização",E3253="Concluído"),IF(COUNTIFS($B$2:$B$5001,B3253,$E$2:$E$5001,"Em ajustes",$N$2:$N$5001,"&lt;"&amp;I3253)&gt;0,1,0),0))</f>
        <v/>
      </c>
      <c r="L3253" s="16" t="str">
        <f aca="false">IF(B3253="","",IF(N3253=_xlfn.MAXIFS($N$2:$N$5001,$B$2:$B$5001,B3253,$I$2:$I$5001,I3253),1,0))</f>
        <v/>
      </c>
      <c r="M3253" s="16" t="str">
        <f aca="false">IF(B3253="","",IF(E3253="Em ajustes",IF(N3253=_xlfn.MINIFS($N$2:$N$5001,$B$2:$B$5001,B3253,$E$2:$E$5001,"Em ajustes"),1,0),0))</f>
        <v/>
      </c>
      <c r="N3253" s="17" t="str">
        <f aca="false">IF(A3253="","",IF(ISNUMBER(A3253),A3253,IFERROR(DATE(VALUE(MID(A3253,7,4)),VALUE(MID(A3253,4,2)),VALUE(MID(A3253,1,2)))+TIME(VALUE(MID(A3253,12,2)),VALUE(MID(A3253,15,2)),VALUE(MID(A3253,18,2))),"")))</f>
        <v/>
      </c>
    </row>
    <row r="3254" customFormat="false" ht="15" hidden="false" customHeight="false" outlineLevel="0" collapsed="false">
      <c r="I3254" s="15" t="str">
        <f aca="false">IF(N3254="","",INT(N3254))</f>
        <v/>
      </c>
      <c r="J3254" s="16" t="str">
        <f aca="false">IF(B3254="","",IF(N3254=_xlfn.MINIFS($N$2:$N$5001,$B$2:$B$5001,B3254),1,0))</f>
        <v/>
      </c>
      <c r="K3254" s="16" t="str">
        <f aca="false">IF(B3254="","",IF(AND(D3254="Formalização",E3254="Concluído"),IF(COUNTIFS($B$2:$B$5001,B3254,$E$2:$E$5001,"Em ajustes",$N$2:$N$5001,"&lt;"&amp;I3254)&gt;0,1,0),0))</f>
        <v/>
      </c>
      <c r="L3254" s="16" t="str">
        <f aca="false">IF(B3254="","",IF(N3254=_xlfn.MAXIFS($N$2:$N$5001,$B$2:$B$5001,B3254,$I$2:$I$5001,I3254),1,0))</f>
        <v/>
      </c>
      <c r="M3254" s="16" t="str">
        <f aca="false">IF(B3254="","",IF(E3254="Em ajustes",IF(N3254=_xlfn.MINIFS($N$2:$N$5001,$B$2:$B$5001,B3254,$E$2:$E$5001,"Em ajustes"),1,0),0))</f>
        <v/>
      </c>
      <c r="N3254" s="17" t="str">
        <f aca="false">IF(A3254="","",IF(ISNUMBER(A3254),A3254,IFERROR(DATE(VALUE(MID(A3254,7,4)),VALUE(MID(A3254,4,2)),VALUE(MID(A3254,1,2)))+TIME(VALUE(MID(A3254,12,2)),VALUE(MID(A3254,15,2)),VALUE(MID(A3254,18,2))),"")))</f>
        <v/>
      </c>
    </row>
    <row r="3255" customFormat="false" ht="15" hidden="false" customHeight="false" outlineLevel="0" collapsed="false">
      <c r="I3255" s="15" t="str">
        <f aca="false">IF(N3255="","",INT(N3255))</f>
        <v/>
      </c>
      <c r="J3255" s="16" t="str">
        <f aca="false">IF(B3255="","",IF(N3255=_xlfn.MINIFS($N$2:$N$5001,$B$2:$B$5001,B3255),1,0))</f>
        <v/>
      </c>
      <c r="K3255" s="16" t="str">
        <f aca="false">IF(B3255="","",IF(AND(D3255="Formalização",E3255="Concluído"),IF(COUNTIFS($B$2:$B$5001,B3255,$E$2:$E$5001,"Em ajustes",$N$2:$N$5001,"&lt;"&amp;I3255)&gt;0,1,0),0))</f>
        <v/>
      </c>
      <c r="L3255" s="16" t="str">
        <f aca="false">IF(B3255="","",IF(N3255=_xlfn.MAXIFS($N$2:$N$5001,$B$2:$B$5001,B3255,$I$2:$I$5001,I3255),1,0))</f>
        <v/>
      </c>
      <c r="M3255" s="16" t="str">
        <f aca="false">IF(B3255="","",IF(E3255="Em ajustes",IF(N3255=_xlfn.MINIFS($N$2:$N$5001,$B$2:$B$5001,B3255,$E$2:$E$5001,"Em ajustes"),1,0),0))</f>
        <v/>
      </c>
      <c r="N3255" s="17" t="str">
        <f aca="false">IF(A3255="","",IF(ISNUMBER(A3255),A3255,IFERROR(DATE(VALUE(MID(A3255,7,4)),VALUE(MID(A3255,4,2)),VALUE(MID(A3255,1,2)))+TIME(VALUE(MID(A3255,12,2)),VALUE(MID(A3255,15,2)),VALUE(MID(A3255,18,2))),"")))</f>
        <v/>
      </c>
    </row>
    <row r="3256" customFormat="false" ht="15" hidden="false" customHeight="false" outlineLevel="0" collapsed="false">
      <c r="I3256" s="15" t="str">
        <f aca="false">IF(N3256="","",INT(N3256))</f>
        <v/>
      </c>
      <c r="J3256" s="16" t="str">
        <f aca="false">IF(B3256="","",IF(N3256=_xlfn.MINIFS($N$2:$N$5001,$B$2:$B$5001,B3256),1,0))</f>
        <v/>
      </c>
      <c r="K3256" s="16" t="str">
        <f aca="false">IF(B3256="","",IF(AND(D3256="Formalização",E3256="Concluído"),IF(COUNTIFS($B$2:$B$5001,B3256,$E$2:$E$5001,"Em ajustes",$N$2:$N$5001,"&lt;"&amp;I3256)&gt;0,1,0),0))</f>
        <v/>
      </c>
      <c r="L3256" s="16" t="str">
        <f aca="false">IF(B3256="","",IF(N3256=_xlfn.MAXIFS($N$2:$N$5001,$B$2:$B$5001,B3256,$I$2:$I$5001,I3256),1,0))</f>
        <v/>
      </c>
      <c r="M3256" s="16" t="str">
        <f aca="false">IF(B3256="","",IF(E3256="Em ajustes",IF(N3256=_xlfn.MINIFS($N$2:$N$5001,$B$2:$B$5001,B3256,$E$2:$E$5001,"Em ajustes"),1,0),0))</f>
        <v/>
      </c>
      <c r="N3256" s="17" t="str">
        <f aca="false">IF(A3256="","",IF(ISNUMBER(A3256),A3256,IFERROR(DATE(VALUE(MID(A3256,7,4)),VALUE(MID(A3256,4,2)),VALUE(MID(A3256,1,2)))+TIME(VALUE(MID(A3256,12,2)),VALUE(MID(A3256,15,2)),VALUE(MID(A3256,18,2))),"")))</f>
        <v/>
      </c>
    </row>
    <row r="3257" customFormat="false" ht="15" hidden="false" customHeight="false" outlineLevel="0" collapsed="false">
      <c r="I3257" s="15" t="str">
        <f aca="false">IF(N3257="","",INT(N3257))</f>
        <v/>
      </c>
      <c r="J3257" s="16" t="str">
        <f aca="false">IF(B3257="","",IF(N3257=_xlfn.MINIFS($N$2:$N$5001,$B$2:$B$5001,B3257),1,0))</f>
        <v/>
      </c>
      <c r="K3257" s="16" t="str">
        <f aca="false">IF(B3257="","",IF(AND(D3257="Formalização",E3257="Concluído"),IF(COUNTIFS($B$2:$B$5001,B3257,$E$2:$E$5001,"Em ajustes",$N$2:$N$5001,"&lt;"&amp;I3257)&gt;0,1,0),0))</f>
        <v/>
      </c>
      <c r="L3257" s="16" t="str">
        <f aca="false">IF(B3257="","",IF(N3257=_xlfn.MAXIFS($N$2:$N$5001,$B$2:$B$5001,B3257,$I$2:$I$5001,I3257),1,0))</f>
        <v/>
      </c>
      <c r="M3257" s="16" t="str">
        <f aca="false">IF(B3257="","",IF(E3257="Em ajustes",IF(N3257=_xlfn.MINIFS($N$2:$N$5001,$B$2:$B$5001,B3257,$E$2:$E$5001,"Em ajustes"),1,0),0))</f>
        <v/>
      </c>
      <c r="N3257" s="17" t="str">
        <f aca="false">IF(A3257="","",IF(ISNUMBER(A3257),A3257,IFERROR(DATE(VALUE(MID(A3257,7,4)),VALUE(MID(A3257,4,2)),VALUE(MID(A3257,1,2)))+TIME(VALUE(MID(A3257,12,2)),VALUE(MID(A3257,15,2)),VALUE(MID(A3257,18,2))),"")))</f>
        <v/>
      </c>
    </row>
    <row r="3258" customFormat="false" ht="15" hidden="false" customHeight="false" outlineLevel="0" collapsed="false">
      <c r="I3258" s="15" t="str">
        <f aca="false">IF(N3258="","",INT(N3258))</f>
        <v/>
      </c>
      <c r="J3258" s="16" t="str">
        <f aca="false">IF(B3258="","",IF(N3258=_xlfn.MINIFS($N$2:$N$5001,$B$2:$B$5001,B3258),1,0))</f>
        <v/>
      </c>
      <c r="K3258" s="16" t="str">
        <f aca="false">IF(B3258="","",IF(AND(D3258="Formalização",E3258="Concluído"),IF(COUNTIFS($B$2:$B$5001,B3258,$E$2:$E$5001,"Em ajustes",$N$2:$N$5001,"&lt;"&amp;I3258)&gt;0,1,0),0))</f>
        <v/>
      </c>
      <c r="L3258" s="16" t="str">
        <f aca="false">IF(B3258="","",IF(N3258=_xlfn.MAXIFS($N$2:$N$5001,$B$2:$B$5001,B3258,$I$2:$I$5001,I3258),1,0))</f>
        <v/>
      </c>
      <c r="M3258" s="16" t="str">
        <f aca="false">IF(B3258="","",IF(E3258="Em ajustes",IF(N3258=_xlfn.MINIFS($N$2:$N$5001,$B$2:$B$5001,B3258,$E$2:$E$5001,"Em ajustes"),1,0),0))</f>
        <v/>
      </c>
      <c r="N3258" s="17" t="str">
        <f aca="false">IF(A3258="","",IF(ISNUMBER(A3258),A3258,IFERROR(DATE(VALUE(MID(A3258,7,4)),VALUE(MID(A3258,4,2)),VALUE(MID(A3258,1,2)))+TIME(VALUE(MID(A3258,12,2)),VALUE(MID(A3258,15,2)),VALUE(MID(A3258,18,2))),"")))</f>
        <v/>
      </c>
    </row>
    <row r="3259" customFormat="false" ht="15" hidden="false" customHeight="false" outlineLevel="0" collapsed="false">
      <c r="I3259" s="15" t="str">
        <f aca="false">IF(N3259="","",INT(N3259))</f>
        <v/>
      </c>
      <c r="J3259" s="16" t="str">
        <f aca="false">IF(B3259="","",IF(N3259=_xlfn.MINIFS($N$2:$N$5001,$B$2:$B$5001,B3259),1,0))</f>
        <v/>
      </c>
      <c r="K3259" s="16" t="str">
        <f aca="false">IF(B3259="","",IF(AND(D3259="Formalização",E3259="Concluído"),IF(COUNTIFS($B$2:$B$5001,B3259,$E$2:$E$5001,"Em ajustes",$N$2:$N$5001,"&lt;"&amp;I3259)&gt;0,1,0),0))</f>
        <v/>
      </c>
      <c r="L3259" s="16" t="str">
        <f aca="false">IF(B3259="","",IF(N3259=_xlfn.MAXIFS($N$2:$N$5001,$B$2:$B$5001,B3259,$I$2:$I$5001,I3259),1,0))</f>
        <v/>
      </c>
      <c r="M3259" s="16" t="str">
        <f aca="false">IF(B3259="","",IF(E3259="Em ajustes",IF(N3259=_xlfn.MINIFS($N$2:$N$5001,$B$2:$B$5001,B3259,$E$2:$E$5001,"Em ajustes"),1,0),0))</f>
        <v/>
      </c>
      <c r="N3259" s="17" t="str">
        <f aca="false">IF(A3259="","",IF(ISNUMBER(A3259),A3259,IFERROR(DATE(VALUE(MID(A3259,7,4)),VALUE(MID(A3259,4,2)),VALUE(MID(A3259,1,2)))+TIME(VALUE(MID(A3259,12,2)),VALUE(MID(A3259,15,2)),VALUE(MID(A3259,18,2))),"")))</f>
        <v/>
      </c>
    </row>
    <row r="3260" customFormat="false" ht="15" hidden="false" customHeight="false" outlineLevel="0" collapsed="false">
      <c r="I3260" s="15" t="str">
        <f aca="false">IF(N3260="","",INT(N3260))</f>
        <v/>
      </c>
      <c r="J3260" s="16" t="str">
        <f aca="false">IF(B3260="","",IF(N3260=_xlfn.MINIFS($N$2:$N$5001,$B$2:$B$5001,B3260),1,0))</f>
        <v/>
      </c>
      <c r="K3260" s="16" t="str">
        <f aca="false">IF(B3260="","",IF(AND(D3260="Formalização",E3260="Concluído"),IF(COUNTIFS($B$2:$B$5001,B3260,$E$2:$E$5001,"Em ajustes",$N$2:$N$5001,"&lt;"&amp;I3260)&gt;0,1,0),0))</f>
        <v/>
      </c>
      <c r="L3260" s="16" t="str">
        <f aca="false">IF(B3260="","",IF(N3260=_xlfn.MAXIFS($N$2:$N$5001,$B$2:$B$5001,B3260,$I$2:$I$5001,I3260),1,0))</f>
        <v/>
      </c>
      <c r="M3260" s="16" t="str">
        <f aca="false">IF(B3260="","",IF(E3260="Em ajustes",IF(N3260=_xlfn.MINIFS($N$2:$N$5001,$B$2:$B$5001,B3260,$E$2:$E$5001,"Em ajustes"),1,0),0))</f>
        <v/>
      </c>
      <c r="N3260" s="17" t="str">
        <f aca="false">IF(A3260="","",IF(ISNUMBER(A3260),A3260,IFERROR(DATE(VALUE(MID(A3260,7,4)),VALUE(MID(A3260,4,2)),VALUE(MID(A3260,1,2)))+TIME(VALUE(MID(A3260,12,2)),VALUE(MID(A3260,15,2)),VALUE(MID(A3260,18,2))),"")))</f>
        <v/>
      </c>
    </row>
    <row r="3261" customFormat="false" ht="15" hidden="false" customHeight="false" outlineLevel="0" collapsed="false">
      <c r="I3261" s="15" t="str">
        <f aca="false">IF(N3261="","",INT(N3261))</f>
        <v/>
      </c>
      <c r="J3261" s="16" t="str">
        <f aca="false">IF(B3261="","",IF(N3261=_xlfn.MINIFS($N$2:$N$5001,$B$2:$B$5001,B3261),1,0))</f>
        <v/>
      </c>
      <c r="K3261" s="16" t="str">
        <f aca="false">IF(B3261="","",IF(AND(D3261="Formalização",E3261="Concluído"),IF(COUNTIFS($B$2:$B$5001,B3261,$E$2:$E$5001,"Em ajustes",$N$2:$N$5001,"&lt;"&amp;I3261)&gt;0,1,0),0))</f>
        <v/>
      </c>
      <c r="L3261" s="16" t="str">
        <f aca="false">IF(B3261="","",IF(N3261=_xlfn.MAXIFS($N$2:$N$5001,$B$2:$B$5001,B3261,$I$2:$I$5001,I3261),1,0))</f>
        <v/>
      </c>
      <c r="M3261" s="16" t="str">
        <f aca="false">IF(B3261="","",IF(E3261="Em ajustes",IF(N3261=_xlfn.MINIFS($N$2:$N$5001,$B$2:$B$5001,B3261,$E$2:$E$5001,"Em ajustes"),1,0),0))</f>
        <v/>
      </c>
      <c r="N3261" s="17" t="str">
        <f aca="false">IF(A3261="","",IF(ISNUMBER(A3261),A3261,IFERROR(DATE(VALUE(MID(A3261,7,4)),VALUE(MID(A3261,4,2)),VALUE(MID(A3261,1,2)))+TIME(VALUE(MID(A3261,12,2)),VALUE(MID(A3261,15,2)),VALUE(MID(A3261,18,2))),"")))</f>
        <v/>
      </c>
    </row>
    <row r="3262" customFormat="false" ht="15" hidden="false" customHeight="false" outlineLevel="0" collapsed="false">
      <c r="I3262" s="15" t="str">
        <f aca="false">IF(N3262="","",INT(N3262))</f>
        <v/>
      </c>
      <c r="J3262" s="16" t="str">
        <f aca="false">IF(B3262="","",IF(N3262=_xlfn.MINIFS($N$2:$N$5001,$B$2:$B$5001,B3262),1,0))</f>
        <v/>
      </c>
      <c r="K3262" s="16" t="str">
        <f aca="false">IF(B3262="","",IF(AND(D3262="Formalização",E3262="Concluído"),IF(COUNTIFS($B$2:$B$5001,B3262,$E$2:$E$5001,"Em ajustes",$N$2:$N$5001,"&lt;"&amp;I3262)&gt;0,1,0),0))</f>
        <v/>
      </c>
      <c r="L3262" s="16" t="str">
        <f aca="false">IF(B3262="","",IF(N3262=_xlfn.MAXIFS($N$2:$N$5001,$B$2:$B$5001,B3262,$I$2:$I$5001,I3262),1,0))</f>
        <v/>
      </c>
      <c r="M3262" s="16" t="str">
        <f aca="false">IF(B3262="","",IF(E3262="Em ajustes",IF(N3262=_xlfn.MINIFS($N$2:$N$5001,$B$2:$B$5001,B3262,$E$2:$E$5001,"Em ajustes"),1,0),0))</f>
        <v/>
      </c>
      <c r="N3262" s="17" t="str">
        <f aca="false">IF(A3262="","",IF(ISNUMBER(A3262),A3262,IFERROR(DATE(VALUE(MID(A3262,7,4)),VALUE(MID(A3262,4,2)),VALUE(MID(A3262,1,2)))+TIME(VALUE(MID(A3262,12,2)),VALUE(MID(A3262,15,2)),VALUE(MID(A3262,18,2))),"")))</f>
        <v/>
      </c>
    </row>
    <row r="3263" customFormat="false" ht="15" hidden="false" customHeight="false" outlineLevel="0" collapsed="false">
      <c r="I3263" s="15" t="str">
        <f aca="false">IF(N3263="","",INT(N3263))</f>
        <v/>
      </c>
      <c r="J3263" s="16" t="str">
        <f aca="false">IF(B3263="","",IF(N3263=_xlfn.MINIFS($N$2:$N$5001,$B$2:$B$5001,B3263),1,0))</f>
        <v/>
      </c>
      <c r="K3263" s="16" t="str">
        <f aca="false">IF(B3263="","",IF(AND(D3263="Formalização",E3263="Concluído"),IF(COUNTIFS($B$2:$B$5001,B3263,$E$2:$E$5001,"Em ajustes",$N$2:$N$5001,"&lt;"&amp;I3263)&gt;0,1,0),0))</f>
        <v/>
      </c>
      <c r="L3263" s="16" t="str">
        <f aca="false">IF(B3263="","",IF(N3263=_xlfn.MAXIFS($N$2:$N$5001,$B$2:$B$5001,B3263,$I$2:$I$5001,I3263),1,0))</f>
        <v/>
      </c>
      <c r="M3263" s="16" t="str">
        <f aca="false">IF(B3263="","",IF(E3263="Em ajustes",IF(N3263=_xlfn.MINIFS($N$2:$N$5001,$B$2:$B$5001,B3263,$E$2:$E$5001,"Em ajustes"),1,0),0))</f>
        <v/>
      </c>
      <c r="N3263" s="17" t="str">
        <f aca="false">IF(A3263="","",IF(ISNUMBER(A3263),A3263,IFERROR(DATE(VALUE(MID(A3263,7,4)),VALUE(MID(A3263,4,2)),VALUE(MID(A3263,1,2)))+TIME(VALUE(MID(A3263,12,2)),VALUE(MID(A3263,15,2)),VALUE(MID(A3263,18,2))),"")))</f>
        <v/>
      </c>
    </row>
    <row r="3264" customFormat="false" ht="15" hidden="false" customHeight="false" outlineLevel="0" collapsed="false">
      <c r="I3264" s="15" t="str">
        <f aca="false">IF(N3264="","",INT(N3264))</f>
        <v/>
      </c>
      <c r="J3264" s="16" t="str">
        <f aca="false">IF(B3264="","",IF(N3264=_xlfn.MINIFS($N$2:$N$5001,$B$2:$B$5001,B3264),1,0))</f>
        <v/>
      </c>
      <c r="K3264" s="16" t="str">
        <f aca="false">IF(B3264="","",IF(AND(D3264="Formalização",E3264="Concluído"),IF(COUNTIFS($B$2:$B$5001,B3264,$E$2:$E$5001,"Em ajustes",$N$2:$N$5001,"&lt;"&amp;I3264)&gt;0,1,0),0))</f>
        <v/>
      </c>
      <c r="L3264" s="16" t="str">
        <f aca="false">IF(B3264="","",IF(N3264=_xlfn.MAXIFS($N$2:$N$5001,$B$2:$B$5001,B3264,$I$2:$I$5001,I3264),1,0))</f>
        <v/>
      </c>
      <c r="M3264" s="16" t="str">
        <f aca="false">IF(B3264="","",IF(E3264="Em ajustes",IF(N3264=_xlfn.MINIFS($N$2:$N$5001,$B$2:$B$5001,B3264,$E$2:$E$5001,"Em ajustes"),1,0),0))</f>
        <v/>
      </c>
      <c r="N3264" s="17" t="str">
        <f aca="false">IF(A3264="","",IF(ISNUMBER(A3264),A3264,IFERROR(DATE(VALUE(MID(A3264,7,4)),VALUE(MID(A3264,4,2)),VALUE(MID(A3264,1,2)))+TIME(VALUE(MID(A3264,12,2)),VALUE(MID(A3264,15,2)),VALUE(MID(A3264,18,2))),"")))</f>
        <v/>
      </c>
    </row>
    <row r="3265" customFormat="false" ht="15" hidden="false" customHeight="false" outlineLevel="0" collapsed="false">
      <c r="I3265" s="15" t="str">
        <f aca="false">IF(N3265="","",INT(N3265))</f>
        <v/>
      </c>
      <c r="J3265" s="16" t="str">
        <f aca="false">IF(B3265="","",IF(N3265=_xlfn.MINIFS($N$2:$N$5001,$B$2:$B$5001,B3265),1,0))</f>
        <v/>
      </c>
      <c r="K3265" s="16" t="str">
        <f aca="false">IF(B3265="","",IF(AND(D3265="Formalização",E3265="Concluído"),IF(COUNTIFS($B$2:$B$5001,B3265,$E$2:$E$5001,"Em ajustes",$N$2:$N$5001,"&lt;"&amp;I3265)&gt;0,1,0),0))</f>
        <v/>
      </c>
      <c r="L3265" s="16" t="str">
        <f aca="false">IF(B3265="","",IF(N3265=_xlfn.MAXIFS($N$2:$N$5001,$B$2:$B$5001,B3265,$I$2:$I$5001,I3265),1,0))</f>
        <v/>
      </c>
      <c r="M3265" s="16" t="str">
        <f aca="false">IF(B3265="","",IF(E3265="Em ajustes",IF(N3265=_xlfn.MINIFS($N$2:$N$5001,$B$2:$B$5001,B3265,$E$2:$E$5001,"Em ajustes"),1,0),0))</f>
        <v/>
      </c>
      <c r="N3265" s="17" t="str">
        <f aca="false">IF(A3265="","",IF(ISNUMBER(A3265),A3265,IFERROR(DATE(VALUE(MID(A3265,7,4)),VALUE(MID(A3265,4,2)),VALUE(MID(A3265,1,2)))+TIME(VALUE(MID(A3265,12,2)),VALUE(MID(A3265,15,2)),VALUE(MID(A3265,18,2))),"")))</f>
        <v/>
      </c>
    </row>
    <row r="3266" customFormat="false" ht="15" hidden="false" customHeight="false" outlineLevel="0" collapsed="false">
      <c r="I3266" s="15" t="str">
        <f aca="false">IF(N3266="","",INT(N3266))</f>
        <v/>
      </c>
      <c r="J3266" s="16" t="str">
        <f aca="false">IF(B3266="","",IF(N3266=_xlfn.MINIFS($N$2:$N$5001,$B$2:$B$5001,B3266),1,0))</f>
        <v/>
      </c>
      <c r="K3266" s="16" t="str">
        <f aca="false">IF(B3266="","",IF(AND(D3266="Formalização",E3266="Concluído"),IF(COUNTIFS($B$2:$B$5001,B3266,$E$2:$E$5001,"Em ajustes",$N$2:$N$5001,"&lt;"&amp;I3266)&gt;0,1,0),0))</f>
        <v/>
      </c>
      <c r="L3266" s="16" t="str">
        <f aca="false">IF(B3266="","",IF(N3266=_xlfn.MAXIFS($N$2:$N$5001,$B$2:$B$5001,B3266,$I$2:$I$5001,I3266),1,0))</f>
        <v/>
      </c>
      <c r="M3266" s="16" t="str">
        <f aca="false">IF(B3266="","",IF(E3266="Em ajustes",IF(N3266=_xlfn.MINIFS($N$2:$N$5001,$B$2:$B$5001,B3266,$E$2:$E$5001,"Em ajustes"),1,0),0))</f>
        <v/>
      </c>
      <c r="N3266" s="17" t="str">
        <f aca="false">IF(A3266="","",IF(ISNUMBER(A3266),A3266,IFERROR(DATE(VALUE(MID(A3266,7,4)),VALUE(MID(A3266,4,2)),VALUE(MID(A3266,1,2)))+TIME(VALUE(MID(A3266,12,2)),VALUE(MID(A3266,15,2)),VALUE(MID(A3266,18,2))),"")))</f>
        <v/>
      </c>
    </row>
    <row r="3267" customFormat="false" ht="15" hidden="false" customHeight="false" outlineLevel="0" collapsed="false">
      <c r="I3267" s="15" t="str">
        <f aca="false">IF(N3267="","",INT(N3267))</f>
        <v/>
      </c>
      <c r="J3267" s="16" t="str">
        <f aca="false">IF(B3267="","",IF(N3267=_xlfn.MINIFS($N$2:$N$5001,$B$2:$B$5001,B3267),1,0))</f>
        <v/>
      </c>
      <c r="K3267" s="16" t="str">
        <f aca="false">IF(B3267="","",IF(AND(D3267="Formalização",E3267="Concluído"),IF(COUNTIFS($B$2:$B$5001,B3267,$E$2:$E$5001,"Em ajustes",$N$2:$N$5001,"&lt;"&amp;I3267)&gt;0,1,0),0))</f>
        <v/>
      </c>
      <c r="L3267" s="16" t="str">
        <f aca="false">IF(B3267="","",IF(N3267=_xlfn.MAXIFS($N$2:$N$5001,$B$2:$B$5001,B3267,$I$2:$I$5001,I3267),1,0))</f>
        <v/>
      </c>
      <c r="M3267" s="16" t="str">
        <f aca="false">IF(B3267="","",IF(E3267="Em ajustes",IF(N3267=_xlfn.MINIFS($N$2:$N$5001,$B$2:$B$5001,B3267,$E$2:$E$5001,"Em ajustes"),1,0),0))</f>
        <v/>
      </c>
      <c r="N3267" s="17" t="str">
        <f aca="false">IF(A3267="","",IF(ISNUMBER(A3267),A3267,IFERROR(DATE(VALUE(MID(A3267,7,4)),VALUE(MID(A3267,4,2)),VALUE(MID(A3267,1,2)))+TIME(VALUE(MID(A3267,12,2)),VALUE(MID(A3267,15,2)),VALUE(MID(A3267,18,2))),"")))</f>
        <v/>
      </c>
    </row>
    <row r="3268" customFormat="false" ht="15" hidden="false" customHeight="false" outlineLevel="0" collapsed="false">
      <c r="I3268" s="15" t="str">
        <f aca="false">IF(N3268="","",INT(N3268))</f>
        <v/>
      </c>
      <c r="J3268" s="16" t="str">
        <f aca="false">IF(B3268="","",IF(N3268=_xlfn.MINIFS($N$2:$N$5001,$B$2:$B$5001,B3268),1,0))</f>
        <v/>
      </c>
      <c r="K3268" s="16" t="str">
        <f aca="false">IF(B3268="","",IF(AND(D3268="Formalização",E3268="Concluído"),IF(COUNTIFS($B$2:$B$5001,B3268,$E$2:$E$5001,"Em ajustes",$N$2:$N$5001,"&lt;"&amp;I3268)&gt;0,1,0),0))</f>
        <v/>
      </c>
      <c r="L3268" s="16" t="str">
        <f aca="false">IF(B3268="","",IF(N3268=_xlfn.MAXIFS($N$2:$N$5001,$B$2:$B$5001,B3268,$I$2:$I$5001,I3268),1,0))</f>
        <v/>
      </c>
      <c r="M3268" s="16" t="str">
        <f aca="false">IF(B3268="","",IF(E3268="Em ajustes",IF(N3268=_xlfn.MINIFS($N$2:$N$5001,$B$2:$B$5001,B3268,$E$2:$E$5001,"Em ajustes"),1,0),0))</f>
        <v/>
      </c>
      <c r="N3268" s="17" t="str">
        <f aca="false">IF(A3268="","",IF(ISNUMBER(A3268),A3268,IFERROR(DATE(VALUE(MID(A3268,7,4)),VALUE(MID(A3268,4,2)),VALUE(MID(A3268,1,2)))+TIME(VALUE(MID(A3268,12,2)),VALUE(MID(A3268,15,2)),VALUE(MID(A3268,18,2))),"")))</f>
        <v/>
      </c>
    </row>
    <row r="3269" customFormat="false" ht="15" hidden="false" customHeight="false" outlineLevel="0" collapsed="false">
      <c r="I3269" s="15" t="str">
        <f aca="false">IF(N3269="","",INT(N3269))</f>
        <v/>
      </c>
      <c r="J3269" s="16" t="str">
        <f aca="false">IF(B3269="","",IF(N3269=_xlfn.MINIFS($N$2:$N$5001,$B$2:$B$5001,B3269),1,0))</f>
        <v/>
      </c>
      <c r="K3269" s="16" t="str">
        <f aca="false">IF(B3269="","",IF(AND(D3269="Formalização",E3269="Concluído"),IF(COUNTIFS($B$2:$B$5001,B3269,$E$2:$E$5001,"Em ajustes",$N$2:$N$5001,"&lt;"&amp;I3269)&gt;0,1,0),0))</f>
        <v/>
      </c>
      <c r="L3269" s="16" t="str">
        <f aca="false">IF(B3269="","",IF(N3269=_xlfn.MAXIFS($N$2:$N$5001,$B$2:$B$5001,B3269,$I$2:$I$5001,I3269),1,0))</f>
        <v/>
      </c>
      <c r="M3269" s="16" t="str">
        <f aca="false">IF(B3269="","",IF(E3269="Em ajustes",IF(N3269=_xlfn.MINIFS($N$2:$N$5001,$B$2:$B$5001,B3269,$E$2:$E$5001,"Em ajustes"),1,0),0))</f>
        <v/>
      </c>
      <c r="N3269" s="17" t="str">
        <f aca="false">IF(A3269="","",IF(ISNUMBER(A3269),A3269,IFERROR(DATE(VALUE(MID(A3269,7,4)),VALUE(MID(A3269,4,2)),VALUE(MID(A3269,1,2)))+TIME(VALUE(MID(A3269,12,2)),VALUE(MID(A3269,15,2)),VALUE(MID(A3269,18,2))),"")))</f>
        <v/>
      </c>
    </row>
    <row r="3270" customFormat="false" ht="15" hidden="false" customHeight="false" outlineLevel="0" collapsed="false">
      <c r="I3270" s="15" t="str">
        <f aca="false">IF(N3270="","",INT(N3270))</f>
        <v/>
      </c>
      <c r="J3270" s="16" t="str">
        <f aca="false">IF(B3270="","",IF(N3270=_xlfn.MINIFS($N$2:$N$5001,$B$2:$B$5001,B3270),1,0))</f>
        <v/>
      </c>
      <c r="K3270" s="16" t="str">
        <f aca="false">IF(B3270="","",IF(AND(D3270="Formalização",E3270="Concluído"),IF(COUNTIFS($B$2:$B$5001,B3270,$E$2:$E$5001,"Em ajustes",$N$2:$N$5001,"&lt;"&amp;I3270)&gt;0,1,0),0))</f>
        <v/>
      </c>
      <c r="L3270" s="16" t="str">
        <f aca="false">IF(B3270="","",IF(N3270=_xlfn.MAXIFS($N$2:$N$5001,$B$2:$B$5001,B3270,$I$2:$I$5001,I3270),1,0))</f>
        <v/>
      </c>
      <c r="M3270" s="16" t="str">
        <f aca="false">IF(B3270="","",IF(E3270="Em ajustes",IF(N3270=_xlfn.MINIFS($N$2:$N$5001,$B$2:$B$5001,B3270,$E$2:$E$5001,"Em ajustes"),1,0),0))</f>
        <v/>
      </c>
      <c r="N3270" s="17" t="str">
        <f aca="false">IF(A3270="","",IF(ISNUMBER(A3270),A3270,IFERROR(DATE(VALUE(MID(A3270,7,4)),VALUE(MID(A3270,4,2)),VALUE(MID(A3270,1,2)))+TIME(VALUE(MID(A3270,12,2)),VALUE(MID(A3270,15,2)),VALUE(MID(A3270,18,2))),"")))</f>
        <v/>
      </c>
    </row>
    <row r="3271" customFormat="false" ht="15" hidden="false" customHeight="false" outlineLevel="0" collapsed="false">
      <c r="I3271" s="15" t="str">
        <f aca="false">IF(N3271="","",INT(N3271))</f>
        <v/>
      </c>
      <c r="J3271" s="16" t="str">
        <f aca="false">IF(B3271="","",IF(N3271=_xlfn.MINIFS($N$2:$N$5001,$B$2:$B$5001,B3271),1,0))</f>
        <v/>
      </c>
      <c r="K3271" s="16" t="str">
        <f aca="false">IF(B3271="","",IF(AND(D3271="Formalização",E3271="Concluído"),IF(COUNTIFS($B$2:$B$5001,B3271,$E$2:$E$5001,"Em ajustes",$N$2:$N$5001,"&lt;"&amp;I3271)&gt;0,1,0),0))</f>
        <v/>
      </c>
      <c r="L3271" s="16" t="str">
        <f aca="false">IF(B3271="","",IF(N3271=_xlfn.MAXIFS($N$2:$N$5001,$B$2:$B$5001,B3271,$I$2:$I$5001,I3271),1,0))</f>
        <v/>
      </c>
      <c r="M3271" s="16" t="str">
        <f aca="false">IF(B3271="","",IF(E3271="Em ajustes",IF(N3271=_xlfn.MINIFS($N$2:$N$5001,$B$2:$B$5001,B3271,$E$2:$E$5001,"Em ajustes"),1,0),0))</f>
        <v/>
      </c>
      <c r="N3271" s="17" t="str">
        <f aca="false">IF(A3271="","",IF(ISNUMBER(A3271),A3271,IFERROR(DATE(VALUE(MID(A3271,7,4)),VALUE(MID(A3271,4,2)),VALUE(MID(A3271,1,2)))+TIME(VALUE(MID(A3271,12,2)),VALUE(MID(A3271,15,2)),VALUE(MID(A3271,18,2))),"")))</f>
        <v/>
      </c>
    </row>
    <row r="3272" customFormat="false" ht="15" hidden="false" customHeight="false" outlineLevel="0" collapsed="false">
      <c r="I3272" s="15" t="str">
        <f aca="false">IF(N3272="","",INT(N3272))</f>
        <v/>
      </c>
      <c r="J3272" s="16" t="str">
        <f aca="false">IF(B3272="","",IF(N3272=_xlfn.MINIFS($N$2:$N$5001,$B$2:$B$5001,B3272),1,0))</f>
        <v/>
      </c>
      <c r="K3272" s="16" t="str">
        <f aca="false">IF(B3272="","",IF(AND(D3272="Formalização",E3272="Concluído"),IF(COUNTIFS($B$2:$B$5001,B3272,$E$2:$E$5001,"Em ajustes",$N$2:$N$5001,"&lt;"&amp;I3272)&gt;0,1,0),0))</f>
        <v/>
      </c>
      <c r="L3272" s="16" t="str">
        <f aca="false">IF(B3272="","",IF(N3272=_xlfn.MAXIFS($N$2:$N$5001,$B$2:$B$5001,B3272,$I$2:$I$5001,I3272),1,0))</f>
        <v/>
      </c>
      <c r="M3272" s="16" t="str">
        <f aca="false">IF(B3272="","",IF(E3272="Em ajustes",IF(N3272=_xlfn.MINIFS($N$2:$N$5001,$B$2:$B$5001,B3272,$E$2:$E$5001,"Em ajustes"),1,0),0))</f>
        <v/>
      </c>
      <c r="N3272" s="17" t="str">
        <f aca="false">IF(A3272="","",IF(ISNUMBER(A3272),A3272,IFERROR(DATE(VALUE(MID(A3272,7,4)),VALUE(MID(A3272,4,2)),VALUE(MID(A3272,1,2)))+TIME(VALUE(MID(A3272,12,2)),VALUE(MID(A3272,15,2)),VALUE(MID(A3272,18,2))),"")))</f>
        <v/>
      </c>
    </row>
    <row r="3273" customFormat="false" ht="15" hidden="false" customHeight="false" outlineLevel="0" collapsed="false">
      <c r="I3273" s="15" t="str">
        <f aca="false">IF(N3273="","",INT(N3273))</f>
        <v/>
      </c>
      <c r="J3273" s="16" t="str">
        <f aca="false">IF(B3273="","",IF(N3273=_xlfn.MINIFS($N$2:$N$5001,$B$2:$B$5001,B3273),1,0))</f>
        <v/>
      </c>
      <c r="K3273" s="16" t="str">
        <f aca="false">IF(B3273="","",IF(AND(D3273="Formalização",E3273="Concluído"),IF(COUNTIFS($B$2:$B$5001,B3273,$E$2:$E$5001,"Em ajustes",$N$2:$N$5001,"&lt;"&amp;I3273)&gt;0,1,0),0))</f>
        <v/>
      </c>
      <c r="L3273" s="16" t="str">
        <f aca="false">IF(B3273="","",IF(N3273=_xlfn.MAXIFS($N$2:$N$5001,$B$2:$B$5001,B3273,$I$2:$I$5001,I3273),1,0))</f>
        <v/>
      </c>
      <c r="M3273" s="16" t="str">
        <f aca="false">IF(B3273="","",IF(E3273="Em ajustes",IF(N3273=_xlfn.MINIFS($N$2:$N$5001,$B$2:$B$5001,B3273,$E$2:$E$5001,"Em ajustes"),1,0),0))</f>
        <v/>
      </c>
      <c r="N3273" s="17" t="str">
        <f aca="false">IF(A3273="","",IF(ISNUMBER(A3273),A3273,IFERROR(DATE(VALUE(MID(A3273,7,4)),VALUE(MID(A3273,4,2)),VALUE(MID(A3273,1,2)))+TIME(VALUE(MID(A3273,12,2)),VALUE(MID(A3273,15,2)),VALUE(MID(A3273,18,2))),"")))</f>
        <v/>
      </c>
    </row>
    <row r="3274" customFormat="false" ht="15" hidden="false" customHeight="false" outlineLevel="0" collapsed="false">
      <c r="I3274" s="15" t="str">
        <f aca="false">IF(N3274="","",INT(N3274))</f>
        <v/>
      </c>
      <c r="J3274" s="16" t="str">
        <f aca="false">IF(B3274="","",IF(N3274=_xlfn.MINIFS($N$2:$N$5001,$B$2:$B$5001,B3274),1,0))</f>
        <v/>
      </c>
      <c r="K3274" s="16" t="str">
        <f aca="false">IF(B3274="","",IF(AND(D3274="Formalização",E3274="Concluído"),IF(COUNTIFS($B$2:$B$5001,B3274,$E$2:$E$5001,"Em ajustes",$N$2:$N$5001,"&lt;"&amp;I3274)&gt;0,1,0),0))</f>
        <v/>
      </c>
      <c r="L3274" s="16" t="str">
        <f aca="false">IF(B3274="","",IF(N3274=_xlfn.MAXIFS($N$2:$N$5001,$B$2:$B$5001,B3274,$I$2:$I$5001,I3274),1,0))</f>
        <v/>
      </c>
      <c r="M3274" s="16" t="str">
        <f aca="false">IF(B3274="","",IF(E3274="Em ajustes",IF(N3274=_xlfn.MINIFS($N$2:$N$5001,$B$2:$B$5001,B3274,$E$2:$E$5001,"Em ajustes"),1,0),0))</f>
        <v/>
      </c>
      <c r="N3274" s="17" t="str">
        <f aca="false">IF(A3274="","",IF(ISNUMBER(A3274),A3274,IFERROR(DATE(VALUE(MID(A3274,7,4)),VALUE(MID(A3274,4,2)),VALUE(MID(A3274,1,2)))+TIME(VALUE(MID(A3274,12,2)),VALUE(MID(A3274,15,2)),VALUE(MID(A3274,18,2))),"")))</f>
        <v/>
      </c>
    </row>
    <row r="3275" customFormat="false" ht="15" hidden="false" customHeight="false" outlineLevel="0" collapsed="false">
      <c r="I3275" s="15" t="str">
        <f aca="false">IF(N3275="","",INT(N3275))</f>
        <v/>
      </c>
      <c r="J3275" s="16" t="str">
        <f aca="false">IF(B3275="","",IF(N3275=_xlfn.MINIFS($N$2:$N$5001,$B$2:$B$5001,B3275),1,0))</f>
        <v/>
      </c>
      <c r="K3275" s="16" t="str">
        <f aca="false">IF(B3275="","",IF(AND(D3275="Formalização",E3275="Concluído"),IF(COUNTIFS($B$2:$B$5001,B3275,$E$2:$E$5001,"Em ajustes",$N$2:$N$5001,"&lt;"&amp;I3275)&gt;0,1,0),0))</f>
        <v/>
      </c>
      <c r="L3275" s="16" t="str">
        <f aca="false">IF(B3275="","",IF(N3275=_xlfn.MAXIFS($N$2:$N$5001,$B$2:$B$5001,B3275,$I$2:$I$5001,I3275),1,0))</f>
        <v/>
      </c>
      <c r="M3275" s="16" t="str">
        <f aca="false">IF(B3275="","",IF(E3275="Em ajustes",IF(N3275=_xlfn.MINIFS($N$2:$N$5001,$B$2:$B$5001,B3275,$E$2:$E$5001,"Em ajustes"),1,0),0))</f>
        <v/>
      </c>
      <c r="N3275" s="17" t="str">
        <f aca="false">IF(A3275="","",IF(ISNUMBER(A3275),A3275,IFERROR(DATE(VALUE(MID(A3275,7,4)),VALUE(MID(A3275,4,2)),VALUE(MID(A3275,1,2)))+TIME(VALUE(MID(A3275,12,2)),VALUE(MID(A3275,15,2)),VALUE(MID(A3275,18,2))),"")))</f>
        <v/>
      </c>
    </row>
    <row r="3276" customFormat="false" ht="15" hidden="false" customHeight="false" outlineLevel="0" collapsed="false">
      <c r="I3276" s="15" t="str">
        <f aca="false">IF(N3276="","",INT(N3276))</f>
        <v/>
      </c>
      <c r="J3276" s="16" t="str">
        <f aca="false">IF(B3276="","",IF(N3276=_xlfn.MINIFS($N$2:$N$5001,$B$2:$B$5001,B3276),1,0))</f>
        <v/>
      </c>
      <c r="K3276" s="16" t="str">
        <f aca="false">IF(B3276="","",IF(AND(D3276="Formalização",E3276="Concluído"),IF(COUNTIFS($B$2:$B$5001,B3276,$E$2:$E$5001,"Em ajustes",$N$2:$N$5001,"&lt;"&amp;I3276)&gt;0,1,0),0))</f>
        <v/>
      </c>
      <c r="L3276" s="16" t="str">
        <f aca="false">IF(B3276="","",IF(N3276=_xlfn.MAXIFS($N$2:$N$5001,$B$2:$B$5001,B3276,$I$2:$I$5001,I3276),1,0))</f>
        <v/>
      </c>
      <c r="M3276" s="16" t="str">
        <f aca="false">IF(B3276="","",IF(E3276="Em ajustes",IF(N3276=_xlfn.MINIFS($N$2:$N$5001,$B$2:$B$5001,B3276,$E$2:$E$5001,"Em ajustes"),1,0),0))</f>
        <v/>
      </c>
      <c r="N3276" s="17" t="str">
        <f aca="false">IF(A3276="","",IF(ISNUMBER(A3276),A3276,IFERROR(DATE(VALUE(MID(A3276,7,4)),VALUE(MID(A3276,4,2)),VALUE(MID(A3276,1,2)))+TIME(VALUE(MID(A3276,12,2)),VALUE(MID(A3276,15,2)),VALUE(MID(A3276,18,2))),"")))</f>
        <v/>
      </c>
    </row>
    <row r="3277" customFormat="false" ht="15" hidden="false" customHeight="false" outlineLevel="0" collapsed="false">
      <c r="I3277" s="15" t="str">
        <f aca="false">IF(N3277="","",INT(N3277))</f>
        <v/>
      </c>
      <c r="J3277" s="16" t="str">
        <f aca="false">IF(B3277="","",IF(N3277=_xlfn.MINIFS($N$2:$N$5001,$B$2:$B$5001,B3277),1,0))</f>
        <v/>
      </c>
      <c r="K3277" s="16" t="str">
        <f aca="false">IF(B3277="","",IF(AND(D3277="Formalização",E3277="Concluído"),IF(COUNTIFS($B$2:$B$5001,B3277,$E$2:$E$5001,"Em ajustes",$N$2:$N$5001,"&lt;"&amp;I3277)&gt;0,1,0),0))</f>
        <v/>
      </c>
      <c r="L3277" s="16" t="str">
        <f aca="false">IF(B3277="","",IF(N3277=_xlfn.MAXIFS($N$2:$N$5001,$B$2:$B$5001,B3277,$I$2:$I$5001,I3277),1,0))</f>
        <v/>
      </c>
      <c r="M3277" s="16" t="str">
        <f aca="false">IF(B3277="","",IF(E3277="Em ajustes",IF(N3277=_xlfn.MINIFS($N$2:$N$5001,$B$2:$B$5001,B3277,$E$2:$E$5001,"Em ajustes"),1,0),0))</f>
        <v/>
      </c>
      <c r="N3277" s="17" t="str">
        <f aca="false">IF(A3277="","",IF(ISNUMBER(A3277),A3277,IFERROR(DATE(VALUE(MID(A3277,7,4)),VALUE(MID(A3277,4,2)),VALUE(MID(A3277,1,2)))+TIME(VALUE(MID(A3277,12,2)),VALUE(MID(A3277,15,2)),VALUE(MID(A3277,18,2))),"")))</f>
        <v/>
      </c>
    </row>
    <row r="3278" customFormat="false" ht="15" hidden="false" customHeight="false" outlineLevel="0" collapsed="false">
      <c r="I3278" s="15" t="str">
        <f aca="false">IF(N3278="","",INT(N3278))</f>
        <v/>
      </c>
      <c r="J3278" s="16" t="str">
        <f aca="false">IF(B3278="","",IF(N3278=_xlfn.MINIFS($N$2:$N$5001,$B$2:$B$5001,B3278),1,0))</f>
        <v/>
      </c>
      <c r="K3278" s="16" t="str">
        <f aca="false">IF(B3278="","",IF(AND(D3278="Formalização",E3278="Concluído"),IF(COUNTIFS($B$2:$B$5001,B3278,$E$2:$E$5001,"Em ajustes",$N$2:$N$5001,"&lt;"&amp;I3278)&gt;0,1,0),0))</f>
        <v/>
      </c>
      <c r="L3278" s="16" t="str">
        <f aca="false">IF(B3278="","",IF(N3278=_xlfn.MAXIFS($N$2:$N$5001,$B$2:$B$5001,B3278,$I$2:$I$5001,I3278),1,0))</f>
        <v/>
      </c>
      <c r="M3278" s="16" t="str">
        <f aca="false">IF(B3278="","",IF(E3278="Em ajustes",IF(N3278=_xlfn.MINIFS($N$2:$N$5001,$B$2:$B$5001,B3278,$E$2:$E$5001,"Em ajustes"),1,0),0))</f>
        <v/>
      </c>
      <c r="N3278" s="17" t="str">
        <f aca="false">IF(A3278="","",IF(ISNUMBER(A3278),A3278,IFERROR(DATE(VALUE(MID(A3278,7,4)),VALUE(MID(A3278,4,2)),VALUE(MID(A3278,1,2)))+TIME(VALUE(MID(A3278,12,2)),VALUE(MID(A3278,15,2)),VALUE(MID(A3278,18,2))),"")))</f>
        <v/>
      </c>
    </row>
    <row r="3279" customFormat="false" ht="15" hidden="false" customHeight="false" outlineLevel="0" collapsed="false">
      <c r="I3279" s="15" t="str">
        <f aca="false">IF(N3279="","",INT(N3279))</f>
        <v/>
      </c>
      <c r="J3279" s="16" t="str">
        <f aca="false">IF(B3279="","",IF(N3279=_xlfn.MINIFS($N$2:$N$5001,$B$2:$B$5001,B3279),1,0))</f>
        <v/>
      </c>
      <c r="K3279" s="16" t="str">
        <f aca="false">IF(B3279="","",IF(AND(D3279="Formalização",E3279="Concluído"),IF(COUNTIFS($B$2:$B$5001,B3279,$E$2:$E$5001,"Em ajustes",$N$2:$N$5001,"&lt;"&amp;I3279)&gt;0,1,0),0))</f>
        <v/>
      </c>
      <c r="L3279" s="16" t="str">
        <f aca="false">IF(B3279="","",IF(N3279=_xlfn.MAXIFS($N$2:$N$5001,$B$2:$B$5001,B3279,$I$2:$I$5001,I3279),1,0))</f>
        <v/>
      </c>
      <c r="M3279" s="16" t="str">
        <f aca="false">IF(B3279="","",IF(E3279="Em ajustes",IF(N3279=_xlfn.MINIFS($N$2:$N$5001,$B$2:$B$5001,B3279,$E$2:$E$5001,"Em ajustes"),1,0),0))</f>
        <v/>
      </c>
      <c r="N3279" s="17" t="str">
        <f aca="false">IF(A3279="","",IF(ISNUMBER(A3279),A3279,IFERROR(DATE(VALUE(MID(A3279,7,4)),VALUE(MID(A3279,4,2)),VALUE(MID(A3279,1,2)))+TIME(VALUE(MID(A3279,12,2)),VALUE(MID(A3279,15,2)),VALUE(MID(A3279,18,2))),"")))</f>
        <v/>
      </c>
    </row>
    <row r="3280" customFormat="false" ht="15" hidden="false" customHeight="false" outlineLevel="0" collapsed="false">
      <c r="I3280" s="15" t="str">
        <f aca="false">IF(N3280="","",INT(N3280))</f>
        <v/>
      </c>
      <c r="J3280" s="16" t="str">
        <f aca="false">IF(B3280="","",IF(N3280=_xlfn.MINIFS($N$2:$N$5001,$B$2:$B$5001,B3280),1,0))</f>
        <v/>
      </c>
      <c r="K3280" s="16" t="str">
        <f aca="false">IF(B3280="","",IF(AND(D3280="Formalização",E3280="Concluído"),IF(COUNTIFS($B$2:$B$5001,B3280,$E$2:$E$5001,"Em ajustes",$N$2:$N$5001,"&lt;"&amp;I3280)&gt;0,1,0),0))</f>
        <v/>
      </c>
      <c r="L3280" s="16" t="str">
        <f aca="false">IF(B3280="","",IF(N3280=_xlfn.MAXIFS($N$2:$N$5001,$B$2:$B$5001,B3280,$I$2:$I$5001,I3280),1,0))</f>
        <v/>
      </c>
      <c r="M3280" s="16" t="str">
        <f aca="false">IF(B3280="","",IF(E3280="Em ajustes",IF(N3280=_xlfn.MINIFS($N$2:$N$5001,$B$2:$B$5001,B3280,$E$2:$E$5001,"Em ajustes"),1,0),0))</f>
        <v/>
      </c>
      <c r="N3280" s="17" t="str">
        <f aca="false">IF(A3280="","",IF(ISNUMBER(A3280),A3280,IFERROR(DATE(VALUE(MID(A3280,7,4)),VALUE(MID(A3280,4,2)),VALUE(MID(A3280,1,2)))+TIME(VALUE(MID(A3280,12,2)),VALUE(MID(A3280,15,2)),VALUE(MID(A3280,18,2))),"")))</f>
        <v/>
      </c>
    </row>
    <row r="3281" customFormat="false" ht="15" hidden="false" customHeight="false" outlineLevel="0" collapsed="false">
      <c r="I3281" s="15" t="str">
        <f aca="false">IF(N3281="","",INT(N3281))</f>
        <v/>
      </c>
      <c r="J3281" s="16" t="str">
        <f aca="false">IF(B3281="","",IF(N3281=_xlfn.MINIFS($N$2:$N$5001,$B$2:$B$5001,B3281),1,0))</f>
        <v/>
      </c>
      <c r="K3281" s="16" t="str">
        <f aca="false">IF(B3281="","",IF(AND(D3281="Formalização",E3281="Concluído"),IF(COUNTIFS($B$2:$B$5001,B3281,$E$2:$E$5001,"Em ajustes",$N$2:$N$5001,"&lt;"&amp;I3281)&gt;0,1,0),0))</f>
        <v/>
      </c>
      <c r="L3281" s="16" t="str">
        <f aca="false">IF(B3281="","",IF(N3281=_xlfn.MAXIFS($N$2:$N$5001,$B$2:$B$5001,B3281,$I$2:$I$5001,I3281),1,0))</f>
        <v/>
      </c>
      <c r="M3281" s="16" t="str">
        <f aca="false">IF(B3281="","",IF(E3281="Em ajustes",IF(N3281=_xlfn.MINIFS($N$2:$N$5001,$B$2:$B$5001,B3281,$E$2:$E$5001,"Em ajustes"),1,0),0))</f>
        <v/>
      </c>
      <c r="N3281" s="17" t="str">
        <f aca="false">IF(A3281="","",IF(ISNUMBER(A3281),A3281,IFERROR(DATE(VALUE(MID(A3281,7,4)),VALUE(MID(A3281,4,2)),VALUE(MID(A3281,1,2)))+TIME(VALUE(MID(A3281,12,2)),VALUE(MID(A3281,15,2)),VALUE(MID(A3281,18,2))),"")))</f>
        <v/>
      </c>
    </row>
    <row r="3282" customFormat="false" ht="15" hidden="false" customHeight="false" outlineLevel="0" collapsed="false">
      <c r="I3282" s="15" t="str">
        <f aca="false">IF(N3282="","",INT(N3282))</f>
        <v/>
      </c>
      <c r="J3282" s="16" t="str">
        <f aca="false">IF(B3282="","",IF(N3282=_xlfn.MINIFS($N$2:$N$5001,$B$2:$B$5001,B3282),1,0))</f>
        <v/>
      </c>
      <c r="K3282" s="16" t="str">
        <f aca="false">IF(B3282="","",IF(AND(D3282="Formalização",E3282="Concluído"),IF(COUNTIFS($B$2:$B$5001,B3282,$E$2:$E$5001,"Em ajustes",$N$2:$N$5001,"&lt;"&amp;I3282)&gt;0,1,0),0))</f>
        <v/>
      </c>
      <c r="L3282" s="16" t="str">
        <f aca="false">IF(B3282="","",IF(N3282=_xlfn.MAXIFS($N$2:$N$5001,$B$2:$B$5001,B3282,$I$2:$I$5001,I3282),1,0))</f>
        <v/>
      </c>
      <c r="M3282" s="16" t="str">
        <f aca="false">IF(B3282="","",IF(E3282="Em ajustes",IF(N3282=_xlfn.MINIFS($N$2:$N$5001,$B$2:$B$5001,B3282,$E$2:$E$5001,"Em ajustes"),1,0),0))</f>
        <v/>
      </c>
      <c r="N3282" s="17" t="str">
        <f aca="false">IF(A3282="","",IF(ISNUMBER(A3282),A3282,IFERROR(DATE(VALUE(MID(A3282,7,4)),VALUE(MID(A3282,4,2)),VALUE(MID(A3282,1,2)))+TIME(VALUE(MID(A3282,12,2)),VALUE(MID(A3282,15,2)),VALUE(MID(A3282,18,2))),"")))</f>
        <v/>
      </c>
    </row>
    <row r="3283" customFormat="false" ht="15" hidden="false" customHeight="false" outlineLevel="0" collapsed="false">
      <c r="I3283" s="15" t="str">
        <f aca="false">IF(N3283="","",INT(N3283))</f>
        <v/>
      </c>
      <c r="J3283" s="16" t="str">
        <f aca="false">IF(B3283="","",IF(N3283=_xlfn.MINIFS($N$2:$N$5001,$B$2:$B$5001,B3283),1,0))</f>
        <v/>
      </c>
      <c r="K3283" s="16" t="str">
        <f aca="false">IF(B3283="","",IF(AND(D3283="Formalização",E3283="Concluído"),IF(COUNTIFS($B$2:$B$5001,B3283,$E$2:$E$5001,"Em ajustes",$N$2:$N$5001,"&lt;"&amp;I3283)&gt;0,1,0),0))</f>
        <v/>
      </c>
      <c r="L3283" s="16" t="str">
        <f aca="false">IF(B3283="","",IF(N3283=_xlfn.MAXIFS($N$2:$N$5001,$B$2:$B$5001,B3283,$I$2:$I$5001,I3283),1,0))</f>
        <v/>
      </c>
      <c r="M3283" s="16" t="str">
        <f aca="false">IF(B3283="","",IF(E3283="Em ajustes",IF(N3283=_xlfn.MINIFS($N$2:$N$5001,$B$2:$B$5001,B3283,$E$2:$E$5001,"Em ajustes"),1,0),0))</f>
        <v/>
      </c>
      <c r="N3283" s="17" t="str">
        <f aca="false">IF(A3283="","",IF(ISNUMBER(A3283),A3283,IFERROR(DATE(VALUE(MID(A3283,7,4)),VALUE(MID(A3283,4,2)),VALUE(MID(A3283,1,2)))+TIME(VALUE(MID(A3283,12,2)),VALUE(MID(A3283,15,2)),VALUE(MID(A3283,18,2))),"")))</f>
        <v/>
      </c>
    </row>
    <row r="3284" customFormat="false" ht="15" hidden="false" customHeight="false" outlineLevel="0" collapsed="false">
      <c r="I3284" s="15" t="str">
        <f aca="false">IF(N3284="","",INT(N3284))</f>
        <v/>
      </c>
      <c r="J3284" s="16" t="str">
        <f aca="false">IF(B3284="","",IF(N3284=_xlfn.MINIFS($N$2:$N$5001,$B$2:$B$5001,B3284),1,0))</f>
        <v/>
      </c>
      <c r="K3284" s="16" t="str">
        <f aca="false">IF(B3284="","",IF(AND(D3284="Formalização",E3284="Concluído"),IF(COUNTIFS($B$2:$B$5001,B3284,$E$2:$E$5001,"Em ajustes",$N$2:$N$5001,"&lt;"&amp;I3284)&gt;0,1,0),0))</f>
        <v/>
      </c>
      <c r="L3284" s="16" t="str">
        <f aca="false">IF(B3284="","",IF(N3284=_xlfn.MAXIFS($N$2:$N$5001,$B$2:$B$5001,B3284,$I$2:$I$5001,I3284),1,0))</f>
        <v/>
      </c>
      <c r="M3284" s="16" t="str">
        <f aca="false">IF(B3284="","",IF(E3284="Em ajustes",IF(N3284=_xlfn.MINIFS($N$2:$N$5001,$B$2:$B$5001,B3284,$E$2:$E$5001,"Em ajustes"),1,0),0))</f>
        <v/>
      </c>
      <c r="N3284" s="17" t="str">
        <f aca="false">IF(A3284="","",IF(ISNUMBER(A3284),A3284,IFERROR(DATE(VALUE(MID(A3284,7,4)),VALUE(MID(A3284,4,2)),VALUE(MID(A3284,1,2)))+TIME(VALUE(MID(A3284,12,2)),VALUE(MID(A3284,15,2)),VALUE(MID(A3284,18,2))),"")))</f>
        <v/>
      </c>
    </row>
    <row r="3285" customFormat="false" ht="15" hidden="false" customHeight="false" outlineLevel="0" collapsed="false">
      <c r="I3285" s="15" t="str">
        <f aca="false">IF(N3285="","",INT(N3285))</f>
        <v/>
      </c>
      <c r="J3285" s="16" t="str">
        <f aca="false">IF(B3285="","",IF(N3285=_xlfn.MINIFS($N$2:$N$5001,$B$2:$B$5001,B3285),1,0))</f>
        <v/>
      </c>
      <c r="K3285" s="16" t="str">
        <f aca="false">IF(B3285="","",IF(AND(D3285="Formalização",E3285="Concluído"),IF(COUNTIFS($B$2:$B$5001,B3285,$E$2:$E$5001,"Em ajustes",$N$2:$N$5001,"&lt;"&amp;I3285)&gt;0,1,0),0))</f>
        <v/>
      </c>
      <c r="L3285" s="16" t="str">
        <f aca="false">IF(B3285="","",IF(N3285=_xlfn.MAXIFS($N$2:$N$5001,$B$2:$B$5001,B3285,$I$2:$I$5001,I3285),1,0))</f>
        <v/>
      </c>
      <c r="M3285" s="16" t="str">
        <f aca="false">IF(B3285="","",IF(E3285="Em ajustes",IF(N3285=_xlfn.MINIFS($N$2:$N$5001,$B$2:$B$5001,B3285,$E$2:$E$5001,"Em ajustes"),1,0),0))</f>
        <v/>
      </c>
      <c r="N3285" s="17" t="str">
        <f aca="false">IF(A3285="","",IF(ISNUMBER(A3285),A3285,IFERROR(DATE(VALUE(MID(A3285,7,4)),VALUE(MID(A3285,4,2)),VALUE(MID(A3285,1,2)))+TIME(VALUE(MID(A3285,12,2)),VALUE(MID(A3285,15,2)),VALUE(MID(A3285,18,2))),"")))</f>
        <v/>
      </c>
    </row>
    <row r="3286" customFormat="false" ht="15" hidden="false" customHeight="false" outlineLevel="0" collapsed="false">
      <c r="I3286" s="15" t="str">
        <f aca="false">IF(N3286="","",INT(N3286))</f>
        <v/>
      </c>
      <c r="J3286" s="16" t="str">
        <f aca="false">IF(B3286="","",IF(N3286=_xlfn.MINIFS($N$2:$N$5001,$B$2:$B$5001,B3286),1,0))</f>
        <v/>
      </c>
      <c r="K3286" s="16" t="str">
        <f aca="false">IF(B3286="","",IF(AND(D3286="Formalização",E3286="Concluído"),IF(COUNTIFS($B$2:$B$5001,B3286,$E$2:$E$5001,"Em ajustes",$N$2:$N$5001,"&lt;"&amp;I3286)&gt;0,1,0),0))</f>
        <v/>
      </c>
      <c r="L3286" s="16" t="str">
        <f aca="false">IF(B3286="","",IF(N3286=_xlfn.MAXIFS($N$2:$N$5001,$B$2:$B$5001,B3286,$I$2:$I$5001,I3286),1,0))</f>
        <v/>
      </c>
      <c r="M3286" s="16" t="str">
        <f aca="false">IF(B3286="","",IF(E3286="Em ajustes",IF(N3286=_xlfn.MINIFS($N$2:$N$5001,$B$2:$B$5001,B3286,$E$2:$E$5001,"Em ajustes"),1,0),0))</f>
        <v/>
      </c>
      <c r="N3286" s="17" t="str">
        <f aca="false">IF(A3286="","",IF(ISNUMBER(A3286),A3286,IFERROR(DATE(VALUE(MID(A3286,7,4)),VALUE(MID(A3286,4,2)),VALUE(MID(A3286,1,2)))+TIME(VALUE(MID(A3286,12,2)),VALUE(MID(A3286,15,2)),VALUE(MID(A3286,18,2))),"")))</f>
        <v/>
      </c>
    </row>
    <row r="3287" customFormat="false" ht="15" hidden="false" customHeight="false" outlineLevel="0" collapsed="false">
      <c r="I3287" s="15" t="str">
        <f aca="false">IF(N3287="","",INT(N3287))</f>
        <v/>
      </c>
      <c r="J3287" s="16" t="str">
        <f aca="false">IF(B3287="","",IF(N3287=_xlfn.MINIFS($N$2:$N$5001,$B$2:$B$5001,B3287),1,0))</f>
        <v/>
      </c>
      <c r="K3287" s="16" t="str">
        <f aca="false">IF(B3287="","",IF(AND(D3287="Formalização",E3287="Concluído"),IF(COUNTIFS($B$2:$B$5001,B3287,$E$2:$E$5001,"Em ajustes",$N$2:$N$5001,"&lt;"&amp;I3287)&gt;0,1,0),0))</f>
        <v/>
      </c>
      <c r="L3287" s="16" t="str">
        <f aca="false">IF(B3287="","",IF(N3287=_xlfn.MAXIFS($N$2:$N$5001,$B$2:$B$5001,B3287,$I$2:$I$5001,I3287),1,0))</f>
        <v/>
      </c>
      <c r="M3287" s="16" t="str">
        <f aca="false">IF(B3287="","",IF(E3287="Em ajustes",IF(N3287=_xlfn.MINIFS($N$2:$N$5001,$B$2:$B$5001,B3287,$E$2:$E$5001,"Em ajustes"),1,0),0))</f>
        <v/>
      </c>
      <c r="N3287" s="17" t="str">
        <f aca="false">IF(A3287="","",IF(ISNUMBER(A3287),A3287,IFERROR(DATE(VALUE(MID(A3287,7,4)),VALUE(MID(A3287,4,2)),VALUE(MID(A3287,1,2)))+TIME(VALUE(MID(A3287,12,2)),VALUE(MID(A3287,15,2)),VALUE(MID(A3287,18,2))),"")))</f>
        <v/>
      </c>
    </row>
    <row r="3288" customFormat="false" ht="15" hidden="false" customHeight="false" outlineLevel="0" collapsed="false">
      <c r="I3288" s="15" t="str">
        <f aca="false">IF(N3288="","",INT(N3288))</f>
        <v/>
      </c>
      <c r="J3288" s="16" t="str">
        <f aca="false">IF(B3288="","",IF(N3288=_xlfn.MINIFS($N$2:$N$5001,$B$2:$B$5001,B3288),1,0))</f>
        <v/>
      </c>
      <c r="K3288" s="16" t="str">
        <f aca="false">IF(B3288="","",IF(AND(D3288="Formalização",E3288="Concluído"),IF(COUNTIFS($B$2:$B$5001,B3288,$E$2:$E$5001,"Em ajustes",$N$2:$N$5001,"&lt;"&amp;I3288)&gt;0,1,0),0))</f>
        <v/>
      </c>
      <c r="L3288" s="16" t="str">
        <f aca="false">IF(B3288="","",IF(N3288=_xlfn.MAXIFS($N$2:$N$5001,$B$2:$B$5001,B3288,$I$2:$I$5001,I3288),1,0))</f>
        <v/>
      </c>
      <c r="M3288" s="16" t="str">
        <f aca="false">IF(B3288="","",IF(E3288="Em ajustes",IF(N3288=_xlfn.MINIFS($N$2:$N$5001,$B$2:$B$5001,B3288,$E$2:$E$5001,"Em ajustes"),1,0),0))</f>
        <v/>
      </c>
      <c r="N3288" s="17" t="str">
        <f aca="false">IF(A3288="","",IF(ISNUMBER(A3288),A3288,IFERROR(DATE(VALUE(MID(A3288,7,4)),VALUE(MID(A3288,4,2)),VALUE(MID(A3288,1,2)))+TIME(VALUE(MID(A3288,12,2)),VALUE(MID(A3288,15,2)),VALUE(MID(A3288,18,2))),"")))</f>
        <v/>
      </c>
    </row>
    <row r="3289" customFormat="false" ht="15" hidden="false" customHeight="false" outlineLevel="0" collapsed="false">
      <c r="I3289" s="15" t="str">
        <f aca="false">IF(N3289="","",INT(N3289))</f>
        <v/>
      </c>
      <c r="J3289" s="16" t="str">
        <f aca="false">IF(B3289="","",IF(N3289=_xlfn.MINIFS($N$2:$N$5001,$B$2:$B$5001,B3289),1,0))</f>
        <v/>
      </c>
      <c r="K3289" s="16" t="str">
        <f aca="false">IF(B3289="","",IF(AND(D3289="Formalização",E3289="Concluído"),IF(COUNTIFS($B$2:$B$5001,B3289,$E$2:$E$5001,"Em ajustes",$N$2:$N$5001,"&lt;"&amp;I3289)&gt;0,1,0),0))</f>
        <v/>
      </c>
      <c r="L3289" s="16" t="str">
        <f aca="false">IF(B3289="","",IF(N3289=_xlfn.MAXIFS($N$2:$N$5001,$B$2:$B$5001,B3289,$I$2:$I$5001,I3289),1,0))</f>
        <v/>
      </c>
      <c r="M3289" s="16" t="str">
        <f aca="false">IF(B3289="","",IF(E3289="Em ajustes",IF(N3289=_xlfn.MINIFS($N$2:$N$5001,$B$2:$B$5001,B3289,$E$2:$E$5001,"Em ajustes"),1,0),0))</f>
        <v/>
      </c>
      <c r="N3289" s="17" t="str">
        <f aca="false">IF(A3289="","",IF(ISNUMBER(A3289),A3289,IFERROR(DATE(VALUE(MID(A3289,7,4)),VALUE(MID(A3289,4,2)),VALUE(MID(A3289,1,2)))+TIME(VALUE(MID(A3289,12,2)),VALUE(MID(A3289,15,2)),VALUE(MID(A3289,18,2))),"")))</f>
        <v/>
      </c>
    </row>
    <row r="3290" customFormat="false" ht="15" hidden="false" customHeight="false" outlineLevel="0" collapsed="false">
      <c r="I3290" s="15" t="str">
        <f aca="false">IF(N3290="","",INT(N3290))</f>
        <v/>
      </c>
      <c r="J3290" s="16" t="str">
        <f aca="false">IF(B3290="","",IF(N3290=_xlfn.MINIFS($N$2:$N$5001,$B$2:$B$5001,B3290),1,0))</f>
        <v/>
      </c>
      <c r="K3290" s="16" t="str">
        <f aca="false">IF(B3290="","",IF(AND(D3290="Formalização",E3290="Concluído"),IF(COUNTIFS($B$2:$B$5001,B3290,$E$2:$E$5001,"Em ajustes",$N$2:$N$5001,"&lt;"&amp;I3290)&gt;0,1,0),0))</f>
        <v/>
      </c>
      <c r="L3290" s="16" t="str">
        <f aca="false">IF(B3290="","",IF(N3290=_xlfn.MAXIFS($N$2:$N$5001,$B$2:$B$5001,B3290,$I$2:$I$5001,I3290),1,0))</f>
        <v/>
      </c>
      <c r="M3290" s="16" t="str">
        <f aca="false">IF(B3290="","",IF(E3290="Em ajustes",IF(N3290=_xlfn.MINIFS($N$2:$N$5001,$B$2:$B$5001,B3290,$E$2:$E$5001,"Em ajustes"),1,0),0))</f>
        <v/>
      </c>
      <c r="N3290" s="17" t="str">
        <f aca="false">IF(A3290="","",IF(ISNUMBER(A3290),A3290,IFERROR(DATE(VALUE(MID(A3290,7,4)),VALUE(MID(A3290,4,2)),VALUE(MID(A3290,1,2)))+TIME(VALUE(MID(A3290,12,2)),VALUE(MID(A3290,15,2)),VALUE(MID(A3290,18,2))),"")))</f>
        <v/>
      </c>
    </row>
    <row r="3291" customFormat="false" ht="15" hidden="false" customHeight="false" outlineLevel="0" collapsed="false">
      <c r="I3291" s="15" t="str">
        <f aca="false">IF(N3291="","",INT(N3291))</f>
        <v/>
      </c>
      <c r="J3291" s="16" t="str">
        <f aca="false">IF(B3291="","",IF(N3291=_xlfn.MINIFS($N$2:$N$5001,$B$2:$B$5001,B3291),1,0))</f>
        <v/>
      </c>
      <c r="K3291" s="16" t="str">
        <f aca="false">IF(B3291="","",IF(AND(D3291="Formalização",E3291="Concluído"),IF(COUNTIFS($B$2:$B$5001,B3291,$E$2:$E$5001,"Em ajustes",$N$2:$N$5001,"&lt;"&amp;I3291)&gt;0,1,0),0))</f>
        <v/>
      </c>
      <c r="L3291" s="16" t="str">
        <f aca="false">IF(B3291="","",IF(N3291=_xlfn.MAXIFS($N$2:$N$5001,$B$2:$B$5001,B3291,$I$2:$I$5001,I3291),1,0))</f>
        <v/>
      </c>
      <c r="M3291" s="16" t="str">
        <f aca="false">IF(B3291="","",IF(E3291="Em ajustes",IF(N3291=_xlfn.MINIFS($N$2:$N$5001,$B$2:$B$5001,B3291,$E$2:$E$5001,"Em ajustes"),1,0),0))</f>
        <v/>
      </c>
      <c r="N3291" s="17" t="str">
        <f aca="false">IF(A3291="","",IF(ISNUMBER(A3291),A3291,IFERROR(DATE(VALUE(MID(A3291,7,4)),VALUE(MID(A3291,4,2)),VALUE(MID(A3291,1,2)))+TIME(VALUE(MID(A3291,12,2)),VALUE(MID(A3291,15,2)),VALUE(MID(A3291,18,2))),"")))</f>
        <v/>
      </c>
    </row>
    <row r="3292" customFormat="false" ht="15" hidden="false" customHeight="false" outlineLevel="0" collapsed="false">
      <c r="I3292" s="15" t="str">
        <f aca="false">IF(N3292="","",INT(N3292))</f>
        <v/>
      </c>
      <c r="J3292" s="16" t="str">
        <f aca="false">IF(B3292="","",IF(N3292=_xlfn.MINIFS($N$2:$N$5001,$B$2:$B$5001,B3292),1,0))</f>
        <v/>
      </c>
      <c r="K3292" s="16" t="str">
        <f aca="false">IF(B3292="","",IF(AND(D3292="Formalização",E3292="Concluído"),IF(COUNTIFS($B$2:$B$5001,B3292,$E$2:$E$5001,"Em ajustes",$N$2:$N$5001,"&lt;"&amp;I3292)&gt;0,1,0),0))</f>
        <v/>
      </c>
      <c r="L3292" s="16" t="str">
        <f aca="false">IF(B3292="","",IF(N3292=_xlfn.MAXIFS($N$2:$N$5001,$B$2:$B$5001,B3292,$I$2:$I$5001,I3292),1,0))</f>
        <v/>
      </c>
      <c r="M3292" s="16" t="str">
        <f aca="false">IF(B3292="","",IF(E3292="Em ajustes",IF(N3292=_xlfn.MINIFS($N$2:$N$5001,$B$2:$B$5001,B3292,$E$2:$E$5001,"Em ajustes"),1,0),0))</f>
        <v/>
      </c>
      <c r="N3292" s="17" t="str">
        <f aca="false">IF(A3292="","",IF(ISNUMBER(A3292),A3292,IFERROR(DATE(VALUE(MID(A3292,7,4)),VALUE(MID(A3292,4,2)),VALUE(MID(A3292,1,2)))+TIME(VALUE(MID(A3292,12,2)),VALUE(MID(A3292,15,2)),VALUE(MID(A3292,18,2))),"")))</f>
        <v/>
      </c>
    </row>
    <row r="3293" customFormat="false" ht="15" hidden="false" customHeight="false" outlineLevel="0" collapsed="false">
      <c r="I3293" s="15" t="str">
        <f aca="false">IF(N3293="","",INT(N3293))</f>
        <v/>
      </c>
      <c r="J3293" s="16" t="str">
        <f aca="false">IF(B3293="","",IF(N3293=_xlfn.MINIFS($N$2:$N$5001,$B$2:$B$5001,B3293),1,0))</f>
        <v/>
      </c>
      <c r="K3293" s="16" t="str">
        <f aca="false">IF(B3293="","",IF(AND(D3293="Formalização",E3293="Concluído"),IF(COUNTIFS($B$2:$B$5001,B3293,$E$2:$E$5001,"Em ajustes",$N$2:$N$5001,"&lt;"&amp;I3293)&gt;0,1,0),0))</f>
        <v/>
      </c>
      <c r="L3293" s="16" t="str">
        <f aca="false">IF(B3293="","",IF(N3293=_xlfn.MAXIFS($N$2:$N$5001,$B$2:$B$5001,B3293,$I$2:$I$5001,I3293),1,0))</f>
        <v/>
      </c>
      <c r="M3293" s="16" t="str">
        <f aca="false">IF(B3293="","",IF(E3293="Em ajustes",IF(N3293=_xlfn.MINIFS($N$2:$N$5001,$B$2:$B$5001,B3293,$E$2:$E$5001,"Em ajustes"),1,0),0))</f>
        <v/>
      </c>
      <c r="N3293" s="17" t="str">
        <f aca="false">IF(A3293="","",IF(ISNUMBER(A3293),A3293,IFERROR(DATE(VALUE(MID(A3293,7,4)),VALUE(MID(A3293,4,2)),VALUE(MID(A3293,1,2)))+TIME(VALUE(MID(A3293,12,2)),VALUE(MID(A3293,15,2)),VALUE(MID(A3293,18,2))),"")))</f>
        <v/>
      </c>
    </row>
    <row r="3294" customFormat="false" ht="15" hidden="false" customHeight="false" outlineLevel="0" collapsed="false">
      <c r="I3294" s="15" t="str">
        <f aca="false">IF(N3294="","",INT(N3294))</f>
        <v/>
      </c>
      <c r="J3294" s="16" t="str">
        <f aca="false">IF(B3294="","",IF(N3294=_xlfn.MINIFS($N$2:$N$5001,$B$2:$B$5001,B3294),1,0))</f>
        <v/>
      </c>
      <c r="K3294" s="16" t="str">
        <f aca="false">IF(B3294="","",IF(AND(D3294="Formalização",E3294="Concluído"),IF(COUNTIFS($B$2:$B$5001,B3294,$E$2:$E$5001,"Em ajustes",$N$2:$N$5001,"&lt;"&amp;I3294)&gt;0,1,0),0))</f>
        <v/>
      </c>
      <c r="L3294" s="16" t="str">
        <f aca="false">IF(B3294="","",IF(N3294=_xlfn.MAXIFS($N$2:$N$5001,$B$2:$B$5001,B3294,$I$2:$I$5001,I3294),1,0))</f>
        <v/>
      </c>
      <c r="M3294" s="16" t="str">
        <f aca="false">IF(B3294="","",IF(E3294="Em ajustes",IF(N3294=_xlfn.MINIFS($N$2:$N$5001,$B$2:$B$5001,B3294,$E$2:$E$5001,"Em ajustes"),1,0),0))</f>
        <v/>
      </c>
      <c r="N3294" s="17" t="str">
        <f aca="false">IF(A3294="","",IF(ISNUMBER(A3294),A3294,IFERROR(DATE(VALUE(MID(A3294,7,4)),VALUE(MID(A3294,4,2)),VALUE(MID(A3294,1,2)))+TIME(VALUE(MID(A3294,12,2)),VALUE(MID(A3294,15,2)),VALUE(MID(A3294,18,2))),"")))</f>
        <v/>
      </c>
    </row>
    <row r="3295" customFormat="false" ht="15" hidden="false" customHeight="false" outlineLevel="0" collapsed="false">
      <c r="I3295" s="15" t="str">
        <f aca="false">IF(N3295="","",INT(N3295))</f>
        <v/>
      </c>
      <c r="J3295" s="16" t="str">
        <f aca="false">IF(B3295="","",IF(N3295=_xlfn.MINIFS($N$2:$N$5001,$B$2:$B$5001,B3295),1,0))</f>
        <v/>
      </c>
      <c r="K3295" s="16" t="str">
        <f aca="false">IF(B3295="","",IF(AND(D3295="Formalização",E3295="Concluído"),IF(COUNTIFS($B$2:$B$5001,B3295,$E$2:$E$5001,"Em ajustes",$N$2:$N$5001,"&lt;"&amp;I3295)&gt;0,1,0),0))</f>
        <v/>
      </c>
      <c r="L3295" s="16" t="str">
        <f aca="false">IF(B3295="","",IF(N3295=_xlfn.MAXIFS($N$2:$N$5001,$B$2:$B$5001,B3295,$I$2:$I$5001,I3295),1,0))</f>
        <v/>
      </c>
      <c r="M3295" s="16" t="str">
        <f aca="false">IF(B3295="","",IF(E3295="Em ajustes",IF(N3295=_xlfn.MINIFS($N$2:$N$5001,$B$2:$B$5001,B3295,$E$2:$E$5001,"Em ajustes"),1,0),0))</f>
        <v/>
      </c>
      <c r="N3295" s="17" t="str">
        <f aca="false">IF(A3295="","",IF(ISNUMBER(A3295),A3295,IFERROR(DATE(VALUE(MID(A3295,7,4)),VALUE(MID(A3295,4,2)),VALUE(MID(A3295,1,2)))+TIME(VALUE(MID(A3295,12,2)),VALUE(MID(A3295,15,2)),VALUE(MID(A3295,18,2))),"")))</f>
        <v/>
      </c>
    </row>
    <row r="3296" customFormat="false" ht="15" hidden="false" customHeight="false" outlineLevel="0" collapsed="false">
      <c r="I3296" s="15" t="str">
        <f aca="false">IF(N3296="","",INT(N3296))</f>
        <v/>
      </c>
      <c r="J3296" s="16" t="str">
        <f aca="false">IF(B3296="","",IF(N3296=_xlfn.MINIFS($N$2:$N$5001,$B$2:$B$5001,B3296),1,0))</f>
        <v/>
      </c>
      <c r="K3296" s="16" t="str">
        <f aca="false">IF(B3296="","",IF(AND(D3296="Formalização",E3296="Concluído"),IF(COUNTIFS($B$2:$B$5001,B3296,$E$2:$E$5001,"Em ajustes",$N$2:$N$5001,"&lt;"&amp;I3296)&gt;0,1,0),0))</f>
        <v/>
      </c>
      <c r="L3296" s="16" t="str">
        <f aca="false">IF(B3296="","",IF(N3296=_xlfn.MAXIFS($N$2:$N$5001,$B$2:$B$5001,B3296,$I$2:$I$5001,I3296),1,0))</f>
        <v/>
      </c>
      <c r="M3296" s="16" t="str">
        <f aca="false">IF(B3296="","",IF(E3296="Em ajustes",IF(N3296=_xlfn.MINIFS($N$2:$N$5001,$B$2:$B$5001,B3296,$E$2:$E$5001,"Em ajustes"),1,0),0))</f>
        <v/>
      </c>
      <c r="N3296" s="17" t="str">
        <f aca="false">IF(A3296="","",IF(ISNUMBER(A3296),A3296,IFERROR(DATE(VALUE(MID(A3296,7,4)),VALUE(MID(A3296,4,2)),VALUE(MID(A3296,1,2)))+TIME(VALUE(MID(A3296,12,2)),VALUE(MID(A3296,15,2)),VALUE(MID(A3296,18,2))),"")))</f>
        <v/>
      </c>
    </row>
    <row r="3297" customFormat="false" ht="15" hidden="false" customHeight="false" outlineLevel="0" collapsed="false">
      <c r="I3297" s="15" t="str">
        <f aca="false">IF(N3297="","",INT(N3297))</f>
        <v/>
      </c>
      <c r="J3297" s="16" t="str">
        <f aca="false">IF(B3297="","",IF(N3297=_xlfn.MINIFS($N$2:$N$5001,$B$2:$B$5001,B3297),1,0))</f>
        <v/>
      </c>
      <c r="K3297" s="16" t="str">
        <f aca="false">IF(B3297="","",IF(AND(D3297="Formalização",E3297="Concluído"),IF(COUNTIFS($B$2:$B$5001,B3297,$E$2:$E$5001,"Em ajustes",$N$2:$N$5001,"&lt;"&amp;I3297)&gt;0,1,0),0))</f>
        <v/>
      </c>
      <c r="L3297" s="16" t="str">
        <f aca="false">IF(B3297="","",IF(N3297=_xlfn.MAXIFS($N$2:$N$5001,$B$2:$B$5001,B3297,$I$2:$I$5001,I3297),1,0))</f>
        <v/>
      </c>
      <c r="M3297" s="16" t="str">
        <f aca="false">IF(B3297="","",IF(E3297="Em ajustes",IF(N3297=_xlfn.MINIFS($N$2:$N$5001,$B$2:$B$5001,B3297,$E$2:$E$5001,"Em ajustes"),1,0),0))</f>
        <v/>
      </c>
      <c r="N3297" s="17" t="str">
        <f aca="false">IF(A3297="","",IF(ISNUMBER(A3297),A3297,IFERROR(DATE(VALUE(MID(A3297,7,4)),VALUE(MID(A3297,4,2)),VALUE(MID(A3297,1,2)))+TIME(VALUE(MID(A3297,12,2)),VALUE(MID(A3297,15,2)),VALUE(MID(A3297,18,2))),"")))</f>
        <v/>
      </c>
    </row>
    <row r="3298" customFormat="false" ht="15" hidden="false" customHeight="false" outlineLevel="0" collapsed="false">
      <c r="I3298" s="15" t="str">
        <f aca="false">IF(N3298="","",INT(N3298))</f>
        <v/>
      </c>
      <c r="J3298" s="16" t="str">
        <f aca="false">IF(B3298="","",IF(N3298=_xlfn.MINIFS($N$2:$N$5001,$B$2:$B$5001,B3298),1,0))</f>
        <v/>
      </c>
      <c r="K3298" s="16" t="str">
        <f aca="false">IF(B3298="","",IF(AND(D3298="Formalização",E3298="Concluído"),IF(COUNTIFS($B$2:$B$5001,B3298,$E$2:$E$5001,"Em ajustes",$N$2:$N$5001,"&lt;"&amp;I3298)&gt;0,1,0),0))</f>
        <v/>
      </c>
      <c r="L3298" s="16" t="str">
        <f aca="false">IF(B3298="","",IF(N3298=_xlfn.MAXIFS($N$2:$N$5001,$B$2:$B$5001,B3298,$I$2:$I$5001,I3298),1,0))</f>
        <v/>
      </c>
      <c r="M3298" s="16" t="str">
        <f aca="false">IF(B3298="","",IF(E3298="Em ajustes",IF(N3298=_xlfn.MINIFS($N$2:$N$5001,$B$2:$B$5001,B3298,$E$2:$E$5001,"Em ajustes"),1,0),0))</f>
        <v/>
      </c>
      <c r="N3298" s="17" t="str">
        <f aca="false">IF(A3298="","",IF(ISNUMBER(A3298),A3298,IFERROR(DATE(VALUE(MID(A3298,7,4)),VALUE(MID(A3298,4,2)),VALUE(MID(A3298,1,2)))+TIME(VALUE(MID(A3298,12,2)),VALUE(MID(A3298,15,2)),VALUE(MID(A3298,18,2))),"")))</f>
        <v/>
      </c>
    </row>
    <row r="3299" customFormat="false" ht="15" hidden="false" customHeight="false" outlineLevel="0" collapsed="false">
      <c r="I3299" s="15" t="str">
        <f aca="false">IF(N3299="","",INT(N3299))</f>
        <v/>
      </c>
      <c r="J3299" s="16" t="str">
        <f aca="false">IF(B3299="","",IF(N3299=_xlfn.MINIFS($N$2:$N$5001,$B$2:$B$5001,B3299),1,0))</f>
        <v/>
      </c>
      <c r="K3299" s="16" t="str">
        <f aca="false">IF(B3299="","",IF(AND(D3299="Formalização",E3299="Concluído"),IF(COUNTIFS($B$2:$B$5001,B3299,$E$2:$E$5001,"Em ajustes",$N$2:$N$5001,"&lt;"&amp;I3299)&gt;0,1,0),0))</f>
        <v/>
      </c>
      <c r="L3299" s="16" t="str">
        <f aca="false">IF(B3299="","",IF(N3299=_xlfn.MAXIFS($N$2:$N$5001,$B$2:$B$5001,B3299,$I$2:$I$5001,I3299),1,0))</f>
        <v/>
      </c>
      <c r="M3299" s="16" t="str">
        <f aca="false">IF(B3299="","",IF(E3299="Em ajustes",IF(N3299=_xlfn.MINIFS($N$2:$N$5001,$B$2:$B$5001,B3299,$E$2:$E$5001,"Em ajustes"),1,0),0))</f>
        <v/>
      </c>
      <c r="N3299" s="17" t="str">
        <f aca="false">IF(A3299="","",IF(ISNUMBER(A3299),A3299,IFERROR(DATE(VALUE(MID(A3299,7,4)),VALUE(MID(A3299,4,2)),VALUE(MID(A3299,1,2)))+TIME(VALUE(MID(A3299,12,2)),VALUE(MID(A3299,15,2)),VALUE(MID(A3299,18,2))),"")))</f>
        <v/>
      </c>
    </row>
    <row r="3300" customFormat="false" ht="15" hidden="false" customHeight="false" outlineLevel="0" collapsed="false">
      <c r="I3300" s="15" t="str">
        <f aca="false">IF(N3300="","",INT(N3300))</f>
        <v/>
      </c>
      <c r="J3300" s="16" t="str">
        <f aca="false">IF(B3300="","",IF(N3300=_xlfn.MINIFS($N$2:$N$5001,$B$2:$B$5001,B3300),1,0))</f>
        <v/>
      </c>
      <c r="K3300" s="16" t="str">
        <f aca="false">IF(B3300="","",IF(AND(D3300="Formalização",E3300="Concluído"),IF(COUNTIFS($B$2:$B$5001,B3300,$E$2:$E$5001,"Em ajustes",$N$2:$N$5001,"&lt;"&amp;I3300)&gt;0,1,0),0))</f>
        <v/>
      </c>
      <c r="L3300" s="16" t="str">
        <f aca="false">IF(B3300="","",IF(N3300=_xlfn.MAXIFS($N$2:$N$5001,$B$2:$B$5001,B3300,$I$2:$I$5001,I3300),1,0))</f>
        <v/>
      </c>
      <c r="M3300" s="16" t="str">
        <f aca="false">IF(B3300="","",IF(E3300="Em ajustes",IF(N3300=_xlfn.MINIFS($N$2:$N$5001,$B$2:$B$5001,B3300,$E$2:$E$5001,"Em ajustes"),1,0),0))</f>
        <v/>
      </c>
      <c r="N3300" s="17" t="str">
        <f aca="false">IF(A3300="","",IF(ISNUMBER(A3300),A3300,IFERROR(DATE(VALUE(MID(A3300,7,4)),VALUE(MID(A3300,4,2)),VALUE(MID(A3300,1,2)))+TIME(VALUE(MID(A3300,12,2)),VALUE(MID(A3300,15,2)),VALUE(MID(A3300,18,2))),"")))</f>
        <v/>
      </c>
    </row>
    <row r="3301" customFormat="false" ht="15" hidden="false" customHeight="false" outlineLevel="0" collapsed="false">
      <c r="I3301" s="15" t="str">
        <f aca="false">IF(N3301="","",INT(N3301))</f>
        <v/>
      </c>
      <c r="J3301" s="16" t="str">
        <f aca="false">IF(B3301="","",IF(N3301=_xlfn.MINIFS($N$2:$N$5001,$B$2:$B$5001,B3301),1,0))</f>
        <v/>
      </c>
      <c r="K3301" s="16" t="str">
        <f aca="false">IF(B3301="","",IF(AND(D3301="Formalização",E3301="Concluído"),IF(COUNTIFS($B$2:$B$5001,B3301,$E$2:$E$5001,"Em ajustes",$N$2:$N$5001,"&lt;"&amp;I3301)&gt;0,1,0),0))</f>
        <v/>
      </c>
      <c r="L3301" s="16" t="str">
        <f aca="false">IF(B3301="","",IF(N3301=_xlfn.MAXIFS($N$2:$N$5001,$B$2:$B$5001,B3301,$I$2:$I$5001,I3301),1,0))</f>
        <v/>
      </c>
      <c r="M3301" s="16" t="str">
        <f aca="false">IF(B3301="","",IF(E3301="Em ajustes",IF(N3301=_xlfn.MINIFS($N$2:$N$5001,$B$2:$B$5001,B3301,$E$2:$E$5001,"Em ajustes"),1,0),0))</f>
        <v/>
      </c>
      <c r="N3301" s="17" t="str">
        <f aca="false">IF(A3301="","",IF(ISNUMBER(A3301),A3301,IFERROR(DATE(VALUE(MID(A3301,7,4)),VALUE(MID(A3301,4,2)),VALUE(MID(A3301,1,2)))+TIME(VALUE(MID(A3301,12,2)),VALUE(MID(A3301,15,2)),VALUE(MID(A3301,18,2))),"")))</f>
        <v/>
      </c>
    </row>
    <row r="3302" customFormat="false" ht="15" hidden="false" customHeight="false" outlineLevel="0" collapsed="false">
      <c r="I3302" s="15" t="str">
        <f aca="false">IF(N3302="","",INT(N3302))</f>
        <v/>
      </c>
      <c r="J3302" s="16" t="str">
        <f aca="false">IF(B3302="","",IF(N3302=_xlfn.MINIFS($N$2:$N$5001,$B$2:$B$5001,B3302),1,0))</f>
        <v/>
      </c>
      <c r="K3302" s="16" t="str">
        <f aca="false">IF(B3302="","",IF(AND(D3302="Formalização",E3302="Concluído"),IF(COUNTIFS($B$2:$B$5001,B3302,$E$2:$E$5001,"Em ajustes",$N$2:$N$5001,"&lt;"&amp;I3302)&gt;0,1,0),0))</f>
        <v/>
      </c>
      <c r="L3302" s="16" t="str">
        <f aca="false">IF(B3302="","",IF(N3302=_xlfn.MAXIFS($N$2:$N$5001,$B$2:$B$5001,B3302,$I$2:$I$5001,I3302),1,0))</f>
        <v/>
      </c>
      <c r="M3302" s="16" t="str">
        <f aca="false">IF(B3302="","",IF(E3302="Em ajustes",IF(N3302=_xlfn.MINIFS($N$2:$N$5001,$B$2:$B$5001,B3302,$E$2:$E$5001,"Em ajustes"),1,0),0))</f>
        <v/>
      </c>
      <c r="N3302" s="17" t="str">
        <f aca="false">IF(A3302="","",IF(ISNUMBER(A3302),A3302,IFERROR(DATE(VALUE(MID(A3302,7,4)),VALUE(MID(A3302,4,2)),VALUE(MID(A3302,1,2)))+TIME(VALUE(MID(A3302,12,2)),VALUE(MID(A3302,15,2)),VALUE(MID(A3302,18,2))),"")))</f>
        <v/>
      </c>
    </row>
    <row r="3303" customFormat="false" ht="15" hidden="false" customHeight="false" outlineLevel="0" collapsed="false">
      <c r="I3303" s="15" t="str">
        <f aca="false">IF(N3303="","",INT(N3303))</f>
        <v/>
      </c>
      <c r="J3303" s="16" t="str">
        <f aca="false">IF(B3303="","",IF(N3303=_xlfn.MINIFS($N$2:$N$5001,$B$2:$B$5001,B3303),1,0))</f>
        <v/>
      </c>
      <c r="K3303" s="16" t="str">
        <f aca="false">IF(B3303="","",IF(AND(D3303="Formalização",E3303="Concluído"),IF(COUNTIFS($B$2:$B$5001,B3303,$E$2:$E$5001,"Em ajustes",$N$2:$N$5001,"&lt;"&amp;I3303)&gt;0,1,0),0))</f>
        <v/>
      </c>
      <c r="L3303" s="16" t="str">
        <f aca="false">IF(B3303="","",IF(N3303=_xlfn.MAXIFS($N$2:$N$5001,$B$2:$B$5001,B3303,$I$2:$I$5001,I3303),1,0))</f>
        <v/>
      </c>
      <c r="M3303" s="16" t="str">
        <f aca="false">IF(B3303="","",IF(E3303="Em ajustes",IF(N3303=_xlfn.MINIFS($N$2:$N$5001,$B$2:$B$5001,B3303,$E$2:$E$5001,"Em ajustes"),1,0),0))</f>
        <v/>
      </c>
      <c r="N3303" s="17" t="str">
        <f aca="false">IF(A3303="","",IF(ISNUMBER(A3303),A3303,IFERROR(DATE(VALUE(MID(A3303,7,4)),VALUE(MID(A3303,4,2)),VALUE(MID(A3303,1,2)))+TIME(VALUE(MID(A3303,12,2)),VALUE(MID(A3303,15,2)),VALUE(MID(A3303,18,2))),"")))</f>
        <v/>
      </c>
    </row>
    <row r="3304" customFormat="false" ht="15" hidden="false" customHeight="false" outlineLevel="0" collapsed="false">
      <c r="I3304" s="15" t="str">
        <f aca="false">IF(N3304="","",INT(N3304))</f>
        <v/>
      </c>
      <c r="J3304" s="16" t="str">
        <f aca="false">IF(B3304="","",IF(N3304=_xlfn.MINIFS($N$2:$N$5001,$B$2:$B$5001,B3304),1,0))</f>
        <v/>
      </c>
      <c r="K3304" s="16" t="str">
        <f aca="false">IF(B3304="","",IF(AND(D3304="Formalização",E3304="Concluído"),IF(COUNTIFS($B$2:$B$5001,B3304,$E$2:$E$5001,"Em ajustes",$N$2:$N$5001,"&lt;"&amp;I3304)&gt;0,1,0),0))</f>
        <v/>
      </c>
      <c r="L3304" s="16" t="str">
        <f aca="false">IF(B3304="","",IF(N3304=_xlfn.MAXIFS($N$2:$N$5001,$B$2:$B$5001,B3304,$I$2:$I$5001,I3304),1,0))</f>
        <v/>
      </c>
      <c r="M3304" s="16" t="str">
        <f aca="false">IF(B3304="","",IF(E3304="Em ajustes",IF(N3304=_xlfn.MINIFS($N$2:$N$5001,$B$2:$B$5001,B3304,$E$2:$E$5001,"Em ajustes"),1,0),0))</f>
        <v/>
      </c>
      <c r="N3304" s="17" t="str">
        <f aca="false">IF(A3304="","",IF(ISNUMBER(A3304),A3304,IFERROR(DATE(VALUE(MID(A3304,7,4)),VALUE(MID(A3304,4,2)),VALUE(MID(A3304,1,2)))+TIME(VALUE(MID(A3304,12,2)),VALUE(MID(A3304,15,2)),VALUE(MID(A3304,18,2))),"")))</f>
        <v/>
      </c>
    </row>
    <row r="3305" customFormat="false" ht="15" hidden="false" customHeight="false" outlineLevel="0" collapsed="false">
      <c r="I3305" s="15" t="str">
        <f aca="false">IF(N3305="","",INT(N3305))</f>
        <v/>
      </c>
      <c r="J3305" s="16" t="str">
        <f aca="false">IF(B3305="","",IF(N3305=_xlfn.MINIFS($N$2:$N$5001,$B$2:$B$5001,B3305),1,0))</f>
        <v/>
      </c>
      <c r="K3305" s="16" t="str">
        <f aca="false">IF(B3305="","",IF(AND(D3305="Formalização",E3305="Concluído"),IF(COUNTIFS($B$2:$B$5001,B3305,$E$2:$E$5001,"Em ajustes",$N$2:$N$5001,"&lt;"&amp;I3305)&gt;0,1,0),0))</f>
        <v/>
      </c>
      <c r="L3305" s="16" t="str">
        <f aca="false">IF(B3305="","",IF(N3305=_xlfn.MAXIFS($N$2:$N$5001,$B$2:$B$5001,B3305,$I$2:$I$5001,I3305),1,0))</f>
        <v/>
      </c>
      <c r="M3305" s="16" t="str">
        <f aca="false">IF(B3305="","",IF(E3305="Em ajustes",IF(N3305=_xlfn.MINIFS($N$2:$N$5001,$B$2:$B$5001,B3305,$E$2:$E$5001,"Em ajustes"),1,0),0))</f>
        <v/>
      </c>
      <c r="N3305" s="17" t="str">
        <f aca="false">IF(A3305="","",IF(ISNUMBER(A3305),A3305,IFERROR(DATE(VALUE(MID(A3305,7,4)),VALUE(MID(A3305,4,2)),VALUE(MID(A3305,1,2)))+TIME(VALUE(MID(A3305,12,2)),VALUE(MID(A3305,15,2)),VALUE(MID(A3305,18,2))),"")))</f>
        <v/>
      </c>
    </row>
    <row r="3306" customFormat="false" ht="15" hidden="false" customHeight="false" outlineLevel="0" collapsed="false">
      <c r="I3306" s="15" t="str">
        <f aca="false">IF(N3306="","",INT(N3306))</f>
        <v/>
      </c>
      <c r="J3306" s="16" t="str">
        <f aca="false">IF(B3306="","",IF(N3306=_xlfn.MINIFS($N$2:$N$5001,$B$2:$B$5001,B3306),1,0))</f>
        <v/>
      </c>
      <c r="K3306" s="16" t="str">
        <f aca="false">IF(B3306="","",IF(AND(D3306="Formalização",E3306="Concluído"),IF(COUNTIFS($B$2:$B$5001,B3306,$E$2:$E$5001,"Em ajustes",$N$2:$N$5001,"&lt;"&amp;I3306)&gt;0,1,0),0))</f>
        <v/>
      </c>
      <c r="L3306" s="16" t="str">
        <f aca="false">IF(B3306="","",IF(N3306=_xlfn.MAXIFS($N$2:$N$5001,$B$2:$B$5001,B3306,$I$2:$I$5001,I3306),1,0))</f>
        <v/>
      </c>
      <c r="M3306" s="16" t="str">
        <f aca="false">IF(B3306="","",IF(E3306="Em ajustes",IF(N3306=_xlfn.MINIFS($N$2:$N$5001,$B$2:$B$5001,B3306,$E$2:$E$5001,"Em ajustes"),1,0),0))</f>
        <v/>
      </c>
      <c r="N3306" s="17" t="str">
        <f aca="false">IF(A3306="","",IF(ISNUMBER(A3306),A3306,IFERROR(DATE(VALUE(MID(A3306,7,4)),VALUE(MID(A3306,4,2)),VALUE(MID(A3306,1,2)))+TIME(VALUE(MID(A3306,12,2)),VALUE(MID(A3306,15,2)),VALUE(MID(A3306,18,2))),"")))</f>
        <v/>
      </c>
    </row>
    <row r="3307" customFormat="false" ht="15" hidden="false" customHeight="false" outlineLevel="0" collapsed="false">
      <c r="I3307" s="15" t="str">
        <f aca="false">IF(N3307="","",INT(N3307))</f>
        <v/>
      </c>
      <c r="J3307" s="16" t="str">
        <f aca="false">IF(B3307="","",IF(N3307=_xlfn.MINIFS($N$2:$N$5001,$B$2:$B$5001,B3307),1,0))</f>
        <v/>
      </c>
      <c r="K3307" s="16" t="str">
        <f aca="false">IF(B3307="","",IF(AND(D3307="Formalização",E3307="Concluído"),IF(COUNTIFS($B$2:$B$5001,B3307,$E$2:$E$5001,"Em ajustes",$N$2:$N$5001,"&lt;"&amp;I3307)&gt;0,1,0),0))</f>
        <v/>
      </c>
      <c r="L3307" s="16" t="str">
        <f aca="false">IF(B3307="","",IF(N3307=_xlfn.MAXIFS($N$2:$N$5001,$B$2:$B$5001,B3307,$I$2:$I$5001,I3307),1,0))</f>
        <v/>
      </c>
      <c r="M3307" s="16" t="str">
        <f aca="false">IF(B3307="","",IF(E3307="Em ajustes",IF(N3307=_xlfn.MINIFS($N$2:$N$5001,$B$2:$B$5001,B3307,$E$2:$E$5001,"Em ajustes"),1,0),0))</f>
        <v/>
      </c>
      <c r="N3307" s="17" t="str">
        <f aca="false">IF(A3307="","",IF(ISNUMBER(A3307),A3307,IFERROR(DATE(VALUE(MID(A3307,7,4)),VALUE(MID(A3307,4,2)),VALUE(MID(A3307,1,2)))+TIME(VALUE(MID(A3307,12,2)),VALUE(MID(A3307,15,2)),VALUE(MID(A3307,18,2))),"")))</f>
        <v/>
      </c>
    </row>
    <row r="3308" customFormat="false" ht="15" hidden="false" customHeight="false" outlineLevel="0" collapsed="false">
      <c r="I3308" s="15" t="str">
        <f aca="false">IF(N3308="","",INT(N3308))</f>
        <v/>
      </c>
      <c r="J3308" s="16" t="str">
        <f aca="false">IF(B3308="","",IF(N3308=_xlfn.MINIFS($N$2:$N$5001,$B$2:$B$5001,B3308),1,0))</f>
        <v/>
      </c>
      <c r="K3308" s="16" t="str">
        <f aca="false">IF(B3308="","",IF(AND(D3308="Formalização",E3308="Concluído"),IF(COUNTIFS($B$2:$B$5001,B3308,$E$2:$E$5001,"Em ajustes",$N$2:$N$5001,"&lt;"&amp;I3308)&gt;0,1,0),0))</f>
        <v/>
      </c>
      <c r="L3308" s="16" t="str">
        <f aca="false">IF(B3308="","",IF(N3308=_xlfn.MAXIFS($N$2:$N$5001,$B$2:$B$5001,B3308,$I$2:$I$5001,I3308),1,0))</f>
        <v/>
      </c>
      <c r="M3308" s="16" t="str">
        <f aca="false">IF(B3308="","",IF(E3308="Em ajustes",IF(N3308=_xlfn.MINIFS($N$2:$N$5001,$B$2:$B$5001,B3308,$E$2:$E$5001,"Em ajustes"),1,0),0))</f>
        <v/>
      </c>
      <c r="N3308" s="17" t="str">
        <f aca="false">IF(A3308="","",IF(ISNUMBER(A3308),A3308,IFERROR(DATE(VALUE(MID(A3308,7,4)),VALUE(MID(A3308,4,2)),VALUE(MID(A3308,1,2)))+TIME(VALUE(MID(A3308,12,2)),VALUE(MID(A3308,15,2)),VALUE(MID(A3308,18,2))),"")))</f>
        <v/>
      </c>
    </row>
    <row r="3309" customFormat="false" ht="15" hidden="false" customHeight="false" outlineLevel="0" collapsed="false">
      <c r="I3309" s="15" t="str">
        <f aca="false">IF(N3309="","",INT(N3309))</f>
        <v/>
      </c>
      <c r="J3309" s="16" t="str">
        <f aca="false">IF(B3309="","",IF(N3309=_xlfn.MINIFS($N$2:$N$5001,$B$2:$B$5001,B3309),1,0))</f>
        <v/>
      </c>
      <c r="K3309" s="16" t="str">
        <f aca="false">IF(B3309="","",IF(AND(D3309="Formalização",E3309="Concluído"),IF(COUNTIFS($B$2:$B$5001,B3309,$E$2:$E$5001,"Em ajustes",$N$2:$N$5001,"&lt;"&amp;I3309)&gt;0,1,0),0))</f>
        <v/>
      </c>
      <c r="L3309" s="16" t="str">
        <f aca="false">IF(B3309="","",IF(N3309=_xlfn.MAXIFS($N$2:$N$5001,$B$2:$B$5001,B3309,$I$2:$I$5001,I3309),1,0))</f>
        <v/>
      </c>
      <c r="M3309" s="16" t="str">
        <f aca="false">IF(B3309="","",IF(E3309="Em ajustes",IF(N3309=_xlfn.MINIFS($N$2:$N$5001,$B$2:$B$5001,B3309,$E$2:$E$5001,"Em ajustes"),1,0),0))</f>
        <v/>
      </c>
      <c r="N3309" s="17" t="str">
        <f aca="false">IF(A3309="","",IF(ISNUMBER(A3309),A3309,IFERROR(DATE(VALUE(MID(A3309,7,4)),VALUE(MID(A3309,4,2)),VALUE(MID(A3309,1,2)))+TIME(VALUE(MID(A3309,12,2)),VALUE(MID(A3309,15,2)),VALUE(MID(A3309,18,2))),"")))</f>
        <v/>
      </c>
    </row>
    <row r="3310" customFormat="false" ht="15" hidden="false" customHeight="false" outlineLevel="0" collapsed="false">
      <c r="I3310" s="15" t="str">
        <f aca="false">IF(N3310="","",INT(N3310))</f>
        <v/>
      </c>
      <c r="J3310" s="16" t="str">
        <f aca="false">IF(B3310="","",IF(N3310=_xlfn.MINIFS($N$2:$N$5001,$B$2:$B$5001,B3310),1,0))</f>
        <v/>
      </c>
      <c r="K3310" s="16" t="str">
        <f aca="false">IF(B3310="","",IF(AND(D3310="Formalização",E3310="Concluído"),IF(COUNTIFS($B$2:$B$5001,B3310,$E$2:$E$5001,"Em ajustes",$N$2:$N$5001,"&lt;"&amp;I3310)&gt;0,1,0),0))</f>
        <v/>
      </c>
      <c r="L3310" s="16" t="str">
        <f aca="false">IF(B3310="","",IF(N3310=_xlfn.MAXIFS($N$2:$N$5001,$B$2:$B$5001,B3310,$I$2:$I$5001,I3310),1,0))</f>
        <v/>
      </c>
      <c r="M3310" s="16" t="str">
        <f aca="false">IF(B3310="","",IF(E3310="Em ajustes",IF(N3310=_xlfn.MINIFS($N$2:$N$5001,$B$2:$B$5001,B3310,$E$2:$E$5001,"Em ajustes"),1,0),0))</f>
        <v/>
      </c>
      <c r="N3310" s="17" t="str">
        <f aca="false">IF(A3310="","",IF(ISNUMBER(A3310),A3310,IFERROR(DATE(VALUE(MID(A3310,7,4)),VALUE(MID(A3310,4,2)),VALUE(MID(A3310,1,2)))+TIME(VALUE(MID(A3310,12,2)),VALUE(MID(A3310,15,2)),VALUE(MID(A3310,18,2))),"")))</f>
        <v/>
      </c>
    </row>
    <row r="3311" customFormat="false" ht="15" hidden="false" customHeight="false" outlineLevel="0" collapsed="false">
      <c r="I3311" s="15" t="str">
        <f aca="false">IF(N3311="","",INT(N3311))</f>
        <v/>
      </c>
      <c r="J3311" s="16" t="str">
        <f aca="false">IF(B3311="","",IF(N3311=_xlfn.MINIFS($N$2:$N$5001,$B$2:$B$5001,B3311),1,0))</f>
        <v/>
      </c>
      <c r="K3311" s="16" t="str">
        <f aca="false">IF(B3311="","",IF(AND(D3311="Formalização",E3311="Concluído"),IF(COUNTIFS($B$2:$B$5001,B3311,$E$2:$E$5001,"Em ajustes",$N$2:$N$5001,"&lt;"&amp;I3311)&gt;0,1,0),0))</f>
        <v/>
      </c>
      <c r="L3311" s="16" t="str">
        <f aca="false">IF(B3311="","",IF(N3311=_xlfn.MAXIFS($N$2:$N$5001,$B$2:$B$5001,B3311,$I$2:$I$5001,I3311),1,0))</f>
        <v/>
      </c>
      <c r="M3311" s="16" t="str">
        <f aca="false">IF(B3311="","",IF(E3311="Em ajustes",IF(N3311=_xlfn.MINIFS($N$2:$N$5001,$B$2:$B$5001,B3311,$E$2:$E$5001,"Em ajustes"),1,0),0))</f>
        <v/>
      </c>
      <c r="N3311" s="17" t="str">
        <f aca="false">IF(A3311="","",IF(ISNUMBER(A3311),A3311,IFERROR(DATE(VALUE(MID(A3311,7,4)),VALUE(MID(A3311,4,2)),VALUE(MID(A3311,1,2)))+TIME(VALUE(MID(A3311,12,2)),VALUE(MID(A3311,15,2)),VALUE(MID(A3311,18,2))),"")))</f>
        <v/>
      </c>
    </row>
    <row r="3312" customFormat="false" ht="15" hidden="false" customHeight="false" outlineLevel="0" collapsed="false">
      <c r="I3312" s="15" t="str">
        <f aca="false">IF(N3312="","",INT(N3312))</f>
        <v/>
      </c>
      <c r="J3312" s="16" t="str">
        <f aca="false">IF(B3312="","",IF(N3312=_xlfn.MINIFS($N$2:$N$5001,$B$2:$B$5001,B3312),1,0))</f>
        <v/>
      </c>
      <c r="K3312" s="16" t="str">
        <f aca="false">IF(B3312="","",IF(AND(D3312="Formalização",E3312="Concluído"),IF(COUNTIFS($B$2:$B$5001,B3312,$E$2:$E$5001,"Em ajustes",$N$2:$N$5001,"&lt;"&amp;I3312)&gt;0,1,0),0))</f>
        <v/>
      </c>
      <c r="L3312" s="16" t="str">
        <f aca="false">IF(B3312="","",IF(N3312=_xlfn.MAXIFS($N$2:$N$5001,$B$2:$B$5001,B3312,$I$2:$I$5001,I3312),1,0))</f>
        <v/>
      </c>
      <c r="M3312" s="16" t="str">
        <f aca="false">IF(B3312="","",IF(E3312="Em ajustes",IF(N3312=_xlfn.MINIFS($N$2:$N$5001,$B$2:$B$5001,B3312,$E$2:$E$5001,"Em ajustes"),1,0),0))</f>
        <v/>
      </c>
      <c r="N3312" s="17" t="str">
        <f aca="false">IF(A3312="","",IF(ISNUMBER(A3312),A3312,IFERROR(DATE(VALUE(MID(A3312,7,4)),VALUE(MID(A3312,4,2)),VALUE(MID(A3312,1,2)))+TIME(VALUE(MID(A3312,12,2)),VALUE(MID(A3312,15,2)),VALUE(MID(A3312,18,2))),"")))</f>
        <v/>
      </c>
    </row>
    <row r="3313" customFormat="false" ht="15" hidden="false" customHeight="false" outlineLevel="0" collapsed="false">
      <c r="I3313" s="15" t="str">
        <f aca="false">IF(N3313="","",INT(N3313))</f>
        <v/>
      </c>
      <c r="J3313" s="16" t="str">
        <f aca="false">IF(B3313="","",IF(N3313=_xlfn.MINIFS($N$2:$N$5001,$B$2:$B$5001,B3313),1,0))</f>
        <v/>
      </c>
      <c r="K3313" s="16" t="str">
        <f aca="false">IF(B3313="","",IF(AND(D3313="Formalização",E3313="Concluído"),IF(COUNTIFS($B$2:$B$5001,B3313,$E$2:$E$5001,"Em ajustes",$N$2:$N$5001,"&lt;"&amp;I3313)&gt;0,1,0),0))</f>
        <v/>
      </c>
      <c r="L3313" s="16" t="str">
        <f aca="false">IF(B3313="","",IF(N3313=_xlfn.MAXIFS($N$2:$N$5001,$B$2:$B$5001,B3313,$I$2:$I$5001,I3313),1,0))</f>
        <v/>
      </c>
      <c r="M3313" s="16" t="str">
        <f aca="false">IF(B3313="","",IF(E3313="Em ajustes",IF(N3313=_xlfn.MINIFS($N$2:$N$5001,$B$2:$B$5001,B3313,$E$2:$E$5001,"Em ajustes"),1,0),0))</f>
        <v/>
      </c>
      <c r="N3313" s="17" t="str">
        <f aca="false">IF(A3313="","",IF(ISNUMBER(A3313),A3313,IFERROR(DATE(VALUE(MID(A3313,7,4)),VALUE(MID(A3313,4,2)),VALUE(MID(A3313,1,2)))+TIME(VALUE(MID(A3313,12,2)),VALUE(MID(A3313,15,2)),VALUE(MID(A3313,18,2))),"")))</f>
        <v/>
      </c>
    </row>
    <row r="3314" customFormat="false" ht="15" hidden="false" customHeight="false" outlineLevel="0" collapsed="false">
      <c r="I3314" s="15" t="str">
        <f aca="false">IF(N3314="","",INT(N3314))</f>
        <v/>
      </c>
      <c r="J3314" s="16" t="str">
        <f aca="false">IF(B3314="","",IF(N3314=_xlfn.MINIFS($N$2:$N$5001,$B$2:$B$5001,B3314),1,0))</f>
        <v/>
      </c>
      <c r="K3314" s="16" t="str">
        <f aca="false">IF(B3314="","",IF(AND(D3314="Formalização",E3314="Concluído"),IF(COUNTIFS($B$2:$B$5001,B3314,$E$2:$E$5001,"Em ajustes",$N$2:$N$5001,"&lt;"&amp;I3314)&gt;0,1,0),0))</f>
        <v/>
      </c>
      <c r="L3314" s="16" t="str">
        <f aca="false">IF(B3314="","",IF(N3314=_xlfn.MAXIFS($N$2:$N$5001,$B$2:$B$5001,B3314,$I$2:$I$5001,I3314),1,0))</f>
        <v/>
      </c>
      <c r="M3314" s="16" t="str">
        <f aca="false">IF(B3314="","",IF(E3314="Em ajustes",IF(N3314=_xlfn.MINIFS($N$2:$N$5001,$B$2:$B$5001,B3314,$E$2:$E$5001,"Em ajustes"),1,0),0))</f>
        <v/>
      </c>
      <c r="N3314" s="17" t="str">
        <f aca="false">IF(A3314="","",IF(ISNUMBER(A3314),A3314,IFERROR(DATE(VALUE(MID(A3314,7,4)),VALUE(MID(A3314,4,2)),VALUE(MID(A3314,1,2)))+TIME(VALUE(MID(A3314,12,2)),VALUE(MID(A3314,15,2)),VALUE(MID(A3314,18,2))),"")))</f>
        <v/>
      </c>
    </row>
    <row r="3315" customFormat="false" ht="15" hidden="false" customHeight="false" outlineLevel="0" collapsed="false">
      <c r="I3315" s="15" t="str">
        <f aca="false">IF(N3315="","",INT(N3315))</f>
        <v/>
      </c>
      <c r="J3315" s="16" t="str">
        <f aca="false">IF(B3315="","",IF(N3315=_xlfn.MINIFS($N$2:$N$5001,$B$2:$B$5001,B3315),1,0))</f>
        <v/>
      </c>
      <c r="K3315" s="16" t="str">
        <f aca="false">IF(B3315="","",IF(AND(D3315="Formalização",E3315="Concluído"),IF(COUNTIFS($B$2:$B$5001,B3315,$E$2:$E$5001,"Em ajustes",$N$2:$N$5001,"&lt;"&amp;I3315)&gt;0,1,0),0))</f>
        <v/>
      </c>
      <c r="L3315" s="16" t="str">
        <f aca="false">IF(B3315="","",IF(N3315=_xlfn.MAXIFS($N$2:$N$5001,$B$2:$B$5001,B3315,$I$2:$I$5001,I3315),1,0))</f>
        <v/>
      </c>
      <c r="M3315" s="16" t="str">
        <f aca="false">IF(B3315="","",IF(E3315="Em ajustes",IF(N3315=_xlfn.MINIFS($N$2:$N$5001,$B$2:$B$5001,B3315,$E$2:$E$5001,"Em ajustes"),1,0),0))</f>
        <v/>
      </c>
      <c r="N3315" s="17" t="str">
        <f aca="false">IF(A3315="","",IF(ISNUMBER(A3315),A3315,IFERROR(DATE(VALUE(MID(A3315,7,4)),VALUE(MID(A3315,4,2)),VALUE(MID(A3315,1,2)))+TIME(VALUE(MID(A3315,12,2)),VALUE(MID(A3315,15,2)),VALUE(MID(A3315,18,2))),"")))</f>
        <v/>
      </c>
    </row>
    <row r="3316" customFormat="false" ht="15" hidden="false" customHeight="false" outlineLevel="0" collapsed="false">
      <c r="I3316" s="15" t="str">
        <f aca="false">IF(N3316="","",INT(N3316))</f>
        <v/>
      </c>
      <c r="J3316" s="16" t="str">
        <f aca="false">IF(B3316="","",IF(N3316=_xlfn.MINIFS($N$2:$N$5001,$B$2:$B$5001,B3316),1,0))</f>
        <v/>
      </c>
      <c r="K3316" s="16" t="str">
        <f aca="false">IF(B3316="","",IF(AND(D3316="Formalização",E3316="Concluído"),IF(COUNTIFS($B$2:$B$5001,B3316,$E$2:$E$5001,"Em ajustes",$N$2:$N$5001,"&lt;"&amp;I3316)&gt;0,1,0),0))</f>
        <v/>
      </c>
      <c r="L3316" s="16" t="str">
        <f aca="false">IF(B3316="","",IF(N3316=_xlfn.MAXIFS($N$2:$N$5001,$B$2:$B$5001,B3316,$I$2:$I$5001,I3316),1,0))</f>
        <v/>
      </c>
      <c r="M3316" s="16" t="str">
        <f aca="false">IF(B3316="","",IF(E3316="Em ajustes",IF(N3316=_xlfn.MINIFS($N$2:$N$5001,$B$2:$B$5001,B3316,$E$2:$E$5001,"Em ajustes"),1,0),0))</f>
        <v/>
      </c>
      <c r="N3316" s="17" t="str">
        <f aca="false">IF(A3316="","",IF(ISNUMBER(A3316),A3316,IFERROR(DATE(VALUE(MID(A3316,7,4)),VALUE(MID(A3316,4,2)),VALUE(MID(A3316,1,2)))+TIME(VALUE(MID(A3316,12,2)),VALUE(MID(A3316,15,2)),VALUE(MID(A3316,18,2))),"")))</f>
        <v/>
      </c>
    </row>
    <row r="3317" customFormat="false" ht="15" hidden="false" customHeight="false" outlineLevel="0" collapsed="false">
      <c r="I3317" s="15" t="str">
        <f aca="false">IF(N3317="","",INT(N3317))</f>
        <v/>
      </c>
      <c r="J3317" s="16" t="str">
        <f aca="false">IF(B3317="","",IF(N3317=_xlfn.MINIFS($N$2:$N$5001,$B$2:$B$5001,B3317),1,0))</f>
        <v/>
      </c>
      <c r="K3317" s="16" t="str">
        <f aca="false">IF(B3317="","",IF(AND(D3317="Formalização",E3317="Concluído"),IF(COUNTIFS($B$2:$B$5001,B3317,$E$2:$E$5001,"Em ajustes",$N$2:$N$5001,"&lt;"&amp;I3317)&gt;0,1,0),0))</f>
        <v/>
      </c>
      <c r="L3317" s="16" t="str">
        <f aca="false">IF(B3317="","",IF(N3317=_xlfn.MAXIFS($N$2:$N$5001,$B$2:$B$5001,B3317,$I$2:$I$5001,I3317),1,0))</f>
        <v/>
      </c>
      <c r="M3317" s="16" t="str">
        <f aca="false">IF(B3317="","",IF(E3317="Em ajustes",IF(N3317=_xlfn.MINIFS($N$2:$N$5001,$B$2:$B$5001,B3317,$E$2:$E$5001,"Em ajustes"),1,0),0))</f>
        <v/>
      </c>
      <c r="N3317" s="17" t="str">
        <f aca="false">IF(A3317="","",IF(ISNUMBER(A3317),A3317,IFERROR(DATE(VALUE(MID(A3317,7,4)),VALUE(MID(A3317,4,2)),VALUE(MID(A3317,1,2)))+TIME(VALUE(MID(A3317,12,2)),VALUE(MID(A3317,15,2)),VALUE(MID(A3317,18,2))),"")))</f>
        <v/>
      </c>
    </row>
    <row r="3318" customFormat="false" ht="15" hidden="false" customHeight="false" outlineLevel="0" collapsed="false">
      <c r="I3318" s="15" t="str">
        <f aca="false">IF(N3318="","",INT(N3318))</f>
        <v/>
      </c>
      <c r="J3318" s="16" t="str">
        <f aca="false">IF(B3318="","",IF(N3318=_xlfn.MINIFS($N$2:$N$5001,$B$2:$B$5001,B3318),1,0))</f>
        <v/>
      </c>
      <c r="K3318" s="16" t="str">
        <f aca="false">IF(B3318="","",IF(AND(D3318="Formalização",E3318="Concluído"),IF(COUNTIFS($B$2:$B$5001,B3318,$E$2:$E$5001,"Em ajustes",$N$2:$N$5001,"&lt;"&amp;I3318)&gt;0,1,0),0))</f>
        <v/>
      </c>
      <c r="L3318" s="16" t="str">
        <f aca="false">IF(B3318="","",IF(N3318=_xlfn.MAXIFS($N$2:$N$5001,$B$2:$B$5001,B3318,$I$2:$I$5001,I3318),1,0))</f>
        <v/>
      </c>
      <c r="M3318" s="16" t="str">
        <f aca="false">IF(B3318="","",IF(E3318="Em ajustes",IF(N3318=_xlfn.MINIFS($N$2:$N$5001,$B$2:$B$5001,B3318,$E$2:$E$5001,"Em ajustes"),1,0),0))</f>
        <v/>
      </c>
      <c r="N3318" s="17" t="str">
        <f aca="false">IF(A3318="","",IF(ISNUMBER(A3318),A3318,IFERROR(DATE(VALUE(MID(A3318,7,4)),VALUE(MID(A3318,4,2)),VALUE(MID(A3318,1,2)))+TIME(VALUE(MID(A3318,12,2)),VALUE(MID(A3318,15,2)),VALUE(MID(A3318,18,2))),"")))</f>
        <v/>
      </c>
    </row>
    <row r="3319" customFormat="false" ht="15" hidden="false" customHeight="false" outlineLevel="0" collapsed="false">
      <c r="I3319" s="15" t="str">
        <f aca="false">IF(N3319="","",INT(N3319))</f>
        <v/>
      </c>
      <c r="J3319" s="16" t="str">
        <f aca="false">IF(B3319="","",IF(N3319=_xlfn.MINIFS($N$2:$N$5001,$B$2:$B$5001,B3319),1,0))</f>
        <v/>
      </c>
      <c r="K3319" s="16" t="str">
        <f aca="false">IF(B3319="","",IF(AND(D3319="Formalização",E3319="Concluído"),IF(COUNTIFS($B$2:$B$5001,B3319,$E$2:$E$5001,"Em ajustes",$N$2:$N$5001,"&lt;"&amp;I3319)&gt;0,1,0),0))</f>
        <v/>
      </c>
      <c r="L3319" s="16" t="str">
        <f aca="false">IF(B3319="","",IF(N3319=_xlfn.MAXIFS($N$2:$N$5001,$B$2:$B$5001,B3319,$I$2:$I$5001,I3319),1,0))</f>
        <v/>
      </c>
      <c r="M3319" s="16" t="str">
        <f aca="false">IF(B3319="","",IF(E3319="Em ajustes",IF(N3319=_xlfn.MINIFS($N$2:$N$5001,$B$2:$B$5001,B3319,$E$2:$E$5001,"Em ajustes"),1,0),0))</f>
        <v/>
      </c>
      <c r="N3319" s="17" t="str">
        <f aca="false">IF(A3319="","",IF(ISNUMBER(A3319),A3319,IFERROR(DATE(VALUE(MID(A3319,7,4)),VALUE(MID(A3319,4,2)),VALUE(MID(A3319,1,2)))+TIME(VALUE(MID(A3319,12,2)),VALUE(MID(A3319,15,2)),VALUE(MID(A3319,18,2))),"")))</f>
        <v/>
      </c>
    </row>
    <row r="3320" customFormat="false" ht="15" hidden="false" customHeight="false" outlineLevel="0" collapsed="false">
      <c r="I3320" s="15" t="str">
        <f aca="false">IF(N3320="","",INT(N3320))</f>
        <v/>
      </c>
      <c r="J3320" s="16" t="str">
        <f aca="false">IF(B3320="","",IF(N3320=_xlfn.MINIFS($N$2:$N$5001,$B$2:$B$5001,B3320),1,0))</f>
        <v/>
      </c>
      <c r="K3320" s="16" t="str">
        <f aca="false">IF(B3320="","",IF(AND(D3320="Formalização",E3320="Concluído"),IF(COUNTIFS($B$2:$B$5001,B3320,$E$2:$E$5001,"Em ajustes",$N$2:$N$5001,"&lt;"&amp;I3320)&gt;0,1,0),0))</f>
        <v/>
      </c>
      <c r="L3320" s="16" t="str">
        <f aca="false">IF(B3320="","",IF(N3320=_xlfn.MAXIFS($N$2:$N$5001,$B$2:$B$5001,B3320,$I$2:$I$5001,I3320),1,0))</f>
        <v/>
      </c>
      <c r="M3320" s="16" t="str">
        <f aca="false">IF(B3320="","",IF(E3320="Em ajustes",IF(N3320=_xlfn.MINIFS($N$2:$N$5001,$B$2:$B$5001,B3320,$E$2:$E$5001,"Em ajustes"),1,0),0))</f>
        <v/>
      </c>
      <c r="N3320" s="17" t="str">
        <f aca="false">IF(A3320="","",IF(ISNUMBER(A3320),A3320,IFERROR(DATE(VALUE(MID(A3320,7,4)),VALUE(MID(A3320,4,2)),VALUE(MID(A3320,1,2)))+TIME(VALUE(MID(A3320,12,2)),VALUE(MID(A3320,15,2)),VALUE(MID(A3320,18,2))),"")))</f>
        <v/>
      </c>
    </row>
    <row r="3321" customFormat="false" ht="15" hidden="false" customHeight="false" outlineLevel="0" collapsed="false">
      <c r="I3321" s="15" t="str">
        <f aca="false">IF(N3321="","",INT(N3321))</f>
        <v/>
      </c>
      <c r="J3321" s="16" t="str">
        <f aca="false">IF(B3321="","",IF(N3321=_xlfn.MINIFS($N$2:$N$5001,$B$2:$B$5001,B3321),1,0))</f>
        <v/>
      </c>
      <c r="K3321" s="16" t="str">
        <f aca="false">IF(B3321="","",IF(AND(D3321="Formalização",E3321="Concluído"),IF(COUNTIFS($B$2:$B$5001,B3321,$E$2:$E$5001,"Em ajustes",$N$2:$N$5001,"&lt;"&amp;I3321)&gt;0,1,0),0))</f>
        <v/>
      </c>
      <c r="L3321" s="16" t="str">
        <f aca="false">IF(B3321="","",IF(N3321=_xlfn.MAXIFS($N$2:$N$5001,$B$2:$B$5001,B3321,$I$2:$I$5001,I3321),1,0))</f>
        <v/>
      </c>
      <c r="M3321" s="16" t="str">
        <f aca="false">IF(B3321="","",IF(E3321="Em ajustes",IF(N3321=_xlfn.MINIFS($N$2:$N$5001,$B$2:$B$5001,B3321,$E$2:$E$5001,"Em ajustes"),1,0),0))</f>
        <v/>
      </c>
      <c r="N3321" s="17" t="str">
        <f aca="false">IF(A3321="","",IF(ISNUMBER(A3321),A3321,IFERROR(DATE(VALUE(MID(A3321,7,4)),VALUE(MID(A3321,4,2)),VALUE(MID(A3321,1,2)))+TIME(VALUE(MID(A3321,12,2)),VALUE(MID(A3321,15,2)),VALUE(MID(A3321,18,2))),"")))</f>
        <v/>
      </c>
    </row>
    <row r="3322" customFormat="false" ht="15" hidden="false" customHeight="false" outlineLevel="0" collapsed="false">
      <c r="I3322" s="15" t="str">
        <f aca="false">IF(N3322="","",INT(N3322))</f>
        <v/>
      </c>
      <c r="J3322" s="16" t="str">
        <f aca="false">IF(B3322="","",IF(N3322=_xlfn.MINIFS($N$2:$N$5001,$B$2:$B$5001,B3322),1,0))</f>
        <v/>
      </c>
      <c r="K3322" s="16" t="str">
        <f aca="false">IF(B3322="","",IF(AND(D3322="Formalização",E3322="Concluído"),IF(COUNTIFS($B$2:$B$5001,B3322,$E$2:$E$5001,"Em ajustes",$N$2:$N$5001,"&lt;"&amp;I3322)&gt;0,1,0),0))</f>
        <v/>
      </c>
      <c r="L3322" s="16" t="str">
        <f aca="false">IF(B3322="","",IF(N3322=_xlfn.MAXIFS($N$2:$N$5001,$B$2:$B$5001,B3322,$I$2:$I$5001,I3322),1,0))</f>
        <v/>
      </c>
      <c r="M3322" s="16" t="str">
        <f aca="false">IF(B3322="","",IF(E3322="Em ajustes",IF(N3322=_xlfn.MINIFS($N$2:$N$5001,$B$2:$B$5001,B3322,$E$2:$E$5001,"Em ajustes"),1,0),0))</f>
        <v/>
      </c>
      <c r="N3322" s="17" t="str">
        <f aca="false">IF(A3322="","",IF(ISNUMBER(A3322),A3322,IFERROR(DATE(VALUE(MID(A3322,7,4)),VALUE(MID(A3322,4,2)),VALUE(MID(A3322,1,2)))+TIME(VALUE(MID(A3322,12,2)),VALUE(MID(A3322,15,2)),VALUE(MID(A3322,18,2))),"")))</f>
        <v/>
      </c>
    </row>
    <row r="3323" customFormat="false" ht="15" hidden="false" customHeight="false" outlineLevel="0" collapsed="false">
      <c r="I3323" s="15" t="str">
        <f aca="false">IF(N3323="","",INT(N3323))</f>
        <v/>
      </c>
      <c r="J3323" s="16" t="str">
        <f aca="false">IF(B3323="","",IF(N3323=_xlfn.MINIFS($N$2:$N$5001,$B$2:$B$5001,B3323),1,0))</f>
        <v/>
      </c>
      <c r="K3323" s="16" t="str">
        <f aca="false">IF(B3323="","",IF(AND(D3323="Formalização",E3323="Concluído"),IF(COUNTIFS($B$2:$B$5001,B3323,$E$2:$E$5001,"Em ajustes",$N$2:$N$5001,"&lt;"&amp;I3323)&gt;0,1,0),0))</f>
        <v/>
      </c>
      <c r="L3323" s="16" t="str">
        <f aca="false">IF(B3323="","",IF(N3323=_xlfn.MAXIFS($N$2:$N$5001,$B$2:$B$5001,B3323,$I$2:$I$5001,I3323),1,0))</f>
        <v/>
      </c>
      <c r="M3323" s="16" t="str">
        <f aca="false">IF(B3323="","",IF(E3323="Em ajustes",IF(N3323=_xlfn.MINIFS($N$2:$N$5001,$B$2:$B$5001,B3323,$E$2:$E$5001,"Em ajustes"),1,0),0))</f>
        <v/>
      </c>
      <c r="N3323" s="17" t="str">
        <f aca="false">IF(A3323="","",IF(ISNUMBER(A3323),A3323,IFERROR(DATE(VALUE(MID(A3323,7,4)),VALUE(MID(A3323,4,2)),VALUE(MID(A3323,1,2)))+TIME(VALUE(MID(A3323,12,2)),VALUE(MID(A3323,15,2)),VALUE(MID(A3323,18,2))),"")))</f>
        <v/>
      </c>
    </row>
    <row r="3324" customFormat="false" ht="15" hidden="false" customHeight="false" outlineLevel="0" collapsed="false">
      <c r="I3324" s="15" t="str">
        <f aca="false">IF(N3324="","",INT(N3324))</f>
        <v/>
      </c>
      <c r="J3324" s="16" t="str">
        <f aca="false">IF(B3324="","",IF(N3324=_xlfn.MINIFS($N$2:$N$5001,$B$2:$B$5001,B3324),1,0))</f>
        <v/>
      </c>
      <c r="K3324" s="16" t="str">
        <f aca="false">IF(B3324="","",IF(AND(D3324="Formalização",E3324="Concluído"),IF(COUNTIFS($B$2:$B$5001,B3324,$E$2:$E$5001,"Em ajustes",$N$2:$N$5001,"&lt;"&amp;I3324)&gt;0,1,0),0))</f>
        <v/>
      </c>
      <c r="L3324" s="16" t="str">
        <f aca="false">IF(B3324="","",IF(N3324=_xlfn.MAXIFS($N$2:$N$5001,$B$2:$B$5001,B3324,$I$2:$I$5001,I3324),1,0))</f>
        <v/>
      </c>
      <c r="M3324" s="16" t="str">
        <f aca="false">IF(B3324="","",IF(E3324="Em ajustes",IF(N3324=_xlfn.MINIFS($N$2:$N$5001,$B$2:$B$5001,B3324,$E$2:$E$5001,"Em ajustes"),1,0),0))</f>
        <v/>
      </c>
      <c r="N3324" s="17" t="str">
        <f aca="false">IF(A3324="","",IF(ISNUMBER(A3324),A3324,IFERROR(DATE(VALUE(MID(A3324,7,4)),VALUE(MID(A3324,4,2)),VALUE(MID(A3324,1,2)))+TIME(VALUE(MID(A3324,12,2)),VALUE(MID(A3324,15,2)),VALUE(MID(A3324,18,2))),"")))</f>
        <v/>
      </c>
    </row>
    <row r="3325" customFormat="false" ht="15" hidden="false" customHeight="false" outlineLevel="0" collapsed="false">
      <c r="I3325" s="15" t="str">
        <f aca="false">IF(N3325="","",INT(N3325))</f>
        <v/>
      </c>
      <c r="J3325" s="16" t="str">
        <f aca="false">IF(B3325="","",IF(N3325=_xlfn.MINIFS($N$2:$N$5001,$B$2:$B$5001,B3325),1,0))</f>
        <v/>
      </c>
      <c r="K3325" s="16" t="str">
        <f aca="false">IF(B3325="","",IF(AND(D3325="Formalização",E3325="Concluído"),IF(COUNTIFS($B$2:$B$5001,B3325,$E$2:$E$5001,"Em ajustes",$N$2:$N$5001,"&lt;"&amp;I3325)&gt;0,1,0),0))</f>
        <v/>
      </c>
      <c r="L3325" s="16" t="str">
        <f aca="false">IF(B3325="","",IF(N3325=_xlfn.MAXIFS($N$2:$N$5001,$B$2:$B$5001,B3325,$I$2:$I$5001,I3325),1,0))</f>
        <v/>
      </c>
      <c r="M3325" s="16" t="str">
        <f aca="false">IF(B3325="","",IF(E3325="Em ajustes",IF(N3325=_xlfn.MINIFS($N$2:$N$5001,$B$2:$B$5001,B3325,$E$2:$E$5001,"Em ajustes"),1,0),0))</f>
        <v/>
      </c>
      <c r="N3325" s="17" t="str">
        <f aca="false">IF(A3325="","",IF(ISNUMBER(A3325),A3325,IFERROR(DATE(VALUE(MID(A3325,7,4)),VALUE(MID(A3325,4,2)),VALUE(MID(A3325,1,2)))+TIME(VALUE(MID(A3325,12,2)),VALUE(MID(A3325,15,2)),VALUE(MID(A3325,18,2))),"")))</f>
        <v/>
      </c>
    </row>
    <row r="3326" customFormat="false" ht="15" hidden="false" customHeight="false" outlineLevel="0" collapsed="false">
      <c r="I3326" s="15" t="str">
        <f aca="false">IF(N3326="","",INT(N3326))</f>
        <v/>
      </c>
      <c r="J3326" s="16" t="str">
        <f aca="false">IF(B3326="","",IF(N3326=_xlfn.MINIFS($N$2:$N$5001,$B$2:$B$5001,B3326),1,0))</f>
        <v/>
      </c>
      <c r="K3326" s="16" t="str">
        <f aca="false">IF(B3326="","",IF(AND(D3326="Formalização",E3326="Concluído"),IF(COUNTIFS($B$2:$B$5001,B3326,$E$2:$E$5001,"Em ajustes",$N$2:$N$5001,"&lt;"&amp;I3326)&gt;0,1,0),0))</f>
        <v/>
      </c>
      <c r="L3326" s="16" t="str">
        <f aca="false">IF(B3326="","",IF(N3326=_xlfn.MAXIFS($N$2:$N$5001,$B$2:$B$5001,B3326,$I$2:$I$5001,I3326),1,0))</f>
        <v/>
      </c>
      <c r="M3326" s="16" t="str">
        <f aca="false">IF(B3326="","",IF(E3326="Em ajustes",IF(N3326=_xlfn.MINIFS($N$2:$N$5001,$B$2:$B$5001,B3326,$E$2:$E$5001,"Em ajustes"),1,0),0))</f>
        <v/>
      </c>
      <c r="N3326" s="17" t="str">
        <f aca="false">IF(A3326="","",IF(ISNUMBER(A3326),A3326,IFERROR(DATE(VALUE(MID(A3326,7,4)),VALUE(MID(A3326,4,2)),VALUE(MID(A3326,1,2)))+TIME(VALUE(MID(A3326,12,2)),VALUE(MID(A3326,15,2)),VALUE(MID(A3326,18,2))),"")))</f>
        <v/>
      </c>
    </row>
    <row r="3327" customFormat="false" ht="15" hidden="false" customHeight="false" outlineLevel="0" collapsed="false">
      <c r="I3327" s="15" t="str">
        <f aca="false">IF(N3327="","",INT(N3327))</f>
        <v/>
      </c>
      <c r="J3327" s="16" t="str">
        <f aca="false">IF(B3327="","",IF(N3327=_xlfn.MINIFS($N$2:$N$5001,$B$2:$B$5001,B3327),1,0))</f>
        <v/>
      </c>
      <c r="K3327" s="16" t="str">
        <f aca="false">IF(B3327="","",IF(AND(D3327="Formalização",E3327="Concluído"),IF(COUNTIFS($B$2:$B$5001,B3327,$E$2:$E$5001,"Em ajustes",$N$2:$N$5001,"&lt;"&amp;I3327)&gt;0,1,0),0))</f>
        <v/>
      </c>
      <c r="L3327" s="16" t="str">
        <f aca="false">IF(B3327="","",IF(N3327=_xlfn.MAXIFS($N$2:$N$5001,$B$2:$B$5001,B3327,$I$2:$I$5001,I3327),1,0))</f>
        <v/>
      </c>
      <c r="M3327" s="16" t="str">
        <f aca="false">IF(B3327="","",IF(E3327="Em ajustes",IF(N3327=_xlfn.MINIFS($N$2:$N$5001,$B$2:$B$5001,B3327,$E$2:$E$5001,"Em ajustes"),1,0),0))</f>
        <v/>
      </c>
      <c r="N3327" s="17" t="str">
        <f aca="false">IF(A3327="","",IF(ISNUMBER(A3327),A3327,IFERROR(DATE(VALUE(MID(A3327,7,4)),VALUE(MID(A3327,4,2)),VALUE(MID(A3327,1,2)))+TIME(VALUE(MID(A3327,12,2)),VALUE(MID(A3327,15,2)),VALUE(MID(A3327,18,2))),"")))</f>
        <v/>
      </c>
    </row>
    <row r="3328" customFormat="false" ht="15" hidden="false" customHeight="false" outlineLevel="0" collapsed="false">
      <c r="I3328" s="15" t="str">
        <f aca="false">IF(N3328="","",INT(N3328))</f>
        <v/>
      </c>
      <c r="J3328" s="16" t="str">
        <f aca="false">IF(B3328="","",IF(N3328=_xlfn.MINIFS($N$2:$N$5001,$B$2:$B$5001,B3328),1,0))</f>
        <v/>
      </c>
      <c r="K3328" s="16" t="str">
        <f aca="false">IF(B3328="","",IF(AND(D3328="Formalização",E3328="Concluído"),IF(COUNTIFS($B$2:$B$5001,B3328,$E$2:$E$5001,"Em ajustes",$N$2:$N$5001,"&lt;"&amp;I3328)&gt;0,1,0),0))</f>
        <v/>
      </c>
      <c r="L3328" s="16" t="str">
        <f aca="false">IF(B3328="","",IF(N3328=_xlfn.MAXIFS($N$2:$N$5001,$B$2:$B$5001,B3328,$I$2:$I$5001,I3328),1,0))</f>
        <v/>
      </c>
      <c r="M3328" s="16" t="str">
        <f aca="false">IF(B3328="","",IF(E3328="Em ajustes",IF(N3328=_xlfn.MINIFS($N$2:$N$5001,$B$2:$B$5001,B3328,$E$2:$E$5001,"Em ajustes"),1,0),0))</f>
        <v/>
      </c>
      <c r="N3328" s="17" t="str">
        <f aca="false">IF(A3328="","",IF(ISNUMBER(A3328),A3328,IFERROR(DATE(VALUE(MID(A3328,7,4)),VALUE(MID(A3328,4,2)),VALUE(MID(A3328,1,2)))+TIME(VALUE(MID(A3328,12,2)),VALUE(MID(A3328,15,2)),VALUE(MID(A3328,18,2))),"")))</f>
        <v/>
      </c>
    </row>
    <row r="3329" customFormat="false" ht="15" hidden="false" customHeight="false" outlineLevel="0" collapsed="false">
      <c r="I3329" s="15" t="str">
        <f aca="false">IF(N3329="","",INT(N3329))</f>
        <v/>
      </c>
      <c r="J3329" s="16" t="str">
        <f aca="false">IF(B3329="","",IF(N3329=_xlfn.MINIFS($N$2:$N$5001,$B$2:$B$5001,B3329),1,0))</f>
        <v/>
      </c>
      <c r="K3329" s="16" t="str">
        <f aca="false">IF(B3329="","",IF(AND(D3329="Formalização",E3329="Concluído"),IF(COUNTIFS($B$2:$B$5001,B3329,$E$2:$E$5001,"Em ajustes",$N$2:$N$5001,"&lt;"&amp;I3329)&gt;0,1,0),0))</f>
        <v/>
      </c>
      <c r="L3329" s="16" t="str">
        <f aca="false">IF(B3329="","",IF(N3329=_xlfn.MAXIFS($N$2:$N$5001,$B$2:$B$5001,B3329,$I$2:$I$5001,I3329),1,0))</f>
        <v/>
      </c>
      <c r="M3329" s="16" t="str">
        <f aca="false">IF(B3329="","",IF(E3329="Em ajustes",IF(N3329=_xlfn.MINIFS($N$2:$N$5001,$B$2:$B$5001,B3329,$E$2:$E$5001,"Em ajustes"),1,0),0))</f>
        <v/>
      </c>
      <c r="N3329" s="17" t="str">
        <f aca="false">IF(A3329="","",IF(ISNUMBER(A3329),A3329,IFERROR(DATE(VALUE(MID(A3329,7,4)),VALUE(MID(A3329,4,2)),VALUE(MID(A3329,1,2)))+TIME(VALUE(MID(A3329,12,2)),VALUE(MID(A3329,15,2)),VALUE(MID(A3329,18,2))),"")))</f>
        <v/>
      </c>
    </row>
    <row r="3330" customFormat="false" ht="15" hidden="false" customHeight="false" outlineLevel="0" collapsed="false">
      <c r="I3330" s="15" t="str">
        <f aca="false">IF(N3330="","",INT(N3330))</f>
        <v/>
      </c>
      <c r="J3330" s="16" t="str">
        <f aca="false">IF(B3330="","",IF(N3330=_xlfn.MINIFS($N$2:$N$5001,$B$2:$B$5001,B3330),1,0))</f>
        <v/>
      </c>
      <c r="K3330" s="16" t="str">
        <f aca="false">IF(B3330="","",IF(AND(D3330="Formalização",E3330="Concluído"),IF(COUNTIFS($B$2:$B$5001,B3330,$E$2:$E$5001,"Em ajustes",$N$2:$N$5001,"&lt;"&amp;I3330)&gt;0,1,0),0))</f>
        <v/>
      </c>
      <c r="L3330" s="16" t="str">
        <f aca="false">IF(B3330="","",IF(N3330=_xlfn.MAXIFS($N$2:$N$5001,$B$2:$B$5001,B3330,$I$2:$I$5001,I3330),1,0))</f>
        <v/>
      </c>
      <c r="M3330" s="16" t="str">
        <f aca="false">IF(B3330="","",IF(E3330="Em ajustes",IF(N3330=_xlfn.MINIFS($N$2:$N$5001,$B$2:$B$5001,B3330,$E$2:$E$5001,"Em ajustes"),1,0),0))</f>
        <v/>
      </c>
      <c r="N3330" s="17" t="str">
        <f aca="false">IF(A3330="","",IF(ISNUMBER(A3330),A3330,IFERROR(DATE(VALUE(MID(A3330,7,4)),VALUE(MID(A3330,4,2)),VALUE(MID(A3330,1,2)))+TIME(VALUE(MID(A3330,12,2)),VALUE(MID(A3330,15,2)),VALUE(MID(A3330,18,2))),"")))</f>
        <v/>
      </c>
    </row>
    <row r="3331" customFormat="false" ht="15" hidden="false" customHeight="false" outlineLevel="0" collapsed="false">
      <c r="I3331" s="15" t="str">
        <f aca="false">IF(N3331="","",INT(N3331))</f>
        <v/>
      </c>
      <c r="J3331" s="16" t="str">
        <f aca="false">IF(B3331="","",IF(N3331=_xlfn.MINIFS($N$2:$N$5001,$B$2:$B$5001,B3331),1,0))</f>
        <v/>
      </c>
      <c r="K3331" s="16" t="str">
        <f aca="false">IF(B3331="","",IF(AND(D3331="Formalização",E3331="Concluído"),IF(COUNTIFS($B$2:$B$5001,B3331,$E$2:$E$5001,"Em ajustes",$N$2:$N$5001,"&lt;"&amp;I3331)&gt;0,1,0),0))</f>
        <v/>
      </c>
      <c r="L3331" s="16" t="str">
        <f aca="false">IF(B3331="","",IF(N3331=_xlfn.MAXIFS($N$2:$N$5001,$B$2:$B$5001,B3331,$I$2:$I$5001,I3331),1,0))</f>
        <v/>
      </c>
      <c r="M3331" s="16" t="str">
        <f aca="false">IF(B3331="","",IF(E3331="Em ajustes",IF(N3331=_xlfn.MINIFS($N$2:$N$5001,$B$2:$B$5001,B3331,$E$2:$E$5001,"Em ajustes"),1,0),0))</f>
        <v/>
      </c>
      <c r="N3331" s="17" t="str">
        <f aca="false">IF(A3331="","",IF(ISNUMBER(A3331),A3331,IFERROR(DATE(VALUE(MID(A3331,7,4)),VALUE(MID(A3331,4,2)),VALUE(MID(A3331,1,2)))+TIME(VALUE(MID(A3331,12,2)),VALUE(MID(A3331,15,2)),VALUE(MID(A3331,18,2))),"")))</f>
        <v/>
      </c>
    </row>
    <row r="3332" customFormat="false" ht="15" hidden="false" customHeight="false" outlineLevel="0" collapsed="false">
      <c r="I3332" s="15" t="str">
        <f aca="false">IF(N3332="","",INT(N3332))</f>
        <v/>
      </c>
      <c r="J3332" s="16" t="str">
        <f aca="false">IF(B3332="","",IF(N3332=_xlfn.MINIFS($N$2:$N$5001,$B$2:$B$5001,B3332),1,0))</f>
        <v/>
      </c>
      <c r="K3332" s="16" t="str">
        <f aca="false">IF(B3332="","",IF(AND(D3332="Formalização",E3332="Concluído"),IF(COUNTIFS($B$2:$B$5001,B3332,$E$2:$E$5001,"Em ajustes",$N$2:$N$5001,"&lt;"&amp;I3332)&gt;0,1,0),0))</f>
        <v/>
      </c>
      <c r="L3332" s="16" t="str">
        <f aca="false">IF(B3332="","",IF(N3332=_xlfn.MAXIFS($N$2:$N$5001,$B$2:$B$5001,B3332,$I$2:$I$5001,I3332),1,0))</f>
        <v/>
      </c>
      <c r="M3332" s="16" t="str">
        <f aca="false">IF(B3332="","",IF(E3332="Em ajustes",IF(N3332=_xlfn.MINIFS($N$2:$N$5001,$B$2:$B$5001,B3332,$E$2:$E$5001,"Em ajustes"),1,0),0))</f>
        <v/>
      </c>
      <c r="N3332" s="17" t="str">
        <f aca="false">IF(A3332="","",IF(ISNUMBER(A3332),A3332,IFERROR(DATE(VALUE(MID(A3332,7,4)),VALUE(MID(A3332,4,2)),VALUE(MID(A3332,1,2)))+TIME(VALUE(MID(A3332,12,2)),VALUE(MID(A3332,15,2)),VALUE(MID(A3332,18,2))),"")))</f>
        <v/>
      </c>
    </row>
    <row r="3333" customFormat="false" ht="15" hidden="false" customHeight="false" outlineLevel="0" collapsed="false">
      <c r="I3333" s="15" t="str">
        <f aca="false">IF(N3333="","",INT(N3333))</f>
        <v/>
      </c>
      <c r="J3333" s="16" t="str">
        <f aca="false">IF(B3333="","",IF(N3333=_xlfn.MINIFS($N$2:$N$5001,$B$2:$B$5001,B3333),1,0))</f>
        <v/>
      </c>
      <c r="K3333" s="16" t="str">
        <f aca="false">IF(B3333="","",IF(AND(D3333="Formalização",E3333="Concluído"),IF(COUNTIFS($B$2:$B$5001,B3333,$E$2:$E$5001,"Em ajustes",$N$2:$N$5001,"&lt;"&amp;I3333)&gt;0,1,0),0))</f>
        <v/>
      </c>
      <c r="L3333" s="16" t="str">
        <f aca="false">IF(B3333="","",IF(N3333=_xlfn.MAXIFS($N$2:$N$5001,$B$2:$B$5001,B3333,$I$2:$I$5001,I3333),1,0))</f>
        <v/>
      </c>
      <c r="M3333" s="16" t="str">
        <f aca="false">IF(B3333="","",IF(E3333="Em ajustes",IF(N3333=_xlfn.MINIFS($N$2:$N$5001,$B$2:$B$5001,B3333,$E$2:$E$5001,"Em ajustes"),1,0),0))</f>
        <v/>
      </c>
      <c r="N3333" s="17" t="str">
        <f aca="false">IF(A3333="","",IF(ISNUMBER(A3333),A3333,IFERROR(DATE(VALUE(MID(A3333,7,4)),VALUE(MID(A3333,4,2)),VALUE(MID(A3333,1,2)))+TIME(VALUE(MID(A3333,12,2)),VALUE(MID(A3333,15,2)),VALUE(MID(A3333,18,2))),"")))</f>
        <v/>
      </c>
    </row>
    <row r="3334" customFormat="false" ht="15" hidden="false" customHeight="false" outlineLevel="0" collapsed="false">
      <c r="I3334" s="15" t="str">
        <f aca="false">IF(N3334="","",INT(N3334))</f>
        <v/>
      </c>
      <c r="J3334" s="16" t="str">
        <f aca="false">IF(B3334="","",IF(N3334=_xlfn.MINIFS($N$2:$N$5001,$B$2:$B$5001,B3334),1,0))</f>
        <v/>
      </c>
      <c r="K3334" s="16" t="str">
        <f aca="false">IF(B3334="","",IF(AND(D3334="Formalização",E3334="Concluído"),IF(COUNTIFS($B$2:$B$5001,B3334,$E$2:$E$5001,"Em ajustes",$N$2:$N$5001,"&lt;"&amp;I3334)&gt;0,1,0),0))</f>
        <v/>
      </c>
      <c r="L3334" s="16" t="str">
        <f aca="false">IF(B3334="","",IF(N3334=_xlfn.MAXIFS($N$2:$N$5001,$B$2:$B$5001,B3334,$I$2:$I$5001,I3334),1,0))</f>
        <v/>
      </c>
      <c r="M3334" s="16" t="str">
        <f aca="false">IF(B3334="","",IF(E3334="Em ajustes",IF(N3334=_xlfn.MINIFS($N$2:$N$5001,$B$2:$B$5001,B3334,$E$2:$E$5001,"Em ajustes"),1,0),0))</f>
        <v/>
      </c>
      <c r="N3334" s="17" t="str">
        <f aca="false">IF(A3334="","",IF(ISNUMBER(A3334),A3334,IFERROR(DATE(VALUE(MID(A3334,7,4)),VALUE(MID(A3334,4,2)),VALUE(MID(A3334,1,2)))+TIME(VALUE(MID(A3334,12,2)),VALUE(MID(A3334,15,2)),VALUE(MID(A3334,18,2))),"")))</f>
        <v/>
      </c>
    </row>
    <row r="3335" customFormat="false" ht="15" hidden="false" customHeight="false" outlineLevel="0" collapsed="false">
      <c r="I3335" s="15" t="str">
        <f aca="false">IF(N3335="","",INT(N3335))</f>
        <v/>
      </c>
      <c r="J3335" s="16" t="str">
        <f aca="false">IF(B3335="","",IF(N3335=_xlfn.MINIFS($N$2:$N$5001,$B$2:$B$5001,B3335),1,0))</f>
        <v/>
      </c>
      <c r="K3335" s="16" t="str">
        <f aca="false">IF(B3335="","",IF(AND(D3335="Formalização",E3335="Concluído"),IF(COUNTIFS($B$2:$B$5001,B3335,$E$2:$E$5001,"Em ajustes",$N$2:$N$5001,"&lt;"&amp;I3335)&gt;0,1,0),0))</f>
        <v/>
      </c>
      <c r="L3335" s="16" t="str">
        <f aca="false">IF(B3335="","",IF(N3335=_xlfn.MAXIFS($N$2:$N$5001,$B$2:$B$5001,B3335,$I$2:$I$5001,I3335),1,0))</f>
        <v/>
      </c>
      <c r="M3335" s="16" t="str">
        <f aca="false">IF(B3335="","",IF(E3335="Em ajustes",IF(N3335=_xlfn.MINIFS($N$2:$N$5001,$B$2:$B$5001,B3335,$E$2:$E$5001,"Em ajustes"),1,0),0))</f>
        <v/>
      </c>
      <c r="N3335" s="17" t="str">
        <f aca="false">IF(A3335="","",IF(ISNUMBER(A3335),A3335,IFERROR(DATE(VALUE(MID(A3335,7,4)),VALUE(MID(A3335,4,2)),VALUE(MID(A3335,1,2)))+TIME(VALUE(MID(A3335,12,2)),VALUE(MID(A3335,15,2)),VALUE(MID(A3335,18,2))),"")))</f>
        <v/>
      </c>
    </row>
    <row r="3336" customFormat="false" ht="15" hidden="false" customHeight="false" outlineLevel="0" collapsed="false">
      <c r="I3336" s="15" t="str">
        <f aca="false">IF(N3336="","",INT(N3336))</f>
        <v/>
      </c>
      <c r="J3336" s="16" t="str">
        <f aca="false">IF(B3336="","",IF(N3336=_xlfn.MINIFS($N$2:$N$5001,$B$2:$B$5001,B3336),1,0))</f>
        <v/>
      </c>
      <c r="K3336" s="16" t="str">
        <f aca="false">IF(B3336="","",IF(AND(D3336="Formalização",E3336="Concluído"),IF(COUNTIFS($B$2:$B$5001,B3336,$E$2:$E$5001,"Em ajustes",$N$2:$N$5001,"&lt;"&amp;I3336)&gt;0,1,0),0))</f>
        <v/>
      </c>
      <c r="L3336" s="16" t="str">
        <f aca="false">IF(B3336="","",IF(N3336=_xlfn.MAXIFS($N$2:$N$5001,$B$2:$B$5001,B3336,$I$2:$I$5001,I3336),1,0))</f>
        <v/>
      </c>
      <c r="M3336" s="16" t="str">
        <f aca="false">IF(B3336="","",IF(E3336="Em ajustes",IF(N3336=_xlfn.MINIFS($N$2:$N$5001,$B$2:$B$5001,B3336,$E$2:$E$5001,"Em ajustes"),1,0),0))</f>
        <v/>
      </c>
      <c r="N3336" s="17" t="str">
        <f aca="false">IF(A3336="","",IF(ISNUMBER(A3336),A3336,IFERROR(DATE(VALUE(MID(A3336,7,4)),VALUE(MID(A3336,4,2)),VALUE(MID(A3336,1,2)))+TIME(VALUE(MID(A3336,12,2)),VALUE(MID(A3336,15,2)),VALUE(MID(A3336,18,2))),"")))</f>
        <v/>
      </c>
    </row>
    <row r="3337" customFormat="false" ht="15" hidden="false" customHeight="false" outlineLevel="0" collapsed="false">
      <c r="I3337" s="15" t="str">
        <f aca="false">IF(N3337="","",INT(N3337))</f>
        <v/>
      </c>
      <c r="J3337" s="16" t="str">
        <f aca="false">IF(B3337="","",IF(N3337=_xlfn.MINIFS($N$2:$N$5001,$B$2:$B$5001,B3337),1,0))</f>
        <v/>
      </c>
      <c r="K3337" s="16" t="str">
        <f aca="false">IF(B3337="","",IF(AND(D3337="Formalização",E3337="Concluído"),IF(COUNTIFS($B$2:$B$5001,B3337,$E$2:$E$5001,"Em ajustes",$N$2:$N$5001,"&lt;"&amp;I3337)&gt;0,1,0),0))</f>
        <v/>
      </c>
      <c r="L3337" s="16" t="str">
        <f aca="false">IF(B3337="","",IF(N3337=_xlfn.MAXIFS($N$2:$N$5001,$B$2:$B$5001,B3337,$I$2:$I$5001,I3337),1,0))</f>
        <v/>
      </c>
      <c r="M3337" s="16" t="str">
        <f aca="false">IF(B3337="","",IF(E3337="Em ajustes",IF(N3337=_xlfn.MINIFS($N$2:$N$5001,$B$2:$B$5001,B3337,$E$2:$E$5001,"Em ajustes"),1,0),0))</f>
        <v/>
      </c>
      <c r="N3337" s="17" t="str">
        <f aca="false">IF(A3337="","",IF(ISNUMBER(A3337),A3337,IFERROR(DATE(VALUE(MID(A3337,7,4)),VALUE(MID(A3337,4,2)),VALUE(MID(A3337,1,2)))+TIME(VALUE(MID(A3337,12,2)),VALUE(MID(A3337,15,2)),VALUE(MID(A3337,18,2))),"")))</f>
        <v/>
      </c>
    </row>
    <row r="3338" customFormat="false" ht="15" hidden="false" customHeight="false" outlineLevel="0" collapsed="false">
      <c r="I3338" s="15" t="str">
        <f aca="false">IF(N3338="","",INT(N3338))</f>
        <v/>
      </c>
      <c r="J3338" s="16" t="str">
        <f aca="false">IF(B3338="","",IF(N3338=_xlfn.MINIFS($N$2:$N$5001,$B$2:$B$5001,B3338),1,0))</f>
        <v/>
      </c>
      <c r="K3338" s="16" t="str">
        <f aca="false">IF(B3338="","",IF(AND(D3338="Formalização",E3338="Concluído"),IF(COUNTIFS($B$2:$B$5001,B3338,$E$2:$E$5001,"Em ajustes",$N$2:$N$5001,"&lt;"&amp;I3338)&gt;0,1,0),0))</f>
        <v/>
      </c>
      <c r="L3338" s="16" t="str">
        <f aca="false">IF(B3338="","",IF(N3338=_xlfn.MAXIFS($N$2:$N$5001,$B$2:$B$5001,B3338,$I$2:$I$5001,I3338),1,0))</f>
        <v/>
      </c>
      <c r="M3338" s="16" t="str">
        <f aca="false">IF(B3338="","",IF(E3338="Em ajustes",IF(N3338=_xlfn.MINIFS($N$2:$N$5001,$B$2:$B$5001,B3338,$E$2:$E$5001,"Em ajustes"),1,0),0))</f>
        <v/>
      </c>
      <c r="N3338" s="17" t="str">
        <f aca="false">IF(A3338="","",IF(ISNUMBER(A3338),A3338,IFERROR(DATE(VALUE(MID(A3338,7,4)),VALUE(MID(A3338,4,2)),VALUE(MID(A3338,1,2)))+TIME(VALUE(MID(A3338,12,2)),VALUE(MID(A3338,15,2)),VALUE(MID(A3338,18,2))),"")))</f>
        <v/>
      </c>
    </row>
    <row r="3339" customFormat="false" ht="15" hidden="false" customHeight="false" outlineLevel="0" collapsed="false">
      <c r="I3339" s="15" t="str">
        <f aca="false">IF(N3339="","",INT(N3339))</f>
        <v/>
      </c>
      <c r="J3339" s="16" t="str">
        <f aca="false">IF(B3339="","",IF(N3339=_xlfn.MINIFS($N$2:$N$5001,$B$2:$B$5001,B3339),1,0))</f>
        <v/>
      </c>
      <c r="K3339" s="16" t="str">
        <f aca="false">IF(B3339="","",IF(AND(D3339="Formalização",E3339="Concluído"),IF(COUNTIFS($B$2:$B$5001,B3339,$E$2:$E$5001,"Em ajustes",$N$2:$N$5001,"&lt;"&amp;I3339)&gt;0,1,0),0))</f>
        <v/>
      </c>
      <c r="L3339" s="16" t="str">
        <f aca="false">IF(B3339="","",IF(N3339=_xlfn.MAXIFS($N$2:$N$5001,$B$2:$B$5001,B3339,$I$2:$I$5001,I3339),1,0))</f>
        <v/>
      </c>
      <c r="M3339" s="16" t="str">
        <f aca="false">IF(B3339="","",IF(E3339="Em ajustes",IF(N3339=_xlfn.MINIFS($N$2:$N$5001,$B$2:$B$5001,B3339,$E$2:$E$5001,"Em ajustes"),1,0),0))</f>
        <v/>
      </c>
      <c r="N3339" s="17" t="str">
        <f aca="false">IF(A3339="","",IF(ISNUMBER(A3339),A3339,IFERROR(DATE(VALUE(MID(A3339,7,4)),VALUE(MID(A3339,4,2)),VALUE(MID(A3339,1,2)))+TIME(VALUE(MID(A3339,12,2)),VALUE(MID(A3339,15,2)),VALUE(MID(A3339,18,2))),"")))</f>
        <v/>
      </c>
    </row>
    <row r="3340" customFormat="false" ht="15" hidden="false" customHeight="false" outlineLevel="0" collapsed="false">
      <c r="I3340" s="15" t="str">
        <f aca="false">IF(N3340="","",INT(N3340))</f>
        <v/>
      </c>
      <c r="J3340" s="16" t="str">
        <f aca="false">IF(B3340="","",IF(N3340=_xlfn.MINIFS($N$2:$N$5001,$B$2:$B$5001,B3340),1,0))</f>
        <v/>
      </c>
      <c r="K3340" s="16" t="str">
        <f aca="false">IF(B3340="","",IF(AND(D3340="Formalização",E3340="Concluído"),IF(COUNTIFS($B$2:$B$5001,B3340,$E$2:$E$5001,"Em ajustes",$N$2:$N$5001,"&lt;"&amp;I3340)&gt;0,1,0),0))</f>
        <v/>
      </c>
      <c r="L3340" s="16" t="str">
        <f aca="false">IF(B3340="","",IF(N3340=_xlfn.MAXIFS($N$2:$N$5001,$B$2:$B$5001,B3340,$I$2:$I$5001,I3340),1,0))</f>
        <v/>
      </c>
      <c r="M3340" s="16" t="str">
        <f aca="false">IF(B3340="","",IF(E3340="Em ajustes",IF(N3340=_xlfn.MINIFS($N$2:$N$5001,$B$2:$B$5001,B3340,$E$2:$E$5001,"Em ajustes"),1,0),0))</f>
        <v/>
      </c>
      <c r="N3340" s="17" t="str">
        <f aca="false">IF(A3340="","",IF(ISNUMBER(A3340),A3340,IFERROR(DATE(VALUE(MID(A3340,7,4)),VALUE(MID(A3340,4,2)),VALUE(MID(A3340,1,2)))+TIME(VALUE(MID(A3340,12,2)),VALUE(MID(A3340,15,2)),VALUE(MID(A3340,18,2))),"")))</f>
        <v/>
      </c>
    </row>
    <row r="3341" customFormat="false" ht="15" hidden="false" customHeight="false" outlineLevel="0" collapsed="false">
      <c r="I3341" s="15" t="str">
        <f aca="false">IF(N3341="","",INT(N3341))</f>
        <v/>
      </c>
      <c r="J3341" s="16" t="str">
        <f aca="false">IF(B3341="","",IF(N3341=_xlfn.MINIFS($N$2:$N$5001,$B$2:$B$5001,B3341),1,0))</f>
        <v/>
      </c>
      <c r="K3341" s="16" t="str">
        <f aca="false">IF(B3341="","",IF(AND(D3341="Formalização",E3341="Concluído"),IF(COUNTIFS($B$2:$B$5001,B3341,$E$2:$E$5001,"Em ajustes",$N$2:$N$5001,"&lt;"&amp;I3341)&gt;0,1,0),0))</f>
        <v/>
      </c>
      <c r="L3341" s="16" t="str">
        <f aca="false">IF(B3341="","",IF(N3341=_xlfn.MAXIFS($N$2:$N$5001,$B$2:$B$5001,B3341,$I$2:$I$5001,I3341),1,0))</f>
        <v/>
      </c>
      <c r="M3341" s="16" t="str">
        <f aca="false">IF(B3341="","",IF(E3341="Em ajustes",IF(N3341=_xlfn.MINIFS($N$2:$N$5001,$B$2:$B$5001,B3341,$E$2:$E$5001,"Em ajustes"),1,0),0))</f>
        <v/>
      </c>
      <c r="N3341" s="17" t="str">
        <f aca="false">IF(A3341="","",IF(ISNUMBER(A3341),A3341,IFERROR(DATE(VALUE(MID(A3341,7,4)),VALUE(MID(A3341,4,2)),VALUE(MID(A3341,1,2)))+TIME(VALUE(MID(A3341,12,2)),VALUE(MID(A3341,15,2)),VALUE(MID(A3341,18,2))),"")))</f>
        <v/>
      </c>
    </row>
    <row r="3342" customFormat="false" ht="15" hidden="false" customHeight="false" outlineLevel="0" collapsed="false">
      <c r="I3342" s="15" t="str">
        <f aca="false">IF(N3342="","",INT(N3342))</f>
        <v/>
      </c>
      <c r="J3342" s="16" t="str">
        <f aca="false">IF(B3342="","",IF(N3342=_xlfn.MINIFS($N$2:$N$5001,$B$2:$B$5001,B3342),1,0))</f>
        <v/>
      </c>
      <c r="K3342" s="16" t="str">
        <f aca="false">IF(B3342="","",IF(AND(D3342="Formalização",E3342="Concluído"),IF(COUNTIFS($B$2:$B$5001,B3342,$E$2:$E$5001,"Em ajustes",$N$2:$N$5001,"&lt;"&amp;I3342)&gt;0,1,0),0))</f>
        <v/>
      </c>
      <c r="L3342" s="16" t="str">
        <f aca="false">IF(B3342="","",IF(N3342=_xlfn.MAXIFS($N$2:$N$5001,$B$2:$B$5001,B3342,$I$2:$I$5001,I3342),1,0))</f>
        <v/>
      </c>
      <c r="M3342" s="16" t="str">
        <f aca="false">IF(B3342="","",IF(E3342="Em ajustes",IF(N3342=_xlfn.MINIFS($N$2:$N$5001,$B$2:$B$5001,B3342,$E$2:$E$5001,"Em ajustes"),1,0),0))</f>
        <v/>
      </c>
      <c r="N3342" s="17" t="str">
        <f aca="false">IF(A3342="","",IF(ISNUMBER(A3342),A3342,IFERROR(DATE(VALUE(MID(A3342,7,4)),VALUE(MID(A3342,4,2)),VALUE(MID(A3342,1,2)))+TIME(VALUE(MID(A3342,12,2)),VALUE(MID(A3342,15,2)),VALUE(MID(A3342,18,2))),"")))</f>
        <v/>
      </c>
    </row>
    <row r="3343" customFormat="false" ht="15" hidden="false" customHeight="false" outlineLevel="0" collapsed="false">
      <c r="I3343" s="15" t="str">
        <f aca="false">IF(N3343="","",INT(N3343))</f>
        <v/>
      </c>
      <c r="J3343" s="16" t="str">
        <f aca="false">IF(B3343="","",IF(N3343=_xlfn.MINIFS($N$2:$N$5001,$B$2:$B$5001,B3343),1,0))</f>
        <v/>
      </c>
      <c r="K3343" s="16" t="str">
        <f aca="false">IF(B3343="","",IF(AND(D3343="Formalização",E3343="Concluído"),IF(COUNTIFS($B$2:$B$5001,B3343,$E$2:$E$5001,"Em ajustes",$N$2:$N$5001,"&lt;"&amp;I3343)&gt;0,1,0),0))</f>
        <v/>
      </c>
      <c r="L3343" s="16" t="str">
        <f aca="false">IF(B3343="","",IF(N3343=_xlfn.MAXIFS($N$2:$N$5001,$B$2:$B$5001,B3343,$I$2:$I$5001,I3343),1,0))</f>
        <v/>
      </c>
      <c r="M3343" s="16" t="str">
        <f aca="false">IF(B3343="","",IF(E3343="Em ajustes",IF(N3343=_xlfn.MINIFS($N$2:$N$5001,$B$2:$B$5001,B3343,$E$2:$E$5001,"Em ajustes"),1,0),0))</f>
        <v/>
      </c>
      <c r="N3343" s="17" t="str">
        <f aca="false">IF(A3343="","",IF(ISNUMBER(A3343),A3343,IFERROR(DATE(VALUE(MID(A3343,7,4)),VALUE(MID(A3343,4,2)),VALUE(MID(A3343,1,2)))+TIME(VALUE(MID(A3343,12,2)),VALUE(MID(A3343,15,2)),VALUE(MID(A3343,18,2))),"")))</f>
        <v/>
      </c>
    </row>
    <row r="3344" customFormat="false" ht="15" hidden="false" customHeight="false" outlineLevel="0" collapsed="false">
      <c r="I3344" s="15" t="str">
        <f aca="false">IF(N3344="","",INT(N3344))</f>
        <v/>
      </c>
      <c r="J3344" s="16" t="str">
        <f aca="false">IF(B3344="","",IF(N3344=_xlfn.MINIFS($N$2:$N$5001,$B$2:$B$5001,B3344),1,0))</f>
        <v/>
      </c>
      <c r="K3344" s="16" t="str">
        <f aca="false">IF(B3344="","",IF(AND(D3344="Formalização",E3344="Concluído"),IF(COUNTIFS($B$2:$B$5001,B3344,$E$2:$E$5001,"Em ajustes",$N$2:$N$5001,"&lt;"&amp;I3344)&gt;0,1,0),0))</f>
        <v/>
      </c>
      <c r="L3344" s="16" t="str">
        <f aca="false">IF(B3344="","",IF(N3344=_xlfn.MAXIFS($N$2:$N$5001,$B$2:$B$5001,B3344,$I$2:$I$5001,I3344),1,0))</f>
        <v/>
      </c>
      <c r="M3344" s="16" t="str">
        <f aca="false">IF(B3344="","",IF(E3344="Em ajustes",IF(N3344=_xlfn.MINIFS($N$2:$N$5001,$B$2:$B$5001,B3344,$E$2:$E$5001,"Em ajustes"),1,0),0))</f>
        <v/>
      </c>
      <c r="N3344" s="17" t="str">
        <f aca="false">IF(A3344="","",IF(ISNUMBER(A3344),A3344,IFERROR(DATE(VALUE(MID(A3344,7,4)),VALUE(MID(A3344,4,2)),VALUE(MID(A3344,1,2)))+TIME(VALUE(MID(A3344,12,2)),VALUE(MID(A3344,15,2)),VALUE(MID(A3344,18,2))),"")))</f>
        <v/>
      </c>
    </row>
    <row r="3345" customFormat="false" ht="15" hidden="false" customHeight="false" outlineLevel="0" collapsed="false">
      <c r="I3345" s="15" t="str">
        <f aca="false">IF(N3345="","",INT(N3345))</f>
        <v/>
      </c>
      <c r="J3345" s="16" t="str">
        <f aca="false">IF(B3345="","",IF(N3345=_xlfn.MINIFS($N$2:$N$5001,$B$2:$B$5001,B3345),1,0))</f>
        <v/>
      </c>
      <c r="K3345" s="16" t="str">
        <f aca="false">IF(B3345="","",IF(AND(D3345="Formalização",E3345="Concluído"),IF(COUNTIFS($B$2:$B$5001,B3345,$E$2:$E$5001,"Em ajustes",$N$2:$N$5001,"&lt;"&amp;I3345)&gt;0,1,0),0))</f>
        <v/>
      </c>
      <c r="L3345" s="16" t="str">
        <f aca="false">IF(B3345="","",IF(N3345=_xlfn.MAXIFS($N$2:$N$5001,$B$2:$B$5001,B3345,$I$2:$I$5001,I3345),1,0))</f>
        <v/>
      </c>
      <c r="M3345" s="16" t="str">
        <f aca="false">IF(B3345="","",IF(E3345="Em ajustes",IF(N3345=_xlfn.MINIFS($N$2:$N$5001,$B$2:$B$5001,B3345,$E$2:$E$5001,"Em ajustes"),1,0),0))</f>
        <v/>
      </c>
      <c r="N3345" s="17" t="str">
        <f aca="false">IF(A3345="","",IF(ISNUMBER(A3345),A3345,IFERROR(DATE(VALUE(MID(A3345,7,4)),VALUE(MID(A3345,4,2)),VALUE(MID(A3345,1,2)))+TIME(VALUE(MID(A3345,12,2)),VALUE(MID(A3345,15,2)),VALUE(MID(A3345,18,2))),"")))</f>
        <v/>
      </c>
    </row>
    <row r="3346" customFormat="false" ht="15" hidden="false" customHeight="false" outlineLevel="0" collapsed="false">
      <c r="I3346" s="15" t="str">
        <f aca="false">IF(N3346="","",INT(N3346))</f>
        <v/>
      </c>
      <c r="J3346" s="16" t="str">
        <f aca="false">IF(B3346="","",IF(N3346=_xlfn.MINIFS($N$2:$N$5001,$B$2:$B$5001,B3346),1,0))</f>
        <v/>
      </c>
      <c r="K3346" s="16" t="str">
        <f aca="false">IF(B3346="","",IF(AND(D3346="Formalização",E3346="Concluído"),IF(COUNTIFS($B$2:$B$5001,B3346,$E$2:$E$5001,"Em ajustes",$N$2:$N$5001,"&lt;"&amp;I3346)&gt;0,1,0),0))</f>
        <v/>
      </c>
      <c r="L3346" s="16" t="str">
        <f aca="false">IF(B3346="","",IF(N3346=_xlfn.MAXIFS($N$2:$N$5001,$B$2:$B$5001,B3346,$I$2:$I$5001,I3346),1,0))</f>
        <v/>
      </c>
      <c r="M3346" s="16" t="str">
        <f aca="false">IF(B3346="","",IF(E3346="Em ajustes",IF(N3346=_xlfn.MINIFS($N$2:$N$5001,$B$2:$B$5001,B3346,$E$2:$E$5001,"Em ajustes"),1,0),0))</f>
        <v/>
      </c>
      <c r="N3346" s="17" t="str">
        <f aca="false">IF(A3346="","",IF(ISNUMBER(A3346),A3346,IFERROR(DATE(VALUE(MID(A3346,7,4)),VALUE(MID(A3346,4,2)),VALUE(MID(A3346,1,2)))+TIME(VALUE(MID(A3346,12,2)),VALUE(MID(A3346,15,2)),VALUE(MID(A3346,18,2))),"")))</f>
        <v/>
      </c>
    </row>
    <row r="3347" customFormat="false" ht="15" hidden="false" customHeight="false" outlineLevel="0" collapsed="false">
      <c r="I3347" s="15" t="str">
        <f aca="false">IF(N3347="","",INT(N3347))</f>
        <v/>
      </c>
      <c r="J3347" s="16" t="str">
        <f aca="false">IF(B3347="","",IF(N3347=_xlfn.MINIFS($N$2:$N$5001,$B$2:$B$5001,B3347),1,0))</f>
        <v/>
      </c>
      <c r="K3347" s="16" t="str">
        <f aca="false">IF(B3347="","",IF(AND(D3347="Formalização",E3347="Concluído"),IF(COUNTIFS($B$2:$B$5001,B3347,$E$2:$E$5001,"Em ajustes",$N$2:$N$5001,"&lt;"&amp;I3347)&gt;0,1,0),0))</f>
        <v/>
      </c>
      <c r="L3347" s="16" t="str">
        <f aca="false">IF(B3347="","",IF(N3347=_xlfn.MAXIFS($N$2:$N$5001,$B$2:$B$5001,B3347,$I$2:$I$5001,I3347),1,0))</f>
        <v/>
      </c>
      <c r="M3347" s="16" t="str">
        <f aca="false">IF(B3347="","",IF(E3347="Em ajustes",IF(N3347=_xlfn.MINIFS($N$2:$N$5001,$B$2:$B$5001,B3347,$E$2:$E$5001,"Em ajustes"),1,0),0))</f>
        <v/>
      </c>
      <c r="N3347" s="17" t="str">
        <f aca="false">IF(A3347="","",IF(ISNUMBER(A3347),A3347,IFERROR(DATE(VALUE(MID(A3347,7,4)),VALUE(MID(A3347,4,2)),VALUE(MID(A3347,1,2)))+TIME(VALUE(MID(A3347,12,2)),VALUE(MID(A3347,15,2)),VALUE(MID(A3347,18,2))),"")))</f>
        <v/>
      </c>
    </row>
    <row r="3348" customFormat="false" ht="15" hidden="false" customHeight="false" outlineLevel="0" collapsed="false">
      <c r="I3348" s="15" t="str">
        <f aca="false">IF(N3348="","",INT(N3348))</f>
        <v/>
      </c>
      <c r="J3348" s="16" t="str">
        <f aca="false">IF(B3348="","",IF(N3348=_xlfn.MINIFS($N$2:$N$5001,$B$2:$B$5001,B3348),1,0))</f>
        <v/>
      </c>
      <c r="K3348" s="16" t="str">
        <f aca="false">IF(B3348="","",IF(AND(D3348="Formalização",E3348="Concluído"),IF(COUNTIFS($B$2:$B$5001,B3348,$E$2:$E$5001,"Em ajustes",$N$2:$N$5001,"&lt;"&amp;I3348)&gt;0,1,0),0))</f>
        <v/>
      </c>
      <c r="L3348" s="16" t="str">
        <f aca="false">IF(B3348="","",IF(N3348=_xlfn.MAXIFS($N$2:$N$5001,$B$2:$B$5001,B3348,$I$2:$I$5001,I3348),1,0))</f>
        <v/>
      </c>
      <c r="M3348" s="16" t="str">
        <f aca="false">IF(B3348="","",IF(E3348="Em ajustes",IF(N3348=_xlfn.MINIFS($N$2:$N$5001,$B$2:$B$5001,B3348,$E$2:$E$5001,"Em ajustes"),1,0),0))</f>
        <v/>
      </c>
      <c r="N3348" s="17" t="str">
        <f aca="false">IF(A3348="","",IF(ISNUMBER(A3348),A3348,IFERROR(DATE(VALUE(MID(A3348,7,4)),VALUE(MID(A3348,4,2)),VALUE(MID(A3348,1,2)))+TIME(VALUE(MID(A3348,12,2)),VALUE(MID(A3348,15,2)),VALUE(MID(A3348,18,2))),"")))</f>
        <v/>
      </c>
    </row>
    <row r="3349" customFormat="false" ht="15" hidden="false" customHeight="false" outlineLevel="0" collapsed="false">
      <c r="I3349" s="15" t="str">
        <f aca="false">IF(N3349="","",INT(N3349))</f>
        <v/>
      </c>
      <c r="J3349" s="16" t="str">
        <f aca="false">IF(B3349="","",IF(N3349=_xlfn.MINIFS($N$2:$N$5001,$B$2:$B$5001,B3349),1,0))</f>
        <v/>
      </c>
      <c r="K3349" s="16" t="str">
        <f aca="false">IF(B3349="","",IF(AND(D3349="Formalização",E3349="Concluído"),IF(COUNTIFS($B$2:$B$5001,B3349,$E$2:$E$5001,"Em ajustes",$N$2:$N$5001,"&lt;"&amp;I3349)&gt;0,1,0),0))</f>
        <v/>
      </c>
      <c r="L3349" s="16" t="str">
        <f aca="false">IF(B3349="","",IF(N3349=_xlfn.MAXIFS($N$2:$N$5001,$B$2:$B$5001,B3349,$I$2:$I$5001,I3349),1,0))</f>
        <v/>
      </c>
      <c r="M3349" s="16" t="str">
        <f aca="false">IF(B3349="","",IF(E3349="Em ajustes",IF(N3349=_xlfn.MINIFS($N$2:$N$5001,$B$2:$B$5001,B3349,$E$2:$E$5001,"Em ajustes"),1,0),0))</f>
        <v/>
      </c>
      <c r="N3349" s="17" t="str">
        <f aca="false">IF(A3349="","",IF(ISNUMBER(A3349),A3349,IFERROR(DATE(VALUE(MID(A3349,7,4)),VALUE(MID(A3349,4,2)),VALUE(MID(A3349,1,2)))+TIME(VALUE(MID(A3349,12,2)),VALUE(MID(A3349,15,2)),VALUE(MID(A3349,18,2))),"")))</f>
        <v/>
      </c>
    </row>
    <row r="3350" customFormat="false" ht="15" hidden="false" customHeight="false" outlineLevel="0" collapsed="false">
      <c r="I3350" s="15" t="str">
        <f aca="false">IF(N3350="","",INT(N3350))</f>
        <v/>
      </c>
      <c r="J3350" s="16" t="str">
        <f aca="false">IF(B3350="","",IF(N3350=_xlfn.MINIFS($N$2:$N$5001,$B$2:$B$5001,B3350),1,0))</f>
        <v/>
      </c>
      <c r="K3350" s="16" t="str">
        <f aca="false">IF(B3350="","",IF(AND(D3350="Formalização",E3350="Concluído"),IF(COUNTIFS($B$2:$B$5001,B3350,$E$2:$E$5001,"Em ajustes",$N$2:$N$5001,"&lt;"&amp;I3350)&gt;0,1,0),0))</f>
        <v/>
      </c>
      <c r="L3350" s="16" t="str">
        <f aca="false">IF(B3350="","",IF(N3350=_xlfn.MAXIFS($N$2:$N$5001,$B$2:$B$5001,B3350,$I$2:$I$5001,I3350),1,0))</f>
        <v/>
      </c>
      <c r="M3350" s="16" t="str">
        <f aca="false">IF(B3350="","",IF(E3350="Em ajustes",IF(N3350=_xlfn.MINIFS($N$2:$N$5001,$B$2:$B$5001,B3350,$E$2:$E$5001,"Em ajustes"),1,0),0))</f>
        <v/>
      </c>
      <c r="N3350" s="17" t="str">
        <f aca="false">IF(A3350="","",IF(ISNUMBER(A3350),A3350,IFERROR(DATE(VALUE(MID(A3350,7,4)),VALUE(MID(A3350,4,2)),VALUE(MID(A3350,1,2)))+TIME(VALUE(MID(A3350,12,2)),VALUE(MID(A3350,15,2)),VALUE(MID(A3350,18,2))),"")))</f>
        <v/>
      </c>
    </row>
    <row r="3351" customFormat="false" ht="15" hidden="false" customHeight="false" outlineLevel="0" collapsed="false">
      <c r="I3351" s="15" t="str">
        <f aca="false">IF(N3351="","",INT(N3351))</f>
        <v/>
      </c>
      <c r="J3351" s="16" t="str">
        <f aca="false">IF(B3351="","",IF(N3351=_xlfn.MINIFS($N$2:$N$5001,$B$2:$B$5001,B3351),1,0))</f>
        <v/>
      </c>
      <c r="K3351" s="16" t="str">
        <f aca="false">IF(B3351="","",IF(AND(D3351="Formalização",E3351="Concluído"),IF(COUNTIFS($B$2:$B$5001,B3351,$E$2:$E$5001,"Em ajustes",$N$2:$N$5001,"&lt;"&amp;I3351)&gt;0,1,0),0))</f>
        <v/>
      </c>
      <c r="L3351" s="16" t="str">
        <f aca="false">IF(B3351="","",IF(N3351=_xlfn.MAXIFS($N$2:$N$5001,$B$2:$B$5001,B3351,$I$2:$I$5001,I3351),1,0))</f>
        <v/>
      </c>
      <c r="M3351" s="16" t="str">
        <f aca="false">IF(B3351="","",IF(E3351="Em ajustes",IF(N3351=_xlfn.MINIFS($N$2:$N$5001,$B$2:$B$5001,B3351,$E$2:$E$5001,"Em ajustes"),1,0),0))</f>
        <v/>
      </c>
      <c r="N3351" s="17" t="str">
        <f aca="false">IF(A3351="","",IF(ISNUMBER(A3351),A3351,IFERROR(DATE(VALUE(MID(A3351,7,4)),VALUE(MID(A3351,4,2)),VALUE(MID(A3351,1,2)))+TIME(VALUE(MID(A3351,12,2)),VALUE(MID(A3351,15,2)),VALUE(MID(A3351,18,2))),"")))</f>
        <v/>
      </c>
    </row>
    <row r="3352" customFormat="false" ht="15" hidden="false" customHeight="false" outlineLevel="0" collapsed="false">
      <c r="I3352" s="15" t="str">
        <f aca="false">IF(N3352="","",INT(N3352))</f>
        <v/>
      </c>
      <c r="J3352" s="16" t="str">
        <f aca="false">IF(B3352="","",IF(N3352=_xlfn.MINIFS($N$2:$N$5001,$B$2:$B$5001,B3352),1,0))</f>
        <v/>
      </c>
      <c r="K3352" s="16" t="str">
        <f aca="false">IF(B3352="","",IF(AND(D3352="Formalização",E3352="Concluído"),IF(COUNTIFS($B$2:$B$5001,B3352,$E$2:$E$5001,"Em ajustes",$N$2:$N$5001,"&lt;"&amp;I3352)&gt;0,1,0),0))</f>
        <v/>
      </c>
      <c r="L3352" s="16" t="str">
        <f aca="false">IF(B3352="","",IF(N3352=_xlfn.MAXIFS($N$2:$N$5001,$B$2:$B$5001,B3352,$I$2:$I$5001,I3352),1,0))</f>
        <v/>
      </c>
      <c r="M3352" s="16" t="str">
        <f aca="false">IF(B3352="","",IF(E3352="Em ajustes",IF(N3352=_xlfn.MINIFS($N$2:$N$5001,$B$2:$B$5001,B3352,$E$2:$E$5001,"Em ajustes"),1,0),0))</f>
        <v/>
      </c>
      <c r="N3352" s="17" t="str">
        <f aca="false">IF(A3352="","",IF(ISNUMBER(A3352),A3352,IFERROR(DATE(VALUE(MID(A3352,7,4)),VALUE(MID(A3352,4,2)),VALUE(MID(A3352,1,2)))+TIME(VALUE(MID(A3352,12,2)),VALUE(MID(A3352,15,2)),VALUE(MID(A3352,18,2))),"")))</f>
        <v/>
      </c>
    </row>
    <row r="3353" customFormat="false" ht="15" hidden="false" customHeight="false" outlineLevel="0" collapsed="false">
      <c r="I3353" s="15" t="str">
        <f aca="false">IF(N3353="","",INT(N3353))</f>
        <v/>
      </c>
      <c r="J3353" s="16" t="str">
        <f aca="false">IF(B3353="","",IF(N3353=_xlfn.MINIFS($N$2:$N$5001,$B$2:$B$5001,B3353),1,0))</f>
        <v/>
      </c>
      <c r="K3353" s="16" t="str">
        <f aca="false">IF(B3353="","",IF(AND(D3353="Formalização",E3353="Concluído"),IF(COUNTIFS($B$2:$B$5001,B3353,$E$2:$E$5001,"Em ajustes",$N$2:$N$5001,"&lt;"&amp;I3353)&gt;0,1,0),0))</f>
        <v/>
      </c>
      <c r="L3353" s="16" t="str">
        <f aca="false">IF(B3353="","",IF(N3353=_xlfn.MAXIFS($N$2:$N$5001,$B$2:$B$5001,B3353,$I$2:$I$5001,I3353),1,0))</f>
        <v/>
      </c>
      <c r="M3353" s="16" t="str">
        <f aca="false">IF(B3353="","",IF(E3353="Em ajustes",IF(N3353=_xlfn.MINIFS($N$2:$N$5001,$B$2:$B$5001,B3353,$E$2:$E$5001,"Em ajustes"),1,0),0))</f>
        <v/>
      </c>
      <c r="N3353" s="17" t="str">
        <f aca="false">IF(A3353="","",IF(ISNUMBER(A3353),A3353,IFERROR(DATE(VALUE(MID(A3353,7,4)),VALUE(MID(A3353,4,2)),VALUE(MID(A3353,1,2)))+TIME(VALUE(MID(A3353,12,2)),VALUE(MID(A3353,15,2)),VALUE(MID(A3353,18,2))),"")))</f>
        <v/>
      </c>
    </row>
    <row r="3354" customFormat="false" ht="15" hidden="false" customHeight="false" outlineLevel="0" collapsed="false">
      <c r="I3354" s="15" t="str">
        <f aca="false">IF(N3354="","",INT(N3354))</f>
        <v/>
      </c>
      <c r="J3354" s="16" t="str">
        <f aca="false">IF(B3354="","",IF(N3354=_xlfn.MINIFS($N$2:$N$5001,$B$2:$B$5001,B3354),1,0))</f>
        <v/>
      </c>
      <c r="K3354" s="16" t="str">
        <f aca="false">IF(B3354="","",IF(AND(D3354="Formalização",E3354="Concluído"),IF(COUNTIFS($B$2:$B$5001,B3354,$E$2:$E$5001,"Em ajustes",$N$2:$N$5001,"&lt;"&amp;I3354)&gt;0,1,0),0))</f>
        <v/>
      </c>
      <c r="L3354" s="16" t="str">
        <f aca="false">IF(B3354="","",IF(N3354=_xlfn.MAXIFS($N$2:$N$5001,$B$2:$B$5001,B3354,$I$2:$I$5001,I3354),1,0))</f>
        <v/>
      </c>
      <c r="M3354" s="16" t="str">
        <f aca="false">IF(B3354="","",IF(E3354="Em ajustes",IF(N3354=_xlfn.MINIFS($N$2:$N$5001,$B$2:$B$5001,B3354,$E$2:$E$5001,"Em ajustes"),1,0),0))</f>
        <v/>
      </c>
      <c r="N3354" s="17" t="str">
        <f aca="false">IF(A3354="","",IF(ISNUMBER(A3354),A3354,IFERROR(DATE(VALUE(MID(A3354,7,4)),VALUE(MID(A3354,4,2)),VALUE(MID(A3354,1,2)))+TIME(VALUE(MID(A3354,12,2)),VALUE(MID(A3354,15,2)),VALUE(MID(A3354,18,2))),"")))</f>
        <v/>
      </c>
    </row>
    <row r="3355" customFormat="false" ht="15" hidden="false" customHeight="false" outlineLevel="0" collapsed="false">
      <c r="I3355" s="15" t="str">
        <f aca="false">IF(N3355="","",INT(N3355))</f>
        <v/>
      </c>
      <c r="J3355" s="16" t="str">
        <f aca="false">IF(B3355="","",IF(N3355=_xlfn.MINIFS($N$2:$N$5001,$B$2:$B$5001,B3355),1,0))</f>
        <v/>
      </c>
      <c r="K3355" s="16" t="str">
        <f aca="false">IF(B3355="","",IF(AND(D3355="Formalização",E3355="Concluído"),IF(COUNTIFS($B$2:$B$5001,B3355,$E$2:$E$5001,"Em ajustes",$N$2:$N$5001,"&lt;"&amp;I3355)&gt;0,1,0),0))</f>
        <v/>
      </c>
      <c r="L3355" s="16" t="str">
        <f aca="false">IF(B3355="","",IF(N3355=_xlfn.MAXIFS($N$2:$N$5001,$B$2:$B$5001,B3355,$I$2:$I$5001,I3355),1,0))</f>
        <v/>
      </c>
      <c r="M3355" s="16" t="str">
        <f aca="false">IF(B3355="","",IF(E3355="Em ajustes",IF(N3355=_xlfn.MINIFS($N$2:$N$5001,$B$2:$B$5001,B3355,$E$2:$E$5001,"Em ajustes"),1,0),0))</f>
        <v/>
      </c>
      <c r="N3355" s="17" t="str">
        <f aca="false">IF(A3355="","",IF(ISNUMBER(A3355),A3355,IFERROR(DATE(VALUE(MID(A3355,7,4)),VALUE(MID(A3355,4,2)),VALUE(MID(A3355,1,2)))+TIME(VALUE(MID(A3355,12,2)),VALUE(MID(A3355,15,2)),VALUE(MID(A3355,18,2))),"")))</f>
        <v/>
      </c>
    </row>
    <row r="3356" customFormat="false" ht="15" hidden="false" customHeight="false" outlineLevel="0" collapsed="false">
      <c r="I3356" s="15" t="str">
        <f aca="false">IF(N3356="","",INT(N3356))</f>
        <v/>
      </c>
      <c r="J3356" s="16" t="str">
        <f aca="false">IF(B3356="","",IF(N3356=_xlfn.MINIFS($N$2:$N$5001,$B$2:$B$5001,B3356),1,0))</f>
        <v/>
      </c>
      <c r="K3356" s="16" t="str">
        <f aca="false">IF(B3356="","",IF(AND(D3356="Formalização",E3356="Concluído"),IF(COUNTIFS($B$2:$B$5001,B3356,$E$2:$E$5001,"Em ajustes",$N$2:$N$5001,"&lt;"&amp;I3356)&gt;0,1,0),0))</f>
        <v/>
      </c>
      <c r="L3356" s="16" t="str">
        <f aca="false">IF(B3356="","",IF(N3356=_xlfn.MAXIFS($N$2:$N$5001,$B$2:$B$5001,B3356,$I$2:$I$5001,I3356),1,0))</f>
        <v/>
      </c>
      <c r="M3356" s="16" t="str">
        <f aca="false">IF(B3356="","",IF(E3356="Em ajustes",IF(N3356=_xlfn.MINIFS($N$2:$N$5001,$B$2:$B$5001,B3356,$E$2:$E$5001,"Em ajustes"),1,0),0))</f>
        <v/>
      </c>
      <c r="N3356" s="17" t="str">
        <f aca="false">IF(A3356="","",IF(ISNUMBER(A3356),A3356,IFERROR(DATE(VALUE(MID(A3356,7,4)),VALUE(MID(A3356,4,2)),VALUE(MID(A3356,1,2)))+TIME(VALUE(MID(A3356,12,2)),VALUE(MID(A3356,15,2)),VALUE(MID(A3356,18,2))),"")))</f>
        <v/>
      </c>
    </row>
    <row r="3357" customFormat="false" ht="15" hidden="false" customHeight="false" outlineLevel="0" collapsed="false">
      <c r="I3357" s="15" t="str">
        <f aca="false">IF(N3357="","",INT(N3357))</f>
        <v/>
      </c>
      <c r="J3357" s="16" t="str">
        <f aca="false">IF(B3357="","",IF(N3357=_xlfn.MINIFS($N$2:$N$5001,$B$2:$B$5001,B3357),1,0))</f>
        <v/>
      </c>
      <c r="K3357" s="16" t="str">
        <f aca="false">IF(B3357="","",IF(AND(D3357="Formalização",E3357="Concluído"),IF(COUNTIFS($B$2:$B$5001,B3357,$E$2:$E$5001,"Em ajustes",$N$2:$N$5001,"&lt;"&amp;I3357)&gt;0,1,0),0))</f>
        <v/>
      </c>
      <c r="L3357" s="16" t="str">
        <f aca="false">IF(B3357="","",IF(N3357=_xlfn.MAXIFS($N$2:$N$5001,$B$2:$B$5001,B3357,$I$2:$I$5001,I3357),1,0))</f>
        <v/>
      </c>
      <c r="M3357" s="16" t="str">
        <f aca="false">IF(B3357="","",IF(E3357="Em ajustes",IF(N3357=_xlfn.MINIFS($N$2:$N$5001,$B$2:$B$5001,B3357,$E$2:$E$5001,"Em ajustes"),1,0),0))</f>
        <v/>
      </c>
      <c r="N3357" s="17" t="str">
        <f aca="false">IF(A3357="","",IF(ISNUMBER(A3357),A3357,IFERROR(DATE(VALUE(MID(A3357,7,4)),VALUE(MID(A3357,4,2)),VALUE(MID(A3357,1,2)))+TIME(VALUE(MID(A3357,12,2)),VALUE(MID(A3357,15,2)),VALUE(MID(A3357,18,2))),"")))</f>
        <v/>
      </c>
    </row>
    <row r="3358" customFormat="false" ht="15" hidden="false" customHeight="false" outlineLevel="0" collapsed="false">
      <c r="I3358" s="15" t="str">
        <f aca="false">IF(N3358="","",INT(N3358))</f>
        <v/>
      </c>
      <c r="J3358" s="16" t="str">
        <f aca="false">IF(B3358="","",IF(N3358=_xlfn.MINIFS($N$2:$N$5001,$B$2:$B$5001,B3358),1,0))</f>
        <v/>
      </c>
      <c r="K3358" s="16" t="str">
        <f aca="false">IF(B3358="","",IF(AND(D3358="Formalização",E3358="Concluído"),IF(COUNTIFS($B$2:$B$5001,B3358,$E$2:$E$5001,"Em ajustes",$N$2:$N$5001,"&lt;"&amp;I3358)&gt;0,1,0),0))</f>
        <v/>
      </c>
      <c r="L3358" s="16" t="str">
        <f aca="false">IF(B3358="","",IF(N3358=_xlfn.MAXIFS($N$2:$N$5001,$B$2:$B$5001,B3358,$I$2:$I$5001,I3358),1,0))</f>
        <v/>
      </c>
      <c r="M3358" s="16" t="str">
        <f aca="false">IF(B3358="","",IF(E3358="Em ajustes",IF(N3358=_xlfn.MINIFS($N$2:$N$5001,$B$2:$B$5001,B3358,$E$2:$E$5001,"Em ajustes"),1,0),0))</f>
        <v/>
      </c>
      <c r="N3358" s="17" t="str">
        <f aca="false">IF(A3358="","",IF(ISNUMBER(A3358),A3358,IFERROR(DATE(VALUE(MID(A3358,7,4)),VALUE(MID(A3358,4,2)),VALUE(MID(A3358,1,2)))+TIME(VALUE(MID(A3358,12,2)),VALUE(MID(A3358,15,2)),VALUE(MID(A3358,18,2))),"")))</f>
        <v/>
      </c>
    </row>
    <row r="3359" customFormat="false" ht="15" hidden="false" customHeight="false" outlineLevel="0" collapsed="false">
      <c r="I3359" s="15" t="str">
        <f aca="false">IF(N3359="","",INT(N3359))</f>
        <v/>
      </c>
      <c r="J3359" s="16" t="str">
        <f aca="false">IF(B3359="","",IF(N3359=_xlfn.MINIFS($N$2:$N$5001,$B$2:$B$5001,B3359),1,0))</f>
        <v/>
      </c>
      <c r="K3359" s="16" t="str">
        <f aca="false">IF(B3359="","",IF(AND(D3359="Formalização",E3359="Concluído"),IF(COUNTIFS($B$2:$B$5001,B3359,$E$2:$E$5001,"Em ajustes",$N$2:$N$5001,"&lt;"&amp;I3359)&gt;0,1,0),0))</f>
        <v/>
      </c>
      <c r="L3359" s="16" t="str">
        <f aca="false">IF(B3359="","",IF(N3359=_xlfn.MAXIFS($N$2:$N$5001,$B$2:$B$5001,B3359,$I$2:$I$5001,I3359),1,0))</f>
        <v/>
      </c>
      <c r="M3359" s="16" t="str">
        <f aca="false">IF(B3359="","",IF(E3359="Em ajustes",IF(N3359=_xlfn.MINIFS($N$2:$N$5001,$B$2:$B$5001,B3359,$E$2:$E$5001,"Em ajustes"),1,0),0))</f>
        <v/>
      </c>
      <c r="N3359" s="17" t="str">
        <f aca="false">IF(A3359="","",IF(ISNUMBER(A3359),A3359,IFERROR(DATE(VALUE(MID(A3359,7,4)),VALUE(MID(A3359,4,2)),VALUE(MID(A3359,1,2)))+TIME(VALUE(MID(A3359,12,2)),VALUE(MID(A3359,15,2)),VALUE(MID(A3359,18,2))),"")))</f>
        <v/>
      </c>
    </row>
    <row r="3360" customFormat="false" ht="15" hidden="false" customHeight="false" outlineLevel="0" collapsed="false">
      <c r="I3360" s="15" t="str">
        <f aca="false">IF(N3360="","",INT(N3360))</f>
        <v/>
      </c>
      <c r="J3360" s="16" t="str">
        <f aca="false">IF(B3360="","",IF(N3360=_xlfn.MINIFS($N$2:$N$5001,$B$2:$B$5001,B3360),1,0))</f>
        <v/>
      </c>
      <c r="K3360" s="16" t="str">
        <f aca="false">IF(B3360="","",IF(AND(D3360="Formalização",E3360="Concluído"),IF(COUNTIFS($B$2:$B$5001,B3360,$E$2:$E$5001,"Em ajustes",$N$2:$N$5001,"&lt;"&amp;I3360)&gt;0,1,0),0))</f>
        <v/>
      </c>
      <c r="L3360" s="16" t="str">
        <f aca="false">IF(B3360="","",IF(N3360=_xlfn.MAXIFS($N$2:$N$5001,$B$2:$B$5001,B3360,$I$2:$I$5001,I3360),1,0))</f>
        <v/>
      </c>
      <c r="M3360" s="16" t="str">
        <f aca="false">IF(B3360="","",IF(E3360="Em ajustes",IF(N3360=_xlfn.MINIFS($N$2:$N$5001,$B$2:$B$5001,B3360,$E$2:$E$5001,"Em ajustes"),1,0),0))</f>
        <v/>
      </c>
      <c r="N3360" s="17" t="str">
        <f aca="false">IF(A3360="","",IF(ISNUMBER(A3360),A3360,IFERROR(DATE(VALUE(MID(A3360,7,4)),VALUE(MID(A3360,4,2)),VALUE(MID(A3360,1,2)))+TIME(VALUE(MID(A3360,12,2)),VALUE(MID(A3360,15,2)),VALUE(MID(A3360,18,2))),"")))</f>
        <v/>
      </c>
    </row>
    <row r="3361" customFormat="false" ht="15" hidden="false" customHeight="false" outlineLevel="0" collapsed="false">
      <c r="I3361" s="15" t="str">
        <f aca="false">IF(N3361="","",INT(N3361))</f>
        <v/>
      </c>
      <c r="J3361" s="16" t="str">
        <f aca="false">IF(B3361="","",IF(N3361=_xlfn.MINIFS($N$2:$N$5001,$B$2:$B$5001,B3361),1,0))</f>
        <v/>
      </c>
      <c r="K3361" s="16" t="str">
        <f aca="false">IF(B3361="","",IF(AND(D3361="Formalização",E3361="Concluído"),IF(COUNTIFS($B$2:$B$5001,B3361,$E$2:$E$5001,"Em ajustes",$N$2:$N$5001,"&lt;"&amp;I3361)&gt;0,1,0),0))</f>
        <v/>
      </c>
      <c r="L3361" s="16" t="str">
        <f aca="false">IF(B3361="","",IF(N3361=_xlfn.MAXIFS($N$2:$N$5001,$B$2:$B$5001,B3361,$I$2:$I$5001,I3361),1,0))</f>
        <v/>
      </c>
      <c r="M3361" s="16" t="str">
        <f aca="false">IF(B3361="","",IF(E3361="Em ajustes",IF(N3361=_xlfn.MINIFS($N$2:$N$5001,$B$2:$B$5001,B3361,$E$2:$E$5001,"Em ajustes"),1,0),0))</f>
        <v/>
      </c>
      <c r="N3361" s="17" t="str">
        <f aca="false">IF(A3361="","",IF(ISNUMBER(A3361),A3361,IFERROR(DATE(VALUE(MID(A3361,7,4)),VALUE(MID(A3361,4,2)),VALUE(MID(A3361,1,2)))+TIME(VALUE(MID(A3361,12,2)),VALUE(MID(A3361,15,2)),VALUE(MID(A3361,18,2))),"")))</f>
        <v/>
      </c>
    </row>
    <row r="3362" customFormat="false" ht="15" hidden="false" customHeight="false" outlineLevel="0" collapsed="false">
      <c r="I3362" s="15" t="str">
        <f aca="false">IF(N3362="","",INT(N3362))</f>
        <v/>
      </c>
      <c r="J3362" s="16" t="str">
        <f aca="false">IF(B3362="","",IF(N3362=_xlfn.MINIFS($N$2:$N$5001,$B$2:$B$5001,B3362),1,0))</f>
        <v/>
      </c>
      <c r="K3362" s="16" t="str">
        <f aca="false">IF(B3362="","",IF(AND(D3362="Formalização",E3362="Concluído"),IF(COUNTIFS($B$2:$B$5001,B3362,$E$2:$E$5001,"Em ajustes",$N$2:$N$5001,"&lt;"&amp;I3362)&gt;0,1,0),0))</f>
        <v/>
      </c>
      <c r="L3362" s="16" t="str">
        <f aca="false">IF(B3362="","",IF(N3362=_xlfn.MAXIFS($N$2:$N$5001,$B$2:$B$5001,B3362,$I$2:$I$5001,I3362),1,0))</f>
        <v/>
      </c>
      <c r="M3362" s="16" t="str">
        <f aca="false">IF(B3362="","",IF(E3362="Em ajustes",IF(N3362=_xlfn.MINIFS($N$2:$N$5001,$B$2:$B$5001,B3362,$E$2:$E$5001,"Em ajustes"),1,0),0))</f>
        <v/>
      </c>
      <c r="N3362" s="17" t="str">
        <f aca="false">IF(A3362="","",IF(ISNUMBER(A3362),A3362,IFERROR(DATE(VALUE(MID(A3362,7,4)),VALUE(MID(A3362,4,2)),VALUE(MID(A3362,1,2)))+TIME(VALUE(MID(A3362,12,2)),VALUE(MID(A3362,15,2)),VALUE(MID(A3362,18,2))),"")))</f>
        <v/>
      </c>
    </row>
    <row r="3363" customFormat="false" ht="15" hidden="false" customHeight="false" outlineLevel="0" collapsed="false">
      <c r="I3363" s="15" t="str">
        <f aca="false">IF(N3363="","",INT(N3363))</f>
        <v/>
      </c>
      <c r="J3363" s="16" t="str">
        <f aca="false">IF(B3363="","",IF(N3363=_xlfn.MINIFS($N$2:$N$5001,$B$2:$B$5001,B3363),1,0))</f>
        <v/>
      </c>
      <c r="K3363" s="16" t="str">
        <f aca="false">IF(B3363="","",IF(AND(D3363="Formalização",E3363="Concluído"),IF(COUNTIFS($B$2:$B$5001,B3363,$E$2:$E$5001,"Em ajustes",$N$2:$N$5001,"&lt;"&amp;I3363)&gt;0,1,0),0))</f>
        <v/>
      </c>
      <c r="L3363" s="16" t="str">
        <f aca="false">IF(B3363="","",IF(N3363=_xlfn.MAXIFS($N$2:$N$5001,$B$2:$B$5001,B3363,$I$2:$I$5001,I3363),1,0))</f>
        <v/>
      </c>
      <c r="M3363" s="16" t="str">
        <f aca="false">IF(B3363="","",IF(E3363="Em ajustes",IF(N3363=_xlfn.MINIFS($N$2:$N$5001,$B$2:$B$5001,B3363,$E$2:$E$5001,"Em ajustes"),1,0),0))</f>
        <v/>
      </c>
      <c r="N3363" s="17" t="str">
        <f aca="false">IF(A3363="","",IF(ISNUMBER(A3363),A3363,IFERROR(DATE(VALUE(MID(A3363,7,4)),VALUE(MID(A3363,4,2)),VALUE(MID(A3363,1,2)))+TIME(VALUE(MID(A3363,12,2)),VALUE(MID(A3363,15,2)),VALUE(MID(A3363,18,2))),"")))</f>
        <v/>
      </c>
    </row>
    <row r="3364" customFormat="false" ht="15" hidden="false" customHeight="false" outlineLevel="0" collapsed="false">
      <c r="I3364" s="15" t="str">
        <f aca="false">IF(N3364="","",INT(N3364))</f>
        <v/>
      </c>
      <c r="J3364" s="16" t="str">
        <f aca="false">IF(B3364="","",IF(N3364=_xlfn.MINIFS($N$2:$N$5001,$B$2:$B$5001,B3364),1,0))</f>
        <v/>
      </c>
      <c r="K3364" s="16" t="str">
        <f aca="false">IF(B3364="","",IF(AND(D3364="Formalização",E3364="Concluído"),IF(COUNTIFS($B$2:$B$5001,B3364,$E$2:$E$5001,"Em ajustes",$N$2:$N$5001,"&lt;"&amp;I3364)&gt;0,1,0),0))</f>
        <v/>
      </c>
      <c r="L3364" s="16" t="str">
        <f aca="false">IF(B3364="","",IF(N3364=_xlfn.MAXIFS($N$2:$N$5001,$B$2:$B$5001,B3364,$I$2:$I$5001,I3364),1,0))</f>
        <v/>
      </c>
      <c r="M3364" s="16" t="str">
        <f aca="false">IF(B3364="","",IF(E3364="Em ajustes",IF(N3364=_xlfn.MINIFS($N$2:$N$5001,$B$2:$B$5001,B3364,$E$2:$E$5001,"Em ajustes"),1,0),0))</f>
        <v/>
      </c>
      <c r="N3364" s="17" t="str">
        <f aca="false">IF(A3364="","",IF(ISNUMBER(A3364),A3364,IFERROR(DATE(VALUE(MID(A3364,7,4)),VALUE(MID(A3364,4,2)),VALUE(MID(A3364,1,2)))+TIME(VALUE(MID(A3364,12,2)),VALUE(MID(A3364,15,2)),VALUE(MID(A3364,18,2))),"")))</f>
        <v/>
      </c>
    </row>
    <row r="3365" customFormat="false" ht="15" hidden="false" customHeight="false" outlineLevel="0" collapsed="false">
      <c r="I3365" s="15" t="str">
        <f aca="false">IF(N3365="","",INT(N3365))</f>
        <v/>
      </c>
      <c r="J3365" s="16" t="str">
        <f aca="false">IF(B3365="","",IF(N3365=_xlfn.MINIFS($N$2:$N$5001,$B$2:$B$5001,B3365),1,0))</f>
        <v/>
      </c>
      <c r="K3365" s="16" t="str">
        <f aca="false">IF(B3365="","",IF(AND(D3365="Formalização",E3365="Concluído"),IF(COUNTIFS($B$2:$B$5001,B3365,$E$2:$E$5001,"Em ajustes",$N$2:$N$5001,"&lt;"&amp;I3365)&gt;0,1,0),0))</f>
        <v/>
      </c>
      <c r="L3365" s="16" t="str">
        <f aca="false">IF(B3365="","",IF(N3365=_xlfn.MAXIFS($N$2:$N$5001,$B$2:$B$5001,B3365,$I$2:$I$5001,I3365),1,0))</f>
        <v/>
      </c>
      <c r="M3365" s="16" t="str">
        <f aca="false">IF(B3365="","",IF(E3365="Em ajustes",IF(N3365=_xlfn.MINIFS($N$2:$N$5001,$B$2:$B$5001,B3365,$E$2:$E$5001,"Em ajustes"),1,0),0))</f>
        <v/>
      </c>
      <c r="N3365" s="17" t="str">
        <f aca="false">IF(A3365="","",IF(ISNUMBER(A3365),A3365,IFERROR(DATE(VALUE(MID(A3365,7,4)),VALUE(MID(A3365,4,2)),VALUE(MID(A3365,1,2)))+TIME(VALUE(MID(A3365,12,2)),VALUE(MID(A3365,15,2)),VALUE(MID(A3365,18,2))),"")))</f>
        <v/>
      </c>
    </row>
    <row r="3366" customFormat="false" ht="15" hidden="false" customHeight="false" outlineLevel="0" collapsed="false">
      <c r="I3366" s="15" t="str">
        <f aca="false">IF(N3366="","",INT(N3366))</f>
        <v/>
      </c>
      <c r="J3366" s="16" t="str">
        <f aca="false">IF(B3366="","",IF(N3366=_xlfn.MINIFS($N$2:$N$5001,$B$2:$B$5001,B3366),1,0))</f>
        <v/>
      </c>
      <c r="K3366" s="16" t="str">
        <f aca="false">IF(B3366="","",IF(AND(D3366="Formalização",E3366="Concluído"),IF(COUNTIFS($B$2:$B$5001,B3366,$E$2:$E$5001,"Em ajustes",$N$2:$N$5001,"&lt;"&amp;I3366)&gt;0,1,0),0))</f>
        <v/>
      </c>
      <c r="L3366" s="16" t="str">
        <f aca="false">IF(B3366="","",IF(N3366=_xlfn.MAXIFS($N$2:$N$5001,$B$2:$B$5001,B3366,$I$2:$I$5001,I3366),1,0))</f>
        <v/>
      </c>
      <c r="M3366" s="16" t="str">
        <f aca="false">IF(B3366="","",IF(E3366="Em ajustes",IF(N3366=_xlfn.MINIFS($N$2:$N$5001,$B$2:$B$5001,B3366,$E$2:$E$5001,"Em ajustes"),1,0),0))</f>
        <v/>
      </c>
      <c r="N3366" s="17" t="str">
        <f aca="false">IF(A3366="","",IF(ISNUMBER(A3366),A3366,IFERROR(DATE(VALUE(MID(A3366,7,4)),VALUE(MID(A3366,4,2)),VALUE(MID(A3366,1,2)))+TIME(VALUE(MID(A3366,12,2)),VALUE(MID(A3366,15,2)),VALUE(MID(A3366,18,2))),"")))</f>
        <v/>
      </c>
    </row>
    <row r="3367" customFormat="false" ht="15" hidden="false" customHeight="false" outlineLevel="0" collapsed="false">
      <c r="I3367" s="15" t="str">
        <f aca="false">IF(N3367="","",INT(N3367))</f>
        <v/>
      </c>
      <c r="J3367" s="16" t="str">
        <f aca="false">IF(B3367="","",IF(N3367=_xlfn.MINIFS($N$2:$N$5001,$B$2:$B$5001,B3367),1,0))</f>
        <v/>
      </c>
      <c r="K3367" s="16" t="str">
        <f aca="false">IF(B3367="","",IF(AND(D3367="Formalização",E3367="Concluído"),IF(COUNTIFS($B$2:$B$5001,B3367,$E$2:$E$5001,"Em ajustes",$N$2:$N$5001,"&lt;"&amp;I3367)&gt;0,1,0),0))</f>
        <v/>
      </c>
      <c r="L3367" s="16" t="str">
        <f aca="false">IF(B3367="","",IF(N3367=_xlfn.MAXIFS($N$2:$N$5001,$B$2:$B$5001,B3367,$I$2:$I$5001,I3367),1,0))</f>
        <v/>
      </c>
      <c r="M3367" s="16" t="str">
        <f aca="false">IF(B3367="","",IF(E3367="Em ajustes",IF(N3367=_xlfn.MINIFS($N$2:$N$5001,$B$2:$B$5001,B3367,$E$2:$E$5001,"Em ajustes"),1,0),0))</f>
        <v/>
      </c>
      <c r="N3367" s="17" t="str">
        <f aca="false">IF(A3367="","",IF(ISNUMBER(A3367),A3367,IFERROR(DATE(VALUE(MID(A3367,7,4)),VALUE(MID(A3367,4,2)),VALUE(MID(A3367,1,2)))+TIME(VALUE(MID(A3367,12,2)),VALUE(MID(A3367,15,2)),VALUE(MID(A3367,18,2))),"")))</f>
        <v/>
      </c>
    </row>
    <row r="3368" customFormat="false" ht="15" hidden="false" customHeight="false" outlineLevel="0" collapsed="false">
      <c r="I3368" s="15" t="str">
        <f aca="false">IF(N3368="","",INT(N3368))</f>
        <v/>
      </c>
      <c r="J3368" s="16" t="str">
        <f aca="false">IF(B3368="","",IF(N3368=_xlfn.MINIFS($N$2:$N$5001,$B$2:$B$5001,B3368),1,0))</f>
        <v/>
      </c>
      <c r="K3368" s="16" t="str">
        <f aca="false">IF(B3368="","",IF(AND(D3368="Formalização",E3368="Concluído"),IF(COUNTIFS($B$2:$B$5001,B3368,$E$2:$E$5001,"Em ajustes",$N$2:$N$5001,"&lt;"&amp;I3368)&gt;0,1,0),0))</f>
        <v/>
      </c>
      <c r="L3368" s="16" t="str">
        <f aca="false">IF(B3368="","",IF(N3368=_xlfn.MAXIFS($N$2:$N$5001,$B$2:$B$5001,B3368,$I$2:$I$5001,I3368),1,0))</f>
        <v/>
      </c>
      <c r="M3368" s="16" t="str">
        <f aca="false">IF(B3368="","",IF(E3368="Em ajustes",IF(N3368=_xlfn.MINIFS($N$2:$N$5001,$B$2:$B$5001,B3368,$E$2:$E$5001,"Em ajustes"),1,0),0))</f>
        <v/>
      </c>
      <c r="N3368" s="17" t="str">
        <f aca="false">IF(A3368="","",IF(ISNUMBER(A3368),A3368,IFERROR(DATE(VALUE(MID(A3368,7,4)),VALUE(MID(A3368,4,2)),VALUE(MID(A3368,1,2)))+TIME(VALUE(MID(A3368,12,2)),VALUE(MID(A3368,15,2)),VALUE(MID(A3368,18,2))),"")))</f>
        <v/>
      </c>
    </row>
    <row r="3369" customFormat="false" ht="15" hidden="false" customHeight="false" outlineLevel="0" collapsed="false">
      <c r="I3369" s="15" t="str">
        <f aca="false">IF(N3369="","",INT(N3369))</f>
        <v/>
      </c>
      <c r="J3369" s="16" t="str">
        <f aca="false">IF(B3369="","",IF(N3369=_xlfn.MINIFS($N$2:$N$5001,$B$2:$B$5001,B3369),1,0))</f>
        <v/>
      </c>
      <c r="K3369" s="16" t="str">
        <f aca="false">IF(B3369="","",IF(AND(D3369="Formalização",E3369="Concluído"),IF(COUNTIFS($B$2:$B$5001,B3369,$E$2:$E$5001,"Em ajustes",$N$2:$N$5001,"&lt;"&amp;I3369)&gt;0,1,0),0))</f>
        <v/>
      </c>
      <c r="L3369" s="16" t="str">
        <f aca="false">IF(B3369="","",IF(N3369=_xlfn.MAXIFS($N$2:$N$5001,$B$2:$B$5001,B3369,$I$2:$I$5001,I3369),1,0))</f>
        <v/>
      </c>
      <c r="M3369" s="16" t="str">
        <f aca="false">IF(B3369="","",IF(E3369="Em ajustes",IF(N3369=_xlfn.MINIFS($N$2:$N$5001,$B$2:$B$5001,B3369,$E$2:$E$5001,"Em ajustes"),1,0),0))</f>
        <v/>
      </c>
      <c r="N3369" s="17" t="str">
        <f aca="false">IF(A3369="","",IF(ISNUMBER(A3369),A3369,IFERROR(DATE(VALUE(MID(A3369,7,4)),VALUE(MID(A3369,4,2)),VALUE(MID(A3369,1,2)))+TIME(VALUE(MID(A3369,12,2)),VALUE(MID(A3369,15,2)),VALUE(MID(A3369,18,2))),"")))</f>
        <v/>
      </c>
    </row>
    <row r="3370" customFormat="false" ht="15" hidden="false" customHeight="false" outlineLevel="0" collapsed="false">
      <c r="I3370" s="15" t="str">
        <f aca="false">IF(N3370="","",INT(N3370))</f>
        <v/>
      </c>
      <c r="J3370" s="16" t="str">
        <f aca="false">IF(B3370="","",IF(N3370=_xlfn.MINIFS($N$2:$N$5001,$B$2:$B$5001,B3370),1,0))</f>
        <v/>
      </c>
      <c r="K3370" s="16" t="str">
        <f aca="false">IF(B3370="","",IF(AND(D3370="Formalização",E3370="Concluído"),IF(COUNTIFS($B$2:$B$5001,B3370,$E$2:$E$5001,"Em ajustes",$N$2:$N$5001,"&lt;"&amp;I3370)&gt;0,1,0),0))</f>
        <v/>
      </c>
      <c r="L3370" s="16" t="str">
        <f aca="false">IF(B3370="","",IF(N3370=_xlfn.MAXIFS($N$2:$N$5001,$B$2:$B$5001,B3370,$I$2:$I$5001,I3370),1,0))</f>
        <v/>
      </c>
      <c r="M3370" s="16" t="str">
        <f aca="false">IF(B3370="","",IF(E3370="Em ajustes",IF(N3370=_xlfn.MINIFS($N$2:$N$5001,$B$2:$B$5001,B3370,$E$2:$E$5001,"Em ajustes"),1,0),0))</f>
        <v/>
      </c>
      <c r="N3370" s="17" t="str">
        <f aca="false">IF(A3370="","",IF(ISNUMBER(A3370),A3370,IFERROR(DATE(VALUE(MID(A3370,7,4)),VALUE(MID(A3370,4,2)),VALUE(MID(A3370,1,2)))+TIME(VALUE(MID(A3370,12,2)),VALUE(MID(A3370,15,2)),VALUE(MID(A3370,18,2))),"")))</f>
        <v/>
      </c>
    </row>
    <row r="3371" customFormat="false" ht="15" hidden="false" customHeight="false" outlineLevel="0" collapsed="false">
      <c r="I3371" s="15" t="str">
        <f aca="false">IF(N3371="","",INT(N3371))</f>
        <v/>
      </c>
      <c r="J3371" s="16" t="str">
        <f aca="false">IF(B3371="","",IF(N3371=_xlfn.MINIFS($N$2:$N$5001,$B$2:$B$5001,B3371),1,0))</f>
        <v/>
      </c>
      <c r="K3371" s="16" t="str">
        <f aca="false">IF(B3371="","",IF(AND(D3371="Formalização",E3371="Concluído"),IF(COUNTIFS($B$2:$B$5001,B3371,$E$2:$E$5001,"Em ajustes",$N$2:$N$5001,"&lt;"&amp;I3371)&gt;0,1,0),0))</f>
        <v/>
      </c>
      <c r="L3371" s="16" t="str">
        <f aca="false">IF(B3371="","",IF(N3371=_xlfn.MAXIFS($N$2:$N$5001,$B$2:$B$5001,B3371,$I$2:$I$5001,I3371),1,0))</f>
        <v/>
      </c>
      <c r="M3371" s="16" t="str">
        <f aca="false">IF(B3371="","",IF(E3371="Em ajustes",IF(N3371=_xlfn.MINIFS($N$2:$N$5001,$B$2:$B$5001,B3371,$E$2:$E$5001,"Em ajustes"),1,0),0))</f>
        <v/>
      </c>
      <c r="N3371" s="17" t="str">
        <f aca="false">IF(A3371="","",IF(ISNUMBER(A3371),A3371,IFERROR(DATE(VALUE(MID(A3371,7,4)),VALUE(MID(A3371,4,2)),VALUE(MID(A3371,1,2)))+TIME(VALUE(MID(A3371,12,2)),VALUE(MID(A3371,15,2)),VALUE(MID(A3371,18,2))),"")))</f>
        <v/>
      </c>
    </row>
    <row r="3372" customFormat="false" ht="15" hidden="false" customHeight="false" outlineLevel="0" collapsed="false">
      <c r="I3372" s="15" t="str">
        <f aca="false">IF(N3372="","",INT(N3372))</f>
        <v/>
      </c>
      <c r="J3372" s="16" t="str">
        <f aca="false">IF(B3372="","",IF(N3372=_xlfn.MINIFS($N$2:$N$5001,$B$2:$B$5001,B3372),1,0))</f>
        <v/>
      </c>
      <c r="K3372" s="16" t="str">
        <f aca="false">IF(B3372="","",IF(AND(D3372="Formalização",E3372="Concluído"),IF(COUNTIFS($B$2:$B$5001,B3372,$E$2:$E$5001,"Em ajustes",$N$2:$N$5001,"&lt;"&amp;I3372)&gt;0,1,0),0))</f>
        <v/>
      </c>
      <c r="L3372" s="16" t="str">
        <f aca="false">IF(B3372="","",IF(N3372=_xlfn.MAXIFS($N$2:$N$5001,$B$2:$B$5001,B3372,$I$2:$I$5001,I3372),1,0))</f>
        <v/>
      </c>
      <c r="M3372" s="16" t="str">
        <f aca="false">IF(B3372="","",IF(E3372="Em ajustes",IF(N3372=_xlfn.MINIFS($N$2:$N$5001,$B$2:$B$5001,B3372,$E$2:$E$5001,"Em ajustes"),1,0),0))</f>
        <v/>
      </c>
      <c r="N3372" s="17" t="str">
        <f aca="false">IF(A3372="","",IF(ISNUMBER(A3372),A3372,IFERROR(DATE(VALUE(MID(A3372,7,4)),VALUE(MID(A3372,4,2)),VALUE(MID(A3372,1,2)))+TIME(VALUE(MID(A3372,12,2)),VALUE(MID(A3372,15,2)),VALUE(MID(A3372,18,2))),"")))</f>
        <v/>
      </c>
    </row>
    <row r="3373" customFormat="false" ht="15" hidden="false" customHeight="false" outlineLevel="0" collapsed="false">
      <c r="I3373" s="15" t="str">
        <f aca="false">IF(N3373="","",INT(N3373))</f>
        <v/>
      </c>
      <c r="J3373" s="16" t="str">
        <f aca="false">IF(B3373="","",IF(N3373=_xlfn.MINIFS($N$2:$N$5001,$B$2:$B$5001,B3373),1,0))</f>
        <v/>
      </c>
      <c r="K3373" s="16" t="str">
        <f aca="false">IF(B3373="","",IF(AND(D3373="Formalização",E3373="Concluído"),IF(COUNTIFS($B$2:$B$5001,B3373,$E$2:$E$5001,"Em ajustes",$N$2:$N$5001,"&lt;"&amp;I3373)&gt;0,1,0),0))</f>
        <v/>
      </c>
      <c r="L3373" s="16" t="str">
        <f aca="false">IF(B3373="","",IF(N3373=_xlfn.MAXIFS($N$2:$N$5001,$B$2:$B$5001,B3373,$I$2:$I$5001,I3373),1,0))</f>
        <v/>
      </c>
      <c r="M3373" s="16" t="str">
        <f aca="false">IF(B3373="","",IF(E3373="Em ajustes",IF(N3373=_xlfn.MINIFS($N$2:$N$5001,$B$2:$B$5001,B3373,$E$2:$E$5001,"Em ajustes"),1,0),0))</f>
        <v/>
      </c>
      <c r="N3373" s="17" t="str">
        <f aca="false">IF(A3373="","",IF(ISNUMBER(A3373),A3373,IFERROR(DATE(VALUE(MID(A3373,7,4)),VALUE(MID(A3373,4,2)),VALUE(MID(A3373,1,2)))+TIME(VALUE(MID(A3373,12,2)),VALUE(MID(A3373,15,2)),VALUE(MID(A3373,18,2))),"")))</f>
        <v/>
      </c>
    </row>
    <row r="3374" customFormat="false" ht="15" hidden="false" customHeight="false" outlineLevel="0" collapsed="false">
      <c r="I3374" s="15" t="str">
        <f aca="false">IF(N3374="","",INT(N3374))</f>
        <v/>
      </c>
      <c r="J3374" s="16" t="str">
        <f aca="false">IF(B3374="","",IF(N3374=_xlfn.MINIFS($N$2:$N$5001,$B$2:$B$5001,B3374),1,0))</f>
        <v/>
      </c>
      <c r="K3374" s="16" t="str">
        <f aca="false">IF(B3374="","",IF(AND(D3374="Formalização",E3374="Concluído"),IF(COUNTIFS($B$2:$B$5001,B3374,$E$2:$E$5001,"Em ajustes",$N$2:$N$5001,"&lt;"&amp;I3374)&gt;0,1,0),0))</f>
        <v/>
      </c>
      <c r="L3374" s="16" t="str">
        <f aca="false">IF(B3374="","",IF(N3374=_xlfn.MAXIFS($N$2:$N$5001,$B$2:$B$5001,B3374,$I$2:$I$5001,I3374),1,0))</f>
        <v/>
      </c>
      <c r="M3374" s="16" t="str">
        <f aca="false">IF(B3374="","",IF(E3374="Em ajustes",IF(N3374=_xlfn.MINIFS($N$2:$N$5001,$B$2:$B$5001,B3374,$E$2:$E$5001,"Em ajustes"),1,0),0))</f>
        <v/>
      </c>
      <c r="N3374" s="17" t="str">
        <f aca="false">IF(A3374="","",IF(ISNUMBER(A3374),A3374,IFERROR(DATE(VALUE(MID(A3374,7,4)),VALUE(MID(A3374,4,2)),VALUE(MID(A3374,1,2)))+TIME(VALUE(MID(A3374,12,2)),VALUE(MID(A3374,15,2)),VALUE(MID(A3374,18,2))),"")))</f>
        <v/>
      </c>
    </row>
    <row r="3375" customFormat="false" ht="15" hidden="false" customHeight="false" outlineLevel="0" collapsed="false">
      <c r="I3375" s="15" t="str">
        <f aca="false">IF(N3375="","",INT(N3375))</f>
        <v/>
      </c>
      <c r="J3375" s="16" t="str">
        <f aca="false">IF(B3375="","",IF(N3375=_xlfn.MINIFS($N$2:$N$5001,$B$2:$B$5001,B3375),1,0))</f>
        <v/>
      </c>
      <c r="K3375" s="16" t="str">
        <f aca="false">IF(B3375="","",IF(AND(D3375="Formalização",E3375="Concluído"),IF(COUNTIFS($B$2:$B$5001,B3375,$E$2:$E$5001,"Em ajustes",$N$2:$N$5001,"&lt;"&amp;I3375)&gt;0,1,0),0))</f>
        <v/>
      </c>
      <c r="L3375" s="16" t="str">
        <f aca="false">IF(B3375="","",IF(N3375=_xlfn.MAXIFS($N$2:$N$5001,$B$2:$B$5001,B3375,$I$2:$I$5001,I3375),1,0))</f>
        <v/>
      </c>
      <c r="M3375" s="16" t="str">
        <f aca="false">IF(B3375="","",IF(E3375="Em ajustes",IF(N3375=_xlfn.MINIFS($N$2:$N$5001,$B$2:$B$5001,B3375,$E$2:$E$5001,"Em ajustes"),1,0),0))</f>
        <v/>
      </c>
      <c r="N3375" s="17" t="str">
        <f aca="false">IF(A3375="","",IF(ISNUMBER(A3375),A3375,IFERROR(DATE(VALUE(MID(A3375,7,4)),VALUE(MID(A3375,4,2)),VALUE(MID(A3375,1,2)))+TIME(VALUE(MID(A3375,12,2)),VALUE(MID(A3375,15,2)),VALUE(MID(A3375,18,2))),"")))</f>
        <v/>
      </c>
    </row>
    <row r="3376" customFormat="false" ht="15" hidden="false" customHeight="false" outlineLevel="0" collapsed="false">
      <c r="I3376" s="15" t="str">
        <f aca="false">IF(N3376="","",INT(N3376))</f>
        <v/>
      </c>
      <c r="J3376" s="16" t="str">
        <f aca="false">IF(B3376="","",IF(N3376=_xlfn.MINIFS($N$2:$N$5001,$B$2:$B$5001,B3376),1,0))</f>
        <v/>
      </c>
      <c r="K3376" s="16" t="str">
        <f aca="false">IF(B3376="","",IF(AND(D3376="Formalização",E3376="Concluído"),IF(COUNTIFS($B$2:$B$5001,B3376,$E$2:$E$5001,"Em ajustes",$N$2:$N$5001,"&lt;"&amp;I3376)&gt;0,1,0),0))</f>
        <v/>
      </c>
      <c r="L3376" s="16" t="str">
        <f aca="false">IF(B3376="","",IF(N3376=_xlfn.MAXIFS($N$2:$N$5001,$B$2:$B$5001,B3376,$I$2:$I$5001,I3376),1,0))</f>
        <v/>
      </c>
      <c r="M3376" s="16" t="str">
        <f aca="false">IF(B3376="","",IF(E3376="Em ajustes",IF(N3376=_xlfn.MINIFS($N$2:$N$5001,$B$2:$B$5001,B3376,$E$2:$E$5001,"Em ajustes"),1,0),0))</f>
        <v/>
      </c>
      <c r="N3376" s="17" t="str">
        <f aca="false">IF(A3376="","",IF(ISNUMBER(A3376),A3376,IFERROR(DATE(VALUE(MID(A3376,7,4)),VALUE(MID(A3376,4,2)),VALUE(MID(A3376,1,2)))+TIME(VALUE(MID(A3376,12,2)),VALUE(MID(A3376,15,2)),VALUE(MID(A3376,18,2))),"")))</f>
        <v/>
      </c>
    </row>
    <row r="3377" customFormat="false" ht="15" hidden="false" customHeight="false" outlineLevel="0" collapsed="false">
      <c r="I3377" s="15" t="str">
        <f aca="false">IF(N3377="","",INT(N3377))</f>
        <v/>
      </c>
      <c r="J3377" s="16" t="str">
        <f aca="false">IF(B3377="","",IF(N3377=_xlfn.MINIFS($N$2:$N$5001,$B$2:$B$5001,B3377),1,0))</f>
        <v/>
      </c>
      <c r="K3377" s="16" t="str">
        <f aca="false">IF(B3377="","",IF(AND(D3377="Formalização",E3377="Concluído"),IF(COUNTIFS($B$2:$B$5001,B3377,$E$2:$E$5001,"Em ajustes",$N$2:$N$5001,"&lt;"&amp;I3377)&gt;0,1,0),0))</f>
        <v/>
      </c>
      <c r="L3377" s="16" t="str">
        <f aca="false">IF(B3377="","",IF(N3377=_xlfn.MAXIFS($N$2:$N$5001,$B$2:$B$5001,B3377,$I$2:$I$5001,I3377),1,0))</f>
        <v/>
      </c>
      <c r="M3377" s="16" t="str">
        <f aca="false">IF(B3377="","",IF(E3377="Em ajustes",IF(N3377=_xlfn.MINIFS($N$2:$N$5001,$B$2:$B$5001,B3377,$E$2:$E$5001,"Em ajustes"),1,0),0))</f>
        <v/>
      </c>
      <c r="N3377" s="17" t="str">
        <f aca="false">IF(A3377="","",IF(ISNUMBER(A3377),A3377,IFERROR(DATE(VALUE(MID(A3377,7,4)),VALUE(MID(A3377,4,2)),VALUE(MID(A3377,1,2)))+TIME(VALUE(MID(A3377,12,2)),VALUE(MID(A3377,15,2)),VALUE(MID(A3377,18,2))),"")))</f>
        <v/>
      </c>
    </row>
    <row r="3378" customFormat="false" ht="15" hidden="false" customHeight="false" outlineLevel="0" collapsed="false">
      <c r="I3378" s="15" t="str">
        <f aca="false">IF(N3378="","",INT(N3378))</f>
        <v/>
      </c>
      <c r="J3378" s="16" t="str">
        <f aca="false">IF(B3378="","",IF(N3378=_xlfn.MINIFS($N$2:$N$5001,$B$2:$B$5001,B3378),1,0))</f>
        <v/>
      </c>
      <c r="K3378" s="16" t="str">
        <f aca="false">IF(B3378="","",IF(AND(D3378="Formalização",E3378="Concluído"),IF(COUNTIFS($B$2:$B$5001,B3378,$E$2:$E$5001,"Em ajustes",$N$2:$N$5001,"&lt;"&amp;I3378)&gt;0,1,0),0))</f>
        <v/>
      </c>
      <c r="L3378" s="16" t="str">
        <f aca="false">IF(B3378="","",IF(N3378=_xlfn.MAXIFS($N$2:$N$5001,$B$2:$B$5001,B3378,$I$2:$I$5001,I3378),1,0))</f>
        <v/>
      </c>
      <c r="M3378" s="16" t="str">
        <f aca="false">IF(B3378="","",IF(E3378="Em ajustes",IF(N3378=_xlfn.MINIFS($N$2:$N$5001,$B$2:$B$5001,B3378,$E$2:$E$5001,"Em ajustes"),1,0),0))</f>
        <v/>
      </c>
      <c r="N3378" s="17" t="str">
        <f aca="false">IF(A3378="","",IF(ISNUMBER(A3378),A3378,IFERROR(DATE(VALUE(MID(A3378,7,4)),VALUE(MID(A3378,4,2)),VALUE(MID(A3378,1,2)))+TIME(VALUE(MID(A3378,12,2)),VALUE(MID(A3378,15,2)),VALUE(MID(A3378,18,2))),"")))</f>
        <v/>
      </c>
    </row>
    <row r="3379" customFormat="false" ht="15" hidden="false" customHeight="false" outlineLevel="0" collapsed="false">
      <c r="I3379" s="15" t="str">
        <f aca="false">IF(N3379="","",INT(N3379))</f>
        <v/>
      </c>
      <c r="J3379" s="16" t="str">
        <f aca="false">IF(B3379="","",IF(N3379=_xlfn.MINIFS($N$2:$N$5001,$B$2:$B$5001,B3379),1,0))</f>
        <v/>
      </c>
      <c r="K3379" s="16" t="str">
        <f aca="false">IF(B3379="","",IF(AND(D3379="Formalização",E3379="Concluído"),IF(COUNTIFS($B$2:$B$5001,B3379,$E$2:$E$5001,"Em ajustes",$N$2:$N$5001,"&lt;"&amp;I3379)&gt;0,1,0),0))</f>
        <v/>
      </c>
      <c r="L3379" s="16" t="str">
        <f aca="false">IF(B3379="","",IF(N3379=_xlfn.MAXIFS($N$2:$N$5001,$B$2:$B$5001,B3379,$I$2:$I$5001,I3379),1,0))</f>
        <v/>
      </c>
      <c r="M3379" s="16" t="str">
        <f aca="false">IF(B3379="","",IF(E3379="Em ajustes",IF(N3379=_xlfn.MINIFS($N$2:$N$5001,$B$2:$B$5001,B3379,$E$2:$E$5001,"Em ajustes"),1,0),0))</f>
        <v/>
      </c>
      <c r="N3379" s="17" t="str">
        <f aca="false">IF(A3379="","",IF(ISNUMBER(A3379),A3379,IFERROR(DATE(VALUE(MID(A3379,7,4)),VALUE(MID(A3379,4,2)),VALUE(MID(A3379,1,2)))+TIME(VALUE(MID(A3379,12,2)),VALUE(MID(A3379,15,2)),VALUE(MID(A3379,18,2))),"")))</f>
        <v/>
      </c>
    </row>
    <row r="3380" customFormat="false" ht="15" hidden="false" customHeight="false" outlineLevel="0" collapsed="false">
      <c r="I3380" s="15" t="str">
        <f aca="false">IF(N3380="","",INT(N3380))</f>
        <v/>
      </c>
      <c r="J3380" s="16" t="str">
        <f aca="false">IF(B3380="","",IF(N3380=_xlfn.MINIFS($N$2:$N$5001,$B$2:$B$5001,B3380),1,0))</f>
        <v/>
      </c>
      <c r="K3380" s="16" t="str">
        <f aca="false">IF(B3380="","",IF(AND(D3380="Formalização",E3380="Concluído"),IF(COUNTIFS($B$2:$B$5001,B3380,$E$2:$E$5001,"Em ajustes",$N$2:$N$5001,"&lt;"&amp;I3380)&gt;0,1,0),0))</f>
        <v/>
      </c>
      <c r="L3380" s="16" t="str">
        <f aca="false">IF(B3380="","",IF(N3380=_xlfn.MAXIFS($N$2:$N$5001,$B$2:$B$5001,B3380,$I$2:$I$5001,I3380),1,0))</f>
        <v/>
      </c>
      <c r="M3380" s="16" t="str">
        <f aca="false">IF(B3380="","",IF(E3380="Em ajustes",IF(N3380=_xlfn.MINIFS($N$2:$N$5001,$B$2:$B$5001,B3380,$E$2:$E$5001,"Em ajustes"),1,0),0))</f>
        <v/>
      </c>
      <c r="N3380" s="17" t="str">
        <f aca="false">IF(A3380="","",IF(ISNUMBER(A3380),A3380,IFERROR(DATE(VALUE(MID(A3380,7,4)),VALUE(MID(A3380,4,2)),VALUE(MID(A3380,1,2)))+TIME(VALUE(MID(A3380,12,2)),VALUE(MID(A3380,15,2)),VALUE(MID(A3380,18,2))),"")))</f>
        <v/>
      </c>
    </row>
    <row r="3381" customFormat="false" ht="15" hidden="false" customHeight="false" outlineLevel="0" collapsed="false">
      <c r="I3381" s="15" t="str">
        <f aca="false">IF(N3381="","",INT(N3381))</f>
        <v/>
      </c>
      <c r="J3381" s="16" t="str">
        <f aca="false">IF(B3381="","",IF(N3381=_xlfn.MINIFS($N$2:$N$5001,$B$2:$B$5001,B3381),1,0))</f>
        <v/>
      </c>
      <c r="K3381" s="16" t="str">
        <f aca="false">IF(B3381="","",IF(AND(D3381="Formalização",E3381="Concluído"),IF(COUNTIFS($B$2:$B$5001,B3381,$E$2:$E$5001,"Em ajustes",$N$2:$N$5001,"&lt;"&amp;I3381)&gt;0,1,0),0))</f>
        <v/>
      </c>
      <c r="L3381" s="16" t="str">
        <f aca="false">IF(B3381="","",IF(N3381=_xlfn.MAXIFS($N$2:$N$5001,$B$2:$B$5001,B3381,$I$2:$I$5001,I3381),1,0))</f>
        <v/>
      </c>
      <c r="M3381" s="16" t="str">
        <f aca="false">IF(B3381="","",IF(E3381="Em ajustes",IF(N3381=_xlfn.MINIFS($N$2:$N$5001,$B$2:$B$5001,B3381,$E$2:$E$5001,"Em ajustes"),1,0),0))</f>
        <v/>
      </c>
      <c r="N3381" s="17" t="str">
        <f aca="false">IF(A3381="","",IF(ISNUMBER(A3381),A3381,IFERROR(DATE(VALUE(MID(A3381,7,4)),VALUE(MID(A3381,4,2)),VALUE(MID(A3381,1,2)))+TIME(VALUE(MID(A3381,12,2)),VALUE(MID(A3381,15,2)),VALUE(MID(A3381,18,2))),"")))</f>
        <v/>
      </c>
    </row>
    <row r="3382" customFormat="false" ht="15" hidden="false" customHeight="false" outlineLevel="0" collapsed="false">
      <c r="I3382" s="15" t="str">
        <f aca="false">IF(N3382="","",INT(N3382))</f>
        <v/>
      </c>
      <c r="J3382" s="16" t="str">
        <f aca="false">IF(B3382="","",IF(N3382=_xlfn.MINIFS($N$2:$N$5001,$B$2:$B$5001,B3382),1,0))</f>
        <v/>
      </c>
      <c r="K3382" s="16" t="str">
        <f aca="false">IF(B3382="","",IF(AND(D3382="Formalização",E3382="Concluído"),IF(COUNTIFS($B$2:$B$5001,B3382,$E$2:$E$5001,"Em ajustes",$N$2:$N$5001,"&lt;"&amp;I3382)&gt;0,1,0),0))</f>
        <v/>
      </c>
      <c r="L3382" s="16" t="str">
        <f aca="false">IF(B3382="","",IF(N3382=_xlfn.MAXIFS($N$2:$N$5001,$B$2:$B$5001,B3382,$I$2:$I$5001,I3382),1,0))</f>
        <v/>
      </c>
      <c r="M3382" s="16" t="str">
        <f aca="false">IF(B3382="","",IF(E3382="Em ajustes",IF(N3382=_xlfn.MINIFS($N$2:$N$5001,$B$2:$B$5001,B3382,$E$2:$E$5001,"Em ajustes"),1,0),0))</f>
        <v/>
      </c>
      <c r="N3382" s="17" t="str">
        <f aca="false">IF(A3382="","",IF(ISNUMBER(A3382),A3382,IFERROR(DATE(VALUE(MID(A3382,7,4)),VALUE(MID(A3382,4,2)),VALUE(MID(A3382,1,2)))+TIME(VALUE(MID(A3382,12,2)),VALUE(MID(A3382,15,2)),VALUE(MID(A3382,18,2))),"")))</f>
        <v/>
      </c>
    </row>
    <row r="3383" customFormat="false" ht="15" hidden="false" customHeight="false" outlineLevel="0" collapsed="false">
      <c r="I3383" s="15" t="str">
        <f aca="false">IF(N3383="","",INT(N3383))</f>
        <v/>
      </c>
      <c r="J3383" s="16" t="str">
        <f aca="false">IF(B3383="","",IF(N3383=_xlfn.MINIFS($N$2:$N$5001,$B$2:$B$5001,B3383),1,0))</f>
        <v/>
      </c>
      <c r="K3383" s="16" t="str">
        <f aca="false">IF(B3383="","",IF(AND(D3383="Formalização",E3383="Concluído"),IF(COUNTIFS($B$2:$B$5001,B3383,$E$2:$E$5001,"Em ajustes",$N$2:$N$5001,"&lt;"&amp;I3383)&gt;0,1,0),0))</f>
        <v/>
      </c>
      <c r="L3383" s="16" t="str">
        <f aca="false">IF(B3383="","",IF(N3383=_xlfn.MAXIFS($N$2:$N$5001,$B$2:$B$5001,B3383,$I$2:$I$5001,I3383),1,0))</f>
        <v/>
      </c>
      <c r="M3383" s="16" t="str">
        <f aca="false">IF(B3383="","",IF(E3383="Em ajustes",IF(N3383=_xlfn.MINIFS($N$2:$N$5001,$B$2:$B$5001,B3383,$E$2:$E$5001,"Em ajustes"),1,0),0))</f>
        <v/>
      </c>
      <c r="N3383" s="17" t="str">
        <f aca="false">IF(A3383="","",IF(ISNUMBER(A3383),A3383,IFERROR(DATE(VALUE(MID(A3383,7,4)),VALUE(MID(A3383,4,2)),VALUE(MID(A3383,1,2)))+TIME(VALUE(MID(A3383,12,2)),VALUE(MID(A3383,15,2)),VALUE(MID(A3383,18,2))),"")))</f>
        <v/>
      </c>
    </row>
    <row r="3384" customFormat="false" ht="15" hidden="false" customHeight="false" outlineLevel="0" collapsed="false">
      <c r="I3384" s="15" t="str">
        <f aca="false">IF(N3384="","",INT(N3384))</f>
        <v/>
      </c>
      <c r="J3384" s="16" t="str">
        <f aca="false">IF(B3384="","",IF(N3384=_xlfn.MINIFS($N$2:$N$5001,$B$2:$B$5001,B3384),1,0))</f>
        <v/>
      </c>
      <c r="K3384" s="16" t="str">
        <f aca="false">IF(B3384="","",IF(AND(D3384="Formalização",E3384="Concluído"),IF(COUNTIFS($B$2:$B$5001,B3384,$E$2:$E$5001,"Em ajustes",$N$2:$N$5001,"&lt;"&amp;I3384)&gt;0,1,0),0))</f>
        <v/>
      </c>
      <c r="L3384" s="16" t="str">
        <f aca="false">IF(B3384="","",IF(N3384=_xlfn.MAXIFS($N$2:$N$5001,$B$2:$B$5001,B3384,$I$2:$I$5001,I3384),1,0))</f>
        <v/>
      </c>
      <c r="M3384" s="16" t="str">
        <f aca="false">IF(B3384="","",IF(E3384="Em ajustes",IF(N3384=_xlfn.MINIFS($N$2:$N$5001,$B$2:$B$5001,B3384,$E$2:$E$5001,"Em ajustes"),1,0),0))</f>
        <v/>
      </c>
      <c r="N3384" s="17" t="str">
        <f aca="false">IF(A3384="","",IF(ISNUMBER(A3384),A3384,IFERROR(DATE(VALUE(MID(A3384,7,4)),VALUE(MID(A3384,4,2)),VALUE(MID(A3384,1,2)))+TIME(VALUE(MID(A3384,12,2)),VALUE(MID(A3384,15,2)),VALUE(MID(A3384,18,2))),"")))</f>
        <v/>
      </c>
    </row>
    <row r="3385" customFormat="false" ht="15" hidden="false" customHeight="false" outlineLevel="0" collapsed="false">
      <c r="I3385" s="15" t="str">
        <f aca="false">IF(N3385="","",INT(N3385))</f>
        <v/>
      </c>
      <c r="J3385" s="16" t="str">
        <f aca="false">IF(B3385="","",IF(N3385=_xlfn.MINIFS($N$2:$N$5001,$B$2:$B$5001,B3385),1,0))</f>
        <v/>
      </c>
      <c r="K3385" s="16" t="str">
        <f aca="false">IF(B3385="","",IF(AND(D3385="Formalização",E3385="Concluído"),IF(COUNTIFS($B$2:$B$5001,B3385,$E$2:$E$5001,"Em ajustes",$N$2:$N$5001,"&lt;"&amp;I3385)&gt;0,1,0),0))</f>
        <v/>
      </c>
      <c r="L3385" s="16" t="str">
        <f aca="false">IF(B3385="","",IF(N3385=_xlfn.MAXIFS($N$2:$N$5001,$B$2:$B$5001,B3385,$I$2:$I$5001,I3385),1,0))</f>
        <v/>
      </c>
      <c r="M3385" s="16" t="str">
        <f aca="false">IF(B3385="","",IF(E3385="Em ajustes",IF(N3385=_xlfn.MINIFS($N$2:$N$5001,$B$2:$B$5001,B3385,$E$2:$E$5001,"Em ajustes"),1,0),0))</f>
        <v/>
      </c>
      <c r="N3385" s="17" t="str">
        <f aca="false">IF(A3385="","",IF(ISNUMBER(A3385),A3385,IFERROR(DATE(VALUE(MID(A3385,7,4)),VALUE(MID(A3385,4,2)),VALUE(MID(A3385,1,2)))+TIME(VALUE(MID(A3385,12,2)),VALUE(MID(A3385,15,2)),VALUE(MID(A3385,18,2))),"")))</f>
        <v/>
      </c>
    </row>
    <row r="3386" customFormat="false" ht="15" hidden="false" customHeight="false" outlineLevel="0" collapsed="false">
      <c r="I3386" s="15" t="str">
        <f aca="false">IF(N3386="","",INT(N3386))</f>
        <v/>
      </c>
      <c r="J3386" s="16" t="str">
        <f aca="false">IF(B3386="","",IF(N3386=_xlfn.MINIFS($N$2:$N$5001,$B$2:$B$5001,B3386),1,0))</f>
        <v/>
      </c>
      <c r="K3386" s="16" t="str">
        <f aca="false">IF(B3386="","",IF(AND(D3386="Formalização",E3386="Concluído"),IF(COUNTIFS($B$2:$B$5001,B3386,$E$2:$E$5001,"Em ajustes",$N$2:$N$5001,"&lt;"&amp;I3386)&gt;0,1,0),0))</f>
        <v/>
      </c>
      <c r="L3386" s="16" t="str">
        <f aca="false">IF(B3386="","",IF(N3386=_xlfn.MAXIFS($N$2:$N$5001,$B$2:$B$5001,B3386,$I$2:$I$5001,I3386),1,0))</f>
        <v/>
      </c>
      <c r="M3386" s="16" t="str">
        <f aca="false">IF(B3386="","",IF(E3386="Em ajustes",IF(N3386=_xlfn.MINIFS($N$2:$N$5001,$B$2:$B$5001,B3386,$E$2:$E$5001,"Em ajustes"),1,0),0))</f>
        <v/>
      </c>
      <c r="N3386" s="17" t="str">
        <f aca="false">IF(A3386="","",IF(ISNUMBER(A3386),A3386,IFERROR(DATE(VALUE(MID(A3386,7,4)),VALUE(MID(A3386,4,2)),VALUE(MID(A3386,1,2)))+TIME(VALUE(MID(A3386,12,2)),VALUE(MID(A3386,15,2)),VALUE(MID(A3386,18,2))),"")))</f>
        <v/>
      </c>
    </row>
    <row r="3387" customFormat="false" ht="15" hidden="false" customHeight="false" outlineLevel="0" collapsed="false">
      <c r="I3387" s="15" t="str">
        <f aca="false">IF(N3387="","",INT(N3387))</f>
        <v/>
      </c>
      <c r="J3387" s="16" t="str">
        <f aca="false">IF(B3387="","",IF(N3387=_xlfn.MINIFS($N$2:$N$5001,$B$2:$B$5001,B3387),1,0))</f>
        <v/>
      </c>
      <c r="K3387" s="16" t="str">
        <f aca="false">IF(B3387="","",IF(AND(D3387="Formalização",E3387="Concluído"),IF(COUNTIFS($B$2:$B$5001,B3387,$E$2:$E$5001,"Em ajustes",$N$2:$N$5001,"&lt;"&amp;I3387)&gt;0,1,0),0))</f>
        <v/>
      </c>
      <c r="L3387" s="16" t="str">
        <f aca="false">IF(B3387="","",IF(N3387=_xlfn.MAXIFS($N$2:$N$5001,$B$2:$B$5001,B3387,$I$2:$I$5001,I3387),1,0))</f>
        <v/>
      </c>
      <c r="M3387" s="16" t="str">
        <f aca="false">IF(B3387="","",IF(E3387="Em ajustes",IF(N3387=_xlfn.MINIFS($N$2:$N$5001,$B$2:$B$5001,B3387,$E$2:$E$5001,"Em ajustes"),1,0),0))</f>
        <v/>
      </c>
      <c r="N3387" s="17" t="str">
        <f aca="false">IF(A3387="","",IF(ISNUMBER(A3387),A3387,IFERROR(DATE(VALUE(MID(A3387,7,4)),VALUE(MID(A3387,4,2)),VALUE(MID(A3387,1,2)))+TIME(VALUE(MID(A3387,12,2)),VALUE(MID(A3387,15,2)),VALUE(MID(A3387,18,2))),"")))</f>
        <v/>
      </c>
    </row>
    <row r="3388" customFormat="false" ht="15" hidden="false" customHeight="false" outlineLevel="0" collapsed="false">
      <c r="I3388" s="15" t="str">
        <f aca="false">IF(N3388="","",INT(N3388))</f>
        <v/>
      </c>
      <c r="J3388" s="16" t="str">
        <f aca="false">IF(B3388="","",IF(N3388=_xlfn.MINIFS($N$2:$N$5001,$B$2:$B$5001,B3388),1,0))</f>
        <v/>
      </c>
      <c r="K3388" s="16" t="str">
        <f aca="false">IF(B3388="","",IF(AND(D3388="Formalização",E3388="Concluído"),IF(COUNTIFS($B$2:$B$5001,B3388,$E$2:$E$5001,"Em ajustes",$N$2:$N$5001,"&lt;"&amp;I3388)&gt;0,1,0),0))</f>
        <v/>
      </c>
      <c r="L3388" s="16" t="str">
        <f aca="false">IF(B3388="","",IF(N3388=_xlfn.MAXIFS($N$2:$N$5001,$B$2:$B$5001,B3388,$I$2:$I$5001,I3388),1,0))</f>
        <v/>
      </c>
      <c r="M3388" s="16" t="str">
        <f aca="false">IF(B3388="","",IF(E3388="Em ajustes",IF(N3388=_xlfn.MINIFS($N$2:$N$5001,$B$2:$B$5001,B3388,$E$2:$E$5001,"Em ajustes"),1,0),0))</f>
        <v/>
      </c>
      <c r="N3388" s="17" t="str">
        <f aca="false">IF(A3388="","",IF(ISNUMBER(A3388),A3388,IFERROR(DATE(VALUE(MID(A3388,7,4)),VALUE(MID(A3388,4,2)),VALUE(MID(A3388,1,2)))+TIME(VALUE(MID(A3388,12,2)),VALUE(MID(A3388,15,2)),VALUE(MID(A3388,18,2))),"")))</f>
        <v/>
      </c>
    </row>
    <row r="3389" customFormat="false" ht="15" hidden="false" customHeight="false" outlineLevel="0" collapsed="false">
      <c r="I3389" s="15" t="str">
        <f aca="false">IF(N3389="","",INT(N3389))</f>
        <v/>
      </c>
      <c r="J3389" s="16" t="str">
        <f aca="false">IF(B3389="","",IF(N3389=_xlfn.MINIFS($N$2:$N$5001,$B$2:$B$5001,B3389),1,0))</f>
        <v/>
      </c>
      <c r="K3389" s="16" t="str">
        <f aca="false">IF(B3389="","",IF(AND(D3389="Formalização",E3389="Concluído"),IF(COUNTIFS($B$2:$B$5001,B3389,$E$2:$E$5001,"Em ajustes",$N$2:$N$5001,"&lt;"&amp;I3389)&gt;0,1,0),0))</f>
        <v/>
      </c>
      <c r="L3389" s="16" t="str">
        <f aca="false">IF(B3389="","",IF(N3389=_xlfn.MAXIFS($N$2:$N$5001,$B$2:$B$5001,B3389,$I$2:$I$5001,I3389),1,0))</f>
        <v/>
      </c>
      <c r="M3389" s="16" t="str">
        <f aca="false">IF(B3389="","",IF(E3389="Em ajustes",IF(N3389=_xlfn.MINIFS($N$2:$N$5001,$B$2:$B$5001,B3389,$E$2:$E$5001,"Em ajustes"),1,0),0))</f>
        <v/>
      </c>
      <c r="N3389" s="17" t="str">
        <f aca="false">IF(A3389="","",IF(ISNUMBER(A3389),A3389,IFERROR(DATE(VALUE(MID(A3389,7,4)),VALUE(MID(A3389,4,2)),VALUE(MID(A3389,1,2)))+TIME(VALUE(MID(A3389,12,2)),VALUE(MID(A3389,15,2)),VALUE(MID(A3389,18,2))),"")))</f>
        <v/>
      </c>
    </row>
    <row r="3390" customFormat="false" ht="15" hidden="false" customHeight="false" outlineLevel="0" collapsed="false">
      <c r="I3390" s="15" t="str">
        <f aca="false">IF(N3390="","",INT(N3390))</f>
        <v/>
      </c>
      <c r="J3390" s="16" t="str">
        <f aca="false">IF(B3390="","",IF(N3390=_xlfn.MINIFS($N$2:$N$5001,$B$2:$B$5001,B3390),1,0))</f>
        <v/>
      </c>
      <c r="K3390" s="16" t="str">
        <f aca="false">IF(B3390="","",IF(AND(D3390="Formalização",E3390="Concluído"),IF(COUNTIFS($B$2:$B$5001,B3390,$E$2:$E$5001,"Em ajustes",$N$2:$N$5001,"&lt;"&amp;I3390)&gt;0,1,0),0))</f>
        <v/>
      </c>
      <c r="L3390" s="16" t="str">
        <f aca="false">IF(B3390="","",IF(N3390=_xlfn.MAXIFS($N$2:$N$5001,$B$2:$B$5001,B3390,$I$2:$I$5001,I3390),1,0))</f>
        <v/>
      </c>
      <c r="M3390" s="16" t="str">
        <f aca="false">IF(B3390="","",IF(E3390="Em ajustes",IF(N3390=_xlfn.MINIFS($N$2:$N$5001,$B$2:$B$5001,B3390,$E$2:$E$5001,"Em ajustes"),1,0),0))</f>
        <v/>
      </c>
      <c r="N3390" s="17" t="str">
        <f aca="false">IF(A3390="","",IF(ISNUMBER(A3390),A3390,IFERROR(DATE(VALUE(MID(A3390,7,4)),VALUE(MID(A3390,4,2)),VALUE(MID(A3390,1,2)))+TIME(VALUE(MID(A3390,12,2)),VALUE(MID(A3390,15,2)),VALUE(MID(A3390,18,2))),"")))</f>
        <v/>
      </c>
    </row>
    <row r="3391" customFormat="false" ht="15" hidden="false" customHeight="false" outlineLevel="0" collapsed="false">
      <c r="I3391" s="15" t="str">
        <f aca="false">IF(N3391="","",INT(N3391))</f>
        <v/>
      </c>
      <c r="J3391" s="16" t="str">
        <f aca="false">IF(B3391="","",IF(N3391=_xlfn.MINIFS($N$2:$N$5001,$B$2:$B$5001,B3391),1,0))</f>
        <v/>
      </c>
      <c r="K3391" s="16" t="str">
        <f aca="false">IF(B3391="","",IF(AND(D3391="Formalização",E3391="Concluído"),IF(COUNTIFS($B$2:$B$5001,B3391,$E$2:$E$5001,"Em ajustes",$N$2:$N$5001,"&lt;"&amp;I3391)&gt;0,1,0),0))</f>
        <v/>
      </c>
      <c r="L3391" s="16" t="str">
        <f aca="false">IF(B3391="","",IF(N3391=_xlfn.MAXIFS($N$2:$N$5001,$B$2:$B$5001,B3391,$I$2:$I$5001,I3391),1,0))</f>
        <v/>
      </c>
      <c r="M3391" s="16" t="str">
        <f aca="false">IF(B3391="","",IF(E3391="Em ajustes",IF(N3391=_xlfn.MINIFS($N$2:$N$5001,$B$2:$B$5001,B3391,$E$2:$E$5001,"Em ajustes"),1,0),0))</f>
        <v/>
      </c>
      <c r="N3391" s="17" t="str">
        <f aca="false">IF(A3391="","",IF(ISNUMBER(A3391),A3391,IFERROR(DATE(VALUE(MID(A3391,7,4)),VALUE(MID(A3391,4,2)),VALUE(MID(A3391,1,2)))+TIME(VALUE(MID(A3391,12,2)),VALUE(MID(A3391,15,2)),VALUE(MID(A3391,18,2))),"")))</f>
        <v/>
      </c>
    </row>
    <row r="3392" customFormat="false" ht="15" hidden="false" customHeight="false" outlineLevel="0" collapsed="false">
      <c r="I3392" s="15" t="str">
        <f aca="false">IF(N3392="","",INT(N3392))</f>
        <v/>
      </c>
      <c r="J3392" s="16" t="str">
        <f aca="false">IF(B3392="","",IF(N3392=_xlfn.MINIFS($N$2:$N$5001,$B$2:$B$5001,B3392),1,0))</f>
        <v/>
      </c>
      <c r="K3392" s="16" t="str">
        <f aca="false">IF(B3392="","",IF(AND(D3392="Formalização",E3392="Concluído"),IF(COUNTIFS($B$2:$B$5001,B3392,$E$2:$E$5001,"Em ajustes",$N$2:$N$5001,"&lt;"&amp;I3392)&gt;0,1,0),0))</f>
        <v/>
      </c>
      <c r="L3392" s="16" t="str">
        <f aca="false">IF(B3392="","",IF(N3392=_xlfn.MAXIFS($N$2:$N$5001,$B$2:$B$5001,B3392,$I$2:$I$5001,I3392),1,0))</f>
        <v/>
      </c>
      <c r="M3392" s="16" t="str">
        <f aca="false">IF(B3392="","",IF(E3392="Em ajustes",IF(N3392=_xlfn.MINIFS($N$2:$N$5001,$B$2:$B$5001,B3392,$E$2:$E$5001,"Em ajustes"),1,0),0))</f>
        <v/>
      </c>
      <c r="N3392" s="17" t="str">
        <f aca="false">IF(A3392="","",IF(ISNUMBER(A3392),A3392,IFERROR(DATE(VALUE(MID(A3392,7,4)),VALUE(MID(A3392,4,2)),VALUE(MID(A3392,1,2)))+TIME(VALUE(MID(A3392,12,2)),VALUE(MID(A3392,15,2)),VALUE(MID(A3392,18,2))),"")))</f>
        <v/>
      </c>
    </row>
    <row r="3393" customFormat="false" ht="15" hidden="false" customHeight="false" outlineLevel="0" collapsed="false">
      <c r="I3393" s="15" t="str">
        <f aca="false">IF(N3393="","",INT(N3393))</f>
        <v/>
      </c>
      <c r="J3393" s="16" t="str">
        <f aca="false">IF(B3393="","",IF(N3393=_xlfn.MINIFS($N$2:$N$5001,$B$2:$B$5001,B3393),1,0))</f>
        <v/>
      </c>
      <c r="K3393" s="16" t="str">
        <f aca="false">IF(B3393="","",IF(AND(D3393="Formalização",E3393="Concluído"),IF(COUNTIFS($B$2:$B$5001,B3393,$E$2:$E$5001,"Em ajustes",$N$2:$N$5001,"&lt;"&amp;I3393)&gt;0,1,0),0))</f>
        <v/>
      </c>
      <c r="L3393" s="16" t="str">
        <f aca="false">IF(B3393="","",IF(N3393=_xlfn.MAXIFS($N$2:$N$5001,$B$2:$B$5001,B3393,$I$2:$I$5001,I3393),1,0))</f>
        <v/>
      </c>
      <c r="M3393" s="16" t="str">
        <f aca="false">IF(B3393="","",IF(E3393="Em ajustes",IF(N3393=_xlfn.MINIFS($N$2:$N$5001,$B$2:$B$5001,B3393,$E$2:$E$5001,"Em ajustes"),1,0),0))</f>
        <v/>
      </c>
      <c r="N3393" s="17" t="str">
        <f aca="false">IF(A3393="","",IF(ISNUMBER(A3393),A3393,IFERROR(DATE(VALUE(MID(A3393,7,4)),VALUE(MID(A3393,4,2)),VALUE(MID(A3393,1,2)))+TIME(VALUE(MID(A3393,12,2)),VALUE(MID(A3393,15,2)),VALUE(MID(A3393,18,2))),"")))</f>
        <v/>
      </c>
    </row>
    <row r="3394" customFormat="false" ht="15" hidden="false" customHeight="false" outlineLevel="0" collapsed="false">
      <c r="I3394" s="15" t="str">
        <f aca="false">IF(N3394="","",INT(N3394))</f>
        <v/>
      </c>
      <c r="J3394" s="16" t="str">
        <f aca="false">IF(B3394="","",IF(N3394=_xlfn.MINIFS($N$2:$N$5001,$B$2:$B$5001,B3394),1,0))</f>
        <v/>
      </c>
      <c r="K3394" s="16" t="str">
        <f aca="false">IF(B3394="","",IF(AND(D3394="Formalização",E3394="Concluído"),IF(COUNTIFS($B$2:$B$5001,B3394,$E$2:$E$5001,"Em ajustes",$N$2:$N$5001,"&lt;"&amp;I3394)&gt;0,1,0),0))</f>
        <v/>
      </c>
      <c r="L3394" s="16" t="str">
        <f aca="false">IF(B3394="","",IF(N3394=_xlfn.MAXIFS($N$2:$N$5001,$B$2:$B$5001,B3394,$I$2:$I$5001,I3394),1,0))</f>
        <v/>
      </c>
      <c r="M3394" s="16" t="str">
        <f aca="false">IF(B3394="","",IF(E3394="Em ajustes",IF(N3394=_xlfn.MINIFS($N$2:$N$5001,$B$2:$B$5001,B3394,$E$2:$E$5001,"Em ajustes"),1,0),0))</f>
        <v/>
      </c>
      <c r="N3394" s="17" t="str">
        <f aca="false">IF(A3394="","",IF(ISNUMBER(A3394),A3394,IFERROR(DATE(VALUE(MID(A3394,7,4)),VALUE(MID(A3394,4,2)),VALUE(MID(A3394,1,2)))+TIME(VALUE(MID(A3394,12,2)),VALUE(MID(A3394,15,2)),VALUE(MID(A3394,18,2))),"")))</f>
        <v/>
      </c>
    </row>
    <row r="3395" customFormat="false" ht="15" hidden="false" customHeight="false" outlineLevel="0" collapsed="false">
      <c r="I3395" s="15" t="str">
        <f aca="false">IF(N3395="","",INT(N3395))</f>
        <v/>
      </c>
      <c r="J3395" s="16" t="str">
        <f aca="false">IF(B3395="","",IF(N3395=_xlfn.MINIFS($N$2:$N$5001,$B$2:$B$5001,B3395),1,0))</f>
        <v/>
      </c>
      <c r="K3395" s="16" t="str">
        <f aca="false">IF(B3395="","",IF(AND(D3395="Formalização",E3395="Concluído"),IF(COUNTIFS($B$2:$B$5001,B3395,$E$2:$E$5001,"Em ajustes",$N$2:$N$5001,"&lt;"&amp;I3395)&gt;0,1,0),0))</f>
        <v/>
      </c>
      <c r="L3395" s="16" t="str">
        <f aca="false">IF(B3395="","",IF(N3395=_xlfn.MAXIFS($N$2:$N$5001,$B$2:$B$5001,B3395,$I$2:$I$5001,I3395),1,0))</f>
        <v/>
      </c>
      <c r="M3395" s="16" t="str">
        <f aca="false">IF(B3395="","",IF(E3395="Em ajustes",IF(N3395=_xlfn.MINIFS($N$2:$N$5001,$B$2:$B$5001,B3395,$E$2:$E$5001,"Em ajustes"),1,0),0))</f>
        <v/>
      </c>
      <c r="N3395" s="17" t="str">
        <f aca="false">IF(A3395="","",IF(ISNUMBER(A3395),A3395,IFERROR(DATE(VALUE(MID(A3395,7,4)),VALUE(MID(A3395,4,2)),VALUE(MID(A3395,1,2)))+TIME(VALUE(MID(A3395,12,2)),VALUE(MID(A3395,15,2)),VALUE(MID(A3395,18,2))),"")))</f>
        <v/>
      </c>
    </row>
    <row r="3396" customFormat="false" ht="15" hidden="false" customHeight="false" outlineLevel="0" collapsed="false">
      <c r="I3396" s="15" t="str">
        <f aca="false">IF(N3396="","",INT(N3396))</f>
        <v/>
      </c>
      <c r="J3396" s="16" t="str">
        <f aca="false">IF(B3396="","",IF(N3396=_xlfn.MINIFS($N$2:$N$5001,$B$2:$B$5001,B3396),1,0))</f>
        <v/>
      </c>
      <c r="K3396" s="16" t="str">
        <f aca="false">IF(B3396="","",IF(AND(D3396="Formalização",E3396="Concluído"),IF(COUNTIFS($B$2:$B$5001,B3396,$E$2:$E$5001,"Em ajustes",$N$2:$N$5001,"&lt;"&amp;I3396)&gt;0,1,0),0))</f>
        <v/>
      </c>
      <c r="L3396" s="16" t="str">
        <f aca="false">IF(B3396="","",IF(N3396=_xlfn.MAXIFS($N$2:$N$5001,$B$2:$B$5001,B3396,$I$2:$I$5001,I3396),1,0))</f>
        <v/>
      </c>
      <c r="M3396" s="16" t="str">
        <f aca="false">IF(B3396="","",IF(E3396="Em ajustes",IF(N3396=_xlfn.MINIFS($N$2:$N$5001,$B$2:$B$5001,B3396,$E$2:$E$5001,"Em ajustes"),1,0),0))</f>
        <v/>
      </c>
      <c r="N3396" s="17" t="str">
        <f aca="false">IF(A3396="","",IF(ISNUMBER(A3396),A3396,IFERROR(DATE(VALUE(MID(A3396,7,4)),VALUE(MID(A3396,4,2)),VALUE(MID(A3396,1,2)))+TIME(VALUE(MID(A3396,12,2)),VALUE(MID(A3396,15,2)),VALUE(MID(A3396,18,2))),"")))</f>
        <v/>
      </c>
    </row>
    <row r="3397" customFormat="false" ht="15" hidden="false" customHeight="false" outlineLevel="0" collapsed="false">
      <c r="I3397" s="15" t="str">
        <f aca="false">IF(N3397="","",INT(N3397))</f>
        <v/>
      </c>
      <c r="J3397" s="16" t="str">
        <f aca="false">IF(B3397="","",IF(N3397=_xlfn.MINIFS($N$2:$N$5001,$B$2:$B$5001,B3397),1,0))</f>
        <v/>
      </c>
      <c r="K3397" s="16" t="str">
        <f aca="false">IF(B3397="","",IF(AND(D3397="Formalização",E3397="Concluído"),IF(COUNTIFS($B$2:$B$5001,B3397,$E$2:$E$5001,"Em ajustes",$N$2:$N$5001,"&lt;"&amp;I3397)&gt;0,1,0),0))</f>
        <v/>
      </c>
      <c r="L3397" s="16" t="str">
        <f aca="false">IF(B3397="","",IF(N3397=_xlfn.MAXIFS($N$2:$N$5001,$B$2:$B$5001,B3397,$I$2:$I$5001,I3397),1,0))</f>
        <v/>
      </c>
      <c r="M3397" s="16" t="str">
        <f aca="false">IF(B3397="","",IF(E3397="Em ajustes",IF(N3397=_xlfn.MINIFS($N$2:$N$5001,$B$2:$B$5001,B3397,$E$2:$E$5001,"Em ajustes"),1,0),0))</f>
        <v/>
      </c>
      <c r="N3397" s="17" t="str">
        <f aca="false">IF(A3397="","",IF(ISNUMBER(A3397),A3397,IFERROR(DATE(VALUE(MID(A3397,7,4)),VALUE(MID(A3397,4,2)),VALUE(MID(A3397,1,2)))+TIME(VALUE(MID(A3397,12,2)),VALUE(MID(A3397,15,2)),VALUE(MID(A3397,18,2))),"")))</f>
        <v/>
      </c>
    </row>
    <row r="3398" customFormat="false" ht="15" hidden="false" customHeight="false" outlineLevel="0" collapsed="false">
      <c r="I3398" s="15" t="str">
        <f aca="false">IF(N3398="","",INT(N3398))</f>
        <v/>
      </c>
      <c r="J3398" s="16" t="str">
        <f aca="false">IF(B3398="","",IF(N3398=_xlfn.MINIFS($N$2:$N$5001,$B$2:$B$5001,B3398),1,0))</f>
        <v/>
      </c>
      <c r="K3398" s="16" t="str">
        <f aca="false">IF(B3398="","",IF(AND(D3398="Formalização",E3398="Concluído"),IF(COUNTIFS($B$2:$B$5001,B3398,$E$2:$E$5001,"Em ajustes",$N$2:$N$5001,"&lt;"&amp;I3398)&gt;0,1,0),0))</f>
        <v/>
      </c>
      <c r="L3398" s="16" t="str">
        <f aca="false">IF(B3398="","",IF(N3398=_xlfn.MAXIFS($N$2:$N$5001,$B$2:$B$5001,B3398,$I$2:$I$5001,I3398),1,0))</f>
        <v/>
      </c>
      <c r="M3398" s="16" t="str">
        <f aca="false">IF(B3398="","",IF(E3398="Em ajustes",IF(N3398=_xlfn.MINIFS($N$2:$N$5001,$B$2:$B$5001,B3398,$E$2:$E$5001,"Em ajustes"),1,0),0))</f>
        <v/>
      </c>
      <c r="N3398" s="17" t="str">
        <f aca="false">IF(A3398="","",IF(ISNUMBER(A3398),A3398,IFERROR(DATE(VALUE(MID(A3398,7,4)),VALUE(MID(A3398,4,2)),VALUE(MID(A3398,1,2)))+TIME(VALUE(MID(A3398,12,2)),VALUE(MID(A3398,15,2)),VALUE(MID(A3398,18,2))),"")))</f>
        <v/>
      </c>
    </row>
    <row r="3399" customFormat="false" ht="15" hidden="false" customHeight="false" outlineLevel="0" collapsed="false">
      <c r="I3399" s="15" t="str">
        <f aca="false">IF(N3399="","",INT(N3399))</f>
        <v/>
      </c>
      <c r="J3399" s="16" t="str">
        <f aca="false">IF(B3399="","",IF(N3399=_xlfn.MINIFS($N$2:$N$5001,$B$2:$B$5001,B3399),1,0))</f>
        <v/>
      </c>
      <c r="K3399" s="16" t="str">
        <f aca="false">IF(B3399="","",IF(AND(D3399="Formalização",E3399="Concluído"),IF(COUNTIFS($B$2:$B$5001,B3399,$E$2:$E$5001,"Em ajustes",$N$2:$N$5001,"&lt;"&amp;I3399)&gt;0,1,0),0))</f>
        <v/>
      </c>
      <c r="L3399" s="16" t="str">
        <f aca="false">IF(B3399="","",IF(N3399=_xlfn.MAXIFS($N$2:$N$5001,$B$2:$B$5001,B3399,$I$2:$I$5001,I3399),1,0))</f>
        <v/>
      </c>
      <c r="M3399" s="16" t="str">
        <f aca="false">IF(B3399="","",IF(E3399="Em ajustes",IF(N3399=_xlfn.MINIFS($N$2:$N$5001,$B$2:$B$5001,B3399,$E$2:$E$5001,"Em ajustes"),1,0),0))</f>
        <v/>
      </c>
      <c r="N3399" s="17" t="str">
        <f aca="false">IF(A3399="","",IF(ISNUMBER(A3399),A3399,IFERROR(DATE(VALUE(MID(A3399,7,4)),VALUE(MID(A3399,4,2)),VALUE(MID(A3399,1,2)))+TIME(VALUE(MID(A3399,12,2)),VALUE(MID(A3399,15,2)),VALUE(MID(A3399,18,2))),"")))</f>
        <v/>
      </c>
    </row>
    <row r="3400" customFormat="false" ht="15" hidden="false" customHeight="false" outlineLevel="0" collapsed="false">
      <c r="I3400" s="15" t="str">
        <f aca="false">IF(N3400="","",INT(N3400))</f>
        <v/>
      </c>
      <c r="J3400" s="16" t="str">
        <f aca="false">IF(B3400="","",IF(N3400=_xlfn.MINIFS($N$2:$N$5001,$B$2:$B$5001,B3400),1,0))</f>
        <v/>
      </c>
      <c r="K3400" s="16" t="str">
        <f aca="false">IF(B3400="","",IF(AND(D3400="Formalização",E3400="Concluído"),IF(COUNTIFS($B$2:$B$5001,B3400,$E$2:$E$5001,"Em ajustes",$N$2:$N$5001,"&lt;"&amp;I3400)&gt;0,1,0),0))</f>
        <v/>
      </c>
      <c r="L3400" s="16" t="str">
        <f aca="false">IF(B3400="","",IF(N3400=_xlfn.MAXIFS($N$2:$N$5001,$B$2:$B$5001,B3400,$I$2:$I$5001,I3400),1,0))</f>
        <v/>
      </c>
      <c r="M3400" s="16" t="str">
        <f aca="false">IF(B3400="","",IF(E3400="Em ajustes",IF(N3400=_xlfn.MINIFS($N$2:$N$5001,$B$2:$B$5001,B3400,$E$2:$E$5001,"Em ajustes"),1,0),0))</f>
        <v/>
      </c>
      <c r="N3400" s="17" t="str">
        <f aca="false">IF(A3400="","",IF(ISNUMBER(A3400),A3400,IFERROR(DATE(VALUE(MID(A3400,7,4)),VALUE(MID(A3400,4,2)),VALUE(MID(A3400,1,2)))+TIME(VALUE(MID(A3400,12,2)),VALUE(MID(A3400,15,2)),VALUE(MID(A3400,18,2))),"")))</f>
        <v/>
      </c>
    </row>
    <row r="3401" customFormat="false" ht="15" hidden="false" customHeight="false" outlineLevel="0" collapsed="false">
      <c r="I3401" s="15" t="str">
        <f aca="false">IF(N3401="","",INT(N3401))</f>
        <v/>
      </c>
      <c r="J3401" s="16" t="str">
        <f aca="false">IF(B3401="","",IF(N3401=_xlfn.MINIFS($N$2:$N$5001,$B$2:$B$5001,B3401),1,0))</f>
        <v/>
      </c>
      <c r="K3401" s="16" t="str">
        <f aca="false">IF(B3401="","",IF(AND(D3401="Formalização",E3401="Concluído"),IF(COUNTIFS($B$2:$B$5001,B3401,$E$2:$E$5001,"Em ajustes",$N$2:$N$5001,"&lt;"&amp;I3401)&gt;0,1,0),0))</f>
        <v/>
      </c>
      <c r="L3401" s="16" t="str">
        <f aca="false">IF(B3401="","",IF(N3401=_xlfn.MAXIFS($N$2:$N$5001,$B$2:$B$5001,B3401,$I$2:$I$5001,I3401),1,0))</f>
        <v/>
      </c>
      <c r="M3401" s="16" t="str">
        <f aca="false">IF(B3401="","",IF(E3401="Em ajustes",IF(N3401=_xlfn.MINIFS($N$2:$N$5001,$B$2:$B$5001,B3401,$E$2:$E$5001,"Em ajustes"),1,0),0))</f>
        <v/>
      </c>
      <c r="N3401" s="17" t="str">
        <f aca="false">IF(A3401="","",IF(ISNUMBER(A3401),A3401,IFERROR(DATE(VALUE(MID(A3401,7,4)),VALUE(MID(A3401,4,2)),VALUE(MID(A3401,1,2)))+TIME(VALUE(MID(A3401,12,2)),VALUE(MID(A3401,15,2)),VALUE(MID(A3401,18,2))),"")))</f>
        <v/>
      </c>
    </row>
    <row r="3402" customFormat="false" ht="15" hidden="false" customHeight="false" outlineLevel="0" collapsed="false">
      <c r="I3402" s="15" t="str">
        <f aca="false">IF(N3402="","",INT(N3402))</f>
        <v/>
      </c>
      <c r="J3402" s="16" t="str">
        <f aca="false">IF(B3402="","",IF(N3402=_xlfn.MINIFS($N$2:$N$5001,$B$2:$B$5001,B3402),1,0))</f>
        <v/>
      </c>
      <c r="K3402" s="16" t="str">
        <f aca="false">IF(B3402="","",IF(AND(D3402="Formalização",E3402="Concluído"),IF(COUNTIFS($B$2:$B$5001,B3402,$E$2:$E$5001,"Em ajustes",$N$2:$N$5001,"&lt;"&amp;I3402)&gt;0,1,0),0))</f>
        <v/>
      </c>
      <c r="L3402" s="16" t="str">
        <f aca="false">IF(B3402="","",IF(N3402=_xlfn.MAXIFS($N$2:$N$5001,$B$2:$B$5001,B3402,$I$2:$I$5001,I3402),1,0))</f>
        <v/>
      </c>
      <c r="M3402" s="16" t="str">
        <f aca="false">IF(B3402="","",IF(E3402="Em ajustes",IF(N3402=_xlfn.MINIFS($N$2:$N$5001,$B$2:$B$5001,B3402,$E$2:$E$5001,"Em ajustes"),1,0),0))</f>
        <v/>
      </c>
      <c r="N3402" s="17" t="str">
        <f aca="false">IF(A3402="","",IF(ISNUMBER(A3402),A3402,IFERROR(DATE(VALUE(MID(A3402,7,4)),VALUE(MID(A3402,4,2)),VALUE(MID(A3402,1,2)))+TIME(VALUE(MID(A3402,12,2)),VALUE(MID(A3402,15,2)),VALUE(MID(A3402,18,2))),"")))</f>
        <v/>
      </c>
    </row>
    <row r="3403" customFormat="false" ht="15" hidden="false" customHeight="false" outlineLevel="0" collapsed="false">
      <c r="I3403" s="15" t="str">
        <f aca="false">IF(N3403="","",INT(N3403))</f>
        <v/>
      </c>
      <c r="J3403" s="16" t="str">
        <f aca="false">IF(B3403="","",IF(N3403=_xlfn.MINIFS($N$2:$N$5001,$B$2:$B$5001,B3403),1,0))</f>
        <v/>
      </c>
      <c r="K3403" s="16" t="str">
        <f aca="false">IF(B3403="","",IF(AND(D3403="Formalização",E3403="Concluído"),IF(COUNTIFS($B$2:$B$5001,B3403,$E$2:$E$5001,"Em ajustes",$N$2:$N$5001,"&lt;"&amp;I3403)&gt;0,1,0),0))</f>
        <v/>
      </c>
      <c r="L3403" s="16" t="str">
        <f aca="false">IF(B3403="","",IF(N3403=_xlfn.MAXIFS($N$2:$N$5001,$B$2:$B$5001,B3403,$I$2:$I$5001,I3403),1,0))</f>
        <v/>
      </c>
      <c r="M3403" s="16" t="str">
        <f aca="false">IF(B3403="","",IF(E3403="Em ajustes",IF(N3403=_xlfn.MINIFS($N$2:$N$5001,$B$2:$B$5001,B3403,$E$2:$E$5001,"Em ajustes"),1,0),0))</f>
        <v/>
      </c>
      <c r="N3403" s="17" t="str">
        <f aca="false">IF(A3403="","",IF(ISNUMBER(A3403),A3403,IFERROR(DATE(VALUE(MID(A3403,7,4)),VALUE(MID(A3403,4,2)),VALUE(MID(A3403,1,2)))+TIME(VALUE(MID(A3403,12,2)),VALUE(MID(A3403,15,2)),VALUE(MID(A3403,18,2))),"")))</f>
        <v/>
      </c>
    </row>
    <row r="3404" customFormat="false" ht="15" hidden="false" customHeight="false" outlineLevel="0" collapsed="false">
      <c r="I3404" s="15" t="str">
        <f aca="false">IF(N3404="","",INT(N3404))</f>
        <v/>
      </c>
      <c r="J3404" s="16" t="str">
        <f aca="false">IF(B3404="","",IF(N3404=_xlfn.MINIFS($N$2:$N$5001,$B$2:$B$5001,B3404),1,0))</f>
        <v/>
      </c>
      <c r="K3404" s="16" t="str">
        <f aca="false">IF(B3404="","",IF(AND(D3404="Formalização",E3404="Concluído"),IF(COUNTIFS($B$2:$B$5001,B3404,$E$2:$E$5001,"Em ajustes",$N$2:$N$5001,"&lt;"&amp;I3404)&gt;0,1,0),0))</f>
        <v/>
      </c>
      <c r="L3404" s="16" t="str">
        <f aca="false">IF(B3404="","",IF(N3404=_xlfn.MAXIFS($N$2:$N$5001,$B$2:$B$5001,B3404,$I$2:$I$5001,I3404),1,0))</f>
        <v/>
      </c>
      <c r="M3404" s="16" t="str">
        <f aca="false">IF(B3404="","",IF(E3404="Em ajustes",IF(N3404=_xlfn.MINIFS($N$2:$N$5001,$B$2:$B$5001,B3404,$E$2:$E$5001,"Em ajustes"),1,0),0))</f>
        <v/>
      </c>
      <c r="N3404" s="17" t="str">
        <f aca="false">IF(A3404="","",IF(ISNUMBER(A3404),A3404,IFERROR(DATE(VALUE(MID(A3404,7,4)),VALUE(MID(A3404,4,2)),VALUE(MID(A3404,1,2)))+TIME(VALUE(MID(A3404,12,2)),VALUE(MID(A3404,15,2)),VALUE(MID(A3404,18,2))),"")))</f>
        <v/>
      </c>
    </row>
    <row r="3405" customFormat="false" ht="15" hidden="false" customHeight="false" outlineLevel="0" collapsed="false">
      <c r="I3405" s="15" t="str">
        <f aca="false">IF(N3405="","",INT(N3405))</f>
        <v/>
      </c>
      <c r="J3405" s="16" t="str">
        <f aca="false">IF(B3405="","",IF(N3405=_xlfn.MINIFS($N$2:$N$5001,$B$2:$B$5001,B3405),1,0))</f>
        <v/>
      </c>
      <c r="K3405" s="16" t="str">
        <f aca="false">IF(B3405="","",IF(AND(D3405="Formalização",E3405="Concluído"),IF(COUNTIFS($B$2:$B$5001,B3405,$E$2:$E$5001,"Em ajustes",$N$2:$N$5001,"&lt;"&amp;I3405)&gt;0,1,0),0))</f>
        <v/>
      </c>
      <c r="L3405" s="16" t="str">
        <f aca="false">IF(B3405="","",IF(N3405=_xlfn.MAXIFS($N$2:$N$5001,$B$2:$B$5001,B3405,$I$2:$I$5001,I3405),1,0))</f>
        <v/>
      </c>
      <c r="M3405" s="16" t="str">
        <f aca="false">IF(B3405="","",IF(E3405="Em ajustes",IF(N3405=_xlfn.MINIFS($N$2:$N$5001,$B$2:$B$5001,B3405,$E$2:$E$5001,"Em ajustes"),1,0),0))</f>
        <v/>
      </c>
      <c r="N3405" s="17" t="str">
        <f aca="false">IF(A3405="","",IF(ISNUMBER(A3405),A3405,IFERROR(DATE(VALUE(MID(A3405,7,4)),VALUE(MID(A3405,4,2)),VALUE(MID(A3405,1,2)))+TIME(VALUE(MID(A3405,12,2)),VALUE(MID(A3405,15,2)),VALUE(MID(A3405,18,2))),"")))</f>
        <v/>
      </c>
    </row>
    <row r="3406" customFormat="false" ht="15" hidden="false" customHeight="false" outlineLevel="0" collapsed="false">
      <c r="I3406" s="15" t="str">
        <f aca="false">IF(N3406="","",INT(N3406))</f>
        <v/>
      </c>
      <c r="J3406" s="16" t="str">
        <f aca="false">IF(B3406="","",IF(N3406=_xlfn.MINIFS($N$2:$N$5001,$B$2:$B$5001,B3406),1,0))</f>
        <v/>
      </c>
      <c r="K3406" s="16" t="str">
        <f aca="false">IF(B3406="","",IF(AND(D3406="Formalização",E3406="Concluído"),IF(COUNTIFS($B$2:$B$5001,B3406,$E$2:$E$5001,"Em ajustes",$N$2:$N$5001,"&lt;"&amp;I3406)&gt;0,1,0),0))</f>
        <v/>
      </c>
      <c r="L3406" s="16" t="str">
        <f aca="false">IF(B3406="","",IF(N3406=_xlfn.MAXIFS($N$2:$N$5001,$B$2:$B$5001,B3406,$I$2:$I$5001,I3406),1,0))</f>
        <v/>
      </c>
      <c r="M3406" s="16" t="str">
        <f aca="false">IF(B3406="","",IF(E3406="Em ajustes",IF(N3406=_xlfn.MINIFS($N$2:$N$5001,$B$2:$B$5001,B3406,$E$2:$E$5001,"Em ajustes"),1,0),0))</f>
        <v/>
      </c>
      <c r="N3406" s="17" t="str">
        <f aca="false">IF(A3406="","",IF(ISNUMBER(A3406),A3406,IFERROR(DATE(VALUE(MID(A3406,7,4)),VALUE(MID(A3406,4,2)),VALUE(MID(A3406,1,2)))+TIME(VALUE(MID(A3406,12,2)),VALUE(MID(A3406,15,2)),VALUE(MID(A3406,18,2))),"")))</f>
        <v/>
      </c>
    </row>
    <row r="3407" customFormat="false" ht="15" hidden="false" customHeight="false" outlineLevel="0" collapsed="false">
      <c r="I3407" s="15" t="str">
        <f aca="false">IF(N3407="","",INT(N3407))</f>
        <v/>
      </c>
      <c r="J3407" s="16" t="str">
        <f aca="false">IF(B3407="","",IF(N3407=_xlfn.MINIFS($N$2:$N$5001,$B$2:$B$5001,B3407),1,0))</f>
        <v/>
      </c>
      <c r="K3407" s="16" t="str">
        <f aca="false">IF(B3407="","",IF(AND(D3407="Formalização",E3407="Concluído"),IF(COUNTIFS($B$2:$B$5001,B3407,$E$2:$E$5001,"Em ajustes",$N$2:$N$5001,"&lt;"&amp;I3407)&gt;0,1,0),0))</f>
        <v/>
      </c>
      <c r="L3407" s="16" t="str">
        <f aca="false">IF(B3407="","",IF(N3407=_xlfn.MAXIFS($N$2:$N$5001,$B$2:$B$5001,B3407,$I$2:$I$5001,I3407),1,0))</f>
        <v/>
      </c>
      <c r="M3407" s="16" t="str">
        <f aca="false">IF(B3407="","",IF(E3407="Em ajustes",IF(N3407=_xlfn.MINIFS($N$2:$N$5001,$B$2:$B$5001,B3407,$E$2:$E$5001,"Em ajustes"),1,0),0))</f>
        <v/>
      </c>
      <c r="N3407" s="17" t="str">
        <f aca="false">IF(A3407="","",IF(ISNUMBER(A3407),A3407,IFERROR(DATE(VALUE(MID(A3407,7,4)),VALUE(MID(A3407,4,2)),VALUE(MID(A3407,1,2)))+TIME(VALUE(MID(A3407,12,2)),VALUE(MID(A3407,15,2)),VALUE(MID(A3407,18,2))),"")))</f>
        <v/>
      </c>
    </row>
    <row r="3408" customFormat="false" ht="15" hidden="false" customHeight="false" outlineLevel="0" collapsed="false">
      <c r="I3408" s="15" t="str">
        <f aca="false">IF(N3408="","",INT(N3408))</f>
        <v/>
      </c>
      <c r="J3408" s="16" t="str">
        <f aca="false">IF(B3408="","",IF(N3408=_xlfn.MINIFS($N$2:$N$5001,$B$2:$B$5001,B3408),1,0))</f>
        <v/>
      </c>
      <c r="K3408" s="16" t="str">
        <f aca="false">IF(B3408="","",IF(AND(D3408="Formalização",E3408="Concluído"),IF(COUNTIFS($B$2:$B$5001,B3408,$E$2:$E$5001,"Em ajustes",$N$2:$N$5001,"&lt;"&amp;I3408)&gt;0,1,0),0))</f>
        <v/>
      </c>
      <c r="L3408" s="16" t="str">
        <f aca="false">IF(B3408="","",IF(N3408=_xlfn.MAXIFS($N$2:$N$5001,$B$2:$B$5001,B3408,$I$2:$I$5001,I3408),1,0))</f>
        <v/>
      </c>
      <c r="M3408" s="16" t="str">
        <f aca="false">IF(B3408="","",IF(E3408="Em ajustes",IF(N3408=_xlfn.MINIFS($N$2:$N$5001,$B$2:$B$5001,B3408,$E$2:$E$5001,"Em ajustes"),1,0),0))</f>
        <v/>
      </c>
      <c r="N3408" s="17" t="str">
        <f aca="false">IF(A3408="","",IF(ISNUMBER(A3408),A3408,IFERROR(DATE(VALUE(MID(A3408,7,4)),VALUE(MID(A3408,4,2)),VALUE(MID(A3408,1,2)))+TIME(VALUE(MID(A3408,12,2)),VALUE(MID(A3408,15,2)),VALUE(MID(A3408,18,2))),"")))</f>
        <v/>
      </c>
    </row>
    <row r="3409" customFormat="false" ht="15" hidden="false" customHeight="false" outlineLevel="0" collapsed="false">
      <c r="I3409" s="15" t="str">
        <f aca="false">IF(N3409="","",INT(N3409))</f>
        <v/>
      </c>
      <c r="J3409" s="16" t="str">
        <f aca="false">IF(B3409="","",IF(N3409=_xlfn.MINIFS($N$2:$N$5001,$B$2:$B$5001,B3409),1,0))</f>
        <v/>
      </c>
      <c r="K3409" s="16" t="str">
        <f aca="false">IF(B3409="","",IF(AND(D3409="Formalização",E3409="Concluído"),IF(COUNTIFS($B$2:$B$5001,B3409,$E$2:$E$5001,"Em ajustes",$N$2:$N$5001,"&lt;"&amp;I3409)&gt;0,1,0),0))</f>
        <v/>
      </c>
      <c r="L3409" s="16" t="str">
        <f aca="false">IF(B3409="","",IF(N3409=_xlfn.MAXIFS($N$2:$N$5001,$B$2:$B$5001,B3409,$I$2:$I$5001,I3409),1,0))</f>
        <v/>
      </c>
      <c r="M3409" s="16" t="str">
        <f aca="false">IF(B3409="","",IF(E3409="Em ajustes",IF(N3409=_xlfn.MINIFS($N$2:$N$5001,$B$2:$B$5001,B3409,$E$2:$E$5001,"Em ajustes"),1,0),0))</f>
        <v/>
      </c>
      <c r="N3409" s="17" t="str">
        <f aca="false">IF(A3409="","",IF(ISNUMBER(A3409),A3409,IFERROR(DATE(VALUE(MID(A3409,7,4)),VALUE(MID(A3409,4,2)),VALUE(MID(A3409,1,2)))+TIME(VALUE(MID(A3409,12,2)),VALUE(MID(A3409,15,2)),VALUE(MID(A3409,18,2))),"")))</f>
        <v/>
      </c>
    </row>
    <row r="3410" customFormat="false" ht="15" hidden="false" customHeight="false" outlineLevel="0" collapsed="false">
      <c r="I3410" s="15" t="str">
        <f aca="false">IF(N3410="","",INT(N3410))</f>
        <v/>
      </c>
      <c r="J3410" s="16" t="str">
        <f aca="false">IF(B3410="","",IF(N3410=_xlfn.MINIFS($N$2:$N$5001,$B$2:$B$5001,B3410),1,0))</f>
        <v/>
      </c>
      <c r="K3410" s="16" t="str">
        <f aca="false">IF(B3410="","",IF(AND(D3410="Formalização",E3410="Concluído"),IF(COUNTIFS($B$2:$B$5001,B3410,$E$2:$E$5001,"Em ajustes",$N$2:$N$5001,"&lt;"&amp;I3410)&gt;0,1,0),0))</f>
        <v/>
      </c>
      <c r="L3410" s="16" t="str">
        <f aca="false">IF(B3410="","",IF(N3410=_xlfn.MAXIFS($N$2:$N$5001,$B$2:$B$5001,B3410,$I$2:$I$5001,I3410),1,0))</f>
        <v/>
      </c>
      <c r="M3410" s="16" t="str">
        <f aca="false">IF(B3410="","",IF(E3410="Em ajustes",IF(N3410=_xlfn.MINIFS($N$2:$N$5001,$B$2:$B$5001,B3410,$E$2:$E$5001,"Em ajustes"),1,0),0))</f>
        <v/>
      </c>
      <c r="N3410" s="17" t="str">
        <f aca="false">IF(A3410="","",IF(ISNUMBER(A3410),A3410,IFERROR(DATE(VALUE(MID(A3410,7,4)),VALUE(MID(A3410,4,2)),VALUE(MID(A3410,1,2)))+TIME(VALUE(MID(A3410,12,2)),VALUE(MID(A3410,15,2)),VALUE(MID(A3410,18,2))),"")))</f>
        <v/>
      </c>
    </row>
    <row r="3411" customFormat="false" ht="15" hidden="false" customHeight="false" outlineLevel="0" collapsed="false">
      <c r="I3411" s="15" t="str">
        <f aca="false">IF(N3411="","",INT(N3411))</f>
        <v/>
      </c>
      <c r="J3411" s="16" t="str">
        <f aca="false">IF(B3411="","",IF(N3411=_xlfn.MINIFS($N$2:$N$5001,$B$2:$B$5001,B3411),1,0))</f>
        <v/>
      </c>
      <c r="K3411" s="16" t="str">
        <f aca="false">IF(B3411="","",IF(AND(D3411="Formalização",E3411="Concluído"),IF(COUNTIFS($B$2:$B$5001,B3411,$E$2:$E$5001,"Em ajustes",$N$2:$N$5001,"&lt;"&amp;I3411)&gt;0,1,0),0))</f>
        <v/>
      </c>
      <c r="L3411" s="16" t="str">
        <f aca="false">IF(B3411="","",IF(N3411=_xlfn.MAXIFS($N$2:$N$5001,$B$2:$B$5001,B3411,$I$2:$I$5001,I3411),1,0))</f>
        <v/>
      </c>
      <c r="M3411" s="16" t="str">
        <f aca="false">IF(B3411="","",IF(E3411="Em ajustes",IF(N3411=_xlfn.MINIFS($N$2:$N$5001,$B$2:$B$5001,B3411,$E$2:$E$5001,"Em ajustes"),1,0),0))</f>
        <v/>
      </c>
      <c r="N3411" s="17" t="str">
        <f aca="false">IF(A3411="","",IF(ISNUMBER(A3411),A3411,IFERROR(DATE(VALUE(MID(A3411,7,4)),VALUE(MID(A3411,4,2)),VALUE(MID(A3411,1,2)))+TIME(VALUE(MID(A3411,12,2)),VALUE(MID(A3411,15,2)),VALUE(MID(A3411,18,2))),"")))</f>
        <v/>
      </c>
    </row>
    <row r="3412" customFormat="false" ht="15" hidden="false" customHeight="false" outlineLevel="0" collapsed="false">
      <c r="I3412" s="15" t="str">
        <f aca="false">IF(N3412="","",INT(N3412))</f>
        <v/>
      </c>
      <c r="J3412" s="16" t="str">
        <f aca="false">IF(B3412="","",IF(N3412=_xlfn.MINIFS($N$2:$N$5001,$B$2:$B$5001,B3412),1,0))</f>
        <v/>
      </c>
      <c r="K3412" s="16" t="str">
        <f aca="false">IF(B3412="","",IF(AND(D3412="Formalização",E3412="Concluído"),IF(COUNTIFS($B$2:$B$5001,B3412,$E$2:$E$5001,"Em ajustes",$N$2:$N$5001,"&lt;"&amp;I3412)&gt;0,1,0),0))</f>
        <v/>
      </c>
      <c r="L3412" s="16" t="str">
        <f aca="false">IF(B3412="","",IF(N3412=_xlfn.MAXIFS($N$2:$N$5001,$B$2:$B$5001,B3412,$I$2:$I$5001,I3412),1,0))</f>
        <v/>
      </c>
      <c r="M3412" s="16" t="str">
        <f aca="false">IF(B3412="","",IF(E3412="Em ajustes",IF(N3412=_xlfn.MINIFS($N$2:$N$5001,$B$2:$B$5001,B3412,$E$2:$E$5001,"Em ajustes"),1,0),0))</f>
        <v/>
      </c>
      <c r="N3412" s="17" t="str">
        <f aca="false">IF(A3412="","",IF(ISNUMBER(A3412),A3412,IFERROR(DATE(VALUE(MID(A3412,7,4)),VALUE(MID(A3412,4,2)),VALUE(MID(A3412,1,2)))+TIME(VALUE(MID(A3412,12,2)),VALUE(MID(A3412,15,2)),VALUE(MID(A3412,18,2))),"")))</f>
        <v/>
      </c>
    </row>
    <row r="3413" customFormat="false" ht="15" hidden="false" customHeight="false" outlineLevel="0" collapsed="false">
      <c r="I3413" s="15" t="str">
        <f aca="false">IF(N3413="","",INT(N3413))</f>
        <v/>
      </c>
      <c r="J3413" s="16" t="str">
        <f aca="false">IF(B3413="","",IF(N3413=_xlfn.MINIFS($N$2:$N$5001,$B$2:$B$5001,B3413),1,0))</f>
        <v/>
      </c>
      <c r="K3413" s="16" t="str">
        <f aca="false">IF(B3413="","",IF(AND(D3413="Formalização",E3413="Concluído"),IF(COUNTIFS($B$2:$B$5001,B3413,$E$2:$E$5001,"Em ajustes",$N$2:$N$5001,"&lt;"&amp;I3413)&gt;0,1,0),0))</f>
        <v/>
      </c>
      <c r="L3413" s="16" t="str">
        <f aca="false">IF(B3413="","",IF(N3413=_xlfn.MAXIFS($N$2:$N$5001,$B$2:$B$5001,B3413,$I$2:$I$5001,I3413),1,0))</f>
        <v/>
      </c>
      <c r="M3413" s="16" t="str">
        <f aca="false">IF(B3413="","",IF(E3413="Em ajustes",IF(N3413=_xlfn.MINIFS($N$2:$N$5001,$B$2:$B$5001,B3413,$E$2:$E$5001,"Em ajustes"),1,0),0))</f>
        <v/>
      </c>
      <c r="N3413" s="17" t="str">
        <f aca="false">IF(A3413="","",IF(ISNUMBER(A3413),A3413,IFERROR(DATE(VALUE(MID(A3413,7,4)),VALUE(MID(A3413,4,2)),VALUE(MID(A3413,1,2)))+TIME(VALUE(MID(A3413,12,2)),VALUE(MID(A3413,15,2)),VALUE(MID(A3413,18,2))),"")))</f>
        <v/>
      </c>
    </row>
    <row r="3414" customFormat="false" ht="15" hidden="false" customHeight="false" outlineLevel="0" collapsed="false">
      <c r="I3414" s="15" t="str">
        <f aca="false">IF(N3414="","",INT(N3414))</f>
        <v/>
      </c>
      <c r="J3414" s="16" t="str">
        <f aca="false">IF(B3414="","",IF(N3414=_xlfn.MINIFS($N$2:$N$5001,$B$2:$B$5001,B3414),1,0))</f>
        <v/>
      </c>
      <c r="K3414" s="16" t="str">
        <f aca="false">IF(B3414="","",IF(AND(D3414="Formalização",E3414="Concluído"),IF(COUNTIFS($B$2:$B$5001,B3414,$E$2:$E$5001,"Em ajustes",$N$2:$N$5001,"&lt;"&amp;I3414)&gt;0,1,0),0))</f>
        <v/>
      </c>
      <c r="L3414" s="16" t="str">
        <f aca="false">IF(B3414="","",IF(N3414=_xlfn.MAXIFS($N$2:$N$5001,$B$2:$B$5001,B3414,$I$2:$I$5001,I3414),1,0))</f>
        <v/>
      </c>
      <c r="M3414" s="16" t="str">
        <f aca="false">IF(B3414="","",IF(E3414="Em ajustes",IF(N3414=_xlfn.MINIFS($N$2:$N$5001,$B$2:$B$5001,B3414,$E$2:$E$5001,"Em ajustes"),1,0),0))</f>
        <v/>
      </c>
      <c r="N3414" s="17" t="str">
        <f aca="false">IF(A3414="","",IF(ISNUMBER(A3414),A3414,IFERROR(DATE(VALUE(MID(A3414,7,4)),VALUE(MID(A3414,4,2)),VALUE(MID(A3414,1,2)))+TIME(VALUE(MID(A3414,12,2)),VALUE(MID(A3414,15,2)),VALUE(MID(A3414,18,2))),"")))</f>
        <v/>
      </c>
    </row>
    <row r="3415" customFormat="false" ht="15" hidden="false" customHeight="false" outlineLevel="0" collapsed="false">
      <c r="I3415" s="15" t="str">
        <f aca="false">IF(N3415="","",INT(N3415))</f>
        <v/>
      </c>
      <c r="J3415" s="16" t="str">
        <f aca="false">IF(B3415="","",IF(N3415=_xlfn.MINIFS($N$2:$N$5001,$B$2:$B$5001,B3415),1,0))</f>
        <v/>
      </c>
      <c r="K3415" s="16" t="str">
        <f aca="false">IF(B3415="","",IF(AND(D3415="Formalização",E3415="Concluído"),IF(COUNTIFS($B$2:$B$5001,B3415,$E$2:$E$5001,"Em ajustes",$N$2:$N$5001,"&lt;"&amp;I3415)&gt;0,1,0),0))</f>
        <v/>
      </c>
      <c r="L3415" s="16" t="str">
        <f aca="false">IF(B3415="","",IF(N3415=_xlfn.MAXIFS($N$2:$N$5001,$B$2:$B$5001,B3415,$I$2:$I$5001,I3415),1,0))</f>
        <v/>
      </c>
      <c r="M3415" s="16" t="str">
        <f aca="false">IF(B3415="","",IF(E3415="Em ajustes",IF(N3415=_xlfn.MINIFS($N$2:$N$5001,$B$2:$B$5001,B3415,$E$2:$E$5001,"Em ajustes"),1,0),0))</f>
        <v/>
      </c>
      <c r="N3415" s="17" t="str">
        <f aca="false">IF(A3415="","",IF(ISNUMBER(A3415),A3415,IFERROR(DATE(VALUE(MID(A3415,7,4)),VALUE(MID(A3415,4,2)),VALUE(MID(A3415,1,2)))+TIME(VALUE(MID(A3415,12,2)),VALUE(MID(A3415,15,2)),VALUE(MID(A3415,18,2))),"")))</f>
        <v/>
      </c>
    </row>
    <row r="3416" customFormat="false" ht="15" hidden="false" customHeight="false" outlineLevel="0" collapsed="false">
      <c r="I3416" s="15" t="str">
        <f aca="false">IF(N3416="","",INT(N3416))</f>
        <v/>
      </c>
      <c r="J3416" s="16" t="str">
        <f aca="false">IF(B3416="","",IF(N3416=_xlfn.MINIFS($N$2:$N$5001,$B$2:$B$5001,B3416),1,0))</f>
        <v/>
      </c>
      <c r="K3416" s="16" t="str">
        <f aca="false">IF(B3416="","",IF(AND(D3416="Formalização",E3416="Concluído"),IF(COUNTIFS($B$2:$B$5001,B3416,$E$2:$E$5001,"Em ajustes",$N$2:$N$5001,"&lt;"&amp;I3416)&gt;0,1,0),0))</f>
        <v/>
      </c>
      <c r="L3416" s="16" t="str">
        <f aca="false">IF(B3416="","",IF(N3416=_xlfn.MAXIFS($N$2:$N$5001,$B$2:$B$5001,B3416,$I$2:$I$5001,I3416),1,0))</f>
        <v/>
      </c>
      <c r="M3416" s="16" t="str">
        <f aca="false">IF(B3416="","",IF(E3416="Em ajustes",IF(N3416=_xlfn.MINIFS($N$2:$N$5001,$B$2:$B$5001,B3416,$E$2:$E$5001,"Em ajustes"),1,0),0))</f>
        <v/>
      </c>
      <c r="N3416" s="17" t="str">
        <f aca="false">IF(A3416="","",IF(ISNUMBER(A3416),A3416,IFERROR(DATE(VALUE(MID(A3416,7,4)),VALUE(MID(A3416,4,2)),VALUE(MID(A3416,1,2)))+TIME(VALUE(MID(A3416,12,2)),VALUE(MID(A3416,15,2)),VALUE(MID(A3416,18,2))),"")))</f>
        <v/>
      </c>
    </row>
    <row r="3417" customFormat="false" ht="15" hidden="false" customHeight="false" outlineLevel="0" collapsed="false">
      <c r="I3417" s="15" t="str">
        <f aca="false">IF(N3417="","",INT(N3417))</f>
        <v/>
      </c>
      <c r="J3417" s="16" t="str">
        <f aca="false">IF(B3417="","",IF(N3417=_xlfn.MINIFS($N$2:$N$5001,$B$2:$B$5001,B3417),1,0))</f>
        <v/>
      </c>
      <c r="K3417" s="16" t="str">
        <f aca="false">IF(B3417="","",IF(AND(D3417="Formalização",E3417="Concluído"),IF(COUNTIFS($B$2:$B$5001,B3417,$E$2:$E$5001,"Em ajustes",$N$2:$N$5001,"&lt;"&amp;I3417)&gt;0,1,0),0))</f>
        <v/>
      </c>
      <c r="L3417" s="16" t="str">
        <f aca="false">IF(B3417="","",IF(N3417=_xlfn.MAXIFS($N$2:$N$5001,$B$2:$B$5001,B3417,$I$2:$I$5001,I3417),1,0))</f>
        <v/>
      </c>
      <c r="M3417" s="16" t="str">
        <f aca="false">IF(B3417="","",IF(E3417="Em ajustes",IF(N3417=_xlfn.MINIFS($N$2:$N$5001,$B$2:$B$5001,B3417,$E$2:$E$5001,"Em ajustes"),1,0),0))</f>
        <v/>
      </c>
      <c r="N3417" s="17" t="str">
        <f aca="false">IF(A3417="","",IF(ISNUMBER(A3417),A3417,IFERROR(DATE(VALUE(MID(A3417,7,4)),VALUE(MID(A3417,4,2)),VALUE(MID(A3417,1,2)))+TIME(VALUE(MID(A3417,12,2)),VALUE(MID(A3417,15,2)),VALUE(MID(A3417,18,2))),"")))</f>
        <v/>
      </c>
    </row>
    <row r="3418" customFormat="false" ht="15" hidden="false" customHeight="false" outlineLevel="0" collapsed="false">
      <c r="I3418" s="15" t="str">
        <f aca="false">IF(N3418="","",INT(N3418))</f>
        <v/>
      </c>
      <c r="J3418" s="16" t="str">
        <f aca="false">IF(B3418="","",IF(N3418=_xlfn.MINIFS($N$2:$N$5001,$B$2:$B$5001,B3418),1,0))</f>
        <v/>
      </c>
      <c r="K3418" s="16" t="str">
        <f aca="false">IF(B3418="","",IF(AND(D3418="Formalização",E3418="Concluído"),IF(COUNTIFS($B$2:$B$5001,B3418,$E$2:$E$5001,"Em ajustes",$N$2:$N$5001,"&lt;"&amp;I3418)&gt;0,1,0),0))</f>
        <v/>
      </c>
      <c r="L3418" s="16" t="str">
        <f aca="false">IF(B3418="","",IF(N3418=_xlfn.MAXIFS($N$2:$N$5001,$B$2:$B$5001,B3418,$I$2:$I$5001,I3418),1,0))</f>
        <v/>
      </c>
      <c r="M3418" s="16" t="str">
        <f aca="false">IF(B3418="","",IF(E3418="Em ajustes",IF(N3418=_xlfn.MINIFS($N$2:$N$5001,$B$2:$B$5001,B3418,$E$2:$E$5001,"Em ajustes"),1,0),0))</f>
        <v/>
      </c>
      <c r="N3418" s="17" t="str">
        <f aca="false">IF(A3418="","",IF(ISNUMBER(A3418),A3418,IFERROR(DATE(VALUE(MID(A3418,7,4)),VALUE(MID(A3418,4,2)),VALUE(MID(A3418,1,2)))+TIME(VALUE(MID(A3418,12,2)),VALUE(MID(A3418,15,2)),VALUE(MID(A3418,18,2))),"")))</f>
        <v/>
      </c>
    </row>
    <row r="3419" customFormat="false" ht="15" hidden="false" customHeight="false" outlineLevel="0" collapsed="false">
      <c r="I3419" s="15" t="str">
        <f aca="false">IF(N3419="","",INT(N3419))</f>
        <v/>
      </c>
      <c r="J3419" s="16" t="str">
        <f aca="false">IF(B3419="","",IF(N3419=_xlfn.MINIFS($N$2:$N$5001,$B$2:$B$5001,B3419),1,0))</f>
        <v/>
      </c>
      <c r="K3419" s="16" t="str">
        <f aca="false">IF(B3419="","",IF(AND(D3419="Formalização",E3419="Concluído"),IF(COUNTIFS($B$2:$B$5001,B3419,$E$2:$E$5001,"Em ajustes",$N$2:$N$5001,"&lt;"&amp;I3419)&gt;0,1,0),0))</f>
        <v/>
      </c>
      <c r="L3419" s="16" t="str">
        <f aca="false">IF(B3419="","",IF(N3419=_xlfn.MAXIFS($N$2:$N$5001,$B$2:$B$5001,B3419,$I$2:$I$5001,I3419),1,0))</f>
        <v/>
      </c>
      <c r="M3419" s="16" t="str">
        <f aca="false">IF(B3419="","",IF(E3419="Em ajustes",IF(N3419=_xlfn.MINIFS($N$2:$N$5001,$B$2:$B$5001,B3419,$E$2:$E$5001,"Em ajustes"),1,0),0))</f>
        <v/>
      </c>
      <c r="N3419" s="17" t="str">
        <f aca="false">IF(A3419="","",IF(ISNUMBER(A3419),A3419,IFERROR(DATE(VALUE(MID(A3419,7,4)),VALUE(MID(A3419,4,2)),VALUE(MID(A3419,1,2)))+TIME(VALUE(MID(A3419,12,2)),VALUE(MID(A3419,15,2)),VALUE(MID(A3419,18,2))),"")))</f>
        <v/>
      </c>
    </row>
    <row r="3420" customFormat="false" ht="15" hidden="false" customHeight="false" outlineLevel="0" collapsed="false">
      <c r="I3420" s="15" t="str">
        <f aca="false">IF(N3420="","",INT(N3420))</f>
        <v/>
      </c>
      <c r="J3420" s="16" t="str">
        <f aca="false">IF(B3420="","",IF(N3420=_xlfn.MINIFS($N$2:$N$5001,$B$2:$B$5001,B3420),1,0))</f>
        <v/>
      </c>
      <c r="K3420" s="16" t="str">
        <f aca="false">IF(B3420="","",IF(AND(D3420="Formalização",E3420="Concluído"),IF(COUNTIFS($B$2:$B$5001,B3420,$E$2:$E$5001,"Em ajustes",$N$2:$N$5001,"&lt;"&amp;I3420)&gt;0,1,0),0))</f>
        <v/>
      </c>
      <c r="L3420" s="16" t="str">
        <f aca="false">IF(B3420="","",IF(N3420=_xlfn.MAXIFS($N$2:$N$5001,$B$2:$B$5001,B3420,$I$2:$I$5001,I3420),1,0))</f>
        <v/>
      </c>
      <c r="M3420" s="16" t="str">
        <f aca="false">IF(B3420="","",IF(E3420="Em ajustes",IF(N3420=_xlfn.MINIFS($N$2:$N$5001,$B$2:$B$5001,B3420,$E$2:$E$5001,"Em ajustes"),1,0),0))</f>
        <v/>
      </c>
      <c r="N3420" s="17" t="str">
        <f aca="false">IF(A3420="","",IF(ISNUMBER(A3420),A3420,IFERROR(DATE(VALUE(MID(A3420,7,4)),VALUE(MID(A3420,4,2)),VALUE(MID(A3420,1,2)))+TIME(VALUE(MID(A3420,12,2)),VALUE(MID(A3420,15,2)),VALUE(MID(A3420,18,2))),"")))</f>
        <v/>
      </c>
    </row>
    <row r="3421" customFormat="false" ht="15" hidden="false" customHeight="false" outlineLevel="0" collapsed="false">
      <c r="I3421" s="15" t="str">
        <f aca="false">IF(N3421="","",INT(N3421))</f>
        <v/>
      </c>
      <c r="J3421" s="16" t="str">
        <f aca="false">IF(B3421="","",IF(N3421=_xlfn.MINIFS($N$2:$N$5001,$B$2:$B$5001,B3421),1,0))</f>
        <v/>
      </c>
      <c r="K3421" s="16" t="str">
        <f aca="false">IF(B3421="","",IF(AND(D3421="Formalização",E3421="Concluído"),IF(COUNTIFS($B$2:$B$5001,B3421,$E$2:$E$5001,"Em ajustes",$N$2:$N$5001,"&lt;"&amp;I3421)&gt;0,1,0),0))</f>
        <v/>
      </c>
      <c r="L3421" s="16" t="str">
        <f aca="false">IF(B3421="","",IF(N3421=_xlfn.MAXIFS($N$2:$N$5001,$B$2:$B$5001,B3421,$I$2:$I$5001,I3421),1,0))</f>
        <v/>
      </c>
      <c r="M3421" s="16" t="str">
        <f aca="false">IF(B3421="","",IF(E3421="Em ajustes",IF(N3421=_xlfn.MINIFS($N$2:$N$5001,$B$2:$B$5001,B3421,$E$2:$E$5001,"Em ajustes"),1,0),0))</f>
        <v/>
      </c>
      <c r="N3421" s="17" t="str">
        <f aca="false">IF(A3421="","",IF(ISNUMBER(A3421),A3421,IFERROR(DATE(VALUE(MID(A3421,7,4)),VALUE(MID(A3421,4,2)),VALUE(MID(A3421,1,2)))+TIME(VALUE(MID(A3421,12,2)),VALUE(MID(A3421,15,2)),VALUE(MID(A3421,18,2))),"")))</f>
        <v/>
      </c>
    </row>
    <row r="3422" customFormat="false" ht="15" hidden="false" customHeight="false" outlineLevel="0" collapsed="false">
      <c r="I3422" s="15" t="str">
        <f aca="false">IF(N3422="","",INT(N3422))</f>
        <v/>
      </c>
      <c r="J3422" s="16" t="str">
        <f aca="false">IF(B3422="","",IF(N3422=_xlfn.MINIFS($N$2:$N$5001,$B$2:$B$5001,B3422),1,0))</f>
        <v/>
      </c>
      <c r="K3422" s="16" t="str">
        <f aca="false">IF(B3422="","",IF(AND(D3422="Formalização",E3422="Concluído"),IF(COUNTIFS($B$2:$B$5001,B3422,$E$2:$E$5001,"Em ajustes",$N$2:$N$5001,"&lt;"&amp;I3422)&gt;0,1,0),0))</f>
        <v/>
      </c>
      <c r="L3422" s="16" t="str">
        <f aca="false">IF(B3422="","",IF(N3422=_xlfn.MAXIFS($N$2:$N$5001,$B$2:$B$5001,B3422,$I$2:$I$5001,I3422),1,0))</f>
        <v/>
      </c>
      <c r="M3422" s="16" t="str">
        <f aca="false">IF(B3422="","",IF(E3422="Em ajustes",IF(N3422=_xlfn.MINIFS($N$2:$N$5001,$B$2:$B$5001,B3422,$E$2:$E$5001,"Em ajustes"),1,0),0))</f>
        <v/>
      </c>
      <c r="N3422" s="17" t="str">
        <f aca="false">IF(A3422="","",IF(ISNUMBER(A3422),A3422,IFERROR(DATE(VALUE(MID(A3422,7,4)),VALUE(MID(A3422,4,2)),VALUE(MID(A3422,1,2)))+TIME(VALUE(MID(A3422,12,2)),VALUE(MID(A3422,15,2)),VALUE(MID(A3422,18,2))),"")))</f>
        <v/>
      </c>
    </row>
    <row r="3423" customFormat="false" ht="15" hidden="false" customHeight="false" outlineLevel="0" collapsed="false">
      <c r="I3423" s="15" t="str">
        <f aca="false">IF(N3423="","",INT(N3423))</f>
        <v/>
      </c>
      <c r="J3423" s="16" t="str">
        <f aca="false">IF(B3423="","",IF(N3423=_xlfn.MINIFS($N$2:$N$5001,$B$2:$B$5001,B3423),1,0))</f>
        <v/>
      </c>
      <c r="K3423" s="16" t="str">
        <f aca="false">IF(B3423="","",IF(AND(D3423="Formalização",E3423="Concluído"),IF(COUNTIFS($B$2:$B$5001,B3423,$E$2:$E$5001,"Em ajustes",$N$2:$N$5001,"&lt;"&amp;I3423)&gt;0,1,0),0))</f>
        <v/>
      </c>
      <c r="L3423" s="16" t="str">
        <f aca="false">IF(B3423="","",IF(N3423=_xlfn.MAXIFS($N$2:$N$5001,$B$2:$B$5001,B3423,$I$2:$I$5001,I3423),1,0))</f>
        <v/>
      </c>
      <c r="M3423" s="16" t="str">
        <f aca="false">IF(B3423="","",IF(E3423="Em ajustes",IF(N3423=_xlfn.MINIFS($N$2:$N$5001,$B$2:$B$5001,B3423,$E$2:$E$5001,"Em ajustes"),1,0),0))</f>
        <v/>
      </c>
      <c r="N3423" s="17" t="str">
        <f aca="false">IF(A3423="","",IF(ISNUMBER(A3423),A3423,IFERROR(DATE(VALUE(MID(A3423,7,4)),VALUE(MID(A3423,4,2)),VALUE(MID(A3423,1,2)))+TIME(VALUE(MID(A3423,12,2)),VALUE(MID(A3423,15,2)),VALUE(MID(A3423,18,2))),"")))</f>
        <v/>
      </c>
    </row>
    <row r="3424" customFormat="false" ht="15" hidden="false" customHeight="false" outlineLevel="0" collapsed="false">
      <c r="I3424" s="15" t="str">
        <f aca="false">IF(N3424="","",INT(N3424))</f>
        <v/>
      </c>
      <c r="J3424" s="16" t="str">
        <f aca="false">IF(B3424="","",IF(N3424=_xlfn.MINIFS($N$2:$N$5001,$B$2:$B$5001,B3424),1,0))</f>
        <v/>
      </c>
      <c r="K3424" s="16" t="str">
        <f aca="false">IF(B3424="","",IF(AND(D3424="Formalização",E3424="Concluído"),IF(COUNTIFS($B$2:$B$5001,B3424,$E$2:$E$5001,"Em ajustes",$N$2:$N$5001,"&lt;"&amp;I3424)&gt;0,1,0),0))</f>
        <v/>
      </c>
      <c r="L3424" s="16" t="str">
        <f aca="false">IF(B3424="","",IF(N3424=_xlfn.MAXIFS($N$2:$N$5001,$B$2:$B$5001,B3424,$I$2:$I$5001,I3424),1,0))</f>
        <v/>
      </c>
      <c r="M3424" s="16" t="str">
        <f aca="false">IF(B3424="","",IF(E3424="Em ajustes",IF(N3424=_xlfn.MINIFS($N$2:$N$5001,$B$2:$B$5001,B3424,$E$2:$E$5001,"Em ajustes"),1,0),0))</f>
        <v/>
      </c>
      <c r="N3424" s="17" t="str">
        <f aca="false">IF(A3424="","",IF(ISNUMBER(A3424),A3424,IFERROR(DATE(VALUE(MID(A3424,7,4)),VALUE(MID(A3424,4,2)),VALUE(MID(A3424,1,2)))+TIME(VALUE(MID(A3424,12,2)),VALUE(MID(A3424,15,2)),VALUE(MID(A3424,18,2))),"")))</f>
        <v/>
      </c>
    </row>
    <row r="3425" customFormat="false" ht="15" hidden="false" customHeight="false" outlineLevel="0" collapsed="false">
      <c r="I3425" s="15" t="str">
        <f aca="false">IF(N3425="","",INT(N3425))</f>
        <v/>
      </c>
      <c r="J3425" s="16" t="str">
        <f aca="false">IF(B3425="","",IF(N3425=_xlfn.MINIFS($N$2:$N$5001,$B$2:$B$5001,B3425),1,0))</f>
        <v/>
      </c>
      <c r="K3425" s="16" t="str">
        <f aca="false">IF(B3425="","",IF(AND(D3425="Formalização",E3425="Concluído"),IF(COUNTIFS($B$2:$B$5001,B3425,$E$2:$E$5001,"Em ajustes",$N$2:$N$5001,"&lt;"&amp;I3425)&gt;0,1,0),0))</f>
        <v/>
      </c>
      <c r="L3425" s="16" t="str">
        <f aca="false">IF(B3425="","",IF(N3425=_xlfn.MAXIFS($N$2:$N$5001,$B$2:$B$5001,B3425,$I$2:$I$5001,I3425),1,0))</f>
        <v/>
      </c>
      <c r="M3425" s="16" t="str">
        <f aca="false">IF(B3425="","",IF(E3425="Em ajustes",IF(N3425=_xlfn.MINIFS($N$2:$N$5001,$B$2:$B$5001,B3425,$E$2:$E$5001,"Em ajustes"),1,0),0))</f>
        <v/>
      </c>
      <c r="N3425" s="17" t="str">
        <f aca="false">IF(A3425="","",IF(ISNUMBER(A3425),A3425,IFERROR(DATE(VALUE(MID(A3425,7,4)),VALUE(MID(A3425,4,2)),VALUE(MID(A3425,1,2)))+TIME(VALUE(MID(A3425,12,2)),VALUE(MID(A3425,15,2)),VALUE(MID(A3425,18,2))),"")))</f>
        <v/>
      </c>
    </row>
    <row r="3426" customFormat="false" ht="15" hidden="false" customHeight="false" outlineLevel="0" collapsed="false">
      <c r="I3426" s="15" t="str">
        <f aca="false">IF(N3426="","",INT(N3426))</f>
        <v/>
      </c>
      <c r="J3426" s="16" t="str">
        <f aca="false">IF(B3426="","",IF(N3426=_xlfn.MINIFS($N$2:$N$5001,$B$2:$B$5001,B3426),1,0))</f>
        <v/>
      </c>
      <c r="K3426" s="16" t="str">
        <f aca="false">IF(B3426="","",IF(AND(D3426="Formalização",E3426="Concluído"),IF(COUNTIFS($B$2:$B$5001,B3426,$E$2:$E$5001,"Em ajustes",$N$2:$N$5001,"&lt;"&amp;I3426)&gt;0,1,0),0))</f>
        <v/>
      </c>
      <c r="L3426" s="16" t="str">
        <f aca="false">IF(B3426="","",IF(N3426=_xlfn.MAXIFS($N$2:$N$5001,$B$2:$B$5001,B3426,$I$2:$I$5001,I3426),1,0))</f>
        <v/>
      </c>
      <c r="M3426" s="16" t="str">
        <f aca="false">IF(B3426="","",IF(E3426="Em ajustes",IF(N3426=_xlfn.MINIFS($N$2:$N$5001,$B$2:$B$5001,B3426,$E$2:$E$5001,"Em ajustes"),1,0),0))</f>
        <v/>
      </c>
      <c r="N3426" s="17" t="str">
        <f aca="false">IF(A3426="","",IF(ISNUMBER(A3426),A3426,IFERROR(DATE(VALUE(MID(A3426,7,4)),VALUE(MID(A3426,4,2)),VALUE(MID(A3426,1,2)))+TIME(VALUE(MID(A3426,12,2)),VALUE(MID(A3426,15,2)),VALUE(MID(A3426,18,2))),"")))</f>
        <v/>
      </c>
    </row>
    <row r="3427" customFormat="false" ht="15" hidden="false" customHeight="false" outlineLevel="0" collapsed="false">
      <c r="I3427" s="15" t="str">
        <f aca="false">IF(N3427="","",INT(N3427))</f>
        <v/>
      </c>
      <c r="J3427" s="16" t="str">
        <f aca="false">IF(B3427="","",IF(N3427=_xlfn.MINIFS($N$2:$N$5001,$B$2:$B$5001,B3427),1,0))</f>
        <v/>
      </c>
      <c r="K3427" s="16" t="str">
        <f aca="false">IF(B3427="","",IF(AND(D3427="Formalização",E3427="Concluído"),IF(COUNTIFS($B$2:$B$5001,B3427,$E$2:$E$5001,"Em ajustes",$N$2:$N$5001,"&lt;"&amp;I3427)&gt;0,1,0),0))</f>
        <v/>
      </c>
      <c r="L3427" s="16" t="str">
        <f aca="false">IF(B3427="","",IF(N3427=_xlfn.MAXIFS($N$2:$N$5001,$B$2:$B$5001,B3427,$I$2:$I$5001,I3427),1,0))</f>
        <v/>
      </c>
      <c r="M3427" s="16" t="str">
        <f aca="false">IF(B3427="","",IF(E3427="Em ajustes",IF(N3427=_xlfn.MINIFS($N$2:$N$5001,$B$2:$B$5001,B3427,$E$2:$E$5001,"Em ajustes"),1,0),0))</f>
        <v/>
      </c>
      <c r="N3427" s="17" t="str">
        <f aca="false">IF(A3427="","",IF(ISNUMBER(A3427),A3427,IFERROR(DATE(VALUE(MID(A3427,7,4)),VALUE(MID(A3427,4,2)),VALUE(MID(A3427,1,2)))+TIME(VALUE(MID(A3427,12,2)),VALUE(MID(A3427,15,2)),VALUE(MID(A3427,18,2))),"")))</f>
        <v/>
      </c>
    </row>
    <row r="3428" customFormat="false" ht="15" hidden="false" customHeight="false" outlineLevel="0" collapsed="false">
      <c r="I3428" s="15" t="str">
        <f aca="false">IF(N3428="","",INT(N3428))</f>
        <v/>
      </c>
      <c r="J3428" s="16" t="str">
        <f aca="false">IF(B3428="","",IF(N3428=_xlfn.MINIFS($N$2:$N$5001,$B$2:$B$5001,B3428),1,0))</f>
        <v/>
      </c>
      <c r="K3428" s="16" t="str">
        <f aca="false">IF(B3428="","",IF(AND(D3428="Formalização",E3428="Concluído"),IF(COUNTIFS($B$2:$B$5001,B3428,$E$2:$E$5001,"Em ajustes",$N$2:$N$5001,"&lt;"&amp;I3428)&gt;0,1,0),0))</f>
        <v/>
      </c>
      <c r="L3428" s="16" t="str">
        <f aca="false">IF(B3428="","",IF(N3428=_xlfn.MAXIFS($N$2:$N$5001,$B$2:$B$5001,B3428,$I$2:$I$5001,I3428),1,0))</f>
        <v/>
      </c>
      <c r="M3428" s="16" t="str">
        <f aca="false">IF(B3428="","",IF(E3428="Em ajustes",IF(N3428=_xlfn.MINIFS($N$2:$N$5001,$B$2:$B$5001,B3428,$E$2:$E$5001,"Em ajustes"),1,0),0))</f>
        <v/>
      </c>
      <c r="N3428" s="17" t="str">
        <f aca="false">IF(A3428="","",IF(ISNUMBER(A3428),A3428,IFERROR(DATE(VALUE(MID(A3428,7,4)),VALUE(MID(A3428,4,2)),VALUE(MID(A3428,1,2)))+TIME(VALUE(MID(A3428,12,2)),VALUE(MID(A3428,15,2)),VALUE(MID(A3428,18,2))),"")))</f>
        <v/>
      </c>
    </row>
    <row r="3429" customFormat="false" ht="15" hidden="false" customHeight="false" outlineLevel="0" collapsed="false">
      <c r="I3429" s="15" t="str">
        <f aca="false">IF(N3429="","",INT(N3429))</f>
        <v/>
      </c>
      <c r="J3429" s="16" t="str">
        <f aca="false">IF(B3429="","",IF(N3429=_xlfn.MINIFS($N$2:$N$5001,$B$2:$B$5001,B3429),1,0))</f>
        <v/>
      </c>
      <c r="K3429" s="16" t="str">
        <f aca="false">IF(B3429="","",IF(AND(D3429="Formalização",E3429="Concluído"),IF(COUNTIFS($B$2:$B$5001,B3429,$E$2:$E$5001,"Em ajustes",$N$2:$N$5001,"&lt;"&amp;I3429)&gt;0,1,0),0))</f>
        <v/>
      </c>
      <c r="L3429" s="16" t="str">
        <f aca="false">IF(B3429="","",IF(N3429=_xlfn.MAXIFS($N$2:$N$5001,$B$2:$B$5001,B3429,$I$2:$I$5001,I3429),1,0))</f>
        <v/>
      </c>
      <c r="M3429" s="16" t="str">
        <f aca="false">IF(B3429="","",IF(E3429="Em ajustes",IF(N3429=_xlfn.MINIFS($N$2:$N$5001,$B$2:$B$5001,B3429,$E$2:$E$5001,"Em ajustes"),1,0),0))</f>
        <v/>
      </c>
      <c r="N3429" s="17" t="str">
        <f aca="false">IF(A3429="","",IF(ISNUMBER(A3429),A3429,IFERROR(DATE(VALUE(MID(A3429,7,4)),VALUE(MID(A3429,4,2)),VALUE(MID(A3429,1,2)))+TIME(VALUE(MID(A3429,12,2)),VALUE(MID(A3429,15,2)),VALUE(MID(A3429,18,2))),"")))</f>
        <v/>
      </c>
    </row>
    <row r="3430" customFormat="false" ht="15" hidden="false" customHeight="false" outlineLevel="0" collapsed="false">
      <c r="I3430" s="15" t="str">
        <f aca="false">IF(N3430="","",INT(N3430))</f>
        <v/>
      </c>
      <c r="J3430" s="16" t="str">
        <f aca="false">IF(B3430="","",IF(N3430=_xlfn.MINIFS($N$2:$N$5001,$B$2:$B$5001,B3430),1,0))</f>
        <v/>
      </c>
      <c r="K3430" s="16" t="str">
        <f aca="false">IF(B3430="","",IF(AND(D3430="Formalização",E3430="Concluído"),IF(COUNTIFS($B$2:$B$5001,B3430,$E$2:$E$5001,"Em ajustes",$N$2:$N$5001,"&lt;"&amp;I3430)&gt;0,1,0),0))</f>
        <v/>
      </c>
      <c r="L3430" s="16" t="str">
        <f aca="false">IF(B3430="","",IF(N3430=_xlfn.MAXIFS($N$2:$N$5001,$B$2:$B$5001,B3430,$I$2:$I$5001,I3430),1,0))</f>
        <v/>
      </c>
      <c r="M3430" s="16" t="str">
        <f aca="false">IF(B3430="","",IF(E3430="Em ajustes",IF(N3430=_xlfn.MINIFS($N$2:$N$5001,$B$2:$B$5001,B3430,$E$2:$E$5001,"Em ajustes"),1,0),0))</f>
        <v/>
      </c>
      <c r="N3430" s="17" t="str">
        <f aca="false">IF(A3430="","",IF(ISNUMBER(A3430),A3430,IFERROR(DATE(VALUE(MID(A3430,7,4)),VALUE(MID(A3430,4,2)),VALUE(MID(A3430,1,2)))+TIME(VALUE(MID(A3430,12,2)),VALUE(MID(A3430,15,2)),VALUE(MID(A3430,18,2))),"")))</f>
        <v/>
      </c>
    </row>
    <row r="3431" customFormat="false" ht="15" hidden="false" customHeight="false" outlineLevel="0" collapsed="false">
      <c r="I3431" s="15" t="str">
        <f aca="false">IF(N3431="","",INT(N3431))</f>
        <v/>
      </c>
      <c r="J3431" s="16" t="str">
        <f aca="false">IF(B3431="","",IF(N3431=_xlfn.MINIFS($N$2:$N$5001,$B$2:$B$5001,B3431),1,0))</f>
        <v/>
      </c>
      <c r="K3431" s="16" t="str">
        <f aca="false">IF(B3431="","",IF(AND(D3431="Formalização",E3431="Concluído"),IF(COUNTIFS($B$2:$B$5001,B3431,$E$2:$E$5001,"Em ajustes",$N$2:$N$5001,"&lt;"&amp;I3431)&gt;0,1,0),0))</f>
        <v/>
      </c>
      <c r="L3431" s="16" t="str">
        <f aca="false">IF(B3431="","",IF(N3431=_xlfn.MAXIFS($N$2:$N$5001,$B$2:$B$5001,B3431,$I$2:$I$5001,I3431),1,0))</f>
        <v/>
      </c>
      <c r="M3431" s="16" t="str">
        <f aca="false">IF(B3431="","",IF(E3431="Em ajustes",IF(N3431=_xlfn.MINIFS($N$2:$N$5001,$B$2:$B$5001,B3431,$E$2:$E$5001,"Em ajustes"),1,0),0))</f>
        <v/>
      </c>
      <c r="N3431" s="17" t="str">
        <f aca="false">IF(A3431="","",IF(ISNUMBER(A3431),A3431,IFERROR(DATE(VALUE(MID(A3431,7,4)),VALUE(MID(A3431,4,2)),VALUE(MID(A3431,1,2)))+TIME(VALUE(MID(A3431,12,2)),VALUE(MID(A3431,15,2)),VALUE(MID(A3431,18,2))),"")))</f>
        <v/>
      </c>
    </row>
    <row r="3432" customFormat="false" ht="15" hidden="false" customHeight="false" outlineLevel="0" collapsed="false">
      <c r="I3432" s="15" t="str">
        <f aca="false">IF(N3432="","",INT(N3432))</f>
        <v/>
      </c>
      <c r="J3432" s="16" t="str">
        <f aca="false">IF(B3432="","",IF(N3432=_xlfn.MINIFS($N$2:$N$5001,$B$2:$B$5001,B3432),1,0))</f>
        <v/>
      </c>
      <c r="K3432" s="16" t="str">
        <f aca="false">IF(B3432="","",IF(AND(D3432="Formalização",E3432="Concluído"),IF(COUNTIFS($B$2:$B$5001,B3432,$E$2:$E$5001,"Em ajustes",$N$2:$N$5001,"&lt;"&amp;I3432)&gt;0,1,0),0))</f>
        <v/>
      </c>
      <c r="L3432" s="16" t="str">
        <f aca="false">IF(B3432="","",IF(N3432=_xlfn.MAXIFS($N$2:$N$5001,$B$2:$B$5001,B3432,$I$2:$I$5001,I3432),1,0))</f>
        <v/>
      </c>
      <c r="M3432" s="16" t="str">
        <f aca="false">IF(B3432="","",IF(E3432="Em ajustes",IF(N3432=_xlfn.MINIFS($N$2:$N$5001,$B$2:$B$5001,B3432,$E$2:$E$5001,"Em ajustes"),1,0),0))</f>
        <v/>
      </c>
      <c r="N3432" s="17" t="str">
        <f aca="false">IF(A3432="","",IF(ISNUMBER(A3432),A3432,IFERROR(DATE(VALUE(MID(A3432,7,4)),VALUE(MID(A3432,4,2)),VALUE(MID(A3432,1,2)))+TIME(VALUE(MID(A3432,12,2)),VALUE(MID(A3432,15,2)),VALUE(MID(A3432,18,2))),"")))</f>
        <v/>
      </c>
    </row>
    <row r="3433" customFormat="false" ht="15" hidden="false" customHeight="false" outlineLevel="0" collapsed="false">
      <c r="I3433" s="15" t="str">
        <f aca="false">IF(N3433="","",INT(N3433))</f>
        <v/>
      </c>
      <c r="J3433" s="16" t="str">
        <f aca="false">IF(B3433="","",IF(N3433=_xlfn.MINIFS($N$2:$N$5001,$B$2:$B$5001,B3433),1,0))</f>
        <v/>
      </c>
      <c r="K3433" s="16" t="str">
        <f aca="false">IF(B3433="","",IF(AND(D3433="Formalização",E3433="Concluído"),IF(COUNTIFS($B$2:$B$5001,B3433,$E$2:$E$5001,"Em ajustes",$N$2:$N$5001,"&lt;"&amp;I3433)&gt;0,1,0),0))</f>
        <v/>
      </c>
      <c r="L3433" s="16" t="str">
        <f aca="false">IF(B3433="","",IF(N3433=_xlfn.MAXIFS($N$2:$N$5001,$B$2:$B$5001,B3433,$I$2:$I$5001,I3433),1,0))</f>
        <v/>
      </c>
      <c r="M3433" s="16" t="str">
        <f aca="false">IF(B3433="","",IF(E3433="Em ajustes",IF(N3433=_xlfn.MINIFS($N$2:$N$5001,$B$2:$B$5001,B3433,$E$2:$E$5001,"Em ajustes"),1,0),0))</f>
        <v/>
      </c>
      <c r="N3433" s="17" t="str">
        <f aca="false">IF(A3433="","",IF(ISNUMBER(A3433),A3433,IFERROR(DATE(VALUE(MID(A3433,7,4)),VALUE(MID(A3433,4,2)),VALUE(MID(A3433,1,2)))+TIME(VALUE(MID(A3433,12,2)),VALUE(MID(A3433,15,2)),VALUE(MID(A3433,18,2))),"")))</f>
        <v/>
      </c>
    </row>
    <row r="3434" customFormat="false" ht="15" hidden="false" customHeight="false" outlineLevel="0" collapsed="false">
      <c r="I3434" s="15" t="str">
        <f aca="false">IF(N3434="","",INT(N3434))</f>
        <v/>
      </c>
      <c r="J3434" s="16" t="str">
        <f aca="false">IF(B3434="","",IF(N3434=_xlfn.MINIFS($N$2:$N$5001,$B$2:$B$5001,B3434),1,0))</f>
        <v/>
      </c>
      <c r="K3434" s="16" t="str">
        <f aca="false">IF(B3434="","",IF(AND(D3434="Formalização",E3434="Concluído"),IF(COUNTIFS($B$2:$B$5001,B3434,$E$2:$E$5001,"Em ajustes",$N$2:$N$5001,"&lt;"&amp;I3434)&gt;0,1,0),0))</f>
        <v/>
      </c>
      <c r="L3434" s="16" t="str">
        <f aca="false">IF(B3434="","",IF(N3434=_xlfn.MAXIFS($N$2:$N$5001,$B$2:$B$5001,B3434,$I$2:$I$5001,I3434),1,0))</f>
        <v/>
      </c>
      <c r="M3434" s="16" t="str">
        <f aca="false">IF(B3434="","",IF(E3434="Em ajustes",IF(N3434=_xlfn.MINIFS($N$2:$N$5001,$B$2:$B$5001,B3434,$E$2:$E$5001,"Em ajustes"),1,0),0))</f>
        <v/>
      </c>
      <c r="N3434" s="17" t="str">
        <f aca="false">IF(A3434="","",IF(ISNUMBER(A3434),A3434,IFERROR(DATE(VALUE(MID(A3434,7,4)),VALUE(MID(A3434,4,2)),VALUE(MID(A3434,1,2)))+TIME(VALUE(MID(A3434,12,2)),VALUE(MID(A3434,15,2)),VALUE(MID(A3434,18,2))),"")))</f>
        <v/>
      </c>
    </row>
    <row r="3435" customFormat="false" ht="15" hidden="false" customHeight="false" outlineLevel="0" collapsed="false">
      <c r="I3435" s="15" t="str">
        <f aca="false">IF(N3435="","",INT(N3435))</f>
        <v/>
      </c>
      <c r="J3435" s="16" t="str">
        <f aca="false">IF(B3435="","",IF(N3435=_xlfn.MINIFS($N$2:$N$5001,$B$2:$B$5001,B3435),1,0))</f>
        <v/>
      </c>
      <c r="K3435" s="16" t="str">
        <f aca="false">IF(B3435="","",IF(AND(D3435="Formalização",E3435="Concluído"),IF(COUNTIFS($B$2:$B$5001,B3435,$E$2:$E$5001,"Em ajustes",$N$2:$N$5001,"&lt;"&amp;I3435)&gt;0,1,0),0))</f>
        <v/>
      </c>
      <c r="L3435" s="16" t="str">
        <f aca="false">IF(B3435="","",IF(N3435=_xlfn.MAXIFS($N$2:$N$5001,$B$2:$B$5001,B3435,$I$2:$I$5001,I3435),1,0))</f>
        <v/>
      </c>
      <c r="M3435" s="16" t="str">
        <f aca="false">IF(B3435="","",IF(E3435="Em ajustes",IF(N3435=_xlfn.MINIFS($N$2:$N$5001,$B$2:$B$5001,B3435,$E$2:$E$5001,"Em ajustes"),1,0),0))</f>
        <v/>
      </c>
      <c r="N3435" s="17" t="str">
        <f aca="false">IF(A3435="","",IF(ISNUMBER(A3435),A3435,IFERROR(DATE(VALUE(MID(A3435,7,4)),VALUE(MID(A3435,4,2)),VALUE(MID(A3435,1,2)))+TIME(VALUE(MID(A3435,12,2)),VALUE(MID(A3435,15,2)),VALUE(MID(A3435,18,2))),"")))</f>
        <v/>
      </c>
    </row>
    <row r="3436" customFormat="false" ht="15" hidden="false" customHeight="false" outlineLevel="0" collapsed="false">
      <c r="I3436" s="15" t="str">
        <f aca="false">IF(N3436="","",INT(N3436))</f>
        <v/>
      </c>
      <c r="J3436" s="16" t="str">
        <f aca="false">IF(B3436="","",IF(N3436=_xlfn.MINIFS($N$2:$N$5001,$B$2:$B$5001,B3436),1,0))</f>
        <v/>
      </c>
      <c r="K3436" s="16" t="str">
        <f aca="false">IF(B3436="","",IF(AND(D3436="Formalização",E3436="Concluído"),IF(COUNTIFS($B$2:$B$5001,B3436,$E$2:$E$5001,"Em ajustes",$N$2:$N$5001,"&lt;"&amp;I3436)&gt;0,1,0),0))</f>
        <v/>
      </c>
      <c r="L3436" s="16" t="str">
        <f aca="false">IF(B3436="","",IF(N3436=_xlfn.MAXIFS($N$2:$N$5001,$B$2:$B$5001,B3436,$I$2:$I$5001,I3436),1,0))</f>
        <v/>
      </c>
      <c r="M3436" s="16" t="str">
        <f aca="false">IF(B3436="","",IF(E3436="Em ajustes",IF(N3436=_xlfn.MINIFS($N$2:$N$5001,$B$2:$B$5001,B3436,$E$2:$E$5001,"Em ajustes"),1,0),0))</f>
        <v/>
      </c>
      <c r="N3436" s="17" t="str">
        <f aca="false">IF(A3436="","",IF(ISNUMBER(A3436),A3436,IFERROR(DATE(VALUE(MID(A3436,7,4)),VALUE(MID(A3436,4,2)),VALUE(MID(A3436,1,2)))+TIME(VALUE(MID(A3436,12,2)),VALUE(MID(A3436,15,2)),VALUE(MID(A3436,18,2))),"")))</f>
        <v/>
      </c>
    </row>
    <row r="3437" customFormat="false" ht="15" hidden="false" customHeight="false" outlineLevel="0" collapsed="false">
      <c r="I3437" s="15" t="str">
        <f aca="false">IF(N3437="","",INT(N3437))</f>
        <v/>
      </c>
      <c r="J3437" s="16" t="str">
        <f aca="false">IF(B3437="","",IF(N3437=_xlfn.MINIFS($N$2:$N$5001,$B$2:$B$5001,B3437),1,0))</f>
        <v/>
      </c>
      <c r="K3437" s="16" t="str">
        <f aca="false">IF(B3437="","",IF(AND(D3437="Formalização",E3437="Concluído"),IF(COUNTIFS($B$2:$B$5001,B3437,$E$2:$E$5001,"Em ajustes",$N$2:$N$5001,"&lt;"&amp;I3437)&gt;0,1,0),0))</f>
        <v/>
      </c>
      <c r="L3437" s="16" t="str">
        <f aca="false">IF(B3437="","",IF(N3437=_xlfn.MAXIFS($N$2:$N$5001,$B$2:$B$5001,B3437,$I$2:$I$5001,I3437),1,0))</f>
        <v/>
      </c>
      <c r="M3437" s="16" t="str">
        <f aca="false">IF(B3437="","",IF(E3437="Em ajustes",IF(N3437=_xlfn.MINIFS($N$2:$N$5001,$B$2:$B$5001,B3437,$E$2:$E$5001,"Em ajustes"),1,0),0))</f>
        <v/>
      </c>
      <c r="N3437" s="17" t="str">
        <f aca="false">IF(A3437="","",IF(ISNUMBER(A3437),A3437,IFERROR(DATE(VALUE(MID(A3437,7,4)),VALUE(MID(A3437,4,2)),VALUE(MID(A3437,1,2)))+TIME(VALUE(MID(A3437,12,2)),VALUE(MID(A3437,15,2)),VALUE(MID(A3437,18,2))),"")))</f>
        <v/>
      </c>
    </row>
    <row r="3438" customFormat="false" ht="15" hidden="false" customHeight="false" outlineLevel="0" collapsed="false">
      <c r="I3438" s="15" t="str">
        <f aca="false">IF(N3438="","",INT(N3438))</f>
        <v/>
      </c>
      <c r="J3438" s="16" t="str">
        <f aca="false">IF(B3438="","",IF(N3438=_xlfn.MINIFS($N$2:$N$5001,$B$2:$B$5001,B3438),1,0))</f>
        <v/>
      </c>
      <c r="K3438" s="16" t="str">
        <f aca="false">IF(B3438="","",IF(AND(D3438="Formalização",E3438="Concluído"),IF(COUNTIFS($B$2:$B$5001,B3438,$E$2:$E$5001,"Em ajustes",$N$2:$N$5001,"&lt;"&amp;I3438)&gt;0,1,0),0))</f>
        <v/>
      </c>
      <c r="L3438" s="16" t="str">
        <f aca="false">IF(B3438="","",IF(N3438=_xlfn.MAXIFS($N$2:$N$5001,$B$2:$B$5001,B3438,$I$2:$I$5001,I3438),1,0))</f>
        <v/>
      </c>
      <c r="M3438" s="16" t="str">
        <f aca="false">IF(B3438="","",IF(E3438="Em ajustes",IF(N3438=_xlfn.MINIFS($N$2:$N$5001,$B$2:$B$5001,B3438,$E$2:$E$5001,"Em ajustes"),1,0),0))</f>
        <v/>
      </c>
      <c r="N3438" s="17" t="str">
        <f aca="false">IF(A3438="","",IF(ISNUMBER(A3438),A3438,IFERROR(DATE(VALUE(MID(A3438,7,4)),VALUE(MID(A3438,4,2)),VALUE(MID(A3438,1,2)))+TIME(VALUE(MID(A3438,12,2)),VALUE(MID(A3438,15,2)),VALUE(MID(A3438,18,2))),"")))</f>
        <v/>
      </c>
    </row>
    <row r="3439" customFormat="false" ht="15" hidden="false" customHeight="false" outlineLevel="0" collapsed="false">
      <c r="I3439" s="15" t="str">
        <f aca="false">IF(N3439="","",INT(N3439))</f>
        <v/>
      </c>
      <c r="J3439" s="16" t="str">
        <f aca="false">IF(B3439="","",IF(N3439=_xlfn.MINIFS($N$2:$N$5001,$B$2:$B$5001,B3439),1,0))</f>
        <v/>
      </c>
      <c r="K3439" s="16" t="str">
        <f aca="false">IF(B3439="","",IF(AND(D3439="Formalização",E3439="Concluído"),IF(COUNTIFS($B$2:$B$5001,B3439,$E$2:$E$5001,"Em ajustes",$N$2:$N$5001,"&lt;"&amp;I3439)&gt;0,1,0),0))</f>
        <v/>
      </c>
      <c r="L3439" s="16" t="str">
        <f aca="false">IF(B3439="","",IF(N3439=_xlfn.MAXIFS($N$2:$N$5001,$B$2:$B$5001,B3439,$I$2:$I$5001,I3439),1,0))</f>
        <v/>
      </c>
      <c r="M3439" s="16" t="str">
        <f aca="false">IF(B3439="","",IF(E3439="Em ajustes",IF(N3439=_xlfn.MINIFS($N$2:$N$5001,$B$2:$B$5001,B3439,$E$2:$E$5001,"Em ajustes"),1,0),0))</f>
        <v/>
      </c>
      <c r="N3439" s="17" t="str">
        <f aca="false">IF(A3439="","",IF(ISNUMBER(A3439),A3439,IFERROR(DATE(VALUE(MID(A3439,7,4)),VALUE(MID(A3439,4,2)),VALUE(MID(A3439,1,2)))+TIME(VALUE(MID(A3439,12,2)),VALUE(MID(A3439,15,2)),VALUE(MID(A3439,18,2))),"")))</f>
        <v/>
      </c>
    </row>
    <row r="3440" customFormat="false" ht="15" hidden="false" customHeight="false" outlineLevel="0" collapsed="false">
      <c r="I3440" s="15" t="str">
        <f aca="false">IF(N3440="","",INT(N3440))</f>
        <v/>
      </c>
      <c r="J3440" s="16" t="str">
        <f aca="false">IF(B3440="","",IF(N3440=_xlfn.MINIFS($N$2:$N$5001,$B$2:$B$5001,B3440),1,0))</f>
        <v/>
      </c>
      <c r="K3440" s="16" t="str">
        <f aca="false">IF(B3440="","",IF(AND(D3440="Formalização",E3440="Concluído"),IF(COUNTIFS($B$2:$B$5001,B3440,$E$2:$E$5001,"Em ajustes",$N$2:$N$5001,"&lt;"&amp;I3440)&gt;0,1,0),0))</f>
        <v/>
      </c>
      <c r="L3440" s="16" t="str">
        <f aca="false">IF(B3440="","",IF(N3440=_xlfn.MAXIFS($N$2:$N$5001,$B$2:$B$5001,B3440,$I$2:$I$5001,I3440),1,0))</f>
        <v/>
      </c>
      <c r="M3440" s="16" t="str">
        <f aca="false">IF(B3440="","",IF(E3440="Em ajustes",IF(N3440=_xlfn.MINIFS($N$2:$N$5001,$B$2:$B$5001,B3440,$E$2:$E$5001,"Em ajustes"),1,0),0))</f>
        <v/>
      </c>
      <c r="N3440" s="17" t="str">
        <f aca="false">IF(A3440="","",IF(ISNUMBER(A3440),A3440,IFERROR(DATE(VALUE(MID(A3440,7,4)),VALUE(MID(A3440,4,2)),VALUE(MID(A3440,1,2)))+TIME(VALUE(MID(A3440,12,2)),VALUE(MID(A3440,15,2)),VALUE(MID(A3440,18,2))),"")))</f>
        <v/>
      </c>
    </row>
    <row r="3441" customFormat="false" ht="15" hidden="false" customHeight="false" outlineLevel="0" collapsed="false">
      <c r="I3441" s="15" t="str">
        <f aca="false">IF(N3441="","",INT(N3441))</f>
        <v/>
      </c>
      <c r="J3441" s="16" t="str">
        <f aca="false">IF(B3441="","",IF(N3441=_xlfn.MINIFS($N$2:$N$5001,$B$2:$B$5001,B3441),1,0))</f>
        <v/>
      </c>
      <c r="K3441" s="16" t="str">
        <f aca="false">IF(B3441="","",IF(AND(D3441="Formalização",E3441="Concluído"),IF(COUNTIFS($B$2:$B$5001,B3441,$E$2:$E$5001,"Em ajustes",$N$2:$N$5001,"&lt;"&amp;I3441)&gt;0,1,0),0))</f>
        <v/>
      </c>
      <c r="L3441" s="16" t="str">
        <f aca="false">IF(B3441="","",IF(N3441=_xlfn.MAXIFS($N$2:$N$5001,$B$2:$B$5001,B3441,$I$2:$I$5001,I3441),1,0))</f>
        <v/>
      </c>
      <c r="M3441" s="16" t="str">
        <f aca="false">IF(B3441="","",IF(E3441="Em ajustes",IF(N3441=_xlfn.MINIFS($N$2:$N$5001,$B$2:$B$5001,B3441,$E$2:$E$5001,"Em ajustes"),1,0),0))</f>
        <v/>
      </c>
      <c r="N3441" s="17" t="str">
        <f aca="false">IF(A3441="","",IF(ISNUMBER(A3441),A3441,IFERROR(DATE(VALUE(MID(A3441,7,4)),VALUE(MID(A3441,4,2)),VALUE(MID(A3441,1,2)))+TIME(VALUE(MID(A3441,12,2)),VALUE(MID(A3441,15,2)),VALUE(MID(A3441,18,2))),"")))</f>
        <v/>
      </c>
    </row>
    <row r="3442" customFormat="false" ht="15" hidden="false" customHeight="false" outlineLevel="0" collapsed="false">
      <c r="I3442" s="15" t="str">
        <f aca="false">IF(N3442="","",INT(N3442))</f>
        <v/>
      </c>
      <c r="J3442" s="16" t="str">
        <f aca="false">IF(B3442="","",IF(N3442=_xlfn.MINIFS($N$2:$N$5001,$B$2:$B$5001,B3442),1,0))</f>
        <v/>
      </c>
      <c r="K3442" s="16" t="str">
        <f aca="false">IF(B3442="","",IF(AND(D3442="Formalização",E3442="Concluído"),IF(COUNTIFS($B$2:$B$5001,B3442,$E$2:$E$5001,"Em ajustes",$N$2:$N$5001,"&lt;"&amp;I3442)&gt;0,1,0),0))</f>
        <v/>
      </c>
      <c r="L3442" s="16" t="str">
        <f aca="false">IF(B3442="","",IF(N3442=_xlfn.MAXIFS($N$2:$N$5001,$B$2:$B$5001,B3442,$I$2:$I$5001,I3442),1,0))</f>
        <v/>
      </c>
      <c r="M3442" s="16" t="str">
        <f aca="false">IF(B3442="","",IF(E3442="Em ajustes",IF(N3442=_xlfn.MINIFS($N$2:$N$5001,$B$2:$B$5001,B3442,$E$2:$E$5001,"Em ajustes"),1,0),0))</f>
        <v/>
      </c>
      <c r="N3442" s="17" t="str">
        <f aca="false">IF(A3442="","",IF(ISNUMBER(A3442),A3442,IFERROR(DATE(VALUE(MID(A3442,7,4)),VALUE(MID(A3442,4,2)),VALUE(MID(A3442,1,2)))+TIME(VALUE(MID(A3442,12,2)),VALUE(MID(A3442,15,2)),VALUE(MID(A3442,18,2))),"")))</f>
        <v/>
      </c>
    </row>
    <row r="3443" customFormat="false" ht="15" hidden="false" customHeight="false" outlineLevel="0" collapsed="false">
      <c r="I3443" s="15" t="str">
        <f aca="false">IF(N3443="","",INT(N3443))</f>
        <v/>
      </c>
      <c r="J3443" s="16" t="str">
        <f aca="false">IF(B3443="","",IF(N3443=_xlfn.MINIFS($N$2:$N$5001,$B$2:$B$5001,B3443),1,0))</f>
        <v/>
      </c>
      <c r="K3443" s="16" t="str">
        <f aca="false">IF(B3443="","",IF(AND(D3443="Formalização",E3443="Concluído"),IF(COUNTIFS($B$2:$B$5001,B3443,$E$2:$E$5001,"Em ajustes",$N$2:$N$5001,"&lt;"&amp;I3443)&gt;0,1,0),0))</f>
        <v/>
      </c>
      <c r="L3443" s="16" t="str">
        <f aca="false">IF(B3443="","",IF(N3443=_xlfn.MAXIFS($N$2:$N$5001,$B$2:$B$5001,B3443,$I$2:$I$5001,I3443),1,0))</f>
        <v/>
      </c>
      <c r="M3443" s="16" t="str">
        <f aca="false">IF(B3443="","",IF(E3443="Em ajustes",IF(N3443=_xlfn.MINIFS($N$2:$N$5001,$B$2:$B$5001,B3443,$E$2:$E$5001,"Em ajustes"),1,0),0))</f>
        <v/>
      </c>
      <c r="N3443" s="17" t="str">
        <f aca="false">IF(A3443="","",IF(ISNUMBER(A3443),A3443,IFERROR(DATE(VALUE(MID(A3443,7,4)),VALUE(MID(A3443,4,2)),VALUE(MID(A3443,1,2)))+TIME(VALUE(MID(A3443,12,2)),VALUE(MID(A3443,15,2)),VALUE(MID(A3443,18,2))),"")))</f>
        <v/>
      </c>
    </row>
    <row r="3444" customFormat="false" ht="15" hidden="false" customHeight="false" outlineLevel="0" collapsed="false">
      <c r="I3444" s="15" t="str">
        <f aca="false">IF(N3444="","",INT(N3444))</f>
        <v/>
      </c>
      <c r="J3444" s="16" t="str">
        <f aca="false">IF(B3444="","",IF(N3444=_xlfn.MINIFS($N$2:$N$5001,$B$2:$B$5001,B3444),1,0))</f>
        <v/>
      </c>
      <c r="K3444" s="16" t="str">
        <f aca="false">IF(B3444="","",IF(AND(D3444="Formalização",E3444="Concluído"),IF(COUNTIFS($B$2:$B$5001,B3444,$E$2:$E$5001,"Em ajustes",$N$2:$N$5001,"&lt;"&amp;I3444)&gt;0,1,0),0))</f>
        <v/>
      </c>
      <c r="L3444" s="16" t="str">
        <f aca="false">IF(B3444="","",IF(N3444=_xlfn.MAXIFS($N$2:$N$5001,$B$2:$B$5001,B3444,$I$2:$I$5001,I3444),1,0))</f>
        <v/>
      </c>
      <c r="M3444" s="16" t="str">
        <f aca="false">IF(B3444="","",IF(E3444="Em ajustes",IF(N3444=_xlfn.MINIFS($N$2:$N$5001,$B$2:$B$5001,B3444,$E$2:$E$5001,"Em ajustes"),1,0),0))</f>
        <v/>
      </c>
      <c r="N3444" s="17" t="str">
        <f aca="false">IF(A3444="","",IF(ISNUMBER(A3444),A3444,IFERROR(DATE(VALUE(MID(A3444,7,4)),VALUE(MID(A3444,4,2)),VALUE(MID(A3444,1,2)))+TIME(VALUE(MID(A3444,12,2)),VALUE(MID(A3444,15,2)),VALUE(MID(A3444,18,2))),"")))</f>
        <v/>
      </c>
    </row>
    <row r="3445" customFormat="false" ht="15" hidden="false" customHeight="false" outlineLevel="0" collapsed="false">
      <c r="I3445" s="15" t="str">
        <f aca="false">IF(N3445="","",INT(N3445))</f>
        <v/>
      </c>
      <c r="J3445" s="16" t="str">
        <f aca="false">IF(B3445="","",IF(N3445=_xlfn.MINIFS($N$2:$N$5001,$B$2:$B$5001,B3445),1,0))</f>
        <v/>
      </c>
      <c r="K3445" s="16" t="str">
        <f aca="false">IF(B3445="","",IF(AND(D3445="Formalização",E3445="Concluído"),IF(COUNTIFS($B$2:$B$5001,B3445,$E$2:$E$5001,"Em ajustes",$N$2:$N$5001,"&lt;"&amp;I3445)&gt;0,1,0),0))</f>
        <v/>
      </c>
      <c r="L3445" s="16" t="str">
        <f aca="false">IF(B3445="","",IF(N3445=_xlfn.MAXIFS($N$2:$N$5001,$B$2:$B$5001,B3445,$I$2:$I$5001,I3445),1,0))</f>
        <v/>
      </c>
      <c r="M3445" s="16" t="str">
        <f aca="false">IF(B3445="","",IF(E3445="Em ajustes",IF(N3445=_xlfn.MINIFS($N$2:$N$5001,$B$2:$B$5001,B3445,$E$2:$E$5001,"Em ajustes"),1,0),0))</f>
        <v/>
      </c>
      <c r="N3445" s="17" t="str">
        <f aca="false">IF(A3445="","",IF(ISNUMBER(A3445),A3445,IFERROR(DATE(VALUE(MID(A3445,7,4)),VALUE(MID(A3445,4,2)),VALUE(MID(A3445,1,2)))+TIME(VALUE(MID(A3445,12,2)),VALUE(MID(A3445,15,2)),VALUE(MID(A3445,18,2))),"")))</f>
        <v/>
      </c>
    </row>
    <row r="3446" customFormat="false" ht="15" hidden="false" customHeight="false" outlineLevel="0" collapsed="false">
      <c r="I3446" s="15" t="str">
        <f aca="false">IF(N3446="","",INT(N3446))</f>
        <v/>
      </c>
      <c r="J3446" s="16" t="str">
        <f aca="false">IF(B3446="","",IF(N3446=_xlfn.MINIFS($N$2:$N$5001,$B$2:$B$5001,B3446),1,0))</f>
        <v/>
      </c>
      <c r="K3446" s="16" t="str">
        <f aca="false">IF(B3446="","",IF(AND(D3446="Formalização",E3446="Concluído"),IF(COUNTIFS($B$2:$B$5001,B3446,$E$2:$E$5001,"Em ajustes",$N$2:$N$5001,"&lt;"&amp;I3446)&gt;0,1,0),0))</f>
        <v/>
      </c>
      <c r="L3446" s="16" t="str">
        <f aca="false">IF(B3446="","",IF(N3446=_xlfn.MAXIFS($N$2:$N$5001,$B$2:$B$5001,B3446,$I$2:$I$5001,I3446),1,0))</f>
        <v/>
      </c>
      <c r="M3446" s="16" t="str">
        <f aca="false">IF(B3446="","",IF(E3446="Em ajustes",IF(N3446=_xlfn.MINIFS($N$2:$N$5001,$B$2:$B$5001,B3446,$E$2:$E$5001,"Em ajustes"),1,0),0))</f>
        <v/>
      </c>
      <c r="N3446" s="17" t="str">
        <f aca="false">IF(A3446="","",IF(ISNUMBER(A3446),A3446,IFERROR(DATE(VALUE(MID(A3446,7,4)),VALUE(MID(A3446,4,2)),VALUE(MID(A3446,1,2)))+TIME(VALUE(MID(A3446,12,2)),VALUE(MID(A3446,15,2)),VALUE(MID(A3446,18,2))),"")))</f>
        <v/>
      </c>
    </row>
    <row r="3447" customFormat="false" ht="15" hidden="false" customHeight="false" outlineLevel="0" collapsed="false">
      <c r="I3447" s="15" t="str">
        <f aca="false">IF(N3447="","",INT(N3447))</f>
        <v/>
      </c>
      <c r="J3447" s="16" t="str">
        <f aca="false">IF(B3447="","",IF(N3447=_xlfn.MINIFS($N$2:$N$5001,$B$2:$B$5001,B3447),1,0))</f>
        <v/>
      </c>
      <c r="K3447" s="16" t="str">
        <f aca="false">IF(B3447="","",IF(AND(D3447="Formalização",E3447="Concluído"),IF(COUNTIFS($B$2:$B$5001,B3447,$E$2:$E$5001,"Em ajustes",$N$2:$N$5001,"&lt;"&amp;I3447)&gt;0,1,0),0))</f>
        <v/>
      </c>
      <c r="L3447" s="16" t="str">
        <f aca="false">IF(B3447="","",IF(N3447=_xlfn.MAXIFS($N$2:$N$5001,$B$2:$B$5001,B3447,$I$2:$I$5001,I3447),1,0))</f>
        <v/>
      </c>
      <c r="M3447" s="16" t="str">
        <f aca="false">IF(B3447="","",IF(E3447="Em ajustes",IF(N3447=_xlfn.MINIFS($N$2:$N$5001,$B$2:$B$5001,B3447,$E$2:$E$5001,"Em ajustes"),1,0),0))</f>
        <v/>
      </c>
      <c r="N3447" s="17" t="str">
        <f aca="false">IF(A3447="","",IF(ISNUMBER(A3447),A3447,IFERROR(DATE(VALUE(MID(A3447,7,4)),VALUE(MID(A3447,4,2)),VALUE(MID(A3447,1,2)))+TIME(VALUE(MID(A3447,12,2)),VALUE(MID(A3447,15,2)),VALUE(MID(A3447,18,2))),"")))</f>
        <v/>
      </c>
    </row>
    <row r="3448" customFormat="false" ht="15" hidden="false" customHeight="false" outlineLevel="0" collapsed="false">
      <c r="I3448" s="15" t="str">
        <f aca="false">IF(N3448="","",INT(N3448))</f>
        <v/>
      </c>
      <c r="J3448" s="16" t="str">
        <f aca="false">IF(B3448="","",IF(N3448=_xlfn.MINIFS($N$2:$N$5001,$B$2:$B$5001,B3448),1,0))</f>
        <v/>
      </c>
      <c r="K3448" s="16" t="str">
        <f aca="false">IF(B3448="","",IF(AND(D3448="Formalização",E3448="Concluído"),IF(COUNTIFS($B$2:$B$5001,B3448,$E$2:$E$5001,"Em ajustes",$N$2:$N$5001,"&lt;"&amp;I3448)&gt;0,1,0),0))</f>
        <v/>
      </c>
      <c r="L3448" s="16" t="str">
        <f aca="false">IF(B3448="","",IF(N3448=_xlfn.MAXIFS($N$2:$N$5001,$B$2:$B$5001,B3448,$I$2:$I$5001,I3448),1,0))</f>
        <v/>
      </c>
      <c r="M3448" s="16" t="str">
        <f aca="false">IF(B3448="","",IF(E3448="Em ajustes",IF(N3448=_xlfn.MINIFS($N$2:$N$5001,$B$2:$B$5001,B3448,$E$2:$E$5001,"Em ajustes"),1,0),0))</f>
        <v/>
      </c>
      <c r="N3448" s="17" t="str">
        <f aca="false">IF(A3448="","",IF(ISNUMBER(A3448),A3448,IFERROR(DATE(VALUE(MID(A3448,7,4)),VALUE(MID(A3448,4,2)),VALUE(MID(A3448,1,2)))+TIME(VALUE(MID(A3448,12,2)),VALUE(MID(A3448,15,2)),VALUE(MID(A3448,18,2))),"")))</f>
        <v/>
      </c>
    </row>
    <row r="3449" customFormat="false" ht="15" hidden="false" customHeight="false" outlineLevel="0" collapsed="false">
      <c r="I3449" s="15" t="str">
        <f aca="false">IF(N3449="","",INT(N3449))</f>
        <v/>
      </c>
      <c r="J3449" s="16" t="str">
        <f aca="false">IF(B3449="","",IF(N3449=_xlfn.MINIFS($N$2:$N$5001,$B$2:$B$5001,B3449),1,0))</f>
        <v/>
      </c>
      <c r="K3449" s="16" t="str">
        <f aca="false">IF(B3449="","",IF(AND(D3449="Formalização",E3449="Concluído"),IF(COUNTIFS($B$2:$B$5001,B3449,$E$2:$E$5001,"Em ajustes",$N$2:$N$5001,"&lt;"&amp;I3449)&gt;0,1,0),0))</f>
        <v/>
      </c>
      <c r="L3449" s="16" t="str">
        <f aca="false">IF(B3449="","",IF(N3449=_xlfn.MAXIFS($N$2:$N$5001,$B$2:$B$5001,B3449,$I$2:$I$5001,I3449),1,0))</f>
        <v/>
      </c>
      <c r="M3449" s="16" t="str">
        <f aca="false">IF(B3449="","",IF(E3449="Em ajustes",IF(N3449=_xlfn.MINIFS($N$2:$N$5001,$B$2:$B$5001,B3449,$E$2:$E$5001,"Em ajustes"),1,0),0))</f>
        <v/>
      </c>
      <c r="N3449" s="17" t="str">
        <f aca="false">IF(A3449="","",IF(ISNUMBER(A3449),A3449,IFERROR(DATE(VALUE(MID(A3449,7,4)),VALUE(MID(A3449,4,2)),VALUE(MID(A3449,1,2)))+TIME(VALUE(MID(A3449,12,2)),VALUE(MID(A3449,15,2)),VALUE(MID(A3449,18,2))),"")))</f>
        <v/>
      </c>
    </row>
    <row r="3450" customFormat="false" ht="15" hidden="false" customHeight="false" outlineLevel="0" collapsed="false">
      <c r="I3450" s="15" t="str">
        <f aca="false">IF(N3450="","",INT(N3450))</f>
        <v/>
      </c>
      <c r="J3450" s="16" t="str">
        <f aca="false">IF(B3450="","",IF(N3450=_xlfn.MINIFS($N$2:$N$5001,$B$2:$B$5001,B3450),1,0))</f>
        <v/>
      </c>
      <c r="K3450" s="16" t="str">
        <f aca="false">IF(B3450="","",IF(AND(D3450="Formalização",E3450="Concluído"),IF(COUNTIFS($B$2:$B$5001,B3450,$E$2:$E$5001,"Em ajustes",$N$2:$N$5001,"&lt;"&amp;I3450)&gt;0,1,0),0))</f>
        <v/>
      </c>
      <c r="L3450" s="16" t="str">
        <f aca="false">IF(B3450="","",IF(N3450=_xlfn.MAXIFS($N$2:$N$5001,$B$2:$B$5001,B3450,$I$2:$I$5001,I3450),1,0))</f>
        <v/>
      </c>
      <c r="M3450" s="16" t="str">
        <f aca="false">IF(B3450="","",IF(E3450="Em ajustes",IF(N3450=_xlfn.MINIFS($N$2:$N$5001,$B$2:$B$5001,B3450,$E$2:$E$5001,"Em ajustes"),1,0),0))</f>
        <v/>
      </c>
      <c r="N3450" s="17" t="str">
        <f aca="false">IF(A3450="","",IF(ISNUMBER(A3450),A3450,IFERROR(DATE(VALUE(MID(A3450,7,4)),VALUE(MID(A3450,4,2)),VALUE(MID(A3450,1,2)))+TIME(VALUE(MID(A3450,12,2)),VALUE(MID(A3450,15,2)),VALUE(MID(A3450,18,2))),"")))</f>
        <v/>
      </c>
    </row>
    <row r="3451" customFormat="false" ht="15" hidden="false" customHeight="false" outlineLevel="0" collapsed="false">
      <c r="I3451" s="15" t="str">
        <f aca="false">IF(N3451="","",INT(N3451))</f>
        <v/>
      </c>
      <c r="J3451" s="16" t="str">
        <f aca="false">IF(B3451="","",IF(N3451=_xlfn.MINIFS($N$2:$N$5001,$B$2:$B$5001,B3451),1,0))</f>
        <v/>
      </c>
      <c r="K3451" s="16" t="str">
        <f aca="false">IF(B3451="","",IF(AND(D3451="Formalização",E3451="Concluído"),IF(COUNTIFS($B$2:$B$5001,B3451,$E$2:$E$5001,"Em ajustes",$N$2:$N$5001,"&lt;"&amp;I3451)&gt;0,1,0),0))</f>
        <v/>
      </c>
      <c r="L3451" s="16" t="str">
        <f aca="false">IF(B3451="","",IF(N3451=_xlfn.MAXIFS($N$2:$N$5001,$B$2:$B$5001,B3451,$I$2:$I$5001,I3451),1,0))</f>
        <v/>
      </c>
      <c r="M3451" s="16" t="str">
        <f aca="false">IF(B3451="","",IF(E3451="Em ajustes",IF(N3451=_xlfn.MINIFS($N$2:$N$5001,$B$2:$B$5001,B3451,$E$2:$E$5001,"Em ajustes"),1,0),0))</f>
        <v/>
      </c>
      <c r="N3451" s="17" t="str">
        <f aca="false">IF(A3451="","",IF(ISNUMBER(A3451),A3451,IFERROR(DATE(VALUE(MID(A3451,7,4)),VALUE(MID(A3451,4,2)),VALUE(MID(A3451,1,2)))+TIME(VALUE(MID(A3451,12,2)),VALUE(MID(A3451,15,2)),VALUE(MID(A3451,18,2))),"")))</f>
        <v/>
      </c>
    </row>
    <row r="3452" customFormat="false" ht="15" hidden="false" customHeight="false" outlineLevel="0" collapsed="false">
      <c r="I3452" s="15" t="str">
        <f aca="false">IF(N3452="","",INT(N3452))</f>
        <v/>
      </c>
      <c r="J3452" s="16" t="str">
        <f aca="false">IF(B3452="","",IF(N3452=_xlfn.MINIFS($N$2:$N$5001,$B$2:$B$5001,B3452),1,0))</f>
        <v/>
      </c>
      <c r="K3452" s="16" t="str">
        <f aca="false">IF(B3452="","",IF(AND(D3452="Formalização",E3452="Concluído"),IF(COUNTIFS($B$2:$B$5001,B3452,$E$2:$E$5001,"Em ajustes",$N$2:$N$5001,"&lt;"&amp;I3452)&gt;0,1,0),0))</f>
        <v/>
      </c>
      <c r="L3452" s="16" t="str">
        <f aca="false">IF(B3452="","",IF(N3452=_xlfn.MAXIFS($N$2:$N$5001,$B$2:$B$5001,B3452,$I$2:$I$5001,I3452),1,0))</f>
        <v/>
      </c>
      <c r="M3452" s="16" t="str">
        <f aca="false">IF(B3452="","",IF(E3452="Em ajustes",IF(N3452=_xlfn.MINIFS($N$2:$N$5001,$B$2:$B$5001,B3452,$E$2:$E$5001,"Em ajustes"),1,0),0))</f>
        <v/>
      </c>
      <c r="N3452" s="17" t="str">
        <f aca="false">IF(A3452="","",IF(ISNUMBER(A3452),A3452,IFERROR(DATE(VALUE(MID(A3452,7,4)),VALUE(MID(A3452,4,2)),VALUE(MID(A3452,1,2)))+TIME(VALUE(MID(A3452,12,2)),VALUE(MID(A3452,15,2)),VALUE(MID(A3452,18,2))),"")))</f>
        <v/>
      </c>
    </row>
    <row r="3453" customFormat="false" ht="15" hidden="false" customHeight="false" outlineLevel="0" collapsed="false">
      <c r="I3453" s="15" t="str">
        <f aca="false">IF(N3453="","",INT(N3453))</f>
        <v/>
      </c>
      <c r="J3453" s="16" t="str">
        <f aca="false">IF(B3453="","",IF(N3453=_xlfn.MINIFS($N$2:$N$5001,$B$2:$B$5001,B3453),1,0))</f>
        <v/>
      </c>
      <c r="K3453" s="16" t="str">
        <f aca="false">IF(B3453="","",IF(AND(D3453="Formalização",E3453="Concluído"),IF(COUNTIFS($B$2:$B$5001,B3453,$E$2:$E$5001,"Em ajustes",$N$2:$N$5001,"&lt;"&amp;I3453)&gt;0,1,0),0))</f>
        <v/>
      </c>
      <c r="L3453" s="16" t="str">
        <f aca="false">IF(B3453="","",IF(N3453=_xlfn.MAXIFS($N$2:$N$5001,$B$2:$B$5001,B3453,$I$2:$I$5001,I3453),1,0))</f>
        <v/>
      </c>
      <c r="M3453" s="16" t="str">
        <f aca="false">IF(B3453="","",IF(E3453="Em ajustes",IF(N3453=_xlfn.MINIFS($N$2:$N$5001,$B$2:$B$5001,B3453,$E$2:$E$5001,"Em ajustes"),1,0),0))</f>
        <v/>
      </c>
      <c r="N3453" s="17" t="str">
        <f aca="false">IF(A3453="","",IF(ISNUMBER(A3453),A3453,IFERROR(DATE(VALUE(MID(A3453,7,4)),VALUE(MID(A3453,4,2)),VALUE(MID(A3453,1,2)))+TIME(VALUE(MID(A3453,12,2)),VALUE(MID(A3453,15,2)),VALUE(MID(A3453,18,2))),"")))</f>
        <v/>
      </c>
    </row>
    <row r="3454" customFormat="false" ht="15" hidden="false" customHeight="false" outlineLevel="0" collapsed="false">
      <c r="I3454" s="15" t="str">
        <f aca="false">IF(N3454="","",INT(N3454))</f>
        <v/>
      </c>
      <c r="J3454" s="16" t="str">
        <f aca="false">IF(B3454="","",IF(N3454=_xlfn.MINIFS($N$2:$N$5001,$B$2:$B$5001,B3454),1,0))</f>
        <v/>
      </c>
      <c r="K3454" s="16" t="str">
        <f aca="false">IF(B3454="","",IF(AND(D3454="Formalização",E3454="Concluído"),IF(COUNTIFS($B$2:$B$5001,B3454,$E$2:$E$5001,"Em ajustes",$N$2:$N$5001,"&lt;"&amp;I3454)&gt;0,1,0),0))</f>
        <v/>
      </c>
      <c r="L3454" s="16" t="str">
        <f aca="false">IF(B3454="","",IF(N3454=_xlfn.MAXIFS($N$2:$N$5001,$B$2:$B$5001,B3454,$I$2:$I$5001,I3454),1,0))</f>
        <v/>
      </c>
      <c r="M3454" s="16" t="str">
        <f aca="false">IF(B3454="","",IF(E3454="Em ajustes",IF(N3454=_xlfn.MINIFS($N$2:$N$5001,$B$2:$B$5001,B3454,$E$2:$E$5001,"Em ajustes"),1,0),0))</f>
        <v/>
      </c>
      <c r="N3454" s="17" t="str">
        <f aca="false">IF(A3454="","",IF(ISNUMBER(A3454),A3454,IFERROR(DATE(VALUE(MID(A3454,7,4)),VALUE(MID(A3454,4,2)),VALUE(MID(A3454,1,2)))+TIME(VALUE(MID(A3454,12,2)),VALUE(MID(A3454,15,2)),VALUE(MID(A3454,18,2))),"")))</f>
        <v/>
      </c>
    </row>
    <row r="3455" customFormat="false" ht="15" hidden="false" customHeight="false" outlineLevel="0" collapsed="false">
      <c r="I3455" s="15" t="str">
        <f aca="false">IF(N3455="","",INT(N3455))</f>
        <v/>
      </c>
      <c r="J3455" s="16" t="str">
        <f aca="false">IF(B3455="","",IF(N3455=_xlfn.MINIFS($N$2:$N$5001,$B$2:$B$5001,B3455),1,0))</f>
        <v/>
      </c>
      <c r="K3455" s="16" t="str">
        <f aca="false">IF(B3455="","",IF(AND(D3455="Formalização",E3455="Concluído"),IF(COUNTIFS($B$2:$B$5001,B3455,$E$2:$E$5001,"Em ajustes",$N$2:$N$5001,"&lt;"&amp;I3455)&gt;0,1,0),0))</f>
        <v/>
      </c>
      <c r="L3455" s="16" t="str">
        <f aca="false">IF(B3455="","",IF(N3455=_xlfn.MAXIFS($N$2:$N$5001,$B$2:$B$5001,B3455,$I$2:$I$5001,I3455),1,0))</f>
        <v/>
      </c>
      <c r="M3455" s="16" t="str">
        <f aca="false">IF(B3455="","",IF(E3455="Em ajustes",IF(N3455=_xlfn.MINIFS($N$2:$N$5001,$B$2:$B$5001,B3455,$E$2:$E$5001,"Em ajustes"),1,0),0))</f>
        <v/>
      </c>
      <c r="N3455" s="17" t="str">
        <f aca="false">IF(A3455="","",IF(ISNUMBER(A3455),A3455,IFERROR(DATE(VALUE(MID(A3455,7,4)),VALUE(MID(A3455,4,2)),VALUE(MID(A3455,1,2)))+TIME(VALUE(MID(A3455,12,2)),VALUE(MID(A3455,15,2)),VALUE(MID(A3455,18,2))),"")))</f>
        <v/>
      </c>
    </row>
    <row r="3456" customFormat="false" ht="15" hidden="false" customHeight="false" outlineLevel="0" collapsed="false">
      <c r="I3456" s="15" t="str">
        <f aca="false">IF(N3456="","",INT(N3456))</f>
        <v/>
      </c>
      <c r="J3456" s="16" t="str">
        <f aca="false">IF(B3456="","",IF(N3456=_xlfn.MINIFS($N$2:$N$5001,$B$2:$B$5001,B3456),1,0))</f>
        <v/>
      </c>
      <c r="K3456" s="16" t="str">
        <f aca="false">IF(B3456="","",IF(AND(D3456="Formalização",E3456="Concluído"),IF(COUNTIFS($B$2:$B$5001,B3456,$E$2:$E$5001,"Em ajustes",$N$2:$N$5001,"&lt;"&amp;I3456)&gt;0,1,0),0))</f>
        <v/>
      </c>
      <c r="L3456" s="16" t="str">
        <f aca="false">IF(B3456="","",IF(N3456=_xlfn.MAXIFS($N$2:$N$5001,$B$2:$B$5001,B3456,$I$2:$I$5001,I3456),1,0))</f>
        <v/>
      </c>
      <c r="M3456" s="16" t="str">
        <f aca="false">IF(B3456="","",IF(E3456="Em ajustes",IF(N3456=_xlfn.MINIFS($N$2:$N$5001,$B$2:$B$5001,B3456,$E$2:$E$5001,"Em ajustes"),1,0),0))</f>
        <v/>
      </c>
      <c r="N3456" s="17" t="str">
        <f aca="false">IF(A3456="","",IF(ISNUMBER(A3456),A3456,IFERROR(DATE(VALUE(MID(A3456,7,4)),VALUE(MID(A3456,4,2)),VALUE(MID(A3456,1,2)))+TIME(VALUE(MID(A3456,12,2)),VALUE(MID(A3456,15,2)),VALUE(MID(A3456,18,2))),"")))</f>
        <v/>
      </c>
    </row>
    <row r="3457" customFormat="false" ht="15" hidden="false" customHeight="false" outlineLevel="0" collapsed="false">
      <c r="I3457" s="15" t="str">
        <f aca="false">IF(N3457="","",INT(N3457))</f>
        <v/>
      </c>
      <c r="J3457" s="16" t="str">
        <f aca="false">IF(B3457="","",IF(N3457=_xlfn.MINIFS($N$2:$N$5001,$B$2:$B$5001,B3457),1,0))</f>
        <v/>
      </c>
      <c r="K3457" s="16" t="str">
        <f aca="false">IF(B3457="","",IF(AND(D3457="Formalização",E3457="Concluído"),IF(COUNTIFS($B$2:$B$5001,B3457,$E$2:$E$5001,"Em ajustes",$N$2:$N$5001,"&lt;"&amp;I3457)&gt;0,1,0),0))</f>
        <v/>
      </c>
      <c r="L3457" s="16" t="str">
        <f aca="false">IF(B3457="","",IF(N3457=_xlfn.MAXIFS($N$2:$N$5001,$B$2:$B$5001,B3457,$I$2:$I$5001,I3457),1,0))</f>
        <v/>
      </c>
      <c r="M3457" s="16" t="str">
        <f aca="false">IF(B3457="","",IF(E3457="Em ajustes",IF(N3457=_xlfn.MINIFS($N$2:$N$5001,$B$2:$B$5001,B3457,$E$2:$E$5001,"Em ajustes"),1,0),0))</f>
        <v/>
      </c>
      <c r="N3457" s="17" t="str">
        <f aca="false">IF(A3457="","",IF(ISNUMBER(A3457),A3457,IFERROR(DATE(VALUE(MID(A3457,7,4)),VALUE(MID(A3457,4,2)),VALUE(MID(A3457,1,2)))+TIME(VALUE(MID(A3457,12,2)),VALUE(MID(A3457,15,2)),VALUE(MID(A3457,18,2))),"")))</f>
        <v/>
      </c>
    </row>
    <row r="3458" customFormat="false" ht="15" hidden="false" customHeight="false" outlineLevel="0" collapsed="false">
      <c r="I3458" s="15" t="str">
        <f aca="false">IF(N3458="","",INT(N3458))</f>
        <v/>
      </c>
      <c r="J3458" s="16" t="str">
        <f aca="false">IF(B3458="","",IF(N3458=_xlfn.MINIFS($N$2:$N$5001,$B$2:$B$5001,B3458),1,0))</f>
        <v/>
      </c>
      <c r="K3458" s="16" t="str">
        <f aca="false">IF(B3458="","",IF(AND(D3458="Formalização",E3458="Concluído"),IF(COUNTIFS($B$2:$B$5001,B3458,$E$2:$E$5001,"Em ajustes",$N$2:$N$5001,"&lt;"&amp;I3458)&gt;0,1,0),0))</f>
        <v/>
      </c>
      <c r="L3458" s="16" t="str">
        <f aca="false">IF(B3458="","",IF(N3458=_xlfn.MAXIFS($N$2:$N$5001,$B$2:$B$5001,B3458,$I$2:$I$5001,I3458),1,0))</f>
        <v/>
      </c>
      <c r="M3458" s="16" t="str">
        <f aca="false">IF(B3458="","",IF(E3458="Em ajustes",IF(N3458=_xlfn.MINIFS($N$2:$N$5001,$B$2:$B$5001,B3458,$E$2:$E$5001,"Em ajustes"),1,0),0))</f>
        <v/>
      </c>
      <c r="N3458" s="17" t="str">
        <f aca="false">IF(A3458="","",IF(ISNUMBER(A3458),A3458,IFERROR(DATE(VALUE(MID(A3458,7,4)),VALUE(MID(A3458,4,2)),VALUE(MID(A3458,1,2)))+TIME(VALUE(MID(A3458,12,2)),VALUE(MID(A3458,15,2)),VALUE(MID(A3458,18,2))),"")))</f>
        <v/>
      </c>
    </row>
    <row r="3459" customFormat="false" ht="15" hidden="false" customHeight="false" outlineLevel="0" collapsed="false">
      <c r="I3459" s="15" t="str">
        <f aca="false">IF(N3459="","",INT(N3459))</f>
        <v/>
      </c>
      <c r="J3459" s="16" t="str">
        <f aca="false">IF(B3459="","",IF(N3459=_xlfn.MINIFS($N$2:$N$5001,$B$2:$B$5001,B3459),1,0))</f>
        <v/>
      </c>
      <c r="K3459" s="16" t="str">
        <f aca="false">IF(B3459="","",IF(AND(D3459="Formalização",E3459="Concluído"),IF(COUNTIFS($B$2:$B$5001,B3459,$E$2:$E$5001,"Em ajustes",$N$2:$N$5001,"&lt;"&amp;I3459)&gt;0,1,0),0))</f>
        <v/>
      </c>
      <c r="L3459" s="16" t="str">
        <f aca="false">IF(B3459="","",IF(N3459=_xlfn.MAXIFS($N$2:$N$5001,$B$2:$B$5001,B3459,$I$2:$I$5001,I3459),1,0))</f>
        <v/>
      </c>
      <c r="M3459" s="16" t="str">
        <f aca="false">IF(B3459="","",IF(E3459="Em ajustes",IF(N3459=_xlfn.MINIFS($N$2:$N$5001,$B$2:$B$5001,B3459,$E$2:$E$5001,"Em ajustes"),1,0),0))</f>
        <v/>
      </c>
      <c r="N3459" s="17" t="str">
        <f aca="false">IF(A3459="","",IF(ISNUMBER(A3459),A3459,IFERROR(DATE(VALUE(MID(A3459,7,4)),VALUE(MID(A3459,4,2)),VALUE(MID(A3459,1,2)))+TIME(VALUE(MID(A3459,12,2)),VALUE(MID(A3459,15,2)),VALUE(MID(A3459,18,2))),"")))</f>
        <v/>
      </c>
    </row>
    <row r="3460" customFormat="false" ht="15" hidden="false" customHeight="false" outlineLevel="0" collapsed="false">
      <c r="I3460" s="15" t="str">
        <f aca="false">IF(N3460="","",INT(N3460))</f>
        <v/>
      </c>
      <c r="J3460" s="16" t="str">
        <f aca="false">IF(B3460="","",IF(N3460=_xlfn.MINIFS($N$2:$N$5001,$B$2:$B$5001,B3460),1,0))</f>
        <v/>
      </c>
      <c r="K3460" s="16" t="str">
        <f aca="false">IF(B3460="","",IF(AND(D3460="Formalização",E3460="Concluído"),IF(COUNTIFS($B$2:$B$5001,B3460,$E$2:$E$5001,"Em ajustes",$N$2:$N$5001,"&lt;"&amp;I3460)&gt;0,1,0),0))</f>
        <v/>
      </c>
      <c r="L3460" s="16" t="str">
        <f aca="false">IF(B3460="","",IF(N3460=_xlfn.MAXIFS($N$2:$N$5001,$B$2:$B$5001,B3460,$I$2:$I$5001,I3460),1,0))</f>
        <v/>
      </c>
      <c r="M3460" s="16" t="str">
        <f aca="false">IF(B3460="","",IF(E3460="Em ajustes",IF(N3460=_xlfn.MINIFS($N$2:$N$5001,$B$2:$B$5001,B3460,$E$2:$E$5001,"Em ajustes"),1,0),0))</f>
        <v/>
      </c>
      <c r="N3460" s="17" t="str">
        <f aca="false">IF(A3460="","",IF(ISNUMBER(A3460),A3460,IFERROR(DATE(VALUE(MID(A3460,7,4)),VALUE(MID(A3460,4,2)),VALUE(MID(A3460,1,2)))+TIME(VALUE(MID(A3460,12,2)),VALUE(MID(A3460,15,2)),VALUE(MID(A3460,18,2))),"")))</f>
        <v/>
      </c>
    </row>
    <row r="3461" customFormat="false" ht="15" hidden="false" customHeight="false" outlineLevel="0" collapsed="false">
      <c r="I3461" s="15" t="str">
        <f aca="false">IF(N3461="","",INT(N3461))</f>
        <v/>
      </c>
      <c r="J3461" s="16" t="str">
        <f aca="false">IF(B3461="","",IF(N3461=_xlfn.MINIFS($N$2:$N$5001,$B$2:$B$5001,B3461),1,0))</f>
        <v/>
      </c>
      <c r="K3461" s="16" t="str">
        <f aca="false">IF(B3461="","",IF(AND(D3461="Formalização",E3461="Concluído"),IF(COUNTIFS($B$2:$B$5001,B3461,$E$2:$E$5001,"Em ajustes",$N$2:$N$5001,"&lt;"&amp;I3461)&gt;0,1,0),0))</f>
        <v/>
      </c>
      <c r="L3461" s="16" t="str">
        <f aca="false">IF(B3461="","",IF(N3461=_xlfn.MAXIFS($N$2:$N$5001,$B$2:$B$5001,B3461,$I$2:$I$5001,I3461),1,0))</f>
        <v/>
      </c>
      <c r="M3461" s="16" t="str">
        <f aca="false">IF(B3461="","",IF(E3461="Em ajustes",IF(N3461=_xlfn.MINIFS($N$2:$N$5001,$B$2:$B$5001,B3461,$E$2:$E$5001,"Em ajustes"),1,0),0))</f>
        <v/>
      </c>
      <c r="N3461" s="17" t="str">
        <f aca="false">IF(A3461="","",IF(ISNUMBER(A3461),A3461,IFERROR(DATE(VALUE(MID(A3461,7,4)),VALUE(MID(A3461,4,2)),VALUE(MID(A3461,1,2)))+TIME(VALUE(MID(A3461,12,2)),VALUE(MID(A3461,15,2)),VALUE(MID(A3461,18,2))),"")))</f>
        <v/>
      </c>
    </row>
    <row r="3462" customFormat="false" ht="15" hidden="false" customHeight="false" outlineLevel="0" collapsed="false">
      <c r="I3462" s="15" t="str">
        <f aca="false">IF(N3462="","",INT(N3462))</f>
        <v/>
      </c>
      <c r="J3462" s="16" t="str">
        <f aca="false">IF(B3462="","",IF(N3462=_xlfn.MINIFS($N$2:$N$5001,$B$2:$B$5001,B3462),1,0))</f>
        <v/>
      </c>
      <c r="K3462" s="16" t="str">
        <f aca="false">IF(B3462="","",IF(AND(D3462="Formalização",E3462="Concluído"),IF(COUNTIFS($B$2:$B$5001,B3462,$E$2:$E$5001,"Em ajustes",$N$2:$N$5001,"&lt;"&amp;I3462)&gt;0,1,0),0))</f>
        <v/>
      </c>
      <c r="L3462" s="16" t="str">
        <f aca="false">IF(B3462="","",IF(N3462=_xlfn.MAXIFS($N$2:$N$5001,$B$2:$B$5001,B3462,$I$2:$I$5001,I3462),1,0))</f>
        <v/>
      </c>
      <c r="M3462" s="16" t="str">
        <f aca="false">IF(B3462="","",IF(E3462="Em ajustes",IF(N3462=_xlfn.MINIFS($N$2:$N$5001,$B$2:$B$5001,B3462,$E$2:$E$5001,"Em ajustes"),1,0),0))</f>
        <v/>
      </c>
      <c r="N3462" s="17" t="str">
        <f aca="false">IF(A3462="","",IF(ISNUMBER(A3462),A3462,IFERROR(DATE(VALUE(MID(A3462,7,4)),VALUE(MID(A3462,4,2)),VALUE(MID(A3462,1,2)))+TIME(VALUE(MID(A3462,12,2)),VALUE(MID(A3462,15,2)),VALUE(MID(A3462,18,2))),"")))</f>
        <v/>
      </c>
    </row>
    <row r="3463" customFormat="false" ht="15" hidden="false" customHeight="false" outlineLevel="0" collapsed="false">
      <c r="I3463" s="15" t="str">
        <f aca="false">IF(N3463="","",INT(N3463))</f>
        <v/>
      </c>
      <c r="J3463" s="16" t="str">
        <f aca="false">IF(B3463="","",IF(N3463=_xlfn.MINIFS($N$2:$N$5001,$B$2:$B$5001,B3463),1,0))</f>
        <v/>
      </c>
      <c r="K3463" s="16" t="str">
        <f aca="false">IF(B3463="","",IF(AND(D3463="Formalização",E3463="Concluído"),IF(COUNTIFS($B$2:$B$5001,B3463,$E$2:$E$5001,"Em ajustes",$N$2:$N$5001,"&lt;"&amp;I3463)&gt;0,1,0),0))</f>
        <v/>
      </c>
      <c r="L3463" s="16" t="str">
        <f aca="false">IF(B3463="","",IF(N3463=_xlfn.MAXIFS($N$2:$N$5001,$B$2:$B$5001,B3463,$I$2:$I$5001,I3463),1,0))</f>
        <v/>
      </c>
      <c r="M3463" s="16" t="str">
        <f aca="false">IF(B3463="","",IF(E3463="Em ajustes",IF(N3463=_xlfn.MINIFS($N$2:$N$5001,$B$2:$B$5001,B3463,$E$2:$E$5001,"Em ajustes"),1,0),0))</f>
        <v/>
      </c>
      <c r="N3463" s="17" t="str">
        <f aca="false">IF(A3463="","",IF(ISNUMBER(A3463),A3463,IFERROR(DATE(VALUE(MID(A3463,7,4)),VALUE(MID(A3463,4,2)),VALUE(MID(A3463,1,2)))+TIME(VALUE(MID(A3463,12,2)),VALUE(MID(A3463,15,2)),VALUE(MID(A3463,18,2))),"")))</f>
        <v/>
      </c>
    </row>
    <row r="3464" customFormat="false" ht="15" hidden="false" customHeight="false" outlineLevel="0" collapsed="false">
      <c r="I3464" s="15" t="str">
        <f aca="false">IF(N3464="","",INT(N3464))</f>
        <v/>
      </c>
      <c r="J3464" s="16" t="str">
        <f aca="false">IF(B3464="","",IF(N3464=_xlfn.MINIFS($N$2:$N$5001,$B$2:$B$5001,B3464),1,0))</f>
        <v/>
      </c>
      <c r="K3464" s="16" t="str">
        <f aca="false">IF(B3464="","",IF(AND(D3464="Formalização",E3464="Concluído"),IF(COUNTIFS($B$2:$B$5001,B3464,$E$2:$E$5001,"Em ajustes",$N$2:$N$5001,"&lt;"&amp;I3464)&gt;0,1,0),0))</f>
        <v/>
      </c>
      <c r="L3464" s="16" t="str">
        <f aca="false">IF(B3464="","",IF(N3464=_xlfn.MAXIFS($N$2:$N$5001,$B$2:$B$5001,B3464,$I$2:$I$5001,I3464),1,0))</f>
        <v/>
      </c>
      <c r="M3464" s="16" t="str">
        <f aca="false">IF(B3464="","",IF(E3464="Em ajustes",IF(N3464=_xlfn.MINIFS($N$2:$N$5001,$B$2:$B$5001,B3464,$E$2:$E$5001,"Em ajustes"),1,0),0))</f>
        <v/>
      </c>
      <c r="N3464" s="17" t="str">
        <f aca="false">IF(A3464="","",IF(ISNUMBER(A3464),A3464,IFERROR(DATE(VALUE(MID(A3464,7,4)),VALUE(MID(A3464,4,2)),VALUE(MID(A3464,1,2)))+TIME(VALUE(MID(A3464,12,2)),VALUE(MID(A3464,15,2)),VALUE(MID(A3464,18,2))),"")))</f>
        <v/>
      </c>
    </row>
    <row r="3465" customFormat="false" ht="15" hidden="false" customHeight="false" outlineLevel="0" collapsed="false">
      <c r="I3465" s="15" t="str">
        <f aca="false">IF(N3465="","",INT(N3465))</f>
        <v/>
      </c>
      <c r="J3465" s="16" t="str">
        <f aca="false">IF(B3465="","",IF(N3465=_xlfn.MINIFS($N$2:$N$5001,$B$2:$B$5001,B3465),1,0))</f>
        <v/>
      </c>
      <c r="K3465" s="16" t="str">
        <f aca="false">IF(B3465="","",IF(AND(D3465="Formalização",E3465="Concluído"),IF(COUNTIFS($B$2:$B$5001,B3465,$E$2:$E$5001,"Em ajustes",$N$2:$N$5001,"&lt;"&amp;I3465)&gt;0,1,0),0))</f>
        <v/>
      </c>
      <c r="L3465" s="16" t="str">
        <f aca="false">IF(B3465="","",IF(N3465=_xlfn.MAXIFS($N$2:$N$5001,$B$2:$B$5001,B3465,$I$2:$I$5001,I3465),1,0))</f>
        <v/>
      </c>
      <c r="M3465" s="16" t="str">
        <f aca="false">IF(B3465="","",IF(E3465="Em ajustes",IF(N3465=_xlfn.MINIFS($N$2:$N$5001,$B$2:$B$5001,B3465,$E$2:$E$5001,"Em ajustes"),1,0),0))</f>
        <v/>
      </c>
      <c r="N3465" s="17" t="str">
        <f aca="false">IF(A3465="","",IF(ISNUMBER(A3465),A3465,IFERROR(DATE(VALUE(MID(A3465,7,4)),VALUE(MID(A3465,4,2)),VALUE(MID(A3465,1,2)))+TIME(VALUE(MID(A3465,12,2)),VALUE(MID(A3465,15,2)),VALUE(MID(A3465,18,2))),"")))</f>
        <v/>
      </c>
    </row>
    <row r="3466" customFormat="false" ht="15" hidden="false" customHeight="false" outlineLevel="0" collapsed="false">
      <c r="I3466" s="15" t="str">
        <f aca="false">IF(N3466="","",INT(N3466))</f>
        <v/>
      </c>
      <c r="J3466" s="16" t="str">
        <f aca="false">IF(B3466="","",IF(N3466=_xlfn.MINIFS($N$2:$N$5001,$B$2:$B$5001,B3466),1,0))</f>
        <v/>
      </c>
      <c r="K3466" s="16" t="str">
        <f aca="false">IF(B3466="","",IF(AND(D3466="Formalização",E3466="Concluído"),IF(COUNTIFS($B$2:$B$5001,B3466,$E$2:$E$5001,"Em ajustes",$N$2:$N$5001,"&lt;"&amp;I3466)&gt;0,1,0),0))</f>
        <v/>
      </c>
      <c r="L3466" s="16" t="str">
        <f aca="false">IF(B3466="","",IF(N3466=_xlfn.MAXIFS($N$2:$N$5001,$B$2:$B$5001,B3466,$I$2:$I$5001,I3466),1,0))</f>
        <v/>
      </c>
      <c r="M3466" s="16" t="str">
        <f aca="false">IF(B3466="","",IF(E3466="Em ajustes",IF(N3466=_xlfn.MINIFS($N$2:$N$5001,$B$2:$B$5001,B3466,$E$2:$E$5001,"Em ajustes"),1,0),0))</f>
        <v/>
      </c>
      <c r="N3466" s="17" t="str">
        <f aca="false">IF(A3466="","",IF(ISNUMBER(A3466),A3466,IFERROR(DATE(VALUE(MID(A3466,7,4)),VALUE(MID(A3466,4,2)),VALUE(MID(A3466,1,2)))+TIME(VALUE(MID(A3466,12,2)),VALUE(MID(A3466,15,2)),VALUE(MID(A3466,18,2))),"")))</f>
        <v/>
      </c>
    </row>
    <row r="3467" customFormat="false" ht="15" hidden="false" customHeight="false" outlineLevel="0" collapsed="false">
      <c r="I3467" s="15" t="str">
        <f aca="false">IF(N3467="","",INT(N3467))</f>
        <v/>
      </c>
      <c r="J3467" s="16" t="str">
        <f aca="false">IF(B3467="","",IF(N3467=_xlfn.MINIFS($N$2:$N$5001,$B$2:$B$5001,B3467),1,0))</f>
        <v/>
      </c>
      <c r="K3467" s="16" t="str">
        <f aca="false">IF(B3467="","",IF(AND(D3467="Formalização",E3467="Concluído"),IF(COUNTIFS($B$2:$B$5001,B3467,$E$2:$E$5001,"Em ajustes",$N$2:$N$5001,"&lt;"&amp;I3467)&gt;0,1,0),0))</f>
        <v/>
      </c>
      <c r="L3467" s="16" t="str">
        <f aca="false">IF(B3467="","",IF(N3467=_xlfn.MAXIFS($N$2:$N$5001,$B$2:$B$5001,B3467,$I$2:$I$5001,I3467),1,0))</f>
        <v/>
      </c>
      <c r="M3467" s="16" t="str">
        <f aca="false">IF(B3467="","",IF(E3467="Em ajustes",IF(N3467=_xlfn.MINIFS($N$2:$N$5001,$B$2:$B$5001,B3467,$E$2:$E$5001,"Em ajustes"),1,0),0))</f>
        <v/>
      </c>
      <c r="N3467" s="17" t="str">
        <f aca="false">IF(A3467="","",IF(ISNUMBER(A3467),A3467,IFERROR(DATE(VALUE(MID(A3467,7,4)),VALUE(MID(A3467,4,2)),VALUE(MID(A3467,1,2)))+TIME(VALUE(MID(A3467,12,2)),VALUE(MID(A3467,15,2)),VALUE(MID(A3467,18,2))),"")))</f>
        <v/>
      </c>
    </row>
    <row r="3468" customFormat="false" ht="15" hidden="false" customHeight="false" outlineLevel="0" collapsed="false">
      <c r="I3468" s="15" t="str">
        <f aca="false">IF(N3468="","",INT(N3468))</f>
        <v/>
      </c>
      <c r="J3468" s="16" t="str">
        <f aca="false">IF(B3468="","",IF(N3468=_xlfn.MINIFS($N$2:$N$5001,$B$2:$B$5001,B3468),1,0))</f>
        <v/>
      </c>
      <c r="K3468" s="16" t="str">
        <f aca="false">IF(B3468="","",IF(AND(D3468="Formalização",E3468="Concluído"),IF(COUNTIFS($B$2:$B$5001,B3468,$E$2:$E$5001,"Em ajustes",$N$2:$N$5001,"&lt;"&amp;I3468)&gt;0,1,0),0))</f>
        <v/>
      </c>
      <c r="L3468" s="16" t="str">
        <f aca="false">IF(B3468="","",IF(N3468=_xlfn.MAXIFS($N$2:$N$5001,$B$2:$B$5001,B3468,$I$2:$I$5001,I3468),1,0))</f>
        <v/>
      </c>
      <c r="M3468" s="16" t="str">
        <f aca="false">IF(B3468="","",IF(E3468="Em ajustes",IF(N3468=_xlfn.MINIFS($N$2:$N$5001,$B$2:$B$5001,B3468,$E$2:$E$5001,"Em ajustes"),1,0),0))</f>
        <v/>
      </c>
      <c r="N3468" s="17" t="str">
        <f aca="false">IF(A3468="","",IF(ISNUMBER(A3468),A3468,IFERROR(DATE(VALUE(MID(A3468,7,4)),VALUE(MID(A3468,4,2)),VALUE(MID(A3468,1,2)))+TIME(VALUE(MID(A3468,12,2)),VALUE(MID(A3468,15,2)),VALUE(MID(A3468,18,2))),"")))</f>
        <v/>
      </c>
    </row>
    <row r="3469" customFormat="false" ht="15" hidden="false" customHeight="false" outlineLevel="0" collapsed="false">
      <c r="I3469" s="15" t="str">
        <f aca="false">IF(N3469="","",INT(N3469))</f>
        <v/>
      </c>
      <c r="J3469" s="16" t="str">
        <f aca="false">IF(B3469="","",IF(N3469=_xlfn.MINIFS($N$2:$N$5001,$B$2:$B$5001,B3469),1,0))</f>
        <v/>
      </c>
      <c r="K3469" s="16" t="str">
        <f aca="false">IF(B3469="","",IF(AND(D3469="Formalização",E3469="Concluído"),IF(COUNTIFS($B$2:$B$5001,B3469,$E$2:$E$5001,"Em ajustes",$N$2:$N$5001,"&lt;"&amp;I3469)&gt;0,1,0),0))</f>
        <v/>
      </c>
      <c r="L3469" s="16" t="str">
        <f aca="false">IF(B3469="","",IF(N3469=_xlfn.MAXIFS($N$2:$N$5001,$B$2:$B$5001,B3469,$I$2:$I$5001,I3469),1,0))</f>
        <v/>
      </c>
      <c r="M3469" s="16" t="str">
        <f aca="false">IF(B3469="","",IF(E3469="Em ajustes",IF(N3469=_xlfn.MINIFS($N$2:$N$5001,$B$2:$B$5001,B3469,$E$2:$E$5001,"Em ajustes"),1,0),0))</f>
        <v/>
      </c>
      <c r="N3469" s="17" t="str">
        <f aca="false">IF(A3469="","",IF(ISNUMBER(A3469),A3469,IFERROR(DATE(VALUE(MID(A3469,7,4)),VALUE(MID(A3469,4,2)),VALUE(MID(A3469,1,2)))+TIME(VALUE(MID(A3469,12,2)),VALUE(MID(A3469,15,2)),VALUE(MID(A3469,18,2))),"")))</f>
        <v/>
      </c>
    </row>
    <row r="3470" customFormat="false" ht="15" hidden="false" customHeight="false" outlineLevel="0" collapsed="false">
      <c r="I3470" s="15" t="str">
        <f aca="false">IF(N3470="","",INT(N3470))</f>
        <v/>
      </c>
      <c r="J3470" s="16" t="str">
        <f aca="false">IF(B3470="","",IF(N3470=_xlfn.MINIFS($N$2:$N$5001,$B$2:$B$5001,B3470),1,0))</f>
        <v/>
      </c>
      <c r="K3470" s="16" t="str">
        <f aca="false">IF(B3470="","",IF(AND(D3470="Formalização",E3470="Concluído"),IF(COUNTIFS($B$2:$B$5001,B3470,$E$2:$E$5001,"Em ajustes",$N$2:$N$5001,"&lt;"&amp;I3470)&gt;0,1,0),0))</f>
        <v/>
      </c>
      <c r="L3470" s="16" t="str">
        <f aca="false">IF(B3470="","",IF(N3470=_xlfn.MAXIFS($N$2:$N$5001,$B$2:$B$5001,B3470,$I$2:$I$5001,I3470),1,0))</f>
        <v/>
      </c>
      <c r="M3470" s="16" t="str">
        <f aca="false">IF(B3470="","",IF(E3470="Em ajustes",IF(N3470=_xlfn.MINIFS($N$2:$N$5001,$B$2:$B$5001,B3470,$E$2:$E$5001,"Em ajustes"),1,0),0))</f>
        <v/>
      </c>
      <c r="N3470" s="17" t="str">
        <f aca="false">IF(A3470="","",IF(ISNUMBER(A3470),A3470,IFERROR(DATE(VALUE(MID(A3470,7,4)),VALUE(MID(A3470,4,2)),VALUE(MID(A3470,1,2)))+TIME(VALUE(MID(A3470,12,2)),VALUE(MID(A3470,15,2)),VALUE(MID(A3470,18,2))),"")))</f>
        <v/>
      </c>
    </row>
    <row r="3471" customFormat="false" ht="15" hidden="false" customHeight="false" outlineLevel="0" collapsed="false">
      <c r="I3471" s="15" t="str">
        <f aca="false">IF(N3471="","",INT(N3471))</f>
        <v/>
      </c>
      <c r="J3471" s="16" t="str">
        <f aca="false">IF(B3471="","",IF(N3471=_xlfn.MINIFS($N$2:$N$5001,$B$2:$B$5001,B3471),1,0))</f>
        <v/>
      </c>
      <c r="K3471" s="16" t="str">
        <f aca="false">IF(B3471="","",IF(AND(D3471="Formalização",E3471="Concluído"),IF(COUNTIFS($B$2:$B$5001,B3471,$E$2:$E$5001,"Em ajustes",$N$2:$N$5001,"&lt;"&amp;I3471)&gt;0,1,0),0))</f>
        <v/>
      </c>
      <c r="L3471" s="16" t="str">
        <f aca="false">IF(B3471="","",IF(N3471=_xlfn.MAXIFS($N$2:$N$5001,$B$2:$B$5001,B3471,$I$2:$I$5001,I3471),1,0))</f>
        <v/>
      </c>
      <c r="M3471" s="16" t="str">
        <f aca="false">IF(B3471="","",IF(E3471="Em ajustes",IF(N3471=_xlfn.MINIFS($N$2:$N$5001,$B$2:$B$5001,B3471,$E$2:$E$5001,"Em ajustes"),1,0),0))</f>
        <v/>
      </c>
      <c r="N3471" s="17" t="str">
        <f aca="false">IF(A3471="","",IF(ISNUMBER(A3471),A3471,IFERROR(DATE(VALUE(MID(A3471,7,4)),VALUE(MID(A3471,4,2)),VALUE(MID(A3471,1,2)))+TIME(VALUE(MID(A3471,12,2)),VALUE(MID(A3471,15,2)),VALUE(MID(A3471,18,2))),"")))</f>
        <v/>
      </c>
    </row>
    <row r="3472" customFormat="false" ht="15" hidden="false" customHeight="false" outlineLevel="0" collapsed="false">
      <c r="I3472" s="15" t="str">
        <f aca="false">IF(N3472="","",INT(N3472))</f>
        <v/>
      </c>
      <c r="J3472" s="16" t="str">
        <f aca="false">IF(B3472="","",IF(N3472=_xlfn.MINIFS($N$2:$N$5001,$B$2:$B$5001,B3472),1,0))</f>
        <v/>
      </c>
      <c r="K3472" s="16" t="str">
        <f aca="false">IF(B3472="","",IF(AND(D3472="Formalização",E3472="Concluído"),IF(COUNTIFS($B$2:$B$5001,B3472,$E$2:$E$5001,"Em ajustes",$N$2:$N$5001,"&lt;"&amp;I3472)&gt;0,1,0),0))</f>
        <v/>
      </c>
      <c r="L3472" s="16" t="str">
        <f aca="false">IF(B3472="","",IF(N3472=_xlfn.MAXIFS($N$2:$N$5001,$B$2:$B$5001,B3472,$I$2:$I$5001,I3472),1,0))</f>
        <v/>
      </c>
      <c r="M3472" s="16" t="str">
        <f aca="false">IF(B3472="","",IF(E3472="Em ajustes",IF(N3472=_xlfn.MINIFS($N$2:$N$5001,$B$2:$B$5001,B3472,$E$2:$E$5001,"Em ajustes"),1,0),0))</f>
        <v/>
      </c>
      <c r="N3472" s="17" t="str">
        <f aca="false">IF(A3472="","",IF(ISNUMBER(A3472),A3472,IFERROR(DATE(VALUE(MID(A3472,7,4)),VALUE(MID(A3472,4,2)),VALUE(MID(A3472,1,2)))+TIME(VALUE(MID(A3472,12,2)),VALUE(MID(A3472,15,2)),VALUE(MID(A3472,18,2))),"")))</f>
        <v/>
      </c>
    </row>
    <row r="3473" customFormat="false" ht="15" hidden="false" customHeight="false" outlineLevel="0" collapsed="false">
      <c r="I3473" s="15" t="str">
        <f aca="false">IF(N3473="","",INT(N3473))</f>
        <v/>
      </c>
      <c r="J3473" s="16" t="str">
        <f aca="false">IF(B3473="","",IF(N3473=_xlfn.MINIFS($N$2:$N$5001,$B$2:$B$5001,B3473),1,0))</f>
        <v/>
      </c>
      <c r="K3473" s="16" t="str">
        <f aca="false">IF(B3473="","",IF(AND(D3473="Formalização",E3473="Concluído"),IF(COUNTIFS($B$2:$B$5001,B3473,$E$2:$E$5001,"Em ajustes",$N$2:$N$5001,"&lt;"&amp;I3473)&gt;0,1,0),0))</f>
        <v/>
      </c>
      <c r="L3473" s="16" t="str">
        <f aca="false">IF(B3473="","",IF(N3473=_xlfn.MAXIFS($N$2:$N$5001,$B$2:$B$5001,B3473,$I$2:$I$5001,I3473),1,0))</f>
        <v/>
      </c>
      <c r="M3473" s="16" t="str">
        <f aca="false">IF(B3473="","",IF(E3473="Em ajustes",IF(N3473=_xlfn.MINIFS($N$2:$N$5001,$B$2:$B$5001,B3473,$E$2:$E$5001,"Em ajustes"),1,0),0))</f>
        <v/>
      </c>
      <c r="N3473" s="17" t="str">
        <f aca="false">IF(A3473="","",IF(ISNUMBER(A3473),A3473,IFERROR(DATE(VALUE(MID(A3473,7,4)),VALUE(MID(A3473,4,2)),VALUE(MID(A3473,1,2)))+TIME(VALUE(MID(A3473,12,2)),VALUE(MID(A3473,15,2)),VALUE(MID(A3473,18,2))),"")))</f>
        <v/>
      </c>
    </row>
    <row r="3474" customFormat="false" ht="15" hidden="false" customHeight="false" outlineLevel="0" collapsed="false">
      <c r="I3474" s="15" t="str">
        <f aca="false">IF(N3474="","",INT(N3474))</f>
        <v/>
      </c>
      <c r="J3474" s="16" t="str">
        <f aca="false">IF(B3474="","",IF(N3474=_xlfn.MINIFS($N$2:$N$5001,$B$2:$B$5001,B3474),1,0))</f>
        <v/>
      </c>
      <c r="K3474" s="16" t="str">
        <f aca="false">IF(B3474="","",IF(AND(D3474="Formalização",E3474="Concluído"),IF(COUNTIFS($B$2:$B$5001,B3474,$E$2:$E$5001,"Em ajustes",$N$2:$N$5001,"&lt;"&amp;I3474)&gt;0,1,0),0))</f>
        <v/>
      </c>
      <c r="L3474" s="16" t="str">
        <f aca="false">IF(B3474="","",IF(N3474=_xlfn.MAXIFS($N$2:$N$5001,$B$2:$B$5001,B3474,$I$2:$I$5001,I3474),1,0))</f>
        <v/>
      </c>
      <c r="M3474" s="16" t="str">
        <f aca="false">IF(B3474="","",IF(E3474="Em ajustes",IF(N3474=_xlfn.MINIFS($N$2:$N$5001,$B$2:$B$5001,B3474,$E$2:$E$5001,"Em ajustes"),1,0),0))</f>
        <v/>
      </c>
      <c r="N3474" s="17" t="str">
        <f aca="false">IF(A3474="","",IF(ISNUMBER(A3474),A3474,IFERROR(DATE(VALUE(MID(A3474,7,4)),VALUE(MID(A3474,4,2)),VALUE(MID(A3474,1,2)))+TIME(VALUE(MID(A3474,12,2)),VALUE(MID(A3474,15,2)),VALUE(MID(A3474,18,2))),"")))</f>
        <v/>
      </c>
    </row>
    <row r="3475" customFormat="false" ht="15" hidden="false" customHeight="false" outlineLevel="0" collapsed="false">
      <c r="I3475" s="15" t="str">
        <f aca="false">IF(N3475="","",INT(N3475))</f>
        <v/>
      </c>
      <c r="J3475" s="16" t="str">
        <f aca="false">IF(B3475="","",IF(N3475=_xlfn.MINIFS($N$2:$N$5001,$B$2:$B$5001,B3475),1,0))</f>
        <v/>
      </c>
      <c r="K3475" s="16" t="str">
        <f aca="false">IF(B3475="","",IF(AND(D3475="Formalização",E3475="Concluído"),IF(COUNTIFS($B$2:$B$5001,B3475,$E$2:$E$5001,"Em ajustes",$N$2:$N$5001,"&lt;"&amp;I3475)&gt;0,1,0),0))</f>
        <v/>
      </c>
      <c r="L3475" s="16" t="str">
        <f aca="false">IF(B3475="","",IF(N3475=_xlfn.MAXIFS($N$2:$N$5001,$B$2:$B$5001,B3475,$I$2:$I$5001,I3475),1,0))</f>
        <v/>
      </c>
      <c r="M3475" s="16" t="str">
        <f aca="false">IF(B3475="","",IF(E3475="Em ajustes",IF(N3475=_xlfn.MINIFS($N$2:$N$5001,$B$2:$B$5001,B3475,$E$2:$E$5001,"Em ajustes"),1,0),0))</f>
        <v/>
      </c>
      <c r="N3475" s="17" t="str">
        <f aca="false">IF(A3475="","",IF(ISNUMBER(A3475),A3475,IFERROR(DATE(VALUE(MID(A3475,7,4)),VALUE(MID(A3475,4,2)),VALUE(MID(A3475,1,2)))+TIME(VALUE(MID(A3475,12,2)),VALUE(MID(A3475,15,2)),VALUE(MID(A3475,18,2))),"")))</f>
        <v/>
      </c>
    </row>
    <row r="3476" customFormat="false" ht="15" hidden="false" customHeight="false" outlineLevel="0" collapsed="false">
      <c r="I3476" s="15" t="str">
        <f aca="false">IF(N3476="","",INT(N3476))</f>
        <v/>
      </c>
      <c r="J3476" s="16" t="str">
        <f aca="false">IF(B3476="","",IF(N3476=_xlfn.MINIFS($N$2:$N$5001,$B$2:$B$5001,B3476),1,0))</f>
        <v/>
      </c>
      <c r="K3476" s="16" t="str">
        <f aca="false">IF(B3476="","",IF(AND(D3476="Formalização",E3476="Concluído"),IF(COUNTIFS($B$2:$B$5001,B3476,$E$2:$E$5001,"Em ajustes",$N$2:$N$5001,"&lt;"&amp;I3476)&gt;0,1,0),0))</f>
        <v/>
      </c>
      <c r="L3476" s="16" t="str">
        <f aca="false">IF(B3476="","",IF(N3476=_xlfn.MAXIFS($N$2:$N$5001,$B$2:$B$5001,B3476,$I$2:$I$5001,I3476),1,0))</f>
        <v/>
      </c>
      <c r="M3476" s="16" t="str">
        <f aca="false">IF(B3476="","",IF(E3476="Em ajustes",IF(N3476=_xlfn.MINIFS($N$2:$N$5001,$B$2:$B$5001,B3476,$E$2:$E$5001,"Em ajustes"),1,0),0))</f>
        <v/>
      </c>
      <c r="N3476" s="17" t="str">
        <f aca="false">IF(A3476="","",IF(ISNUMBER(A3476),A3476,IFERROR(DATE(VALUE(MID(A3476,7,4)),VALUE(MID(A3476,4,2)),VALUE(MID(A3476,1,2)))+TIME(VALUE(MID(A3476,12,2)),VALUE(MID(A3476,15,2)),VALUE(MID(A3476,18,2))),"")))</f>
        <v/>
      </c>
    </row>
    <row r="3477" customFormat="false" ht="15" hidden="false" customHeight="false" outlineLevel="0" collapsed="false">
      <c r="I3477" s="15" t="str">
        <f aca="false">IF(N3477="","",INT(N3477))</f>
        <v/>
      </c>
      <c r="J3477" s="16" t="str">
        <f aca="false">IF(B3477="","",IF(N3477=_xlfn.MINIFS($N$2:$N$5001,$B$2:$B$5001,B3477),1,0))</f>
        <v/>
      </c>
      <c r="K3477" s="16" t="str">
        <f aca="false">IF(B3477="","",IF(AND(D3477="Formalização",E3477="Concluído"),IF(COUNTIFS($B$2:$B$5001,B3477,$E$2:$E$5001,"Em ajustes",$N$2:$N$5001,"&lt;"&amp;I3477)&gt;0,1,0),0))</f>
        <v/>
      </c>
      <c r="L3477" s="16" t="str">
        <f aca="false">IF(B3477="","",IF(N3477=_xlfn.MAXIFS($N$2:$N$5001,$B$2:$B$5001,B3477,$I$2:$I$5001,I3477),1,0))</f>
        <v/>
      </c>
      <c r="M3477" s="16" t="str">
        <f aca="false">IF(B3477="","",IF(E3477="Em ajustes",IF(N3477=_xlfn.MINIFS($N$2:$N$5001,$B$2:$B$5001,B3477,$E$2:$E$5001,"Em ajustes"),1,0),0))</f>
        <v/>
      </c>
      <c r="N3477" s="17" t="str">
        <f aca="false">IF(A3477="","",IF(ISNUMBER(A3477),A3477,IFERROR(DATE(VALUE(MID(A3477,7,4)),VALUE(MID(A3477,4,2)),VALUE(MID(A3477,1,2)))+TIME(VALUE(MID(A3477,12,2)),VALUE(MID(A3477,15,2)),VALUE(MID(A3477,18,2))),"")))</f>
        <v/>
      </c>
    </row>
    <row r="3478" customFormat="false" ht="15" hidden="false" customHeight="false" outlineLevel="0" collapsed="false">
      <c r="I3478" s="15" t="str">
        <f aca="false">IF(N3478="","",INT(N3478))</f>
        <v/>
      </c>
      <c r="J3478" s="16" t="str">
        <f aca="false">IF(B3478="","",IF(N3478=_xlfn.MINIFS($N$2:$N$5001,$B$2:$B$5001,B3478),1,0))</f>
        <v/>
      </c>
      <c r="K3478" s="16" t="str">
        <f aca="false">IF(B3478="","",IF(AND(D3478="Formalização",E3478="Concluído"),IF(COUNTIFS($B$2:$B$5001,B3478,$E$2:$E$5001,"Em ajustes",$N$2:$N$5001,"&lt;"&amp;I3478)&gt;0,1,0),0))</f>
        <v/>
      </c>
      <c r="L3478" s="16" t="str">
        <f aca="false">IF(B3478="","",IF(N3478=_xlfn.MAXIFS($N$2:$N$5001,$B$2:$B$5001,B3478,$I$2:$I$5001,I3478),1,0))</f>
        <v/>
      </c>
      <c r="M3478" s="16" t="str">
        <f aca="false">IF(B3478="","",IF(E3478="Em ajustes",IF(N3478=_xlfn.MINIFS($N$2:$N$5001,$B$2:$B$5001,B3478,$E$2:$E$5001,"Em ajustes"),1,0),0))</f>
        <v/>
      </c>
      <c r="N3478" s="17" t="str">
        <f aca="false">IF(A3478="","",IF(ISNUMBER(A3478),A3478,IFERROR(DATE(VALUE(MID(A3478,7,4)),VALUE(MID(A3478,4,2)),VALUE(MID(A3478,1,2)))+TIME(VALUE(MID(A3478,12,2)),VALUE(MID(A3478,15,2)),VALUE(MID(A3478,18,2))),"")))</f>
        <v/>
      </c>
    </row>
    <row r="3479" customFormat="false" ht="15" hidden="false" customHeight="false" outlineLevel="0" collapsed="false">
      <c r="I3479" s="15" t="str">
        <f aca="false">IF(N3479="","",INT(N3479))</f>
        <v/>
      </c>
      <c r="J3479" s="16" t="str">
        <f aca="false">IF(B3479="","",IF(N3479=_xlfn.MINIFS($N$2:$N$5001,$B$2:$B$5001,B3479),1,0))</f>
        <v/>
      </c>
      <c r="K3479" s="16" t="str">
        <f aca="false">IF(B3479="","",IF(AND(D3479="Formalização",E3479="Concluído"),IF(COUNTIFS($B$2:$B$5001,B3479,$E$2:$E$5001,"Em ajustes",$N$2:$N$5001,"&lt;"&amp;I3479)&gt;0,1,0),0))</f>
        <v/>
      </c>
      <c r="L3479" s="16" t="str">
        <f aca="false">IF(B3479="","",IF(N3479=_xlfn.MAXIFS($N$2:$N$5001,$B$2:$B$5001,B3479,$I$2:$I$5001,I3479),1,0))</f>
        <v/>
      </c>
      <c r="M3479" s="16" t="str">
        <f aca="false">IF(B3479="","",IF(E3479="Em ajustes",IF(N3479=_xlfn.MINIFS($N$2:$N$5001,$B$2:$B$5001,B3479,$E$2:$E$5001,"Em ajustes"),1,0),0))</f>
        <v/>
      </c>
      <c r="N3479" s="17" t="str">
        <f aca="false">IF(A3479="","",IF(ISNUMBER(A3479),A3479,IFERROR(DATE(VALUE(MID(A3479,7,4)),VALUE(MID(A3479,4,2)),VALUE(MID(A3479,1,2)))+TIME(VALUE(MID(A3479,12,2)),VALUE(MID(A3479,15,2)),VALUE(MID(A3479,18,2))),"")))</f>
        <v/>
      </c>
    </row>
    <row r="3480" customFormat="false" ht="15" hidden="false" customHeight="false" outlineLevel="0" collapsed="false">
      <c r="I3480" s="15" t="str">
        <f aca="false">IF(N3480="","",INT(N3480))</f>
        <v/>
      </c>
      <c r="J3480" s="16" t="str">
        <f aca="false">IF(B3480="","",IF(N3480=_xlfn.MINIFS($N$2:$N$5001,$B$2:$B$5001,B3480),1,0))</f>
        <v/>
      </c>
      <c r="K3480" s="16" t="str">
        <f aca="false">IF(B3480="","",IF(AND(D3480="Formalização",E3480="Concluído"),IF(COUNTIFS($B$2:$B$5001,B3480,$E$2:$E$5001,"Em ajustes",$N$2:$N$5001,"&lt;"&amp;I3480)&gt;0,1,0),0))</f>
        <v/>
      </c>
      <c r="L3480" s="16" t="str">
        <f aca="false">IF(B3480="","",IF(N3480=_xlfn.MAXIFS($N$2:$N$5001,$B$2:$B$5001,B3480,$I$2:$I$5001,I3480),1,0))</f>
        <v/>
      </c>
      <c r="M3480" s="16" t="str">
        <f aca="false">IF(B3480="","",IF(E3480="Em ajustes",IF(N3480=_xlfn.MINIFS($N$2:$N$5001,$B$2:$B$5001,B3480,$E$2:$E$5001,"Em ajustes"),1,0),0))</f>
        <v/>
      </c>
      <c r="N3480" s="17" t="str">
        <f aca="false">IF(A3480="","",IF(ISNUMBER(A3480),A3480,IFERROR(DATE(VALUE(MID(A3480,7,4)),VALUE(MID(A3480,4,2)),VALUE(MID(A3480,1,2)))+TIME(VALUE(MID(A3480,12,2)),VALUE(MID(A3480,15,2)),VALUE(MID(A3480,18,2))),"")))</f>
        <v/>
      </c>
    </row>
    <row r="3481" customFormat="false" ht="15" hidden="false" customHeight="false" outlineLevel="0" collapsed="false">
      <c r="I3481" s="15" t="str">
        <f aca="false">IF(N3481="","",INT(N3481))</f>
        <v/>
      </c>
      <c r="J3481" s="16" t="str">
        <f aca="false">IF(B3481="","",IF(N3481=_xlfn.MINIFS($N$2:$N$5001,$B$2:$B$5001,B3481),1,0))</f>
        <v/>
      </c>
      <c r="K3481" s="16" t="str">
        <f aca="false">IF(B3481="","",IF(AND(D3481="Formalização",E3481="Concluído"),IF(COUNTIFS($B$2:$B$5001,B3481,$E$2:$E$5001,"Em ajustes",$N$2:$N$5001,"&lt;"&amp;I3481)&gt;0,1,0),0))</f>
        <v/>
      </c>
      <c r="L3481" s="16" t="str">
        <f aca="false">IF(B3481="","",IF(N3481=_xlfn.MAXIFS($N$2:$N$5001,$B$2:$B$5001,B3481,$I$2:$I$5001,I3481),1,0))</f>
        <v/>
      </c>
      <c r="M3481" s="16" t="str">
        <f aca="false">IF(B3481="","",IF(E3481="Em ajustes",IF(N3481=_xlfn.MINIFS($N$2:$N$5001,$B$2:$B$5001,B3481,$E$2:$E$5001,"Em ajustes"),1,0),0))</f>
        <v/>
      </c>
      <c r="N3481" s="17" t="str">
        <f aca="false">IF(A3481="","",IF(ISNUMBER(A3481),A3481,IFERROR(DATE(VALUE(MID(A3481,7,4)),VALUE(MID(A3481,4,2)),VALUE(MID(A3481,1,2)))+TIME(VALUE(MID(A3481,12,2)),VALUE(MID(A3481,15,2)),VALUE(MID(A3481,18,2))),"")))</f>
        <v/>
      </c>
    </row>
    <row r="3482" customFormat="false" ht="15" hidden="false" customHeight="false" outlineLevel="0" collapsed="false">
      <c r="I3482" s="15" t="str">
        <f aca="false">IF(N3482="","",INT(N3482))</f>
        <v/>
      </c>
      <c r="J3482" s="16" t="str">
        <f aca="false">IF(B3482="","",IF(N3482=_xlfn.MINIFS($N$2:$N$5001,$B$2:$B$5001,B3482),1,0))</f>
        <v/>
      </c>
      <c r="K3482" s="16" t="str">
        <f aca="false">IF(B3482="","",IF(AND(D3482="Formalização",E3482="Concluído"),IF(COUNTIFS($B$2:$B$5001,B3482,$E$2:$E$5001,"Em ajustes",$N$2:$N$5001,"&lt;"&amp;I3482)&gt;0,1,0),0))</f>
        <v/>
      </c>
      <c r="L3482" s="16" t="str">
        <f aca="false">IF(B3482="","",IF(N3482=_xlfn.MAXIFS($N$2:$N$5001,$B$2:$B$5001,B3482,$I$2:$I$5001,I3482),1,0))</f>
        <v/>
      </c>
      <c r="M3482" s="16" t="str">
        <f aca="false">IF(B3482="","",IF(E3482="Em ajustes",IF(N3482=_xlfn.MINIFS($N$2:$N$5001,$B$2:$B$5001,B3482,$E$2:$E$5001,"Em ajustes"),1,0),0))</f>
        <v/>
      </c>
      <c r="N3482" s="17" t="str">
        <f aca="false">IF(A3482="","",IF(ISNUMBER(A3482),A3482,IFERROR(DATE(VALUE(MID(A3482,7,4)),VALUE(MID(A3482,4,2)),VALUE(MID(A3482,1,2)))+TIME(VALUE(MID(A3482,12,2)),VALUE(MID(A3482,15,2)),VALUE(MID(A3482,18,2))),"")))</f>
        <v/>
      </c>
    </row>
    <row r="3483" customFormat="false" ht="15" hidden="false" customHeight="false" outlineLevel="0" collapsed="false">
      <c r="I3483" s="15" t="str">
        <f aca="false">IF(N3483="","",INT(N3483))</f>
        <v/>
      </c>
      <c r="J3483" s="16" t="str">
        <f aca="false">IF(B3483="","",IF(N3483=_xlfn.MINIFS($N$2:$N$5001,$B$2:$B$5001,B3483),1,0))</f>
        <v/>
      </c>
      <c r="K3483" s="16" t="str">
        <f aca="false">IF(B3483="","",IF(AND(D3483="Formalização",E3483="Concluído"),IF(COUNTIFS($B$2:$B$5001,B3483,$E$2:$E$5001,"Em ajustes",$N$2:$N$5001,"&lt;"&amp;I3483)&gt;0,1,0),0))</f>
        <v/>
      </c>
      <c r="L3483" s="16" t="str">
        <f aca="false">IF(B3483="","",IF(N3483=_xlfn.MAXIFS($N$2:$N$5001,$B$2:$B$5001,B3483,$I$2:$I$5001,I3483),1,0))</f>
        <v/>
      </c>
      <c r="M3483" s="16" t="str">
        <f aca="false">IF(B3483="","",IF(E3483="Em ajustes",IF(N3483=_xlfn.MINIFS($N$2:$N$5001,$B$2:$B$5001,B3483,$E$2:$E$5001,"Em ajustes"),1,0),0))</f>
        <v/>
      </c>
      <c r="N3483" s="17" t="str">
        <f aca="false">IF(A3483="","",IF(ISNUMBER(A3483),A3483,IFERROR(DATE(VALUE(MID(A3483,7,4)),VALUE(MID(A3483,4,2)),VALUE(MID(A3483,1,2)))+TIME(VALUE(MID(A3483,12,2)),VALUE(MID(A3483,15,2)),VALUE(MID(A3483,18,2))),"")))</f>
        <v/>
      </c>
    </row>
    <row r="3484" customFormat="false" ht="15" hidden="false" customHeight="false" outlineLevel="0" collapsed="false">
      <c r="I3484" s="15" t="str">
        <f aca="false">IF(N3484="","",INT(N3484))</f>
        <v/>
      </c>
      <c r="J3484" s="16" t="str">
        <f aca="false">IF(B3484="","",IF(N3484=_xlfn.MINIFS($N$2:$N$5001,$B$2:$B$5001,B3484),1,0))</f>
        <v/>
      </c>
      <c r="K3484" s="16" t="str">
        <f aca="false">IF(B3484="","",IF(AND(D3484="Formalização",E3484="Concluído"),IF(COUNTIFS($B$2:$B$5001,B3484,$E$2:$E$5001,"Em ajustes",$N$2:$N$5001,"&lt;"&amp;I3484)&gt;0,1,0),0))</f>
        <v/>
      </c>
      <c r="L3484" s="16" t="str">
        <f aca="false">IF(B3484="","",IF(N3484=_xlfn.MAXIFS($N$2:$N$5001,$B$2:$B$5001,B3484,$I$2:$I$5001,I3484),1,0))</f>
        <v/>
      </c>
      <c r="M3484" s="16" t="str">
        <f aca="false">IF(B3484="","",IF(E3484="Em ajustes",IF(N3484=_xlfn.MINIFS($N$2:$N$5001,$B$2:$B$5001,B3484,$E$2:$E$5001,"Em ajustes"),1,0),0))</f>
        <v/>
      </c>
      <c r="N3484" s="17" t="str">
        <f aca="false">IF(A3484="","",IF(ISNUMBER(A3484),A3484,IFERROR(DATE(VALUE(MID(A3484,7,4)),VALUE(MID(A3484,4,2)),VALUE(MID(A3484,1,2)))+TIME(VALUE(MID(A3484,12,2)),VALUE(MID(A3484,15,2)),VALUE(MID(A3484,18,2))),"")))</f>
        <v/>
      </c>
    </row>
    <row r="3485" customFormat="false" ht="15" hidden="false" customHeight="false" outlineLevel="0" collapsed="false">
      <c r="I3485" s="15" t="str">
        <f aca="false">IF(N3485="","",INT(N3485))</f>
        <v/>
      </c>
      <c r="J3485" s="16" t="str">
        <f aca="false">IF(B3485="","",IF(N3485=_xlfn.MINIFS($N$2:$N$5001,$B$2:$B$5001,B3485),1,0))</f>
        <v/>
      </c>
      <c r="K3485" s="16" t="str">
        <f aca="false">IF(B3485="","",IF(AND(D3485="Formalização",E3485="Concluído"),IF(COUNTIFS($B$2:$B$5001,B3485,$E$2:$E$5001,"Em ajustes",$N$2:$N$5001,"&lt;"&amp;I3485)&gt;0,1,0),0))</f>
        <v/>
      </c>
      <c r="L3485" s="16" t="str">
        <f aca="false">IF(B3485="","",IF(N3485=_xlfn.MAXIFS($N$2:$N$5001,$B$2:$B$5001,B3485,$I$2:$I$5001,I3485),1,0))</f>
        <v/>
      </c>
      <c r="M3485" s="16" t="str">
        <f aca="false">IF(B3485="","",IF(E3485="Em ajustes",IF(N3485=_xlfn.MINIFS($N$2:$N$5001,$B$2:$B$5001,B3485,$E$2:$E$5001,"Em ajustes"),1,0),0))</f>
        <v/>
      </c>
      <c r="N3485" s="17" t="str">
        <f aca="false">IF(A3485="","",IF(ISNUMBER(A3485),A3485,IFERROR(DATE(VALUE(MID(A3485,7,4)),VALUE(MID(A3485,4,2)),VALUE(MID(A3485,1,2)))+TIME(VALUE(MID(A3485,12,2)),VALUE(MID(A3485,15,2)),VALUE(MID(A3485,18,2))),"")))</f>
        <v/>
      </c>
    </row>
    <row r="3486" customFormat="false" ht="15" hidden="false" customHeight="false" outlineLevel="0" collapsed="false">
      <c r="I3486" s="15" t="str">
        <f aca="false">IF(N3486="","",INT(N3486))</f>
        <v/>
      </c>
      <c r="J3486" s="16" t="str">
        <f aca="false">IF(B3486="","",IF(N3486=_xlfn.MINIFS($N$2:$N$5001,$B$2:$B$5001,B3486),1,0))</f>
        <v/>
      </c>
      <c r="K3486" s="16" t="str">
        <f aca="false">IF(B3486="","",IF(AND(D3486="Formalização",E3486="Concluído"),IF(COUNTIFS($B$2:$B$5001,B3486,$E$2:$E$5001,"Em ajustes",$N$2:$N$5001,"&lt;"&amp;I3486)&gt;0,1,0),0))</f>
        <v/>
      </c>
      <c r="L3486" s="16" t="str">
        <f aca="false">IF(B3486="","",IF(N3486=_xlfn.MAXIFS($N$2:$N$5001,$B$2:$B$5001,B3486,$I$2:$I$5001,I3486),1,0))</f>
        <v/>
      </c>
      <c r="M3486" s="16" t="str">
        <f aca="false">IF(B3486="","",IF(E3486="Em ajustes",IF(N3486=_xlfn.MINIFS($N$2:$N$5001,$B$2:$B$5001,B3486,$E$2:$E$5001,"Em ajustes"),1,0),0))</f>
        <v/>
      </c>
      <c r="N3486" s="17" t="str">
        <f aca="false">IF(A3486="","",IF(ISNUMBER(A3486),A3486,IFERROR(DATE(VALUE(MID(A3486,7,4)),VALUE(MID(A3486,4,2)),VALUE(MID(A3486,1,2)))+TIME(VALUE(MID(A3486,12,2)),VALUE(MID(A3486,15,2)),VALUE(MID(A3486,18,2))),"")))</f>
        <v/>
      </c>
    </row>
    <row r="3487" customFormat="false" ht="15" hidden="false" customHeight="false" outlineLevel="0" collapsed="false">
      <c r="I3487" s="15" t="str">
        <f aca="false">IF(N3487="","",INT(N3487))</f>
        <v/>
      </c>
      <c r="J3487" s="16" t="str">
        <f aca="false">IF(B3487="","",IF(N3487=_xlfn.MINIFS($N$2:$N$5001,$B$2:$B$5001,B3487),1,0))</f>
        <v/>
      </c>
      <c r="K3487" s="16" t="str">
        <f aca="false">IF(B3487="","",IF(AND(D3487="Formalização",E3487="Concluído"),IF(COUNTIFS($B$2:$B$5001,B3487,$E$2:$E$5001,"Em ajustes",$N$2:$N$5001,"&lt;"&amp;I3487)&gt;0,1,0),0))</f>
        <v/>
      </c>
      <c r="L3487" s="16" t="str">
        <f aca="false">IF(B3487="","",IF(N3487=_xlfn.MAXIFS($N$2:$N$5001,$B$2:$B$5001,B3487,$I$2:$I$5001,I3487),1,0))</f>
        <v/>
      </c>
      <c r="M3487" s="16" t="str">
        <f aca="false">IF(B3487="","",IF(E3487="Em ajustes",IF(N3487=_xlfn.MINIFS($N$2:$N$5001,$B$2:$B$5001,B3487,$E$2:$E$5001,"Em ajustes"),1,0),0))</f>
        <v/>
      </c>
      <c r="N3487" s="17" t="str">
        <f aca="false">IF(A3487="","",IF(ISNUMBER(A3487),A3487,IFERROR(DATE(VALUE(MID(A3487,7,4)),VALUE(MID(A3487,4,2)),VALUE(MID(A3487,1,2)))+TIME(VALUE(MID(A3487,12,2)),VALUE(MID(A3487,15,2)),VALUE(MID(A3487,18,2))),"")))</f>
        <v/>
      </c>
    </row>
    <row r="3488" customFormat="false" ht="15" hidden="false" customHeight="false" outlineLevel="0" collapsed="false">
      <c r="I3488" s="15" t="str">
        <f aca="false">IF(N3488="","",INT(N3488))</f>
        <v/>
      </c>
      <c r="J3488" s="16" t="str">
        <f aca="false">IF(B3488="","",IF(N3488=_xlfn.MINIFS($N$2:$N$5001,$B$2:$B$5001,B3488),1,0))</f>
        <v/>
      </c>
      <c r="K3488" s="16" t="str">
        <f aca="false">IF(B3488="","",IF(AND(D3488="Formalização",E3488="Concluído"),IF(COUNTIFS($B$2:$B$5001,B3488,$E$2:$E$5001,"Em ajustes",$N$2:$N$5001,"&lt;"&amp;I3488)&gt;0,1,0),0))</f>
        <v/>
      </c>
      <c r="L3488" s="16" t="str">
        <f aca="false">IF(B3488="","",IF(N3488=_xlfn.MAXIFS($N$2:$N$5001,$B$2:$B$5001,B3488,$I$2:$I$5001,I3488),1,0))</f>
        <v/>
      </c>
      <c r="M3488" s="16" t="str">
        <f aca="false">IF(B3488="","",IF(E3488="Em ajustes",IF(N3488=_xlfn.MINIFS($N$2:$N$5001,$B$2:$B$5001,B3488,$E$2:$E$5001,"Em ajustes"),1,0),0))</f>
        <v/>
      </c>
      <c r="N3488" s="17" t="str">
        <f aca="false">IF(A3488="","",IF(ISNUMBER(A3488),A3488,IFERROR(DATE(VALUE(MID(A3488,7,4)),VALUE(MID(A3488,4,2)),VALUE(MID(A3488,1,2)))+TIME(VALUE(MID(A3488,12,2)),VALUE(MID(A3488,15,2)),VALUE(MID(A3488,18,2))),"")))</f>
        <v/>
      </c>
    </row>
    <row r="3489" customFormat="false" ht="15" hidden="false" customHeight="false" outlineLevel="0" collapsed="false">
      <c r="I3489" s="15" t="str">
        <f aca="false">IF(N3489="","",INT(N3489))</f>
        <v/>
      </c>
      <c r="J3489" s="16" t="str">
        <f aca="false">IF(B3489="","",IF(N3489=_xlfn.MINIFS($N$2:$N$5001,$B$2:$B$5001,B3489),1,0))</f>
        <v/>
      </c>
      <c r="K3489" s="16" t="str">
        <f aca="false">IF(B3489="","",IF(AND(D3489="Formalização",E3489="Concluído"),IF(COUNTIFS($B$2:$B$5001,B3489,$E$2:$E$5001,"Em ajustes",$N$2:$N$5001,"&lt;"&amp;I3489)&gt;0,1,0),0))</f>
        <v/>
      </c>
      <c r="L3489" s="16" t="str">
        <f aca="false">IF(B3489="","",IF(N3489=_xlfn.MAXIFS($N$2:$N$5001,$B$2:$B$5001,B3489,$I$2:$I$5001,I3489),1,0))</f>
        <v/>
      </c>
      <c r="M3489" s="16" t="str">
        <f aca="false">IF(B3489="","",IF(E3489="Em ajustes",IF(N3489=_xlfn.MINIFS($N$2:$N$5001,$B$2:$B$5001,B3489,$E$2:$E$5001,"Em ajustes"),1,0),0))</f>
        <v/>
      </c>
      <c r="N3489" s="17" t="str">
        <f aca="false">IF(A3489="","",IF(ISNUMBER(A3489),A3489,IFERROR(DATE(VALUE(MID(A3489,7,4)),VALUE(MID(A3489,4,2)),VALUE(MID(A3489,1,2)))+TIME(VALUE(MID(A3489,12,2)),VALUE(MID(A3489,15,2)),VALUE(MID(A3489,18,2))),"")))</f>
        <v/>
      </c>
    </row>
    <row r="3490" customFormat="false" ht="15" hidden="false" customHeight="false" outlineLevel="0" collapsed="false">
      <c r="I3490" s="15" t="str">
        <f aca="false">IF(N3490="","",INT(N3490))</f>
        <v/>
      </c>
      <c r="J3490" s="16" t="str">
        <f aca="false">IF(B3490="","",IF(N3490=_xlfn.MINIFS($N$2:$N$5001,$B$2:$B$5001,B3490),1,0))</f>
        <v/>
      </c>
      <c r="K3490" s="16" t="str">
        <f aca="false">IF(B3490="","",IF(AND(D3490="Formalização",E3490="Concluído"),IF(COUNTIFS($B$2:$B$5001,B3490,$E$2:$E$5001,"Em ajustes",$N$2:$N$5001,"&lt;"&amp;I3490)&gt;0,1,0),0))</f>
        <v/>
      </c>
      <c r="L3490" s="16" t="str">
        <f aca="false">IF(B3490="","",IF(N3490=_xlfn.MAXIFS($N$2:$N$5001,$B$2:$B$5001,B3490,$I$2:$I$5001,I3490),1,0))</f>
        <v/>
      </c>
      <c r="M3490" s="16" t="str">
        <f aca="false">IF(B3490="","",IF(E3490="Em ajustes",IF(N3490=_xlfn.MINIFS($N$2:$N$5001,$B$2:$B$5001,B3490,$E$2:$E$5001,"Em ajustes"),1,0),0))</f>
        <v/>
      </c>
      <c r="N3490" s="17" t="str">
        <f aca="false">IF(A3490="","",IF(ISNUMBER(A3490),A3490,IFERROR(DATE(VALUE(MID(A3490,7,4)),VALUE(MID(A3490,4,2)),VALUE(MID(A3490,1,2)))+TIME(VALUE(MID(A3490,12,2)),VALUE(MID(A3490,15,2)),VALUE(MID(A3490,18,2))),"")))</f>
        <v/>
      </c>
    </row>
    <row r="3491" customFormat="false" ht="15" hidden="false" customHeight="false" outlineLevel="0" collapsed="false">
      <c r="I3491" s="15" t="str">
        <f aca="false">IF(N3491="","",INT(N3491))</f>
        <v/>
      </c>
      <c r="J3491" s="16" t="str">
        <f aca="false">IF(B3491="","",IF(N3491=_xlfn.MINIFS($N$2:$N$5001,$B$2:$B$5001,B3491),1,0))</f>
        <v/>
      </c>
      <c r="K3491" s="16" t="str">
        <f aca="false">IF(B3491="","",IF(AND(D3491="Formalização",E3491="Concluído"),IF(COUNTIFS($B$2:$B$5001,B3491,$E$2:$E$5001,"Em ajustes",$N$2:$N$5001,"&lt;"&amp;I3491)&gt;0,1,0),0))</f>
        <v/>
      </c>
      <c r="L3491" s="16" t="str">
        <f aca="false">IF(B3491="","",IF(N3491=_xlfn.MAXIFS($N$2:$N$5001,$B$2:$B$5001,B3491,$I$2:$I$5001,I3491),1,0))</f>
        <v/>
      </c>
      <c r="M3491" s="16" t="str">
        <f aca="false">IF(B3491="","",IF(E3491="Em ajustes",IF(N3491=_xlfn.MINIFS($N$2:$N$5001,$B$2:$B$5001,B3491,$E$2:$E$5001,"Em ajustes"),1,0),0))</f>
        <v/>
      </c>
      <c r="N3491" s="17" t="str">
        <f aca="false">IF(A3491="","",IF(ISNUMBER(A3491),A3491,IFERROR(DATE(VALUE(MID(A3491,7,4)),VALUE(MID(A3491,4,2)),VALUE(MID(A3491,1,2)))+TIME(VALUE(MID(A3491,12,2)),VALUE(MID(A3491,15,2)),VALUE(MID(A3491,18,2))),"")))</f>
        <v/>
      </c>
    </row>
    <row r="3492" customFormat="false" ht="15" hidden="false" customHeight="false" outlineLevel="0" collapsed="false">
      <c r="I3492" s="15" t="str">
        <f aca="false">IF(N3492="","",INT(N3492))</f>
        <v/>
      </c>
      <c r="J3492" s="16" t="str">
        <f aca="false">IF(B3492="","",IF(N3492=_xlfn.MINIFS($N$2:$N$5001,$B$2:$B$5001,B3492),1,0))</f>
        <v/>
      </c>
      <c r="K3492" s="16" t="str">
        <f aca="false">IF(B3492="","",IF(AND(D3492="Formalização",E3492="Concluído"),IF(COUNTIFS($B$2:$B$5001,B3492,$E$2:$E$5001,"Em ajustes",$N$2:$N$5001,"&lt;"&amp;I3492)&gt;0,1,0),0))</f>
        <v/>
      </c>
      <c r="L3492" s="16" t="str">
        <f aca="false">IF(B3492="","",IF(N3492=_xlfn.MAXIFS($N$2:$N$5001,$B$2:$B$5001,B3492,$I$2:$I$5001,I3492),1,0))</f>
        <v/>
      </c>
      <c r="M3492" s="16" t="str">
        <f aca="false">IF(B3492="","",IF(E3492="Em ajustes",IF(N3492=_xlfn.MINIFS($N$2:$N$5001,$B$2:$B$5001,B3492,$E$2:$E$5001,"Em ajustes"),1,0),0))</f>
        <v/>
      </c>
      <c r="N3492" s="17" t="str">
        <f aca="false">IF(A3492="","",IF(ISNUMBER(A3492),A3492,IFERROR(DATE(VALUE(MID(A3492,7,4)),VALUE(MID(A3492,4,2)),VALUE(MID(A3492,1,2)))+TIME(VALUE(MID(A3492,12,2)),VALUE(MID(A3492,15,2)),VALUE(MID(A3492,18,2))),"")))</f>
        <v/>
      </c>
    </row>
    <row r="3493" customFormat="false" ht="15" hidden="false" customHeight="false" outlineLevel="0" collapsed="false">
      <c r="I3493" s="15" t="str">
        <f aca="false">IF(N3493="","",INT(N3493))</f>
        <v/>
      </c>
      <c r="J3493" s="16" t="str">
        <f aca="false">IF(B3493="","",IF(N3493=_xlfn.MINIFS($N$2:$N$5001,$B$2:$B$5001,B3493),1,0))</f>
        <v/>
      </c>
      <c r="K3493" s="16" t="str">
        <f aca="false">IF(B3493="","",IF(AND(D3493="Formalização",E3493="Concluído"),IF(COUNTIFS($B$2:$B$5001,B3493,$E$2:$E$5001,"Em ajustes",$N$2:$N$5001,"&lt;"&amp;I3493)&gt;0,1,0),0))</f>
        <v/>
      </c>
      <c r="L3493" s="16" t="str">
        <f aca="false">IF(B3493="","",IF(N3493=_xlfn.MAXIFS($N$2:$N$5001,$B$2:$B$5001,B3493,$I$2:$I$5001,I3493),1,0))</f>
        <v/>
      </c>
      <c r="M3493" s="16" t="str">
        <f aca="false">IF(B3493="","",IF(E3493="Em ajustes",IF(N3493=_xlfn.MINIFS($N$2:$N$5001,$B$2:$B$5001,B3493,$E$2:$E$5001,"Em ajustes"),1,0),0))</f>
        <v/>
      </c>
      <c r="N3493" s="17" t="str">
        <f aca="false">IF(A3493="","",IF(ISNUMBER(A3493),A3493,IFERROR(DATE(VALUE(MID(A3493,7,4)),VALUE(MID(A3493,4,2)),VALUE(MID(A3493,1,2)))+TIME(VALUE(MID(A3493,12,2)),VALUE(MID(A3493,15,2)),VALUE(MID(A3493,18,2))),"")))</f>
        <v/>
      </c>
    </row>
    <row r="3494" customFormat="false" ht="15" hidden="false" customHeight="false" outlineLevel="0" collapsed="false">
      <c r="I3494" s="15" t="str">
        <f aca="false">IF(N3494="","",INT(N3494))</f>
        <v/>
      </c>
      <c r="J3494" s="16" t="str">
        <f aca="false">IF(B3494="","",IF(N3494=_xlfn.MINIFS($N$2:$N$5001,$B$2:$B$5001,B3494),1,0))</f>
        <v/>
      </c>
      <c r="K3494" s="16" t="str">
        <f aca="false">IF(B3494="","",IF(AND(D3494="Formalização",E3494="Concluído"),IF(COUNTIFS($B$2:$B$5001,B3494,$E$2:$E$5001,"Em ajustes",$N$2:$N$5001,"&lt;"&amp;I3494)&gt;0,1,0),0))</f>
        <v/>
      </c>
      <c r="L3494" s="16" t="str">
        <f aca="false">IF(B3494="","",IF(N3494=_xlfn.MAXIFS($N$2:$N$5001,$B$2:$B$5001,B3494,$I$2:$I$5001,I3494),1,0))</f>
        <v/>
      </c>
      <c r="M3494" s="16" t="str">
        <f aca="false">IF(B3494="","",IF(E3494="Em ajustes",IF(N3494=_xlfn.MINIFS($N$2:$N$5001,$B$2:$B$5001,B3494,$E$2:$E$5001,"Em ajustes"),1,0),0))</f>
        <v/>
      </c>
      <c r="N3494" s="17" t="str">
        <f aca="false">IF(A3494="","",IF(ISNUMBER(A3494),A3494,IFERROR(DATE(VALUE(MID(A3494,7,4)),VALUE(MID(A3494,4,2)),VALUE(MID(A3494,1,2)))+TIME(VALUE(MID(A3494,12,2)),VALUE(MID(A3494,15,2)),VALUE(MID(A3494,18,2))),"")))</f>
        <v/>
      </c>
    </row>
    <row r="3495" customFormat="false" ht="15" hidden="false" customHeight="false" outlineLevel="0" collapsed="false">
      <c r="I3495" s="15" t="str">
        <f aca="false">IF(N3495="","",INT(N3495))</f>
        <v/>
      </c>
      <c r="J3495" s="16" t="str">
        <f aca="false">IF(B3495="","",IF(N3495=_xlfn.MINIFS($N$2:$N$5001,$B$2:$B$5001,B3495),1,0))</f>
        <v/>
      </c>
      <c r="K3495" s="16" t="str">
        <f aca="false">IF(B3495="","",IF(AND(D3495="Formalização",E3495="Concluído"),IF(COUNTIFS($B$2:$B$5001,B3495,$E$2:$E$5001,"Em ajustes",$N$2:$N$5001,"&lt;"&amp;I3495)&gt;0,1,0),0))</f>
        <v/>
      </c>
      <c r="L3495" s="16" t="str">
        <f aca="false">IF(B3495="","",IF(N3495=_xlfn.MAXIFS($N$2:$N$5001,$B$2:$B$5001,B3495,$I$2:$I$5001,I3495),1,0))</f>
        <v/>
      </c>
      <c r="M3495" s="16" t="str">
        <f aca="false">IF(B3495="","",IF(E3495="Em ajustes",IF(N3495=_xlfn.MINIFS($N$2:$N$5001,$B$2:$B$5001,B3495,$E$2:$E$5001,"Em ajustes"),1,0),0))</f>
        <v/>
      </c>
      <c r="N3495" s="17" t="str">
        <f aca="false">IF(A3495="","",IF(ISNUMBER(A3495),A3495,IFERROR(DATE(VALUE(MID(A3495,7,4)),VALUE(MID(A3495,4,2)),VALUE(MID(A3495,1,2)))+TIME(VALUE(MID(A3495,12,2)),VALUE(MID(A3495,15,2)),VALUE(MID(A3495,18,2))),"")))</f>
        <v/>
      </c>
    </row>
    <row r="3496" customFormat="false" ht="15" hidden="false" customHeight="false" outlineLevel="0" collapsed="false">
      <c r="I3496" s="15" t="str">
        <f aca="false">IF(N3496="","",INT(N3496))</f>
        <v/>
      </c>
      <c r="J3496" s="16" t="str">
        <f aca="false">IF(B3496="","",IF(N3496=_xlfn.MINIFS($N$2:$N$5001,$B$2:$B$5001,B3496),1,0))</f>
        <v/>
      </c>
      <c r="K3496" s="16" t="str">
        <f aca="false">IF(B3496="","",IF(AND(D3496="Formalização",E3496="Concluído"),IF(COUNTIFS($B$2:$B$5001,B3496,$E$2:$E$5001,"Em ajustes",$N$2:$N$5001,"&lt;"&amp;I3496)&gt;0,1,0),0))</f>
        <v/>
      </c>
      <c r="L3496" s="16" t="str">
        <f aca="false">IF(B3496="","",IF(N3496=_xlfn.MAXIFS($N$2:$N$5001,$B$2:$B$5001,B3496,$I$2:$I$5001,I3496),1,0))</f>
        <v/>
      </c>
      <c r="M3496" s="16" t="str">
        <f aca="false">IF(B3496="","",IF(E3496="Em ajustes",IF(N3496=_xlfn.MINIFS($N$2:$N$5001,$B$2:$B$5001,B3496,$E$2:$E$5001,"Em ajustes"),1,0),0))</f>
        <v/>
      </c>
      <c r="N3496" s="17" t="str">
        <f aca="false">IF(A3496="","",IF(ISNUMBER(A3496),A3496,IFERROR(DATE(VALUE(MID(A3496,7,4)),VALUE(MID(A3496,4,2)),VALUE(MID(A3496,1,2)))+TIME(VALUE(MID(A3496,12,2)),VALUE(MID(A3496,15,2)),VALUE(MID(A3496,18,2))),"")))</f>
        <v/>
      </c>
    </row>
    <row r="3497" customFormat="false" ht="15" hidden="false" customHeight="false" outlineLevel="0" collapsed="false">
      <c r="I3497" s="15" t="str">
        <f aca="false">IF(N3497="","",INT(N3497))</f>
        <v/>
      </c>
      <c r="J3497" s="16" t="str">
        <f aca="false">IF(B3497="","",IF(N3497=_xlfn.MINIFS($N$2:$N$5001,$B$2:$B$5001,B3497),1,0))</f>
        <v/>
      </c>
      <c r="K3497" s="16" t="str">
        <f aca="false">IF(B3497="","",IF(AND(D3497="Formalização",E3497="Concluído"),IF(COUNTIFS($B$2:$B$5001,B3497,$E$2:$E$5001,"Em ajustes",$N$2:$N$5001,"&lt;"&amp;I3497)&gt;0,1,0),0))</f>
        <v/>
      </c>
      <c r="L3497" s="16" t="str">
        <f aca="false">IF(B3497="","",IF(N3497=_xlfn.MAXIFS($N$2:$N$5001,$B$2:$B$5001,B3497,$I$2:$I$5001,I3497),1,0))</f>
        <v/>
      </c>
      <c r="M3497" s="16" t="str">
        <f aca="false">IF(B3497="","",IF(E3497="Em ajustes",IF(N3497=_xlfn.MINIFS($N$2:$N$5001,$B$2:$B$5001,B3497,$E$2:$E$5001,"Em ajustes"),1,0),0))</f>
        <v/>
      </c>
      <c r="N3497" s="17" t="str">
        <f aca="false">IF(A3497="","",IF(ISNUMBER(A3497),A3497,IFERROR(DATE(VALUE(MID(A3497,7,4)),VALUE(MID(A3497,4,2)),VALUE(MID(A3497,1,2)))+TIME(VALUE(MID(A3497,12,2)),VALUE(MID(A3497,15,2)),VALUE(MID(A3497,18,2))),"")))</f>
        <v/>
      </c>
    </row>
    <row r="3498" customFormat="false" ht="15" hidden="false" customHeight="false" outlineLevel="0" collapsed="false">
      <c r="I3498" s="15" t="str">
        <f aca="false">IF(N3498="","",INT(N3498))</f>
        <v/>
      </c>
      <c r="J3498" s="16" t="str">
        <f aca="false">IF(B3498="","",IF(N3498=_xlfn.MINIFS($N$2:$N$5001,$B$2:$B$5001,B3498),1,0))</f>
        <v/>
      </c>
      <c r="K3498" s="16" t="str">
        <f aca="false">IF(B3498="","",IF(AND(D3498="Formalização",E3498="Concluído"),IF(COUNTIFS($B$2:$B$5001,B3498,$E$2:$E$5001,"Em ajustes",$N$2:$N$5001,"&lt;"&amp;I3498)&gt;0,1,0),0))</f>
        <v/>
      </c>
      <c r="L3498" s="16" t="str">
        <f aca="false">IF(B3498="","",IF(N3498=_xlfn.MAXIFS($N$2:$N$5001,$B$2:$B$5001,B3498,$I$2:$I$5001,I3498),1,0))</f>
        <v/>
      </c>
      <c r="M3498" s="16" t="str">
        <f aca="false">IF(B3498="","",IF(E3498="Em ajustes",IF(N3498=_xlfn.MINIFS($N$2:$N$5001,$B$2:$B$5001,B3498,$E$2:$E$5001,"Em ajustes"),1,0),0))</f>
        <v/>
      </c>
      <c r="N3498" s="17" t="str">
        <f aca="false">IF(A3498="","",IF(ISNUMBER(A3498),A3498,IFERROR(DATE(VALUE(MID(A3498,7,4)),VALUE(MID(A3498,4,2)),VALUE(MID(A3498,1,2)))+TIME(VALUE(MID(A3498,12,2)),VALUE(MID(A3498,15,2)),VALUE(MID(A3498,18,2))),"")))</f>
        <v/>
      </c>
    </row>
    <row r="3499" customFormat="false" ht="15" hidden="false" customHeight="false" outlineLevel="0" collapsed="false">
      <c r="I3499" s="15" t="str">
        <f aca="false">IF(N3499="","",INT(N3499))</f>
        <v/>
      </c>
      <c r="J3499" s="16" t="str">
        <f aca="false">IF(B3499="","",IF(N3499=_xlfn.MINIFS($N$2:$N$5001,$B$2:$B$5001,B3499),1,0))</f>
        <v/>
      </c>
      <c r="K3499" s="16" t="str">
        <f aca="false">IF(B3499="","",IF(AND(D3499="Formalização",E3499="Concluído"),IF(COUNTIFS($B$2:$B$5001,B3499,$E$2:$E$5001,"Em ajustes",$N$2:$N$5001,"&lt;"&amp;I3499)&gt;0,1,0),0))</f>
        <v/>
      </c>
      <c r="L3499" s="16" t="str">
        <f aca="false">IF(B3499="","",IF(N3499=_xlfn.MAXIFS($N$2:$N$5001,$B$2:$B$5001,B3499,$I$2:$I$5001,I3499),1,0))</f>
        <v/>
      </c>
      <c r="M3499" s="16" t="str">
        <f aca="false">IF(B3499="","",IF(E3499="Em ajustes",IF(N3499=_xlfn.MINIFS($N$2:$N$5001,$B$2:$B$5001,B3499,$E$2:$E$5001,"Em ajustes"),1,0),0))</f>
        <v/>
      </c>
      <c r="N3499" s="17" t="str">
        <f aca="false">IF(A3499="","",IF(ISNUMBER(A3499),A3499,IFERROR(DATE(VALUE(MID(A3499,7,4)),VALUE(MID(A3499,4,2)),VALUE(MID(A3499,1,2)))+TIME(VALUE(MID(A3499,12,2)),VALUE(MID(A3499,15,2)),VALUE(MID(A3499,18,2))),"")))</f>
        <v/>
      </c>
    </row>
    <row r="3500" customFormat="false" ht="15" hidden="false" customHeight="false" outlineLevel="0" collapsed="false">
      <c r="I3500" s="15" t="str">
        <f aca="false">IF(N3500="","",INT(N3500))</f>
        <v/>
      </c>
      <c r="J3500" s="16" t="str">
        <f aca="false">IF(B3500="","",IF(N3500=_xlfn.MINIFS($N$2:$N$5001,$B$2:$B$5001,B3500),1,0))</f>
        <v/>
      </c>
      <c r="K3500" s="16" t="str">
        <f aca="false">IF(B3500="","",IF(AND(D3500="Formalização",E3500="Concluído"),IF(COUNTIFS($B$2:$B$5001,B3500,$E$2:$E$5001,"Em ajustes",$N$2:$N$5001,"&lt;"&amp;I3500)&gt;0,1,0),0))</f>
        <v/>
      </c>
      <c r="L3500" s="16" t="str">
        <f aca="false">IF(B3500="","",IF(N3500=_xlfn.MAXIFS($N$2:$N$5001,$B$2:$B$5001,B3500,$I$2:$I$5001,I3500),1,0))</f>
        <v/>
      </c>
      <c r="M3500" s="16" t="str">
        <f aca="false">IF(B3500="","",IF(E3500="Em ajustes",IF(N3500=_xlfn.MINIFS($N$2:$N$5001,$B$2:$B$5001,B3500,$E$2:$E$5001,"Em ajustes"),1,0),0))</f>
        <v/>
      </c>
      <c r="N3500" s="17" t="str">
        <f aca="false">IF(A3500="","",IF(ISNUMBER(A3500),A3500,IFERROR(DATE(VALUE(MID(A3500,7,4)),VALUE(MID(A3500,4,2)),VALUE(MID(A3500,1,2)))+TIME(VALUE(MID(A3500,12,2)),VALUE(MID(A3500,15,2)),VALUE(MID(A3500,18,2))),"")))</f>
        <v/>
      </c>
    </row>
    <row r="3501" customFormat="false" ht="15" hidden="false" customHeight="false" outlineLevel="0" collapsed="false">
      <c r="I3501" s="15" t="str">
        <f aca="false">IF(N3501="","",INT(N3501))</f>
        <v/>
      </c>
      <c r="J3501" s="16" t="str">
        <f aca="false">IF(B3501="","",IF(N3501=_xlfn.MINIFS($N$2:$N$5001,$B$2:$B$5001,B3501),1,0))</f>
        <v/>
      </c>
      <c r="K3501" s="16" t="str">
        <f aca="false">IF(B3501="","",IF(AND(D3501="Formalização",E3501="Concluído"),IF(COUNTIFS($B$2:$B$5001,B3501,$E$2:$E$5001,"Em ajustes",$N$2:$N$5001,"&lt;"&amp;I3501)&gt;0,1,0),0))</f>
        <v/>
      </c>
      <c r="L3501" s="16" t="str">
        <f aca="false">IF(B3501="","",IF(N3501=_xlfn.MAXIFS($N$2:$N$5001,$B$2:$B$5001,B3501,$I$2:$I$5001,I3501),1,0))</f>
        <v/>
      </c>
      <c r="M3501" s="16" t="str">
        <f aca="false">IF(B3501="","",IF(E3501="Em ajustes",IF(N3501=_xlfn.MINIFS($N$2:$N$5001,$B$2:$B$5001,B3501,$E$2:$E$5001,"Em ajustes"),1,0),0))</f>
        <v/>
      </c>
      <c r="N3501" s="17" t="str">
        <f aca="false">IF(A3501="","",IF(ISNUMBER(A3501),A3501,IFERROR(DATE(VALUE(MID(A3501,7,4)),VALUE(MID(A3501,4,2)),VALUE(MID(A3501,1,2)))+TIME(VALUE(MID(A3501,12,2)),VALUE(MID(A3501,15,2)),VALUE(MID(A3501,18,2))),"")))</f>
        <v/>
      </c>
    </row>
    <row r="3502" customFormat="false" ht="15" hidden="false" customHeight="false" outlineLevel="0" collapsed="false">
      <c r="I3502" s="15" t="str">
        <f aca="false">IF(N3502="","",INT(N3502))</f>
        <v/>
      </c>
      <c r="J3502" s="16" t="str">
        <f aca="false">IF(B3502="","",IF(N3502=_xlfn.MINIFS($N$2:$N$5001,$B$2:$B$5001,B3502),1,0))</f>
        <v/>
      </c>
      <c r="K3502" s="16" t="str">
        <f aca="false">IF(B3502="","",IF(AND(D3502="Formalização",E3502="Concluído"),IF(COUNTIFS($B$2:$B$5001,B3502,$E$2:$E$5001,"Em ajustes",$N$2:$N$5001,"&lt;"&amp;I3502)&gt;0,1,0),0))</f>
        <v/>
      </c>
      <c r="L3502" s="16" t="str">
        <f aca="false">IF(B3502="","",IF(N3502=_xlfn.MAXIFS($N$2:$N$5001,$B$2:$B$5001,B3502,$I$2:$I$5001,I3502),1,0))</f>
        <v/>
      </c>
      <c r="M3502" s="16" t="str">
        <f aca="false">IF(B3502="","",IF(E3502="Em ajustes",IF(N3502=_xlfn.MINIFS($N$2:$N$5001,$B$2:$B$5001,B3502,$E$2:$E$5001,"Em ajustes"),1,0),0))</f>
        <v/>
      </c>
      <c r="N3502" s="17" t="str">
        <f aca="false">IF(A3502="","",IF(ISNUMBER(A3502),A3502,IFERROR(DATE(VALUE(MID(A3502,7,4)),VALUE(MID(A3502,4,2)),VALUE(MID(A3502,1,2)))+TIME(VALUE(MID(A3502,12,2)),VALUE(MID(A3502,15,2)),VALUE(MID(A3502,18,2))),"")))</f>
        <v/>
      </c>
    </row>
    <row r="3503" customFormat="false" ht="15" hidden="false" customHeight="false" outlineLevel="0" collapsed="false">
      <c r="I3503" s="15" t="str">
        <f aca="false">IF(N3503="","",INT(N3503))</f>
        <v/>
      </c>
      <c r="J3503" s="16" t="str">
        <f aca="false">IF(B3503="","",IF(N3503=_xlfn.MINIFS($N$2:$N$5001,$B$2:$B$5001,B3503),1,0))</f>
        <v/>
      </c>
      <c r="K3503" s="16" t="str">
        <f aca="false">IF(B3503="","",IF(AND(D3503="Formalização",E3503="Concluído"),IF(COUNTIFS($B$2:$B$5001,B3503,$E$2:$E$5001,"Em ajustes",$N$2:$N$5001,"&lt;"&amp;I3503)&gt;0,1,0),0))</f>
        <v/>
      </c>
      <c r="L3503" s="16" t="str">
        <f aca="false">IF(B3503="","",IF(N3503=_xlfn.MAXIFS($N$2:$N$5001,$B$2:$B$5001,B3503,$I$2:$I$5001,I3503),1,0))</f>
        <v/>
      </c>
      <c r="M3503" s="16" t="str">
        <f aca="false">IF(B3503="","",IF(E3503="Em ajustes",IF(N3503=_xlfn.MINIFS($N$2:$N$5001,$B$2:$B$5001,B3503,$E$2:$E$5001,"Em ajustes"),1,0),0))</f>
        <v/>
      </c>
      <c r="N3503" s="17" t="str">
        <f aca="false">IF(A3503="","",IF(ISNUMBER(A3503),A3503,IFERROR(DATE(VALUE(MID(A3503,7,4)),VALUE(MID(A3503,4,2)),VALUE(MID(A3503,1,2)))+TIME(VALUE(MID(A3503,12,2)),VALUE(MID(A3503,15,2)),VALUE(MID(A3503,18,2))),"")))</f>
        <v/>
      </c>
    </row>
    <row r="3504" customFormat="false" ht="15" hidden="false" customHeight="false" outlineLevel="0" collapsed="false">
      <c r="I3504" s="15" t="str">
        <f aca="false">IF(N3504="","",INT(N3504))</f>
        <v/>
      </c>
      <c r="J3504" s="16" t="str">
        <f aca="false">IF(B3504="","",IF(N3504=_xlfn.MINIFS($N$2:$N$5001,$B$2:$B$5001,B3504),1,0))</f>
        <v/>
      </c>
      <c r="K3504" s="16" t="str">
        <f aca="false">IF(B3504="","",IF(AND(D3504="Formalização",E3504="Concluído"),IF(COUNTIFS($B$2:$B$5001,B3504,$E$2:$E$5001,"Em ajustes",$N$2:$N$5001,"&lt;"&amp;I3504)&gt;0,1,0),0))</f>
        <v/>
      </c>
      <c r="L3504" s="16" t="str">
        <f aca="false">IF(B3504="","",IF(N3504=_xlfn.MAXIFS($N$2:$N$5001,$B$2:$B$5001,B3504,$I$2:$I$5001,I3504),1,0))</f>
        <v/>
      </c>
      <c r="M3504" s="16" t="str">
        <f aca="false">IF(B3504="","",IF(E3504="Em ajustes",IF(N3504=_xlfn.MINIFS($N$2:$N$5001,$B$2:$B$5001,B3504,$E$2:$E$5001,"Em ajustes"),1,0),0))</f>
        <v/>
      </c>
      <c r="N3504" s="17" t="str">
        <f aca="false">IF(A3504="","",IF(ISNUMBER(A3504),A3504,IFERROR(DATE(VALUE(MID(A3504,7,4)),VALUE(MID(A3504,4,2)),VALUE(MID(A3504,1,2)))+TIME(VALUE(MID(A3504,12,2)),VALUE(MID(A3504,15,2)),VALUE(MID(A3504,18,2))),"")))</f>
        <v/>
      </c>
    </row>
    <row r="3505" customFormat="false" ht="15" hidden="false" customHeight="false" outlineLevel="0" collapsed="false">
      <c r="I3505" s="15" t="str">
        <f aca="false">IF(N3505="","",INT(N3505))</f>
        <v/>
      </c>
      <c r="J3505" s="16" t="str">
        <f aca="false">IF(B3505="","",IF(N3505=_xlfn.MINIFS($N$2:$N$5001,$B$2:$B$5001,B3505),1,0))</f>
        <v/>
      </c>
      <c r="K3505" s="16" t="str">
        <f aca="false">IF(B3505="","",IF(AND(D3505="Formalização",E3505="Concluído"),IF(COUNTIFS($B$2:$B$5001,B3505,$E$2:$E$5001,"Em ajustes",$N$2:$N$5001,"&lt;"&amp;I3505)&gt;0,1,0),0))</f>
        <v/>
      </c>
      <c r="L3505" s="16" t="str">
        <f aca="false">IF(B3505="","",IF(N3505=_xlfn.MAXIFS($N$2:$N$5001,$B$2:$B$5001,B3505,$I$2:$I$5001,I3505),1,0))</f>
        <v/>
      </c>
      <c r="M3505" s="16" t="str">
        <f aca="false">IF(B3505="","",IF(E3505="Em ajustes",IF(N3505=_xlfn.MINIFS($N$2:$N$5001,$B$2:$B$5001,B3505,$E$2:$E$5001,"Em ajustes"),1,0),0))</f>
        <v/>
      </c>
      <c r="N3505" s="17" t="str">
        <f aca="false">IF(A3505="","",IF(ISNUMBER(A3505),A3505,IFERROR(DATE(VALUE(MID(A3505,7,4)),VALUE(MID(A3505,4,2)),VALUE(MID(A3505,1,2)))+TIME(VALUE(MID(A3505,12,2)),VALUE(MID(A3505,15,2)),VALUE(MID(A3505,18,2))),"")))</f>
        <v/>
      </c>
    </row>
    <row r="3506" customFormat="false" ht="15" hidden="false" customHeight="false" outlineLevel="0" collapsed="false">
      <c r="I3506" s="15" t="str">
        <f aca="false">IF(N3506="","",INT(N3506))</f>
        <v/>
      </c>
      <c r="J3506" s="16" t="str">
        <f aca="false">IF(B3506="","",IF(N3506=_xlfn.MINIFS($N$2:$N$5001,$B$2:$B$5001,B3506),1,0))</f>
        <v/>
      </c>
      <c r="K3506" s="16" t="str">
        <f aca="false">IF(B3506="","",IF(AND(D3506="Formalização",E3506="Concluído"),IF(COUNTIFS($B$2:$B$5001,B3506,$E$2:$E$5001,"Em ajustes",$N$2:$N$5001,"&lt;"&amp;I3506)&gt;0,1,0),0))</f>
        <v/>
      </c>
      <c r="L3506" s="16" t="str">
        <f aca="false">IF(B3506="","",IF(N3506=_xlfn.MAXIFS($N$2:$N$5001,$B$2:$B$5001,B3506,$I$2:$I$5001,I3506),1,0))</f>
        <v/>
      </c>
      <c r="M3506" s="16" t="str">
        <f aca="false">IF(B3506="","",IF(E3506="Em ajustes",IF(N3506=_xlfn.MINIFS($N$2:$N$5001,$B$2:$B$5001,B3506,$E$2:$E$5001,"Em ajustes"),1,0),0))</f>
        <v/>
      </c>
      <c r="N3506" s="17" t="str">
        <f aca="false">IF(A3506="","",IF(ISNUMBER(A3506),A3506,IFERROR(DATE(VALUE(MID(A3506,7,4)),VALUE(MID(A3506,4,2)),VALUE(MID(A3506,1,2)))+TIME(VALUE(MID(A3506,12,2)),VALUE(MID(A3506,15,2)),VALUE(MID(A3506,18,2))),"")))</f>
        <v/>
      </c>
    </row>
    <row r="3507" customFormat="false" ht="15" hidden="false" customHeight="false" outlineLevel="0" collapsed="false">
      <c r="I3507" s="15" t="str">
        <f aca="false">IF(N3507="","",INT(N3507))</f>
        <v/>
      </c>
      <c r="J3507" s="16" t="str">
        <f aca="false">IF(B3507="","",IF(N3507=_xlfn.MINIFS($N$2:$N$5001,$B$2:$B$5001,B3507),1,0))</f>
        <v/>
      </c>
      <c r="K3507" s="16" t="str">
        <f aca="false">IF(B3507="","",IF(AND(D3507="Formalização",E3507="Concluído"),IF(COUNTIFS($B$2:$B$5001,B3507,$E$2:$E$5001,"Em ajustes",$N$2:$N$5001,"&lt;"&amp;I3507)&gt;0,1,0),0))</f>
        <v/>
      </c>
      <c r="L3507" s="16" t="str">
        <f aca="false">IF(B3507="","",IF(N3507=_xlfn.MAXIFS($N$2:$N$5001,$B$2:$B$5001,B3507,$I$2:$I$5001,I3507),1,0))</f>
        <v/>
      </c>
      <c r="M3507" s="16" t="str">
        <f aca="false">IF(B3507="","",IF(E3507="Em ajustes",IF(N3507=_xlfn.MINIFS($N$2:$N$5001,$B$2:$B$5001,B3507,$E$2:$E$5001,"Em ajustes"),1,0),0))</f>
        <v/>
      </c>
      <c r="N3507" s="17" t="str">
        <f aca="false">IF(A3507="","",IF(ISNUMBER(A3507),A3507,IFERROR(DATE(VALUE(MID(A3507,7,4)),VALUE(MID(A3507,4,2)),VALUE(MID(A3507,1,2)))+TIME(VALUE(MID(A3507,12,2)),VALUE(MID(A3507,15,2)),VALUE(MID(A3507,18,2))),"")))</f>
        <v/>
      </c>
    </row>
    <row r="3508" customFormat="false" ht="15" hidden="false" customHeight="false" outlineLevel="0" collapsed="false">
      <c r="I3508" s="15" t="str">
        <f aca="false">IF(N3508="","",INT(N3508))</f>
        <v/>
      </c>
      <c r="J3508" s="16" t="str">
        <f aca="false">IF(B3508="","",IF(N3508=_xlfn.MINIFS($N$2:$N$5001,$B$2:$B$5001,B3508),1,0))</f>
        <v/>
      </c>
      <c r="K3508" s="16" t="str">
        <f aca="false">IF(B3508="","",IF(AND(D3508="Formalização",E3508="Concluído"),IF(COUNTIFS($B$2:$B$5001,B3508,$E$2:$E$5001,"Em ajustes",$N$2:$N$5001,"&lt;"&amp;I3508)&gt;0,1,0),0))</f>
        <v/>
      </c>
      <c r="L3508" s="16" t="str">
        <f aca="false">IF(B3508="","",IF(N3508=_xlfn.MAXIFS($N$2:$N$5001,$B$2:$B$5001,B3508,$I$2:$I$5001,I3508),1,0))</f>
        <v/>
      </c>
      <c r="M3508" s="16" t="str">
        <f aca="false">IF(B3508="","",IF(E3508="Em ajustes",IF(N3508=_xlfn.MINIFS($N$2:$N$5001,$B$2:$B$5001,B3508,$E$2:$E$5001,"Em ajustes"),1,0),0))</f>
        <v/>
      </c>
      <c r="N3508" s="17" t="str">
        <f aca="false">IF(A3508="","",IF(ISNUMBER(A3508),A3508,IFERROR(DATE(VALUE(MID(A3508,7,4)),VALUE(MID(A3508,4,2)),VALUE(MID(A3508,1,2)))+TIME(VALUE(MID(A3508,12,2)),VALUE(MID(A3508,15,2)),VALUE(MID(A3508,18,2))),"")))</f>
        <v/>
      </c>
    </row>
    <row r="3509" customFormat="false" ht="15" hidden="false" customHeight="false" outlineLevel="0" collapsed="false">
      <c r="I3509" s="15" t="str">
        <f aca="false">IF(N3509="","",INT(N3509))</f>
        <v/>
      </c>
      <c r="J3509" s="16" t="str">
        <f aca="false">IF(B3509="","",IF(N3509=_xlfn.MINIFS($N$2:$N$5001,$B$2:$B$5001,B3509),1,0))</f>
        <v/>
      </c>
      <c r="K3509" s="16" t="str">
        <f aca="false">IF(B3509="","",IF(AND(D3509="Formalização",E3509="Concluído"),IF(COUNTIFS($B$2:$B$5001,B3509,$E$2:$E$5001,"Em ajustes",$N$2:$N$5001,"&lt;"&amp;I3509)&gt;0,1,0),0))</f>
        <v/>
      </c>
      <c r="L3509" s="16" t="str">
        <f aca="false">IF(B3509="","",IF(N3509=_xlfn.MAXIFS($N$2:$N$5001,$B$2:$B$5001,B3509,$I$2:$I$5001,I3509),1,0))</f>
        <v/>
      </c>
      <c r="M3509" s="16" t="str">
        <f aca="false">IF(B3509="","",IF(E3509="Em ajustes",IF(N3509=_xlfn.MINIFS($N$2:$N$5001,$B$2:$B$5001,B3509,$E$2:$E$5001,"Em ajustes"),1,0),0))</f>
        <v/>
      </c>
      <c r="N3509" s="17" t="str">
        <f aca="false">IF(A3509="","",IF(ISNUMBER(A3509),A3509,IFERROR(DATE(VALUE(MID(A3509,7,4)),VALUE(MID(A3509,4,2)),VALUE(MID(A3509,1,2)))+TIME(VALUE(MID(A3509,12,2)),VALUE(MID(A3509,15,2)),VALUE(MID(A3509,18,2))),"")))</f>
        <v/>
      </c>
    </row>
    <row r="3510" customFormat="false" ht="15" hidden="false" customHeight="false" outlineLevel="0" collapsed="false">
      <c r="I3510" s="15" t="str">
        <f aca="false">IF(N3510="","",INT(N3510))</f>
        <v/>
      </c>
      <c r="J3510" s="16" t="str">
        <f aca="false">IF(B3510="","",IF(N3510=_xlfn.MINIFS($N$2:$N$5001,$B$2:$B$5001,B3510),1,0))</f>
        <v/>
      </c>
      <c r="K3510" s="16" t="str">
        <f aca="false">IF(B3510="","",IF(AND(D3510="Formalização",E3510="Concluído"),IF(COUNTIFS($B$2:$B$5001,B3510,$E$2:$E$5001,"Em ajustes",$N$2:$N$5001,"&lt;"&amp;I3510)&gt;0,1,0),0))</f>
        <v/>
      </c>
      <c r="L3510" s="16" t="str">
        <f aca="false">IF(B3510="","",IF(N3510=_xlfn.MAXIFS($N$2:$N$5001,$B$2:$B$5001,B3510,$I$2:$I$5001,I3510),1,0))</f>
        <v/>
      </c>
      <c r="M3510" s="16" t="str">
        <f aca="false">IF(B3510="","",IF(E3510="Em ajustes",IF(N3510=_xlfn.MINIFS($N$2:$N$5001,$B$2:$B$5001,B3510,$E$2:$E$5001,"Em ajustes"),1,0),0))</f>
        <v/>
      </c>
      <c r="N3510" s="17" t="str">
        <f aca="false">IF(A3510="","",IF(ISNUMBER(A3510),A3510,IFERROR(DATE(VALUE(MID(A3510,7,4)),VALUE(MID(A3510,4,2)),VALUE(MID(A3510,1,2)))+TIME(VALUE(MID(A3510,12,2)),VALUE(MID(A3510,15,2)),VALUE(MID(A3510,18,2))),"")))</f>
        <v/>
      </c>
    </row>
    <row r="3511" customFormat="false" ht="15" hidden="false" customHeight="false" outlineLevel="0" collapsed="false">
      <c r="I3511" s="15" t="str">
        <f aca="false">IF(N3511="","",INT(N3511))</f>
        <v/>
      </c>
      <c r="J3511" s="16" t="str">
        <f aca="false">IF(B3511="","",IF(N3511=_xlfn.MINIFS($N$2:$N$5001,$B$2:$B$5001,B3511),1,0))</f>
        <v/>
      </c>
      <c r="K3511" s="16" t="str">
        <f aca="false">IF(B3511="","",IF(AND(D3511="Formalização",E3511="Concluído"),IF(COUNTIFS($B$2:$B$5001,B3511,$E$2:$E$5001,"Em ajustes",$N$2:$N$5001,"&lt;"&amp;I3511)&gt;0,1,0),0))</f>
        <v/>
      </c>
      <c r="L3511" s="16" t="str">
        <f aca="false">IF(B3511="","",IF(N3511=_xlfn.MAXIFS($N$2:$N$5001,$B$2:$B$5001,B3511,$I$2:$I$5001,I3511),1,0))</f>
        <v/>
      </c>
      <c r="M3511" s="16" t="str">
        <f aca="false">IF(B3511="","",IF(E3511="Em ajustes",IF(N3511=_xlfn.MINIFS($N$2:$N$5001,$B$2:$B$5001,B3511,$E$2:$E$5001,"Em ajustes"),1,0),0))</f>
        <v/>
      </c>
      <c r="N3511" s="17" t="str">
        <f aca="false">IF(A3511="","",IF(ISNUMBER(A3511),A3511,IFERROR(DATE(VALUE(MID(A3511,7,4)),VALUE(MID(A3511,4,2)),VALUE(MID(A3511,1,2)))+TIME(VALUE(MID(A3511,12,2)),VALUE(MID(A3511,15,2)),VALUE(MID(A3511,18,2))),"")))</f>
        <v/>
      </c>
    </row>
    <row r="3512" customFormat="false" ht="15" hidden="false" customHeight="false" outlineLevel="0" collapsed="false">
      <c r="I3512" s="15" t="str">
        <f aca="false">IF(N3512="","",INT(N3512))</f>
        <v/>
      </c>
      <c r="J3512" s="16" t="str">
        <f aca="false">IF(B3512="","",IF(N3512=_xlfn.MINIFS($N$2:$N$5001,$B$2:$B$5001,B3512),1,0))</f>
        <v/>
      </c>
      <c r="K3512" s="16" t="str">
        <f aca="false">IF(B3512="","",IF(AND(D3512="Formalização",E3512="Concluído"),IF(COUNTIFS($B$2:$B$5001,B3512,$E$2:$E$5001,"Em ajustes",$N$2:$N$5001,"&lt;"&amp;I3512)&gt;0,1,0),0))</f>
        <v/>
      </c>
      <c r="L3512" s="16" t="str">
        <f aca="false">IF(B3512="","",IF(N3512=_xlfn.MAXIFS($N$2:$N$5001,$B$2:$B$5001,B3512,$I$2:$I$5001,I3512),1,0))</f>
        <v/>
      </c>
      <c r="M3512" s="16" t="str">
        <f aca="false">IF(B3512="","",IF(E3512="Em ajustes",IF(N3512=_xlfn.MINIFS($N$2:$N$5001,$B$2:$B$5001,B3512,$E$2:$E$5001,"Em ajustes"),1,0),0))</f>
        <v/>
      </c>
      <c r="N3512" s="17" t="str">
        <f aca="false">IF(A3512="","",IF(ISNUMBER(A3512),A3512,IFERROR(DATE(VALUE(MID(A3512,7,4)),VALUE(MID(A3512,4,2)),VALUE(MID(A3512,1,2)))+TIME(VALUE(MID(A3512,12,2)),VALUE(MID(A3512,15,2)),VALUE(MID(A3512,18,2))),"")))</f>
        <v/>
      </c>
    </row>
    <row r="3513" customFormat="false" ht="15" hidden="false" customHeight="false" outlineLevel="0" collapsed="false">
      <c r="I3513" s="15" t="str">
        <f aca="false">IF(N3513="","",INT(N3513))</f>
        <v/>
      </c>
      <c r="J3513" s="16" t="str">
        <f aca="false">IF(B3513="","",IF(N3513=_xlfn.MINIFS($N$2:$N$5001,$B$2:$B$5001,B3513),1,0))</f>
        <v/>
      </c>
      <c r="K3513" s="16" t="str">
        <f aca="false">IF(B3513="","",IF(AND(D3513="Formalização",E3513="Concluído"),IF(COUNTIFS($B$2:$B$5001,B3513,$E$2:$E$5001,"Em ajustes",$N$2:$N$5001,"&lt;"&amp;I3513)&gt;0,1,0),0))</f>
        <v/>
      </c>
      <c r="L3513" s="16" t="str">
        <f aca="false">IF(B3513="","",IF(N3513=_xlfn.MAXIFS($N$2:$N$5001,$B$2:$B$5001,B3513,$I$2:$I$5001,I3513),1,0))</f>
        <v/>
      </c>
      <c r="M3513" s="16" t="str">
        <f aca="false">IF(B3513="","",IF(E3513="Em ajustes",IF(N3513=_xlfn.MINIFS($N$2:$N$5001,$B$2:$B$5001,B3513,$E$2:$E$5001,"Em ajustes"),1,0),0))</f>
        <v/>
      </c>
      <c r="N3513" s="17" t="str">
        <f aca="false">IF(A3513="","",IF(ISNUMBER(A3513),A3513,IFERROR(DATE(VALUE(MID(A3513,7,4)),VALUE(MID(A3513,4,2)),VALUE(MID(A3513,1,2)))+TIME(VALUE(MID(A3513,12,2)),VALUE(MID(A3513,15,2)),VALUE(MID(A3513,18,2))),"")))</f>
        <v/>
      </c>
    </row>
    <row r="3514" customFormat="false" ht="15" hidden="false" customHeight="false" outlineLevel="0" collapsed="false">
      <c r="I3514" s="15" t="str">
        <f aca="false">IF(N3514="","",INT(N3514))</f>
        <v/>
      </c>
      <c r="J3514" s="16" t="str">
        <f aca="false">IF(B3514="","",IF(N3514=_xlfn.MINIFS($N$2:$N$5001,$B$2:$B$5001,B3514),1,0))</f>
        <v/>
      </c>
      <c r="K3514" s="16" t="str">
        <f aca="false">IF(B3514="","",IF(AND(D3514="Formalização",E3514="Concluído"),IF(COUNTIFS($B$2:$B$5001,B3514,$E$2:$E$5001,"Em ajustes",$N$2:$N$5001,"&lt;"&amp;I3514)&gt;0,1,0),0))</f>
        <v/>
      </c>
      <c r="L3514" s="16" t="str">
        <f aca="false">IF(B3514="","",IF(N3514=_xlfn.MAXIFS($N$2:$N$5001,$B$2:$B$5001,B3514,$I$2:$I$5001,I3514),1,0))</f>
        <v/>
      </c>
      <c r="M3514" s="16" t="str">
        <f aca="false">IF(B3514="","",IF(E3514="Em ajustes",IF(N3514=_xlfn.MINIFS($N$2:$N$5001,$B$2:$B$5001,B3514,$E$2:$E$5001,"Em ajustes"),1,0),0))</f>
        <v/>
      </c>
      <c r="N3514" s="17" t="str">
        <f aca="false">IF(A3514="","",IF(ISNUMBER(A3514),A3514,IFERROR(DATE(VALUE(MID(A3514,7,4)),VALUE(MID(A3514,4,2)),VALUE(MID(A3514,1,2)))+TIME(VALUE(MID(A3514,12,2)),VALUE(MID(A3514,15,2)),VALUE(MID(A3514,18,2))),"")))</f>
        <v/>
      </c>
    </row>
    <row r="3515" customFormat="false" ht="15" hidden="false" customHeight="false" outlineLevel="0" collapsed="false">
      <c r="I3515" s="15" t="str">
        <f aca="false">IF(N3515="","",INT(N3515))</f>
        <v/>
      </c>
      <c r="J3515" s="16" t="str">
        <f aca="false">IF(B3515="","",IF(N3515=_xlfn.MINIFS($N$2:$N$5001,$B$2:$B$5001,B3515),1,0))</f>
        <v/>
      </c>
      <c r="K3515" s="16" t="str">
        <f aca="false">IF(B3515="","",IF(AND(D3515="Formalização",E3515="Concluído"),IF(COUNTIFS($B$2:$B$5001,B3515,$E$2:$E$5001,"Em ajustes",$N$2:$N$5001,"&lt;"&amp;I3515)&gt;0,1,0),0))</f>
        <v/>
      </c>
      <c r="L3515" s="16" t="str">
        <f aca="false">IF(B3515="","",IF(N3515=_xlfn.MAXIFS($N$2:$N$5001,$B$2:$B$5001,B3515,$I$2:$I$5001,I3515),1,0))</f>
        <v/>
      </c>
      <c r="M3515" s="16" t="str">
        <f aca="false">IF(B3515="","",IF(E3515="Em ajustes",IF(N3515=_xlfn.MINIFS($N$2:$N$5001,$B$2:$B$5001,B3515,$E$2:$E$5001,"Em ajustes"),1,0),0))</f>
        <v/>
      </c>
      <c r="N3515" s="17" t="str">
        <f aca="false">IF(A3515="","",IF(ISNUMBER(A3515),A3515,IFERROR(DATE(VALUE(MID(A3515,7,4)),VALUE(MID(A3515,4,2)),VALUE(MID(A3515,1,2)))+TIME(VALUE(MID(A3515,12,2)),VALUE(MID(A3515,15,2)),VALUE(MID(A3515,18,2))),"")))</f>
        <v/>
      </c>
    </row>
    <row r="3516" customFormat="false" ht="15" hidden="false" customHeight="false" outlineLevel="0" collapsed="false">
      <c r="I3516" s="15" t="str">
        <f aca="false">IF(N3516="","",INT(N3516))</f>
        <v/>
      </c>
      <c r="J3516" s="16" t="str">
        <f aca="false">IF(B3516="","",IF(N3516=_xlfn.MINIFS($N$2:$N$5001,$B$2:$B$5001,B3516),1,0))</f>
        <v/>
      </c>
      <c r="K3516" s="16" t="str">
        <f aca="false">IF(B3516="","",IF(AND(D3516="Formalização",E3516="Concluído"),IF(COUNTIFS($B$2:$B$5001,B3516,$E$2:$E$5001,"Em ajustes",$N$2:$N$5001,"&lt;"&amp;I3516)&gt;0,1,0),0))</f>
        <v/>
      </c>
      <c r="L3516" s="16" t="str">
        <f aca="false">IF(B3516="","",IF(N3516=_xlfn.MAXIFS($N$2:$N$5001,$B$2:$B$5001,B3516,$I$2:$I$5001,I3516),1,0))</f>
        <v/>
      </c>
      <c r="M3516" s="16" t="str">
        <f aca="false">IF(B3516="","",IF(E3516="Em ajustes",IF(N3516=_xlfn.MINIFS($N$2:$N$5001,$B$2:$B$5001,B3516,$E$2:$E$5001,"Em ajustes"),1,0),0))</f>
        <v/>
      </c>
      <c r="N3516" s="17" t="str">
        <f aca="false">IF(A3516="","",IF(ISNUMBER(A3516),A3516,IFERROR(DATE(VALUE(MID(A3516,7,4)),VALUE(MID(A3516,4,2)),VALUE(MID(A3516,1,2)))+TIME(VALUE(MID(A3516,12,2)),VALUE(MID(A3516,15,2)),VALUE(MID(A3516,18,2))),"")))</f>
        <v/>
      </c>
    </row>
    <row r="3517" customFormat="false" ht="15" hidden="false" customHeight="false" outlineLevel="0" collapsed="false">
      <c r="I3517" s="15" t="str">
        <f aca="false">IF(N3517="","",INT(N3517))</f>
        <v/>
      </c>
      <c r="J3517" s="16" t="str">
        <f aca="false">IF(B3517="","",IF(N3517=_xlfn.MINIFS($N$2:$N$5001,$B$2:$B$5001,B3517),1,0))</f>
        <v/>
      </c>
      <c r="K3517" s="16" t="str">
        <f aca="false">IF(B3517="","",IF(AND(D3517="Formalização",E3517="Concluído"),IF(COUNTIFS($B$2:$B$5001,B3517,$E$2:$E$5001,"Em ajustes",$N$2:$N$5001,"&lt;"&amp;I3517)&gt;0,1,0),0))</f>
        <v/>
      </c>
      <c r="L3517" s="16" t="str">
        <f aca="false">IF(B3517="","",IF(N3517=_xlfn.MAXIFS($N$2:$N$5001,$B$2:$B$5001,B3517,$I$2:$I$5001,I3517),1,0))</f>
        <v/>
      </c>
      <c r="M3517" s="16" t="str">
        <f aca="false">IF(B3517="","",IF(E3517="Em ajustes",IF(N3517=_xlfn.MINIFS($N$2:$N$5001,$B$2:$B$5001,B3517,$E$2:$E$5001,"Em ajustes"),1,0),0))</f>
        <v/>
      </c>
      <c r="N3517" s="17" t="str">
        <f aca="false">IF(A3517="","",IF(ISNUMBER(A3517),A3517,IFERROR(DATE(VALUE(MID(A3517,7,4)),VALUE(MID(A3517,4,2)),VALUE(MID(A3517,1,2)))+TIME(VALUE(MID(A3517,12,2)),VALUE(MID(A3517,15,2)),VALUE(MID(A3517,18,2))),"")))</f>
        <v/>
      </c>
    </row>
    <row r="3518" customFormat="false" ht="15" hidden="false" customHeight="false" outlineLevel="0" collapsed="false">
      <c r="I3518" s="15" t="str">
        <f aca="false">IF(N3518="","",INT(N3518))</f>
        <v/>
      </c>
      <c r="J3518" s="16" t="str">
        <f aca="false">IF(B3518="","",IF(N3518=_xlfn.MINIFS($N$2:$N$5001,$B$2:$B$5001,B3518),1,0))</f>
        <v/>
      </c>
      <c r="K3518" s="16" t="str">
        <f aca="false">IF(B3518="","",IF(AND(D3518="Formalização",E3518="Concluído"),IF(COUNTIFS($B$2:$B$5001,B3518,$E$2:$E$5001,"Em ajustes",$N$2:$N$5001,"&lt;"&amp;I3518)&gt;0,1,0),0))</f>
        <v/>
      </c>
      <c r="L3518" s="16" t="str">
        <f aca="false">IF(B3518="","",IF(N3518=_xlfn.MAXIFS($N$2:$N$5001,$B$2:$B$5001,B3518,$I$2:$I$5001,I3518),1,0))</f>
        <v/>
      </c>
      <c r="M3518" s="16" t="str">
        <f aca="false">IF(B3518="","",IF(E3518="Em ajustes",IF(N3518=_xlfn.MINIFS($N$2:$N$5001,$B$2:$B$5001,B3518,$E$2:$E$5001,"Em ajustes"),1,0),0))</f>
        <v/>
      </c>
      <c r="N3518" s="17" t="str">
        <f aca="false">IF(A3518="","",IF(ISNUMBER(A3518),A3518,IFERROR(DATE(VALUE(MID(A3518,7,4)),VALUE(MID(A3518,4,2)),VALUE(MID(A3518,1,2)))+TIME(VALUE(MID(A3518,12,2)),VALUE(MID(A3518,15,2)),VALUE(MID(A3518,18,2))),"")))</f>
        <v/>
      </c>
    </row>
    <row r="3519" customFormat="false" ht="15" hidden="false" customHeight="false" outlineLevel="0" collapsed="false">
      <c r="I3519" s="15" t="str">
        <f aca="false">IF(N3519="","",INT(N3519))</f>
        <v/>
      </c>
      <c r="J3519" s="16" t="str">
        <f aca="false">IF(B3519="","",IF(N3519=_xlfn.MINIFS($N$2:$N$5001,$B$2:$B$5001,B3519),1,0))</f>
        <v/>
      </c>
      <c r="K3519" s="16" t="str">
        <f aca="false">IF(B3519="","",IF(AND(D3519="Formalização",E3519="Concluído"),IF(COUNTIFS($B$2:$B$5001,B3519,$E$2:$E$5001,"Em ajustes",$N$2:$N$5001,"&lt;"&amp;I3519)&gt;0,1,0),0))</f>
        <v/>
      </c>
      <c r="L3519" s="16" t="str">
        <f aca="false">IF(B3519="","",IF(N3519=_xlfn.MAXIFS($N$2:$N$5001,$B$2:$B$5001,B3519,$I$2:$I$5001,I3519),1,0))</f>
        <v/>
      </c>
      <c r="M3519" s="16" t="str">
        <f aca="false">IF(B3519="","",IF(E3519="Em ajustes",IF(N3519=_xlfn.MINIFS($N$2:$N$5001,$B$2:$B$5001,B3519,$E$2:$E$5001,"Em ajustes"),1,0),0))</f>
        <v/>
      </c>
      <c r="N3519" s="17" t="str">
        <f aca="false">IF(A3519="","",IF(ISNUMBER(A3519),A3519,IFERROR(DATE(VALUE(MID(A3519,7,4)),VALUE(MID(A3519,4,2)),VALUE(MID(A3519,1,2)))+TIME(VALUE(MID(A3519,12,2)),VALUE(MID(A3519,15,2)),VALUE(MID(A3519,18,2))),"")))</f>
        <v/>
      </c>
    </row>
    <row r="3520" customFormat="false" ht="15" hidden="false" customHeight="false" outlineLevel="0" collapsed="false">
      <c r="I3520" s="15" t="str">
        <f aca="false">IF(N3520="","",INT(N3520))</f>
        <v/>
      </c>
      <c r="J3520" s="16" t="str">
        <f aca="false">IF(B3520="","",IF(N3520=_xlfn.MINIFS($N$2:$N$5001,$B$2:$B$5001,B3520),1,0))</f>
        <v/>
      </c>
      <c r="K3520" s="16" t="str">
        <f aca="false">IF(B3520="","",IF(AND(D3520="Formalização",E3520="Concluído"),IF(COUNTIFS($B$2:$B$5001,B3520,$E$2:$E$5001,"Em ajustes",$N$2:$N$5001,"&lt;"&amp;I3520)&gt;0,1,0),0))</f>
        <v/>
      </c>
      <c r="L3520" s="16" t="str">
        <f aca="false">IF(B3520="","",IF(N3520=_xlfn.MAXIFS($N$2:$N$5001,$B$2:$B$5001,B3520,$I$2:$I$5001,I3520),1,0))</f>
        <v/>
      </c>
      <c r="M3520" s="16" t="str">
        <f aca="false">IF(B3520="","",IF(E3520="Em ajustes",IF(N3520=_xlfn.MINIFS($N$2:$N$5001,$B$2:$B$5001,B3520,$E$2:$E$5001,"Em ajustes"),1,0),0))</f>
        <v/>
      </c>
      <c r="N3520" s="17" t="str">
        <f aca="false">IF(A3520="","",IF(ISNUMBER(A3520),A3520,IFERROR(DATE(VALUE(MID(A3520,7,4)),VALUE(MID(A3520,4,2)),VALUE(MID(A3520,1,2)))+TIME(VALUE(MID(A3520,12,2)),VALUE(MID(A3520,15,2)),VALUE(MID(A3520,18,2))),"")))</f>
        <v/>
      </c>
    </row>
    <row r="3521" customFormat="false" ht="15" hidden="false" customHeight="false" outlineLevel="0" collapsed="false">
      <c r="I3521" s="15" t="str">
        <f aca="false">IF(N3521="","",INT(N3521))</f>
        <v/>
      </c>
      <c r="J3521" s="16" t="str">
        <f aca="false">IF(B3521="","",IF(N3521=_xlfn.MINIFS($N$2:$N$5001,$B$2:$B$5001,B3521),1,0))</f>
        <v/>
      </c>
      <c r="K3521" s="16" t="str">
        <f aca="false">IF(B3521="","",IF(AND(D3521="Formalização",E3521="Concluído"),IF(COUNTIFS($B$2:$B$5001,B3521,$E$2:$E$5001,"Em ajustes",$N$2:$N$5001,"&lt;"&amp;I3521)&gt;0,1,0),0))</f>
        <v/>
      </c>
      <c r="L3521" s="16" t="str">
        <f aca="false">IF(B3521="","",IF(N3521=_xlfn.MAXIFS($N$2:$N$5001,$B$2:$B$5001,B3521,$I$2:$I$5001,I3521),1,0))</f>
        <v/>
      </c>
      <c r="M3521" s="16" t="str">
        <f aca="false">IF(B3521="","",IF(E3521="Em ajustes",IF(N3521=_xlfn.MINIFS($N$2:$N$5001,$B$2:$B$5001,B3521,$E$2:$E$5001,"Em ajustes"),1,0),0))</f>
        <v/>
      </c>
      <c r="N3521" s="17" t="str">
        <f aca="false">IF(A3521="","",IF(ISNUMBER(A3521),A3521,IFERROR(DATE(VALUE(MID(A3521,7,4)),VALUE(MID(A3521,4,2)),VALUE(MID(A3521,1,2)))+TIME(VALUE(MID(A3521,12,2)),VALUE(MID(A3521,15,2)),VALUE(MID(A3521,18,2))),"")))</f>
        <v/>
      </c>
    </row>
    <row r="3522" customFormat="false" ht="15" hidden="false" customHeight="false" outlineLevel="0" collapsed="false">
      <c r="I3522" s="15" t="str">
        <f aca="false">IF(N3522="","",INT(N3522))</f>
        <v/>
      </c>
      <c r="J3522" s="16" t="str">
        <f aca="false">IF(B3522="","",IF(N3522=_xlfn.MINIFS($N$2:$N$5001,$B$2:$B$5001,B3522),1,0))</f>
        <v/>
      </c>
      <c r="K3522" s="16" t="str">
        <f aca="false">IF(B3522="","",IF(AND(D3522="Formalização",E3522="Concluído"),IF(COUNTIFS($B$2:$B$5001,B3522,$E$2:$E$5001,"Em ajustes",$N$2:$N$5001,"&lt;"&amp;I3522)&gt;0,1,0),0))</f>
        <v/>
      </c>
      <c r="L3522" s="16" t="str">
        <f aca="false">IF(B3522="","",IF(N3522=_xlfn.MAXIFS($N$2:$N$5001,$B$2:$B$5001,B3522,$I$2:$I$5001,I3522),1,0))</f>
        <v/>
      </c>
      <c r="M3522" s="16" t="str">
        <f aca="false">IF(B3522="","",IF(E3522="Em ajustes",IF(N3522=_xlfn.MINIFS($N$2:$N$5001,$B$2:$B$5001,B3522,$E$2:$E$5001,"Em ajustes"),1,0),0))</f>
        <v/>
      </c>
      <c r="N3522" s="17" t="str">
        <f aca="false">IF(A3522="","",IF(ISNUMBER(A3522),A3522,IFERROR(DATE(VALUE(MID(A3522,7,4)),VALUE(MID(A3522,4,2)),VALUE(MID(A3522,1,2)))+TIME(VALUE(MID(A3522,12,2)),VALUE(MID(A3522,15,2)),VALUE(MID(A3522,18,2))),"")))</f>
        <v/>
      </c>
    </row>
    <row r="3523" customFormat="false" ht="15" hidden="false" customHeight="false" outlineLevel="0" collapsed="false">
      <c r="I3523" s="15" t="str">
        <f aca="false">IF(N3523="","",INT(N3523))</f>
        <v/>
      </c>
      <c r="J3523" s="16" t="str">
        <f aca="false">IF(B3523="","",IF(N3523=_xlfn.MINIFS($N$2:$N$5001,$B$2:$B$5001,B3523),1,0))</f>
        <v/>
      </c>
      <c r="K3523" s="16" t="str">
        <f aca="false">IF(B3523="","",IF(AND(D3523="Formalização",E3523="Concluído"),IF(COUNTIFS($B$2:$B$5001,B3523,$E$2:$E$5001,"Em ajustes",$N$2:$N$5001,"&lt;"&amp;I3523)&gt;0,1,0),0))</f>
        <v/>
      </c>
      <c r="L3523" s="16" t="str">
        <f aca="false">IF(B3523="","",IF(N3523=_xlfn.MAXIFS($N$2:$N$5001,$B$2:$B$5001,B3523,$I$2:$I$5001,I3523),1,0))</f>
        <v/>
      </c>
      <c r="M3523" s="16" t="str">
        <f aca="false">IF(B3523="","",IF(E3523="Em ajustes",IF(N3523=_xlfn.MINIFS($N$2:$N$5001,$B$2:$B$5001,B3523,$E$2:$E$5001,"Em ajustes"),1,0),0))</f>
        <v/>
      </c>
      <c r="N3523" s="17" t="str">
        <f aca="false">IF(A3523="","",IF(ISNUMBER(A3523),A3523,IFERROR(DATE(VALUE(MID(A3523,7,4)),VALUE(MID(A3523,4,2)),VALUE(MID(A3523,1,2)))+TIME(VALUE(MID(A3523,12,2)),VALUE(MID(A3523,15,2)),VALUE(MID(A3523,18,2))),"")))</f>
        <v/>
      </c>
    </row>
    <row r="3524" customFormat="false" ht="15" hidden="false" customHeight="false" outlineLevel="0" collapsed="false">
      <c r="I3524" s="15" t="str">
        <f aca="false">IF(N3524="","",INT(N3524))</f>
        <v/>
      </c>
      <c r="J3524" s="16" t="str">
        <f aca="false">IF(B3524="","",IF(N3524=_xlfn.MINIFS($N$2:$N$5001,$B$2:$B$5001,B3524),1,0))</f>
        <v/>
      </c>
      <c r="K3524" s="16" t="str">
        <f aca="false">IF(B3524="","",IF(AND(D3524="Formalização",E3524="Concluído"),IF(COUNTIFS($B$2:$B$5001,B3524,$E$2:$E$5001,"Em ajustes",$N$2:$N$5001,"&lt;"&amp;I3524)&gt;0,1,0),0))</f>
        <v/>
      </c>
      <c r="L3524" s="16" t="str">
        <f aca="false">IF(B3524="","",IF(N3524=_xlfn.MAXIFS($N$2:$N$5001,$B$2:$B$5001,B3524,$I$2:$I$5001,I3524),1,0))</f>
        <v/>
      </c>
      <c r="M3524" s="16" t="str">
        <f aca="false">IF(B3524="","",IF(E3524="Em ajustes",IF(N3524=_xlfn.MINIFS($N$2:$N$5001,$B$2:$B$5001,B3524,$E$2:$E$5001,"Em ajustes"),1,0),0))</f>
        <v/>
      </c>
      <c r="N3524" s="17" t="str">
        <f aca="false">IF(A3524="","",IF(ISNUMBER(A3524),A3524,IFERROR(DATE(VALUE(MID(A3524,7,4)),VALUE(MID(A3524,4,2)),VALUE(MID(A3524,1,2)))+TIME(VALUE(MID(A3524,12,2)),VALUE(MID(A3524,15,2)),VALUE(MID(A3524,18,2))),"")))</f>
        <v/>
      </c>
    </row>
    <row r="3525" customFormat="false" ht="15" hidden="false" customHeight="false" outlineLevel="0" collapsed="false">
      <c r="I3525" s="15" t="str">
        <f aca="false">IF(N3525="","",INT(N3525))</f>
        <v/>
      </c>
      <c r="J3525" s="16" t="str">
        <f aca="false">IF(B3525="","",IF(N3525=_xlfn.MINIFS($N$2:$N$5001,$B$2:$B$5001,B3525),1,0))</f>
        <v/>
      </c>
      <c r="K3525" s="16" t="str">
        <f aca="false">IF(B3525="","",IF(AND(D3525="Formalização",E3525="Concluído"),IF(COUNTIFS($B$2:$B$5001,B3525,$E$2:$E$5001,"Em ajustes",$N$2:$N$5001,"&lt;"&amp;I3525)&gt;0,1,0),0))</f>
        <v/>
      </c>
      <c r="L3525" s="16" t="str">
        <f aca="false">IF(B3525="","",IF(N3525=_xlfn.MAXIFS($N$2:$N$5001,$B$2:$B$5001,B3525,$I$2:$I$5001,I3525),1,0))</f>
        <v/>
      </c>
      <c r="M3525" s="16" t="str">
        <f aca="false">IF(B3525="","",IF(E3525="Em ajustes",IF(N3525=_xlfn.MINIFS($N$2:$N$5001,$B$2:$B$5001,B3525,$E$2:$E$5001,"Em ajustes"),1,0),0))</f>
        <v/>
      </c>
      <c r="N3525" s="17" t="str">
        <f aca="false">IF(A3525="","",IF(ISNUMBER(A3525),A3525,IFERROR(DATE(VALUE(MID(A3525,7,4)),VALUE(MID(A3525,4,2)),VALUE(MID(A3525,1,2)))+TIME(VALUE(MID(A3525,12,2)),VALUE(MID(A3525,15,2)),VALUE(MID(A3525,18,2))),"")))</f>
        <v/>
      </c>
    </row>
    <row r="3526" customFormat="false" ht="15" hidden="false" customHeight="false" outlineLevel="0" collapsed="false">
      <c r="I3526" s="15" t="str">
        <f aca="false">IF(N3526="","",INT(N3526))</f>
        <v/>
      </c>
      <c r="J3526" s="16" t="str">
        <f aca="false">IF(B3526="","",IF(N3526=_xlfn.MINIFS($N$2:$N$5001,$B$2:$B$5001,B3526),1,0))</f>
        <v/>
      </c>
      <c r="K3526" s="16" t="str">
        <f aca="false">IF(B3526="","",IF(AND(D3526="Formalização",E3526="Concluído"),IF(COUNTIFS($B$2:$B$5001,B3526,$E$2:$E$5001,"Em ajustes",$N$2:$N$5001,"&lt;"&amp;I3526)&gt;0,1,0),0))</f>
        <v/>
      </c>
      <c r="L3526" s="16" t="str">
        <f aca="false">IF(B3526="","",IF(N3526=_xlfn.MAXIFS($N$2:$N$5001,$B$2:$B$5001,B3526,$I$2:$I$5001,I3526),1,0))</f>
        <v/>
      </c>
      <c r="M3526" s="16" t="str">
        <f aca="false">IF(B3526="","",IF(E3526="Em ajustes",IF(N3526=_xlfn.MINIFS($N$2:$N$5001,$B$2:$B$5001,B3526,$E$2:$E$5001,"Em ajustes"),1,0),0))</f>
        <v/>
      </c>
      <c r="N3526" s="17" t="str">
        <f aca="false">IF(A3526="","",IF(ISNUMBER(A3526),A3526,IFERROR(DATE(VALUE(MID(A3526,7,4)),VALUE(MID(A3526,4,2)),VALUE(MID(A3526,1,2)))+TIME(VALUE(MID(A3526,12,2)),VALUE(MID(A3526,15,2)),VALUE(MID(A3526,18,2))),"")))</f>
        <v/>
      </c>
    </row>
    <row r="3527" customFormat="false" ht="15" hidden="false" customHeight="false" outlineLevel="0" collapsed="false">
      <c r="I3527" s="15" t="str">
        <f aca="false">IF(N3527="","",INT(N3527))</f>
        <v/>
      </c>
      <c r="J3527" s="16" t="str">
        <f aca="false">IF(B3527="","",IF(N3527=_xlfn.MINIFS($N$2:$N$5001,$B$2:$B$5001,B3527),1,0))</f>
        <v/>
      </c>
      <c r="K3527" s="16" t="str">
        <f aca="false">IF(B3527="","",IF(AND(D3527="Formalização",E3527="Concluído"),IF(COUNTIFS($B$2:$B$5001,B3527,$E$2:$E$5001,"Em ajustes",$N$2:$N$5001,"&lt;"&amp;I3527)&gt;0,1,0),0))</f>
        <v/>
      </c>
      <c r="L3527" s="16" t="str">
        <f aca="false">IF(B3527="","",IF(N3527=_xlfn.MAXIFS($N$2:$N$5001,$B$2:$B$5001,B3527,$I$2:$I$5001,I3527),1,0))</f>
        <v/>
      </c>
      <c r="M3527" s="16" t="str">
        <f aca="false">IF(B3527="","",IF(E3527="Em ajustes",IF(N3527=_xlfn.MINIFS($N$2:$N$5001,$B$2:$B$5001,B3527,$E$2:$E$5001,"Em ajustes"),1,0),0))</f>
        <v/>
      </c>
      <c r="N3527" s="17" t="str">
        <f aca="false">IF(A3527="","",IF(ISNUMBER(A3527),A3527,IFERROR(DATE(VALUE(MID(A3527,7,4)),VALUE(MID(A3527,4,2)),VALUE(MID(A3527,1,2)))+TIME(VALUE(MID(A3527,12,2)),VALUE(MID(A3527,15,2)),VALUE(MID(A3527,18,2))),"")))</f>
        <v/>
      </c>
    </row>
    <row r="3528" customFormat="false" ht="15" hidden="false" customHeight="false" outlineLevel="0" collapsed="false">
      <c r="I3528" s="15" t="str">
        <f aca="false">IF(N3528="","",INT(N3528))</f>
        <v/>
      </c>
      <c r="J3528" s="16" t="str">
        <f aca="false">IF(B3528="","",IF(N3528=_xlfn.MINIFS($N$2:$N$5001,$B$2:$B$5001,B3528),1,0))</f>
        <v/>
      </c>
      <c r="K3528" s="16" t="str">
        <f aca="false">IF(B3528="","",IF(AND(D3528="Formalização",E3528="Concluído"),IF(COUNTIFS($B$2:$B$5001,B3528,$E$2:$E$5001,"Em ajustes",$N$2:$N$5001,"&lt;"&amp;I3528)&gt;0,1,0),0))</f>
        <v/>
      </c>
      <c r="L3528" s="16" t="str">
        <f aca="false">IF(B3528="","",IF(N3528=_xlfn.MAXIFS($N$2:$N$5001,$B$2:$B$5001,B3528,$I$2:$I$5001,I3528),1,0))</f>
        <v/>
      </c>
      <c r="M3528" s="16" t="str">
        <f aca="false">IF(B3528="","",IF(E3528="Em ajustes",IF(N3528=_xlfn.MINIFS($N$2:$N$5001,$B$2:$B$5001,B3528,$E$2:$E$5001,"Em ajustes"),1,0),0))</f>
        <v/>
      </c>
      <c r="N3528" s="17" t="str">
        <f aca="false">IF(A3528="","",IF(ISNUMBER(A3528),A3528,IFERROR(DATE(VALUE(MID(A3528,7,4)),VALUE(MID(A3528,4,2)),VALUE(MID(A3528,1,2)))+TIME(VALUE(MID(A3528,12,2)),VALUE(MID(A3528,15,2)),VALUE(MID(A3528,18,2))),"")))</f>
        <v/>
      </c>
    </row>
    <row r="3529" customFormat="false" ht="15" hidden="false" customHeight="false" outlineLevel="0" collapsed="false">
      <c r="I3529" s="15" t="str">
        <f aca="false">IF(N3529="","",INT(N3529))</f>
        <v/>
      </c>
      <c r="J3529" s="16" t="str">
        <f aca="false">IF(B3529="","",IF(N3529=_xlfn.MINIFS($N$2:$N$5001,$B$2:$B$5001,B3529),1,0))</f>
        <v/>
      </c>
      <c r="K3529" s="16" t="str">
        <f aca="false">IF(B3529="","",IF(AND(D3529="Formalização",E3529="Concluído"),IF(COUNTIFS($B$2:$B$5001,B3529,$E$2:$E$5001,"Em ajustes",$N$2:$N$5001,"&lt;"&amp;I3529)&gt;0,1,0),0))</f>
        <v/>
      </c>
      <c r="L3529" s="16" t="str">
        <f aca="false">IF(B3529="","",IF(N3529=_xlfn.MAXIFS($N$2:$N$5001,$B$2:$B$5001,B3529,$I$2:$I$5001,I3529),1,0))</f>
        <v/>
      </c>
      <c r="M3529" s="16" t="str">
        <f aca="false">IF(B3529="","",IF(E3529="Em ajustes",IF(N3529=_xlfn.MINIFS($N$2:$N$5001,$B$2:$B$5001,B3529,$E$2:$E$5001,"Em ajustes"),1,0),0))</f>
        <v/>
      </c>
      <c r="N3529" s="17" t="str">
        <f aca="false">IF(A3529="","",IF(ISNUMBER(A3529),A3529,IFERROR(DATE(VALUE(MID(A3529,7,4)),VALUE(MID(A3529,4,2)),VALUE(MID(A3529,1,2)))+TIME(VALUE(MID(A3529,12,2)),VALUE(MID(A3529,15,2)),VALUE(MID(A3529,18,2))),"")))</f>
        <v/>
      </c>
    </row>
    <row r="3530" customFormat="false" ht="15" hidden="false" customHeight="false" outlineLevel="0" collapsed="false">
      <c r="I3530" s="15" t="str">
        <f aca="false">IF(N3530="","",INT(N3530))</f>
        <v/>
      </c>
      <c r="J3530" s="16" t="str">
        <f aca="false">IF(B3530="","",IF(N3530=_xlfn.MINIFS($N$2:$N$5001,$B$2:$B$5001,B3530),1,0))</f>
        <v/>
      </c>
      <c r="K3530" s="16" t="str">
        <f aca="false">IF(B3530="","",IF(AND(D3530="Formalização",E3530="Concluído"),IF(COUNTIFS($B$2:$B$5001,B3530,$E$2:$E$5001,"Em ajustes",$N$2:$N$5001,"&lt;"&amp;I3530)&gt;0,1,0),0))</f>
        <v/>
      </c>
      <c r="L3530" s="16" t="str">
        <f aca="false">IF(B3530="","",IF(N3530=_xlfn.MAXIFS($N$2:$N$5001,$B$2:$B$5001,B3530,$I$2:$I$5001,I3530),1,0))</f>
        <v/>
      </c>
      <c r="M3530" s="16" t="str">
        <f aca="false">IF(B3530="","",IF(E3530="Em ajustes",IF(N3530=_xlfn.MINIFS($N$2:$N$5001,$B$2:$B$5001,B3530,$E$2:$E$5001,"Em ajustes"),1,0),0))</f>
        <v/>
      </c>
      <c r="N3530" s="17" t="str">
        <f aca="false">IF(A3530="","",IF(ISNUMBER(A3530),A3530,IFERROR(DATE(VALUE(MID(A3530,7,4)),VALUE(MID(A3530,4,2)),VALUE(MID(A3530,1,2)))+TIME(VALUE(MID(A3530,12,2)),VALUE(MID(A3530,15,2)),VALUE(MID(A3530,18,2))),"")))</f>
        <v/>
      </c>
    </row>
    <row r="3531" customFormat="false" ht="15" hidden="false" customHeight="false" outlineLevel="0" collapsed="false">
      <c r="I3531" s="15" t="str">
        <f aca="false">IF(N3531="","",INT(N3531))</f>
        <v/>
      </c>
      <c r="J3531" s="16" t="str">
        <f aca="false">IF(B3531="","",IF(N3531=_xlfn.MINIFS($N$2:$N$5001,$B$2:$B$5001,B3531),1,0))</f>
        <v/>
      </c>
      <c r="K3531" s="16" t="str">
        <f aca="false">IF(B3531="","",IF(AND(D3531="Formalização",E3531="Concluído"),IF(COUNTIFS($B$2:$B$5001,B3531,$E$2:$E$5001,"Em ajustes",$N$2:$N$5001,"&lt;"&amp;I3531)&gt;0,1,0),0))</f>
        <v/>
      </c>
      <c r="L3531" s="16" t="str">
        <f aca="false">IF(B3531="","",IF(N3531=_xlfn.MAXIFS($N$2:$N$5001,$B$2:$B$5001,B3531,$I$2:$I$5001,I3531),1,0))</f>
        <v/>
      </c>
      <c r="M3531" s="16" t="str">
        <f aca="false">IF(B3531="","",IF(E3531="Em ajustes",IF(N3531=_xlfn.MINIFS($N$2:$N$5001,$B$2:$B$5001,B3531,$E$2:$E$5001,"Em ajustes"),1,0),0))</f>
        <v/>
      </c>
      <c r="N3531" s="17" t="str">
        <f aca="false">IF(A3531="","",IF(ISNUMBER(A3531),A3531,IFERROR(DATE(VALUE(MID(A3531,7,4)),VALUE(MID(A3531,4,2)),VALUE(MID(A3531,1,2)))+TIME(VALUE(MID(A3531,12,2)),VALUE(MID(A3531,15,2)),VALUE(MID(A3531,18,2))),"")))</f>
        <v/>
      </c>
    </row>
    <row r="3532" customFormat="false" ht="15" hidden="false" customHeight="false" outlineLevel="0" collapsed="false">
      <c r="I3532" s="15" t="str">
        <f aca="false">IF(N3532="","",INT(N3532))</f>
        <v/>
      </c>
      <c r="J3532" s="16" t="str">
        <f aca="false">IF(B3532="","",IF(N3532=_xlfn.MINIFS($N$2:$N$5001,$B$2:$B$5001,B3532),1,0))</f>
        <v/>
      </c>
      <c r="K3532" s="16" t="str">
        <f aca="false">IF(B3532="","",IF(AND(D3532="Formalização",E3532="Concluído"),IF(COUNTIFS($B$2:$B$5001,B3532,$E$2:$E$5001,"Em ajustes",$N$2:$N$5001,"&lt;"&amp;I3532)&gt;0,1,0),0))</f>
        <v/>
      </c>
      <c r="L3532" s="16" t="str">
        <f aca="false">IF(B3532="","",IF(N3532=_xlfn.MAXIFS($N$2:$N$5001,$B$2:$B$5001,B3532,$I$2:$I$5001,I3532),1,0))</f>
        <v/>
      </c>
      <c r="M3532" s="16" t="str">
        <f aca="false">IF(B3532="","",IF(E3532="Em ajustes",IF(N3532=_xlfn.MINIFS($N$2:$N$5001,$B$2:$B$5001,B3532,$E$2:$E$5001,"Em ajustes"),1,0),0))</f>
        <v/>
      </c>
      <c r="N3532" s="17" t="str">
        <f aca="false">IF(A3532="","",IF(ISNUMBER(A3532),A3532,IFERROR(DATE(VALUE(MID(A3532,7,4)),VALUE(MID(A3532,4,2)),VALUE(MID(A3532,1,2)))+TIME(VALUE(MID(A3532,12,2)),VALUE(MID(A3532,15,2)),VALUE(MID(A3532,18,2))),"")))</f>
        <v/>
      </c>
    </row>
    <row r="3533" customFormat="false" ht="15" hidden="false" customHeight="false" outlineLevel="0" collapsed="false">
      <c r="I3533" s="15" t="str">
        <f aca="false">IF(N3533="","",INT(N3533))</f>
        <v/>
      </c>
      <c r="J3533" s="16" t="str">
        <f aca="false">IF(B3533="","",IF(N3533=_xlfn.MINIFS($N$2:$N$5001,$B$2:$B$5001,B3533),1,0))</f>
        <v/>
      </c>
      <c r="K3533" s="16" t="str">
        <f aca="false">IF(B3533="","",IF(AND(D3533="Formalização",E3533="Concluído"),IF(COUNTIFS($B$2:$B$5001,B3533,$E$2:$E$5001,"Em ajustes",$N$2:$N$5001,"&lt;"&amp;I3533)&gt;0,1,0),0))</f>
        <v/>
      </c>
      <c r="L3533" s="16" t="str">
        <f aca="false">IF(B3533="","",IF(N3533=_xlfn.MAXIFS($N$2:$N$5001,$B$2:$B$5001,B3533,$I$2:$I$5001,I3533),1,0))</f>
        <v/>
      </c>
      <c r="M3533" s="16" t="str">
        <f aca="false">IF(B3533="","",IF(E3533="Em ajustes",IF(N3533=_xlfn.MINIFS($N$2:$N$5001,$B$2:$B$5001,B3533,$E$2:$E$5001,"Em ajustes"),1,0),0))</f>
        <v/>
      </c>
      <c r="N3533" s="17" t="str">
        <f aca="false">IF(A3533="","",IF(ISNUMBER(A3533),A3533,IFERROR(DATE(VALUE(MID(A3533,7,4)),VALUE(MID(A3533,4,2)),VALUE(MID(A3533,1,2)))+TIME(VALUE(MID(A3533,12,2)),VALUE(MID(A3533,15,2)),VALUE(MID(A3533,18,2))),"")))</f>
        <v/>
      </c>
    </row>
    <row r="3534" customFormat="false" ht="15" hidden="false" customHeight="false" outlineLevel="0" collapsed="false">
      <c r="I3534" s="15" t="str">
        <f aca="false">IF(N3534="","",INT(N3534))</f>
        <v/>
      </c>
      <c r="J3534" s="16" t="str">
        <f aca="false">IF(B3534="","",IF(N3534=_xlfn.MINIFS($N$2:$N$5001,$B$2:$B$5001,B3534),1,0))</f>
        <v/>
      </c>
      <c r="K3534" s="16" t="str">
        <f aca="false">IF(B3534="","",IF(AND(D3534="Formalização",E3534="Concluído"),IF(COUNTIFS($B$2:$B$5001,B3534,$E$2:$E$5001,"Em ajustes",$N$2:$N$5001,"&lt;"&amp;I3534)&gt;0,1,0),0))</f>
        <v/>
      </c>
      <c r="L3534" s="16" t="str">
        <f aca="false">IF(B3534="","",IF(N3534=_xlfn.MAXIFS($N$2:$N$5001,$B$2:$B$5001,B3534,$I$2:$I$5001,I3534),1,0))</f>
        <v/>
      </c>
      <c r="M3534" s="16" t="str">
        <f aca="false">IF(B3534="","",IF(E3534="Em ajustes",IF(N3534=_xlfn.MINIFS($N$2:$N$5001,$B$2:$B$5001,B3534,$E$2:$E$5001,"Em ajustes"),1,0),0))</f>
        <v/>
      </c>
      <c r="N3534" s="17" t="str">
        <f aca="false">IF(A3534="","",IF(ISNUMBER(A3534),A3534,IFERROR(DATE(VALUE(MID(A3534,7,4)),VALUE(MID(A3534,4,2)),VALUE(MID(A3534,1,2)))+TIME(VALUE(MID(A3534,12,2)),VALUE(MID(A3534,15,2)),VALUE(MID(A3534,18,2))),"")))</f>
        <v/>
      </c>
    </row>
    <row r="3535" customFormat="false" ht="15" hidden="false" customHeight="false" outlineLevel="0" collapsed="false">
      <c r="I3535" s="15" t="str">
        <f aca="false">IF(N3535="","",INT(N3535))</f>
        <v/>
      </c>
      <c r="J3535" s="16" t="str">
        <f aca="false">IF(B3535="","",IF(N3535=_xlfn.MINIFS($N$2:$N$5001,$B$2:$B$5001,B3535),1,0))</f>
        <v/>
      </c>
      <c r="K3535" s="16" t="str">
        <f aca="false">IF(B3535="","",IF(AND(D3535="Formalização",E3535="Concluído"),IF(COUNTIFS($B$2:$B$5001,B3535,$E$2:$E$5001,"Em ajustes",$N$2:$N$5001,"&lt;"&amp;I3535)&gt;0,1,0),0))</f>
        <v/>
      </c>
      <c r="L3535" s="16" t="str">
        <f aca="false">IF(B3535="","",IF(N3535=_xlfn.MAXIFS($N$2:$N$5001,$B$2:$B$5001,B3535,$I$2:$I$5001,I3535),1,0))</f>
        <v/>
      </c>
      <c r="M3535" s="16" t="str">
        <f aca="false">IF(B3535="","",IF(E3535="Em ajustes",IF(N3535=_xlfn.MINIFS($N$2:$N$5001,$B$2:$B$5001,B3535,$E$2:$E$5001,"Em ajustes"),1,0),0))</f>
        <v/>
      </c>
      <c r="N3535" s="17" t="str">
        <f aca="false">IF(A3535="","",IF(ISNUMBER(A3535),A3535,IFERROR(DATE(VALUE(MID(A3535,7,4)),VALUE(MID(A3535,4,2)),VALUE(MID(A3535,1,2)))+TIME(VALUE(MID(A3535,12,2)),VALUE(MID(A3535,15,2)),VALUE(MID(A3535,18,2))),"")))</f>
        <v/>
      </c>
    </row>
    <row r="3536" customFormat="false" ht="15" hidden="false" customHeight="false" outlineLevel="0" collapsed="false">
      <c r="I3536" s="15" t="str">
        <f aca="false">IF(N3536="","",INT(N3536))</f>
        <v/>
      </c>
      <c r="J3536" s="16" t="str">
        <f aca="false">IF(B3536="","",IF(N3536=_xlfn.MINIFS($N$2:$N$5001,$B$2:$B$5001,B3536),1,0))</f>
        <v/>
      </c>
      <c r="K3536" s="16" t="str">
        <f aca="false">IF(B3536="","",IF(AND(D3536="Formalização",E3536="Concluído"),IF(COUNTIFS($B$2:$B$5001,B3536,$E$2:$E$5001,"Em ajustes",$N$2:$N$5001,"&lt;"&amp;I3536)&gt;0,1,0),0))</f>
        <v/>
      </c>
      <c r="L3536" s="16" t="str">
        <f aca="false">IF(B3536="","",IF(N3536=_xlfn.MAXIFS($N$2:$N$5001,$B$2:$B$5001,B3536,$I$2:$I$5001,I3536),1,0))</f>
        <v/>
      </c>
      <c r="M3536" s="16" t="str">
        <f aca="false">IF(B3536="","",IF(E3536="Em ajustes",IF(N3536=_xlfn.MINIFS($N$2:$N$5001,$B$2:$B$5001,B3536,$E$2:$E$5001,"Em ajustes"),1,0),0))</f>
        <v/>
      </c>
      <c r="N3536" s="17" t="str">
        <f aca="false">IF(A3536="","",IF(ISNUMBER(A3536),A3536,IFERROR(DATE(VALUE(MID(A3536,7,4)),VALUE(MID(A3536,4,2)),VALUE(MID(A3536,1,2)))+TIME(VALUE(MID(A3536,12,2)),VALUE(MID(A3536,15,2)),VALUE(MID(A3536,18,2))),"")))</f>
        <v/>
      </c>
    </row>
    <row r="3537" customFormat="false" ht="15" hidden="false" customHeight="false" outlineLevel="0" collapsed="false">
      <c r="I3537" s="15" t="str">
        <f aca="false">IF(N3537="","",INT(N3537))</f>
        <v/>
      </c>
      <c r="J3537" s="16" t="str">
        <f aca="false">IF(B3537="","",IF(N3537=_xlfn.MINIFS($N$2:$N$5001,$B$2:$B$5001,B3537),1,0))</f>
        <v/>
      </c>
      <c r="K3537" s="16" t="str">
        <f aca="false">IF(B3537="","",IF(AND(D3537="Formalização",E3537="Concluído"),IF(COUNTIFS($B$2:$B$5001,B3537,$E$2:$E$5001,"Em ajustes",$N$2:$N$5001,"&lt;"&amp;I3537)&gt;0,1,0),0))</f>
        <v/>
      </c>
      <c r="L3537" s="16" t="str">
        <f aca="false">IF(B3537="","",IF(N3537=_xlfn.MAXIFS($N$2:$N$5001,$B$2:$B$5001,B3537,$I$2:$I$5001,I3537),1,0))</f>
        <v/>
      </c>
      <c r="M3537" s="16" t="str">
        <f aca="false">IF(B3537="","",IF(E3537="Em ajustes",IF(N3537=_xlfn.MINIFS($N$2:$N$5001,$B$2:$B$5001,B3537,$E$2:$E$5001,"Em ajustes"),1,0),0))</f>
        <v/>
      </c>
      <c r="N3537" s="17" t="str">
        <f aca="false">IF(A3537="","",IF(ISNUMBER(A3537),A3537,IFERROR(DATE(VALUE(MID(A3537,7,4)),VALUE(MID(A3537,4,2)),VALUE(MID(A3537,1,2)))+TIME(VALUE(MID(A3537,12,2)),VALUE(MID(A3537,15,2)),VALUE(MID(A3537,18,2))),"")))</f>
        <v/>
      </c>
    </row>
    <row r="3538" customFormat="false" ht="15" hidden="false" customHeight="false" outlineLevel="0" collapsed="false">
      <c r="I3538" s="15" t="str">
        <f aca="false">IF(N3538="","",INT(N3538))</f>
        <v/>
      </c>
      <c r="J3538" s="16" t="str">
        <f aca="false">IF(B3538="","",IF(N3538=_xlfn.MINIFS($N$2:$N$5001,$B$2:$B$5001,B3538),1,0))</f>
        <v/>
      </c>
      <c r="K3538" s="16" t="str">
        <f aca="false">IF(B3538="","",IF(AND(D3538="Formalização",E3538="Concluído"),IF(COUNTIFS($B$2:$B$5001,B3538,$E$2:$E$5001,"Em ajustes",$N$2:$N$5001,"&lt;"&amp;I3538)&gt;0,1,0),0))</f>
        <v/>
      </c>
      <c r="L3538" s="16" t="str">
        <f aca="false">IF(B3538="","",IF(N3538=_xlfn.MAXIFS($N$2:$N$5001,$B$2:$B$5001,B3538,$I$2:$I$5001,I3538),1,0))</f>
        <v/>
      </c>
      <c r="M3538" s="16" t="str">
        <f aca="false">IF(B3538="","",IF(E3538="Em ajustes",IF(N3538=_xlfn.MINIFS($N$2:$N$5001,$B$2:$B$5001,B3538,$E$2:$E$5001,"Em ajustes"),1,0),0))</f>
        <v/>
      </c>
      <c r="N3538" s="17" t="str">
        <f aca="false">IF(A3538="","",IF(ISNUMBER(A3538),A3538,IFERROR(DATE(VALUE(MID(A3538,7,4)),VALUE(MID(A3538,4,2)),VALUE(MID(A3538,1,2)))+TIME(VALUE(MID(A3538,12,2)),VALUE(MID(A3538,15,2)),VALUE(MID(A3538,18,2))),"")))</f>
        <v/>
      </c>
    </row>
    <row r="3539" customFormat="false" ht="15" hidden="false" customHeight="false" outlineLevel="0" collapsed="false">
      <c r="I3539" s="15" t="str">
        <f aca="false">IF(N3539="","",INT(N3539))</f>
        <v/>
      </c>
      <c r="J3539" s="16" t="str">
        <f aca="false">IF(B3539="","",IF(N3539=_xlfn.MINIFS($N$2:$N$5001,$B$2:$B$5001,B3539),1,0))</f>
        <v/>
      </c>
      <c r="K3539" s="16" t="str">
        <f aca="false">IF(B3539="","",IF(AND(D3539="Formalização",E3539="Concluído"),IF(COUNTIFS($B$2:$B$5001,B3539,$E$2:$E$5001,"Em ajustes",$N$2:$N$5001,"&lt;"&amp;I3539)&gt;0,1,0),0))</f>
        <v/>
      </c>
      <c r="L3539" s="16" t="str">
        <f aca="false">IF(B3539="","",IF(N3539=_xlfn.MAXIFS($N$2:$N$5001,$B$2:$B$5001,B3539,$I$2:$I$5001,I3539),1,0))</f>
        <v/>
      </c>
      <c r="M3539" s="16" t="str">
        <f aca="false">IF(B3539="","",IF(E3539="Em ajustes",IF(N3539=_xlfn.MINIFS($N$2:$N$5001,$B$2:$B$5001,B3539,$E$2:$E$5001,"Em ajustes"),1,0),0))</f>
        <v/>
      </c>
      <c r="N3539" s="17" t="str">
        <f aca="false">IF(A3539="","",IF(ISNUMBER(A3539),A3539,IFERROR(DATE(VALUE(MID(A3539,7,4)),VALUE(MID(A3539,4,2)),VALUE(MID(A3539,1,2)))+TIME(VALUE(MID(A3539,12,2)),VALUE(MID(A3539,15,2)),VALUE(MID(A3539,18,2))),"")))</f>
        <v/>
      </c>
    </row>
    <row r="3540" customFormat="false" ht="15" hidden="false" customHeight="false" outlineLevel="0" collapsed="false">
      <c r="I3540" s="15" t="str">
        <f aca="false">IF(N3540="","",INT(N3540))</f>
        <v/>
      </c>
      <c r="J3540" s="16" t="str">
        <f aca="false">IF(B3540="","",IF(N3540=_xlfn.MINIFS($N$2:$N$5001,$B$2:$B$5001,B3540),1,0))</f>
        <v/>
      </c>
      <c r="K3540" s="16" t="str">
        <f aca="false">IF(B3540="","",IF(AND(D3540="Formalização",E3540="Concluído"),IF(COUNTIFS($B$2:$B$5001,B3540,$E$2:$E$5001,"Em ajustes",$N$2:$N$5001,"&lt;"&amp;I3540)&gt;0,1,0),0))</f>
        <v/>
      </c>
      <c r="L3540" s="16" t="str">
        <f aca="false">IF(B3540="","",IF(N3540=_xlfn.MAXIFS($N$2:$N$5001,$B$2:$B$5001,B3540,$I$2:$I$5001,I3540),1,0))</f>
        <v/>
      </c>
      <c r="M3540" s="16" t="str">
        <f aca="false">IF(B3540="","",IF(E3540="Em ajustes",IF(N3540=_xlfn.MINIFS($N$2:$N$5001,$B$2:$B$5001,B3540,$E$2:$E$5001,"Em ajustes"),1,0),0))</f>
        <v/>
      </c>
      <c r="N3540" s="17" t="str">
        <f aca="false">IF(A3540="","",IF(ISNUMBER(A3540),A3540,IFERROR(DATE(VALUE(MID(A3540,7,4)),VALUE(MID(A3540,4,2)),VALUE(MID(A3540,1,2)))+TIME(VALUE(MID(A3540,12,2)),VALUE(MID(A3540,15,2)),VALUE(MID(A3540,18,2))),"")))</f>
        <v/>
      </c>
    </row>
    <row r="3541" customFormat="false" ht="15" hidden="false" customHeight="false" outlineLevel="0" collapsed="false">
      <c r="I3541" s="15" t="str">
        <f aca="false">IF(N3541="","",INT(N3541))</f>
        <v/>
      </c>
      <c r="J3541" s="16" t="str">
        <f aca="false">IF(B3541="","",IF(N3541=_xlfn.MINIFS($N$2:$N$5001,$B$2:$B$5001,B3541),1,0))</f>
        <v/>
      </c>
      <c r="K3541" s="16" t="str">
        <f aca="false">IF(B3541="","",IF(AND(D3541="Formalização",E3541="Concluído"),IF(COUNTIFS($B$2:$B$5001,B3541,$E$2:$E$5001,"Em ajustes",$N$2:$N$5001,"&lt;"&amp;I3541)&gt;0,1,0),0))</f>
        <v/>
      </c>
      <c r="L3541" s="16" t="str">
        <f aca="false">IF(B3541="","",IF(N3541=_xlfn.MAXIFS($N$2:$N$5001,$B$2:$B$5001,B3541,$I$2:$I$5001,I3541),1,0))</f>
        <v/>
      </c>
      <c r="M3541" s="16" t="str">
        <f aca="false">IF(B3541="","",IF(E3541="Em ajustes",IF(N3541=_xlfn.MINIFS($N$2:$N$5001,$B$2:$B$5001,B3541,$E$2:$E$5001,"Em ajustes"),1,0),0))</f>
        <v/>
      </c>
      <c r="N3541" s="17" t="str">
        <f aca="false">IF(A3541="","",IF(ISNUMBER(A3541),A3541,IFERROR(DATE(VALUE(MID(A3541,7,4)),VALUE(MID(A3541,4,2)),VALUE(MID(A3541,1,2)))+TIME(VALUE(MID(A3541,12,2)),VALUE(MID(A3541,15,2)),VALUE(MID(A3541,18,2))),"")))</f>
        <v/>
      </c>
    </row>
    <row r="3542" customFormat="false" ht="15" hidden="false" customHeight="false" outlineLevel="0" collapsed="false">
      <c r="I3542" s="15" t="str">
        <f aca="false">IF(N3542="","",INT(N3542))</f>
        <v/>
      </c>
      <c r="J3542" s="16" t="str">
        <f aca="false">IF(B3542="","",IF(N3542=_xlfn.MINIFS($N$2:$N$5001,$B$2:$B$5001,B3542),1,0))</f>
        <v/>
      </c>
      <c r="K3542" s="16" t="str">
        <f aca="false">IF(B3542="","",IF(AND(D3542="Formalização",E3542="Concluído"),IF(COUNTIFS($B$2:$B$5001,B3542,$E$2:$E$5001,"Em ajustes",$N$2:$N$5001,"&lt;"&amp;I3542)&gt;0,1,0),0))</f>
        <v/>
      </c>
      <c r="L3542" s="16" t="str">
        <f aca="false">IF(B3542="","",IF(N3542=_xlfn.MAXIFS($N$2:$N$5001,$B$2:$B$5001,B3542,$I$2:$I$5001,I3542),1,0))</f>
        <v/>
      </c>
      <c r="M3542" s="16" t="str">
        <f aca="false">IF(B3542="","",IF(E3542="Em ajustes",IF(N3542=_xlfn.MINIFS($N$2:$N$5001,$B$2:$B$5001,B3542,$E$2:$E$5001,"Em ajustes"),1,0),0))</f>
        <v/>
      </c>
      <c r="N3542" s="17" t="str">
        <f aca="false">IF(A3542="","",IF(ISNUMBER(A3542),A3542,IFERROR(DATE(VALUE(MID(A3542,7,4)),VALUE(MID(A3542,4,2)),VALUE(MID(A3542,1,2)))+TIME(VALUE(MID(A3542,12,2)),VALUE(MID(A3542,15,2)),VALUE(MID(A3542,18,2))),"")))</f>
        <v/>
      </c>
    </row>
    <row r="3543" customFormat="false" ht="15" hidden="false" customHeight="false" outlineLevel="0" collapsed="false">
      <c r="I3543" s="15" t="str">
        <f aca="false">IF(N3543="","",INT(N3543))</f>
        <v/>
      </c>
      <c r="J3543" s="16" t="str">
        <f aca="false">IF(B3543="","",IF(N3543=_xlfn.MINIFS($N$2:$N$5001,$B$2:$B$5001,B3543),1,0))</f>
        <v/>
      </c>
      <c r="K3543" s="16" t="str">
        <f aca="false">IF(B3543="","",IF(AND(D3543="Formalização",E3543="Concluído"),IF(COUNTIFS($B$2:$B$5001,B3543,$E$2:$E$5001,"Em ajustes",$N$2:$N$5001,"&lt;"&amp;I3543)&gt;0,1,0),0))</f>
        <v/>
      </c>
      <c r="L3543" s="16" t="str">
        <f aca="false">IF(B3543="","",IF(N3543=_xlfn.MAXIFS($N$2:$N$5001,$B$2:$B$5001,B3543,$I$2:$I$5001,I3543),1,0))</f>
        <v/>
      </c>
      <c r="M3543" s="16" t="str">
        <f aca="false">IF(B3543="","",IF(E3543="Em ajustes",IF(N3543=_xlfn.MINIFS($N$2:$N$5001,$B$2:$B$5001,B3543,$E$2:$E$5001,"Em ajustes"),1,0),0))</f>
        <v/>
      </c>
      <c r="N3543" s="17" t="str">
        <f aca="false">IF(A3543="","",IF(ISNUMBER(A3543),A3543,IFERROR(DATE(VALUE(MID(A3543,7,4)),VALUE(MID(A3543,4,2)),VALUE(MID(A3543,1,2)))+TIME(VALUE(MID(A3543,12,2)),VALUE(MID(A3543,15,2)),VALUE(MID(A3543,18,2))),"")))</f>
        <v/>
      </c>
    </row>
    <row r="3544" customFormat="false" ht="15" hidden="false" customHeight="false" outlineLevel="0" collapsed="false">
      <c r="I3544" s="15" t="str">
        <f aca="false">IF(N3544="","",INT(N3544))</f>
        <v/>
      </c>
      <c r="J3544" s="16" t="str">
        <f aca="false">IF(B3544="","",IF(N3544=_xlfn.MINIFS($N$2:$N$5001,$B$2:$B$5001,B3544),1,0))</f>
        <v/>
      </c>
      <c r="K3544" s="16" t="str">
        <f aca="false">IF(B3544="","",IF(AND(D3544="Formalização",E3544="Concluído"),IF(COUNTIFS($B$2:$B$5001,B3544,$E$2:$E$5001,"Em ajustes",$N$2:$N$5001,"&lt;"&amp;I3544)&gt;0,1,0),0))</f>
        <v/>
      </c>
      <c r="L3544" s="16" t="str">
        <f aca="false">IF(B3544="","",IF(N3544=_xlfn.MAXIFS($N$2:$N$5001,$B$2:$B$5001,B3544,$I$2:$I$5001,I3544),1,0))</f>
        <v/>
      </c>
      <c r="M3544" s="16" t="str">
        <f aca="false">IF(B3544="","",IF(E3544="Em ajustes",IF(N3544=_xlfn.MINIFS($N$2:$N$5001,$B$2:$B$5001,B3544,$E$2:$E$5001,"Em ajustes"),1,0),0))</f>
        <v/>
      </c>
      <c r="N3544" s="17" t="str">
        <f aca="false">IF(A3544="","",IF(ISNUMBER(A3544),A3544,IFERROR(DATE(VALUE(MID(A3544,7,4)),VALUE(MID(A3544,4,2)),VALUE(MID(A3544,1,2)))+TIME(VALUE(MID(A3544,12,2)),VALUE(MID(A3544,15,2)),VALUE(MID(A3544,18,2))),"")))</f>
        <v/>
      </c>
    </row>
    <row r="3545" customFormat="false" ht="15" hidden="false" customHeight="false" outlineLevel="0" collapsed="false">
      <c r="I3545" s="15" t="str">
        <f aca="false">IF(N3545="","",INT(N3545))</f>
        <v/>
      </c>
      <c r="J3545" s="16" t="str">
        <f aca="false">IF(B3545="","",IF(N3545=_xlfn.MINIFS($N$2:$N$5001,$B$2:$B$5001,B3545),1,0))</f>
        <v/>
      </c>
      <c r="K3545" s="16" t="str">
        <f aca="false">IF(B3545="","",IF(AND(D3545="Formalização",E3545="Concluído"),IF(COUNTIFS($B$2:$B$5001,B3545,$E$2:$E$5001,"Em ajustes",$N$2:$N$5001,"&lt;"&amp;I3545)&gt;0,1,0),0))</f>
        <v/>
      </c>
      <c r="L3545" s="16" t="str">
        <f aca="false">IF(B3545="","",IF(N3545=_xlfn.MAXIFS($N$2:$N$5001,$B$2:$B$5001,B3545,$I$2:$I$5001,I3545),1,0))</f>
        <v/>
      </c>
      <c r="M3545" s="16" t="str">
        <f aca="false">IF(B3545="","",IF(E3545="Em ajustes",IF(N3545=_xlfn.MINIFS($N$2:$N$5001,$B$2:$B$5001,B3545,$E$2:$E$5001,"Em ajustes"),1,0),0))</f>
        <v/>
      </c>
      <c r="N3545" s="17" t="str">
        <f aca="false">IF(A3545="","",IF(ISNUMBER(A3545),A3545,IFERROR(DATE(VALUE(MID(A3545,7,4)),VALUE(MID(A3545,4,2)),VALUE(MID(A3545,1,2)))+TIME(VALUE(MID(A3545,12,2)),VALUE(MID(A3545,15,2)),VALUE(MID(A3545,18,2))),"")))</f>
        <v/>
      </c>
    </row>
    <row r="3546" customFormat="false" ht="15" hidden="false" customHeight="false" outlineLevel="0" collapsed="false">
      <c r="I3546" s="15" t="str">
        <f aca="false">IF(N3546="","",INT(N3546))</f>
        <v/>
      </c>
      <c r="J3546" s="16" t="str">
        <f aca="false">IF(B3546="","",IF(N3546=_xlfn.MINIFS($N$2:$N$5001,$B$2:$B$5001,B3546),1,0))</f>
        <v/>
      </c>
      <c r="K3546" s="16" t="str">
        <f aca="false">IF(B3546="","",IF(AND(D3546="Formalização",E3546="Concluído"),IF(COUNTIFS($B$2:$B$5001,B3546,$E$2:$E$5001,"Em ajustes",$N$2:$N$5001,"&lt;"&amp;I3546)&gt;0,1,0),0))</f>
        <v/>
      </c>
      <c r="L3546" s="16" t="str">
        <f aca="false">IF(B3546="","",IF(N3546=_xlfn.MAXIFS($N$2:$N$5001,$B$2:$B$5001,B3546,$I$2:$I$5001,I3546),1,0))</f>
        <v/>
      </c>
      <c r="M3546" s="16" t="str">
        <f aca="false">IF(B3546="","",IF(E3546="Em ajustes",IF(N3546=_xlfn.MINIFS($N$2:$N$5001,$B$2:$B$5001,B3546,$E$2:$E$5001,"Em ajustes"),1,0),0))</f>
        <v/>
      </c>
      <c r="N3546" s="17" t="str">
        <f aca="false">IF(A3546="","",IF(ISNUMBER(A3546),A3546,IFERROR(DATE(VALUE(MID(A3546,7,4)),VALUE(MID(A3546,4,2)),VALUE(MID(A3546,1,2)))+TIME(VALUE(MID(A3546,12,2)),VALUE(MID(A3546,15,2)),VALUE(MID(A3546,18,2))),"")))</f>
        <v/>
      </c>
    </row>
    <row r="3547" customFormat="false" ht="15" hidden="false" customHeight="false" outlineLevel="0" collapsed="false">
      <c r="I3547" s="15" t="str">
        <f aca="false">IF(N3547="","",INT(N3547))</f>
        <v/>
      </c>
      <c r="J3547" s="16" t="str">
        <f aca="false">IF(B3547="","",IF(N3547=_xlfn.MINIFS($N$2:$N$5001,$B$2:$B$5001,B3547),1,0))</f>
        <v/>
      </c>
      <c r="K3547" s="16" t="str">
        <f aca="false">IF(B3547="","",IF(AND(D3547="Formalização",E3547="Concluído"),IF(COUNTIFS($B$2:$B$5001,B3547,$E$2:$E$5001,"Em ajustes",$N$2:$N$5001,"&lt;"&amp;I3547)&gt;0,1,0),0))</f>
        <v/>
      </c>
      <c r="L3547" s="16" t="str">
        <f aca="false">IF(B3547="","",IF(N3547=_xlfn.MAXIFS($N$2:$N$5001,$B$2:$B$5001,B3547,$I$2:$I$5001,I3547),1,0))</f>
        <v/>
      </c>
      <c r="M3547" s="16" t="str">
        <f aca="false">IF(B3547="","",IF(E3547="Em ajustes",IF(N3547=_xlfn.MINIFS($N$2:$N$5001,$B$2:$B$5001,B3547,$E$2:$E$5001,"Em ajustes"),1,0),0))</f>
        <v/>
      </c>
      <c r="N3547" s="17" t="str">
        <f aca="false">IF(A3547="","",IF(ISNUMBER(A3547),A3547,IFERROR(DATE(VALUE(MID(A3547,7,4)),VALUE(MID(A3547,4,2)),VALUE(MID(A3547,1,2)))+TIME(VALUE(MID(A3547,12,2)),VALUE(MID(A3547,15,2)),VALUE(MID(A3547,18,2))),"")))</f>
        <v/>
      </c>
    </row>
    <row r="3548" customFormat="false" ht="15" hidden="false" customHeight="false" outlineLevel="0" collapsed="false">
      <c r="I3548" s="15" t="str">
        <f aca="false">IF(N3548="","",INT(N3548))</f>
        <v/>
      </c>
      <c r="J3548" s="16" t="str">
        <f aca="false">IF(B3548="","",IF(N3548=_xlfn.MINIFS($N$2:$N$5001,$B$2:$B$5001,B3548),1,0))</f>
        <v/>
      </c>
      <c r="K3548" s="16" t="str">
        <f aca="false">IF(B3548="","",IF(AND(D3548="Formalização",E3548="Concluído"),IF(COUNTIFS($B$2:$B$5001,B3548,$E$2:$E$5001,"Em ajustes",$N$2:$N$5001,"&lt;"&amp;I3548)&gt;0,1,0),0))</f>
        <v/>
      </c>
      <c r="L3548" s="16" t="str">
        <f aca="false">IF(B3548="","",IF(N3548=_xlfn.MAXIFS($N$2:$N$5001,$B$2:$B$5001,B3548,$I$2:$I$5001,I3548),1,0))</f>
        <v/>
      </c>
      <c r="M3548" s="16" t="str">
        <f aca="false">IF(B3548="","",IF(E3548="Em ajustes",IF(N3548=_xlfn.MINIFS($N$2:$N$5001,$B$2:$B$5001,B3548,$E$2:$E$5001,"Em ajustes"),1,0),0))</f>
        <v/>
      </c>
      <c r="N3548" s="17" t="str">
        <f aca="false">IF(A3548="","",IF(ISNUMBER(A3548),A3548,IFERROR(DATE(VALUE(MID(A3548,7,4)),VALUE(MID(A3548,4,2)),VALUE(MID(A3548,1,2)))+TIME(VALUE(MID(A3548,12,2)),VALUE(MID(A3548,15,2)),VALUE(MID(A3548,18,2))),"")))</f>
        <v/>
      </c>
    </row>
    <row r="3549" customFormat="false" ht="15" hidden="false" customHeight="false" outlineLevel="0" collapsed="false">
      <c r="I3549" s="15" t="str">
        <f aca="false">IF(N3549="","",INT(N3549))</f>
        <v/>
      </c>
      <c r="J3549" s="16" t="str">
        <f aca="false">IF(B3549="","",IF(N3549=_xlfn.MINIFS($N$2:$N$5001,$B$2:$B$5001,B3549),1,0))</f>
        <v/>
      </c>
      <c r="K3549" s="16" t="str">
        <f aca="false">IF(B3549="","",IF(AND(D3549="Formalização",E3549="Concluído"),IF(COUNTIFS($B$2:$B$5001,B3549,$E$2:$E$5001,"Em ajustes",$N$2:$N$5001,"&lt;"&amp;I3549)&gt;0,1,0),0))</f>
        <v/>
      </c>
      <c r="L3549" s="16" t="str">
        <f aca="false">IF(B3549="","",IF(N3549=_xlfn.MAXIFS($N$2:$N$5001,$B$2:$B$5001,B3549,$I$2:$I$5001,I3549),1,0))</f>
        <v/>
      </c>
      <c r="M3549" s="16" t="str">
        <f aca="false">IF(B3549="","",IF(E3549="Em ajustes",IF(N3549=_xlfn.MINIFS($N$2:$N$5001,$B$2:$B$5001,B3549,$E$2:$E$5001,"Em ajustes"),1,0),0))</f>
        <v/>
      </c>
      <c r="N3549" s="17" t="str">
        <f aca="false">IF(A3549="","",IF(ISNUMBER(A3549),A3549,IFERROR(DATE(VALUE(MID(A3549,7,4)),VALUE(MID(A3549,4,2)),VALUE(MID(A3549,1,2)))+TIME(VALUE(MID(A3549,12,2)),VALUE(MID(A3549,15,2)),VALUE(MID(A3549,18,2))),"")))</f>
        <v/>
      </c>
    </row>
    <row r="3550" customFormat="false" ht="15" hidden="false" customHeight="false" outlineLevel="0" collapsed="false">
      <c r="I3550" s="15" t="str">
        <f aca="false">IF(N3550="","",INT(N3550))</f>
        <v/>
      </c>
      <c r="J3550" s="16" t="str">
        <f aca="false">IF(B3550="","",IF(N3550=_xlfn.MINIFS($N$2:$N$5001,$B$2:$B$5001,B3550),1,0))</f>
        <v/>
      </c>
      <c r="K3550" s="16" t="str">
        <f aca="false">IF(B3550="","",IF(AND(D3550="Formalização",E3550="Concluído"),IF(COUNTIFS($B$2:$B$5001,B3550,$E$2:$E$5001,"Em ajustes",$N$2:$N$5001,"&lt;"&amp;I3550)&gt;0,1,0),0))</f>
        <v/>
      </c>
      <c r="L3550" s="16" t="str">
        <f aca="false">IF(B3550="","",IF(N3550=_xlfn.MAXIFS($N$2:$N$5001,$B$2:$B$5001,B3550,$I$2:$I$5001,I3550),1,0))</f>
        <v/>
      </c>
      <c r="M3550" s="16" t="str">
        <f aca="false">IF(B3550="","",IF(E3550="Em ajustes",IF(N3550=_xlfn.MINIFS($N$2:$N$5001,$B$2:$B$5001,B3550,$E$2:$E$5001,"Em ajustes"),1,0),0))</f>
        <v/>
      </c>
      <c r="N3550" s="17" t="str">
        <f aca="false">IF(A3550="","",IF(ISNUMBER(A3550),A3550,IFERROR(DATE(VALUE(MID(A3550,7,4)),VALUE(MID(A3550,4,2)),VALUE(MID(A3550,1,2)))+TIME(VALUE(MID(A3550,12,2)),VALUE(MID(A3550,15,2)),VALUE(MID(A3550,18,2))),"")))</f>
        <v/>
      </c>
    </row>
    <row r="3551" customFormat="false" ht="15" hidden="false" customHeight="false" outlineLevel="0" collapsed="false">
      <c r="I3551" s="15" t="str">
        <f aca="false">IF(N3551="","",INT(N3551))</f>
        <v/>
      </c>
      <c r="J3551" s="16" t="str">
        <f aca="false">IF(B3551="","",IF(N3551=_xlfn.MINIFS($N$2:$N$5001,$B$2:$B$5001,B3551),1,0))</f>
        <v/>
      </c>
      <c r="K3551" s="16" t="str">
        <f aca="false">IF(B3551="","",IF(AND(D3551="Formalização",E3551="Concluído"),IF(COUNTIFS($B$2:$B$5001,B3551,$E$2:$E$5001,"Em ajustes",$N$2:$N$5001,"&lt;"&amp;I3551)&gt;0,1,0),0))</f>
        <v/>
      </c>
      <c r="L3551" s="16" t="str">
        <f aca="false">IF(B3551="","",IF(N3551=_xlfn.MAXIFS($N$2:$N$5001,$B$2:$B$5001,B3551,$I$2:$I$5001,I3551),1,0))</f>
        <v/>
      </c>
      <c r="M3551" s="16" t="str">
        <f aca="false">IF(B3551="","",IF(E3551="Em ajustes",IF(N3551=_xlfn.MINIFS($N$2:$N$5001,$B$2:$B$5001,B3551,$E$2:$E$5001,"Em ajustes"),1,0),0))</f>
        <v/>
      </c>
      <c r="N3551" s="17" t="str">
        <f aca="false">IF(A3551="","",IF(ISNUMBER(A3551),A3551,IFERROR(DATE(VALUE(MID(A3551,7,4)),VALUE(MID(A3551,4,2)),VALUE(MID(A3551,1,2)))+TIME(VALUE(MID(A3551,12,2)),VALUE(MID(A3551,15,2)),VALUE(MID(A3551,18,2))),"")))</f>
        <v/>
      </c>
    </row>
    <row r="3552" customFormat="false" ht="15" hidden="false" customHeight="false" outlineLevel="0" collapsed="false">
      <c r="I3552" s="15" t="str">
        <f aca="false">IF(N3552="","",INT(N3552))</f>
        <v/>
      </c>
      <c r="J3552" s="16" t="str">
        <f aca="false">IF(B3552="","",IF(N3552=_xlfn.MINIFS($N$2:$N$5001,$B$2:$B$5001,B3552),1,0))</f>
        <v/>
      </c>
      <c r="K3552" s="16" t="str">
        <f aca="false">IF(B3552="","",IF(AND(D3552="Formalização",E3552="Concluído"),IF(COUNTIFS($B$2:$B$5001,B3552,$E$2:$E$5001,"Em ajustes",$N$2:$N$5001,"&lt;"&amp;I3552)&gt;0,1,0),0))</f>
        <v/>
      </c>
      <c r="L3552" s="16" t="str">
        <f aca="false">IF(B3552="","",IF(N3552=_xlfn.MAXIFS($N$2:$N$5001,$B$2:$B$5001,B3552,$I$2:$I$5001,I3552),1,0))</f>
        <v/>
      </c>
      <c r="M3552" s="16" t="str">
        <f aca="false">IF(B3552="","",IF(E3552="Em ajustes",IF(N3552=_xlfn.MINIFS($N$2:$N$5001,$B$2:$B$5001,B3552,$E$2:$E$5001,"Em ajustes"),1,0),0))</f>
        <v/>
      </c>
      <c r="N3552" s="17" t="str">
        <f aca="false">IF(A3552="","",IF(ISNUMBER(A3552),A3552,IFERROR(DATE(VALUE(MID(A3552,7,4)),VALUE(MID(A3552,4,2)),VALUE(MID(A3552,1,2)))+TIME(VALUE(MID(A3552,12,2)),VALUE(MID(A3552,15,2)),VALUE(MID(A3552,18,2))),"")))</f>
        <v/>
      </c>
    </row>
    <row r="3553" customFormat="false" ht="15" hidden="false" customHeight="false" outlineLevel="0" collapsed="false">
      <c r="I3553" s="15" t="str">
        <f aca="false">IF(N3553="","",INT(N3553))</f>
        <v/>
      </c>
      <c r="J3553" s="16" t="str">
        <f aca="false">IF(B3553="","",IF(N3553=_xlfn.MINIFS($N$2:$N$5001,$B$2:$B$5001,B3553),1,0))</f>
        <v/>
      </c>
      <c r="K3553" s="16" t="str">
        <f aca="false">IF(B3553="","",IF(AND(D3553="Formalização",E3553="Concluído"),IF(COUNTIFS($B$2:$B$5001,B3553,$E$2:$E$5001,"Em ajustes",$N$2:$N$5001,"&lt;"&amp;I3553)&gt;0,1,0),0))</f>
        <v/>
      </c>
      <c r="L3553" s="16" t="str">
        <f aca="false">IF(B3553="","",IF(N3553=_xlfn.MAXIFS($N$2:$N$5001,$B$2:$B$5001,B3553,$I$2:$I$5001,I3553),1,0))</f>
        <v/>
      </c>
      <c r="M3553" s="16" t="str">
        <f aca="false">IF(B3553="","",IF(E3553="Em ajustes",IF(N3553=_xlfn.MINIFS($N$2:$N$5001,$B$2:$B$5001,B3553,$E$2:$E$5001,"Em ajustes"),1,0),0))</f>
        <v/>
      </c>
      <c r="N3553" s="17" t="str">
        <f aca="false">IF(A3553="","",IF(ISNUMBER(A3553),A3553,IFERROR(DATE(VALUE(MID(A3553,7,4)),VALUE(MID(A3553,4,2)),VALUE(MID(A3553,1,2)))+TIME(VALUE(MID(A3553,12,2)),VALUE(MID(A3553,15,2)),VALUE(MID(A3553,18,2))),"")))</f>
        <v/>
      </c>
    </row>
    <row r="3554" customFormat="false" ht="15" hidden="false" customHeight="false" outlineLevel="0" collapsed="false">
      <c r="I3554" s="15" t="str">
        <f aca="false">IF(N3554="","",INT(N3554))</f>
        <v/>
      </c>
      <c r="J3554" s="16" t="str">
        <f aca="false">IF(B3554="","",IF(N3554=_xlfn.MINIFS($N$2:$N$5001,$B$2:$B$5001,B3554),1,0))</f>
        <v/>
      </c>
      <c r="K3554" s="16" t="str">
        <f aca="false">IF(B3554="","",IF(AND(D3554="Formalização",E3554="Concluído"),IF(COUNTIFS($B$2:$B$5001,B3554,$E$2:$E$5001,"Em ajustes",$N$2:$N$5001,"&lt;"&amp;I3554)&gt;0,1,0),0))</f>
        <v/>
      </c>
      <c r="L3554" s="16" t="str">
        <f aca="false">IF(B3554="","",IF(N3554=_xlfn.MAXIFS($N$2:$N$5001,$B$2:$B$5001,B3554,$I$2:$I$5001,I3554),1,0))</f>
        <v/>
      </c>
      <c r="M3554" s="16" t="str">
        <f aca="false">IF(B3554="","",IF(E3554="Em ajustes",IF(N3554=_xlfn.MINIFS($N$2:$N$5001,$B$2:$B$5001,B3554,$E$2:$E$5001,"Em ajustes"),1,0),0))</f>
        <v/>
      </c>
      <c r="N3554" s="17" t="str">
        <f aca="false">IF(A3554="","",IF(ISNUMBER(A3554),A3554,IFERROR(DATE(VALUE(MID(A3554,7,4)),VALUE(MID(A3554,4,2)),VALUE(MID(A3554,1,2)))+TIME(VALUE(MID(A3554,12,2)),VALUE(MID(A3554,15,2)),VALUE(MID(A3554,18,2))),"")))</f>
        <v/>
      </c>
    </row>
    <row r="3555" customFormat="false" ht="15" hidden="false" customHeight="false" outlineLevel="0" collapsed="false">
      <c r="I3555" s="15" t="str">
        <f aca="false">IF(N3555="","",INT(N3555))</f>
        <v/>
      </c>
      <c r="J3555" s="16" t="str">
        <f aca="false">IF(B3555="","",IF(N3555=_xlfn.MINIFS($N$2:$N$5001,$B$2:$B$5001,B3555),1,0))</f>
        <v/>
      </c>
      <c r="K3555" s="16" t="str">
        <f aca="false">IF(B3555="","",IF(AND(D3555="Formalização",E3555="Concluído"),IF(COUNTIFS($B$2:$B$5001,B3555,$E$2:$E$5001,"Em ajustes",$N$2:$N$5001,"&lt;"&amp;I3555)&gt;0,1,0),0))</f>
        <v/>
      </c>
      <c r="L3555" s="16" t="str">
        <f aca="false">IF(B3555="","",IF(N3555=_xlfn.MAXIFS($N$2:$N$5001,$B$2:$B$5001,B3555,$I$2:$I$5001,I3555),1,0))</f>
        <v/>
      </c>
      <c r="M3555" s="16" t="str">
        <f aca="false">IF(B3555="","",IF(E3555="Em ajustes",IF(N3555=_xlfn.MINIFS($N$2:$N$5001,$B$2:$B$5001,B3555,$E$2:$E$5001,"Em ajustes"),1,0),0))</f>
        <v/>
      </c>
      <c r="N3555" s="17" t="str">
        <f aca="false">IF(A3555="","",IF(ISNUMBER(A3555),A3555,IFERROR(DATE(VALUE(MID(A3555,7,4)),VALUE(MID(A3555,4,2)),VALUE(MID(A3555,1,2)))+TIME(VALUE(MID(A3555,12,2)),VALUE(MID(A3555,15,2)),VALUE(MID(A3555,18,2))),"")))</f>
        <v/>
      </c>
    </row>
    <row r="3556" customFormat="false" ht="15" hidden="false" customHeight="false" outlineLevel="0" collapsed="false">
      <c r="I3556" s="15" t="str">
        <f aca="false">IF(N3556="","",INT(N3556))</f>
        <v/>
      </c>
      <c r="J3556" s="16" t="str">
        <f aca="false">IF(B3556="","",IF(N3556=_xlfn.MINIFS($N$2:$N$5001,$B$2:$B$5001,B3556),1,0))</f>
        <v/>
      </c>
      <c r="K3556" s="16" t="str">
        <f aca="false">IF(B3556="","",IF(AND(D3556="Formalização",E3556="Concluído"),IF(COUNTIFS($B$2:$B$5001,B3556,$E$2:$E$5001,"Em ajustes",$N$2:$N$5001,"&lt;"&amp;I3556)&gt;0,1,0),0))</f>
        <v/>
      </c>
      <c r="L3556" s="16" t="str">
        <f aca="false">IF(B3556="","",IF(N3556=_xlfn.MAXIFS($N$2:$N$5001,$B$2:$B$5001,B3556,$I$2:$I$5001,I3556),1,0))</f>
        <v/>
      </c>
      <c r="M3556" s="16" t="str">
        <f aca="false">IF(B3556="","",IF(E3556="Em ajustes",IF(N3556=_xlfn.MINIFS($N$2:$N$5001,$B$2:$B$5001,B3556,$E$2:$E$5001,"Em ajustes"),1,0),0))</f>
        <v/>
      </c>
      <c r="N3556" s="17" t="str">
        <f aca="false">IF(A3556="","",IF(ISNUMBER(A3556),A3556,IFERROR(DATE(VALUE(MID(A3556,7,4)),VALUE(MID(A3556,4,2)),VALUE(MID(A3556,1,2)))+TIME(VALUE(MID(A3556,12,2)),VALUE(MID(A3556,15,2)),VALUE(MID(A3556,18,2))),"")))</f>
        <v/>
      </c>
    </row>
    <row r="3557" customFormat="false" ht="15" hidden="false" customHeight="false" outlineLevel="0" collapsed="false">
      <c r="I3557" s="15" t="str">
        <f aca="false">IF(N3557="","",INT(N3557))</f>
        <v/>
      </c>
      <c r="J3557" s="16" t="str">
        <f aca="false">IF(B3557="","",IF(N3557=_xlfn.MINIFS($N$2:$N$5001,$B$2:$B$5001,B3557),1,0))</f>
        <v/>
      </c>
      <c r="K3557" s="16" t="str">
        <f aca="false">IF(B3557="","",IF(AND(D3557="Formalização",E3557="Concluído"),IF(COUNTIFS($B$2:$B$5001,B3557,$E$2:$E$5001,"Em ajustes",$N$2:$N$5001,"&lt;"&amp;I3557)&gt;0,1,0),0))</f>
        <v/>
      </c>
      <c r="L3557" s="16" t="str">
        <f aca="false">IF(B3557="","",IF(N3557=_xlfn.MAXIFS($N$2:$N$5001,$B$2:$B$5001,B3557,$I$2:$I$5001,I3557),1,0))</f>
        <v/>
      </c>
      <c r="M3557" s="16" t="str">
        <f aca="false">IF(B3557="","",IF(E3557="Em ajustes",IF(N3557=_xlfn.MINIFS($N$2:$N$5001,$B$2:$B$5001,B3557,$E$2:$E$5001,"Em ajustes"),1,0),0))</f>
        <v/>
      </c>
      <c r="N3557" s="17" t="str">
        <f aca="false">IF(A3557="","",IF(ISNUMBER(A3557),A3557,IFERROR(DATE(VALUE(MID(A3557,7,4)),VALUE(MID(A3557,4,2)),VALUE(MID(A3557,1,2)))+TIME(VALUE(MID(A3557,12,2)),VALUE(MID(A3557,15,2)),VALUE(MID(A3557,18,2))),"")))</f>
        <v/>
      </c>
    </row>
    <row r="3558" customFormat="false" ht="15" hidden="false" customHeight="false" outlineLevel="0" collapsed="false">
      <c r="I3558" s="15" t="str">
        <f aca="false">IF(N3558="","",INT(N3558))</f>
        <v/>
      </c>
      <c r="J3558" s="16" t="str">
        <f aca="false">IF(B3558="","",IF(N3558=_xlfn.MINIFS($N$2:$N$5001,$B$2:$B$5001,B3558),1,0))</f>
        <v/>
      </c>
      <c r="K3558" s="16" t="str">
        <f aca="false">IF(B3558="","",IF(AND(D3558="Formalização",E3558="Concluído"),IF(COUNTIFS($B$2:$B$5001,B3558,$E$2:$E$5001,"Em ajustes",$N$2:$N$5001,"&lt;"&amp;I3558)&gt;0,1,0),0))</f>
        <v/>
      </c>
      <c r="L3558" s="16" t="str">
        <f aca="false">IF(B3558="","",IF(N3558=_xlfn.MAXIFS($N$2:$N$5001,$B$2:$B$5001,B3558,$I$2:$I$5001,I3558),1,0))</f>
        <v/>
      </c>
      <c r="M3558" s="16" t="str">
        <f aca="false">IF(B3558="","",IF(E3558="Em ajustes",IF(N3558=_xlfn.MINIFS($N$2:$N$5001,$B$2:$B$5001,B3558,$E$2:$E$5001,"Em ajustes"),1,0),0))</f>
        <v/>
      </c>
      <c r="N3558" s="17" t="str">
        <f aca="false">IF(A3558="","",IF(ISNUMBER(A3558),A3558,IFERROR(DATE(VALUE(MID(A3558,7,4)),VALUE(MID(A3558,4,2)),VALUE(MID(A3558,1,2)))+TIME(VALUE(MID(A3558,12,2)),VALUE(MID(A3558,15,2)),VALUE(MID(A3558,18,2))),"")))</f>
        <v/>
      </c>
    </row>
    <row r="3559" customFormat="false" ht="15" hidden="false" customHeight="false" outlineLevel="0" collapsed="false">
      <c r="I3559" s="15" t="str">
        <f aca="false">IF(N3559="","",INT(N3559))</f>
        <v/>
      </c>
      <c r="J3559" s="16" t="str">
        <f aca="false">IF(B3559="","",IF(N3559=_xlfn.MINIFS($N$2:$N$5001,$B$2:$B$5001,B3559),1,0))</f>
        <v/>
      </c>
      <c r="K3559" s="16" t="str">
        <f aca="false">IF(B3559="","",IF(AND(D3559="Formalização",E3559="Concluído"),IF(COUNTIFS($B$2:$B$5001,B3559,$E$2:$E$5001,"Em ajustes",$N$2:$N$5001,"&lt;"&amp;I3559)&gt;0,1,0),0))</f>
        <v/>
      </c>
      <c r="L3559" s="16" t="str">
        <f aca="false">IF(B3559="","",IF(N3559=_xlfn.MAXIFS($N$2:$N$5001,$B$2:$B$5001,B3559,$I$2:$I$5001,I3559),1,0))</f>
        <v/>
      </c>
      <c r="M3559" s="16" t="str">
        <f aca="false">IF(B3559="","",IF(E3559="Em ajustes",IF(N3559=_xlfn.MINIFS($N$2:$N$5001,$B$2:$B$5001,B3559,$E$2:$E$5001,"Em ajustes"),1,0),0))</f>
        <v/>
      </c>
      <c r="N3559" s="17" t="str">
        <f aca="false">IF(A3559="","",IF(ISNUMBER(A3559),A3559,IFERROR(DATE(VALUE(MID(A3559,7,4)),VALUE(MID(A3559,4,2)),VALUE(MID(A3559,1,2)))+TIME(VALUE(MID(A3559,12,2)),VALUE(MID(A3559,15,2)),VALUE(MID(A3559,18,2))),"")))</f>
        <v/>
      </c>
    </row>
    <row r="3560" customFormat="false" ht="15" hidden="false" customHeight="false" outlineLevel="0" collapsed="false">
      <c r="I3560" s="15" t="str">
        <f aca="false">IF(N3560="","",INT(N3560))</f>
        <v/>
      </c>
      <c r="J3560" s="16" t="str">
        <f aca="false">IF(B3560="","",IF(N3560=_xlfn.MINIFS($N$2:$N$5001,$B$2:$B$5001,B3560),1,0))</f>
        <v/>
      </c>
      <c r="K3560" s="16" t="str">
        <f aca="false">IF(B3560="","",IF(AND(D3560="Formalização",E3560="Concluído"),IF(COUNTIFS($B$2:$B$5001,B3560,$E$2:$E$5001,"Em ajustes",$N$2:$N$5001,"&lt;"&amp;I3560)&gt;0,1,0),0))</f>
        <v/>
      </c>
      <c r="L3560" s="16" t="str">
        <f aca="false">IF(B3560="","",IF(N3560=_xlfn.MAXIFS($N$2:$N$5001,$B$2:$B$5001,B3560,$I$2:$I$5001,I3560),1,0))</f>
        <v/>
      </c>
      <c r="M3560" s="16" t="str">
        <f aca="false">IF(B3560="","",IF(E3560="Em ajustes",IF(N3560=_xlfn.MINIFS($N$2:$N$5001,$B$2:$B$5001,B3560,$E$2:$E$5001,"Em ajustes"),1,0),0))</f>
        <v/>
      </c>
      <c r="N3560" s="17" t="str">
        <f aca="false">IF(A3560="","",IF(ISNUMBER(A3560),A3560,IFERROR(DATE(VALUE(MID(A3560,7,4)),VALUE(MID(A3560,4,2)),VALUE(MID(A3560,1,2)))+TIME(VALUE(MID(A3560,12,2)),VALUE(MID(A3560,15,2)),VALUE(MID(A3560,18,2))),"")))</f>
        <v/>
      </c>
    </row>
    <row r="3561" customFormat="false" ht="15" hidden="false" customHeight="false" outlineLevel="0" collapsed="false">
      <c r="I3561" s="15" t="str">
        <f aca="false">IF(N3561="","",INT(N3561))</f>
        <v/>
      </c>
      <c r="J3561" s="16" t="str">
        <f aca="false">IF(B3561="","",IF(N3561=_xlfn.MINIFS($N$2:$N$5001,$B$2:$B$5001,B3561),1,0))</f>
        <v/>
      </c>
      <c r="K3561" s="16" t="str">
        <f aca="false">IF(B3561="","",IF(AND(D3561="Formalização",E3561="Concluído"),IF(COUNTIFS($B$2:$B$5001,B3561,$E$2:$E$5001,"Em ajustes",$N$2:$N$5001,"&lt;"&amp;I3561)&gt;0,1,0),0))</f>
        <v/>
      </c>
      <c r="L3561" s="16" t="str">
        <f aca="false">IF(B3561="","",IF(N3561=_xlfn.MAXIFS($N$2:$N$5001,$B$2:$B$5001,B3561,$I$2:$I$5001,I3561),1,0))</f>
        <v/>
      </c>
      <c r="M3561" s="16" t="str">
        <f aca="false">IF(B3561="","",IF(E3561="Em ajustes",IF(N3561=_xlfn.MINIFS($N$2:$N$5001,$B$2:$B$5001,B3561,$E$2:$E$5001,"Em ajustes"),1,0),0))</f>
        <v/>
      </c>
      <c r="N3561" s="17" t="str">
        <f aca="false">IF(A3561="","",IF(ISNUMBER(A3561),A3561,IFERROR(DATE(VALUE(MID(A3561,7,4)),VALUE(MID(A3561,4,2)),VALUE(MID(A3561,1,2)))+TIME(VALUE(MID(A3561,12,2)),VALUE(MID(A3561,15,2)),VALUE(MID(A3561,18,2))),"")))</f>
        <v/>
      </c>
    </row>
    <row r="3562" customFormat="false" ht="15" hidden="false" customHeight="false" outlineLevel="0" collapsed="false">
      <c r="I3562" s="15" t="str">
        <f aca="false">IF(N3562="","",INT(N3562))</f>
        <v/>
      </c>
      <c r="J3562" s="16" t="str">
        <f aca="false">IF(B3562="","",IF(N3562=_xlfn.MINIFS($N$2:$N$5001,$B$2:$B$5001,B3562),1,0))</f>
        <v/>
      </c>
      <c r="K3562" s="16" t="str">
        <f aca="false">IF(B3562="","",IF(AND(D3562="Formalização",E3562="Concluído"),IF(COUNTIFS($B$2:$B$5001,B3562,$E$2:$E$5001,"Em ajustes",$N$2:$N$5001,"&lt;"&amp;I3562)&gt;0,1,0),0))</f>
        <v/>
      </c>
      <c r="L3562" s="16" t="str">
        <f aca="false">IF(B3562="","",IF(N3562=_xlfn.MAXIFS($N$2:$N$5001,$B$2:$B$5001,B3562,$I$2:$I$5001,I3562),1,0))</f>
        <v/>
      </c>
      <c r="M3562" s="16" t="str">
        <f aca="false">IF(B3562="","",IF(E3562="Em ajustes",IF(N3562=_xlfn.MINIFS($N$2:$N$5001,$B$2:$B$5001,B3562,$E$2:$E$5001,"Em ajustes"),1,0),0))</f>
        <v/>
      </c>
      <c r="N3562" s="17" t="str">
        <f aca="false">IF(A3562="","",IF(ISNUMBER(A3562),A3562,IFERROR(DATE(VALUE(MID(A3562,7,4)),VALUE(MID(A3562,4,2)),VALUE(MID(A3562,1,2)))+TIME(VALUE(MID(A3562,12,2)),VALUE(MID(A3562,15,2)),VALUE(MID(A3562,18,2))),"")))</f>
        <v/>
      </c>
    </row>
    <row r="3563" customFormat="false" ht="15" hidden="false" customHeight="false" outlineLevel="0" collapsed="false">
      <c r="I3563" s="15" t="str">
        <f aca="false">IF(N3563="","",INT(N3563))</f>
        <v/>
      </c>
      <c r="J3563" s="16" t="str">
        <f aca="false">IF(B3563="","",IF(N3563=_xlfn.MINIFS($N$2:$N$5001,$B$2:$B$5001,B3563),1,0))</f>
        <v/>
      </c>
      <c r="K3563" s="16" t="str">
        <f aca="false">IF(B3563="","",IF(AND(D3563="Formalização",E3563="Concluído"),IF(COUNTIFS($B$2:$B$5001,B3563,$E$2:$E$5001,"Em ajustes",$N$2:$N$5001,"&lt;"&amp;I3563)&gt;0,1,0),0))</f>
        <v/>
      </c>
      <c r="L3563" s="16" t="str">
        <f aca="false">IF(B3563="","",IF(N3563=_xlfn.MAXIFS($N$2:$N$5001,$B$2:$B$5001,B3563,$I$2:$I$5001,I3563),1,0))</f>
        <v/>
      </c>
      <c r="M3563" s="16" t="str">
        <f aca="false">IF(B3563="","",IF(E3563="Em ajustes",IF(N3563=_xlfn.MINIFS($N$2:$N$5001,$B$2:$B$5001,B3563,$E$2:$E$5001,"Em ajustes"),1,0),0))</f>
        <v/>
      </c>
      <c r="N3563" s="17" t="str">
        <f aca="false">IF(A3563="","",IF(ISNUMBER(A3563),A3563,IFERROR(DATE(VALUE(MID(A3563,7,4)),VALUE(MID(A3563,4,2)),VALUE(MID(A3563,1,2)))+TIME(VALUE(MID(A3563,12,2)),VALUE(MID(A3563,15,2)),VALUE(MID(A3563,18,2))),"")))</f>
        <v/>
      </c>
    </row>
    <row r="3564" customFormat="false" ht="15" hidden="false" customHeight="false" outlineLevel="0" collapsed="false">
      <c r="I3564" s="15" t="str">
        <f aca="false">IF(N3564="","",INT(N3564))</f>
        <v/>
      </c>
      <c r="J3564" s="16" t="str">
        <f aca="false">IF(B3564="","",IF(N3564=_xlfn.MINIFS($N$2:$N$5001,$B$2:$B$5001,B3564),1,0))</f>
        <v/>
      </c>
      <c r="K3564" s="16" t="str">
        <f aca="false">IF(B3564="","",IF(AND(D3564="Formalização",E3564="Concluído"),IF(COUNTIFS($B$2:$B$5001,B3564,$E$2:$E$5001,"Em ajustes",$N$2:$N$5001,"&lt;"&amp;I3564)&gt;0,1,0),0))</f>
        <v/>
      </c>
      <c r="L3564" s="16" t="str">
        <f aca="false">IF(B3564="","",IF(N3564=_xlfn.MAXIFS($N$2:$N$5001,$B$2:$B$5001,B3564,$I$2:$I$5001,I3564),1,0))</f>
        <v/>
      </c>
      <c r="M3564" s="16" t="str">
        <f aca="false">IF(B3564="","",IF(E3564="Em ajustes",IF(N3564=_xlfn.MINIFS($N$2:$N$5001,$B$2:$B$5001,B3564,$E$2:$E$5001,"Em ajustes"),1,0),0))</f>
        <v/>
      </c>
      <c r="N3564" s="17" t="str">
        <f aca="false">IF(A3564="","",IF(ISNUMBER(A3564),A3564,IFERROR(DATE(VALUE(MID(A3564,7,4)),VALUE(MID(A3564,4,2)),VALUE(MID(A3564,1,2)))+TIME(VALUE(MID(A3564,12,2)),VALUE(MID(A3564,15,2)),VALUE(MID(A3564,18,2))),"")))</f>
        <v/>
      </c>
    </row>
    <row r="3565" customFormat="false" ht="15" hidden="false" customHeight="false" outlineLevel="0" collapsed="false">
      <c r="I3565" s="15" t="str">
        <f aca="false">IF(N3565="","",INT(N3565))</f>
        <v/>
      </c>
      <c r="J3565" s="16" t="str">
        <f aca="false">IF(B3565="","",IF(N3565=_xlfn.MINIFS($N$2:$N$5001,$B$2:$B$5001,B3565),1,0))</f>
        <v/>
      </c>
      <c r="K3565" s="16" t="str">
        <f aca="false">IF(B3565="","",IF(AND(D3565="Formalização",E3565="Concluído"),IF(COUNTIFS($B$2:$B$5001,B3565,$E$2:$E$5001,"Em ajustes",$N$2:$N$5001,"&lt;"&amp;I3565)&gt;0,1,0),0))</f>
        <v/>
      </c>
      <c r="L3565" s="16" t="str">
        <f aca="false">IF(B3565="","",IF(N3565=_xlfn.MAXIFS($N$2:$N$5001,$B$2:$B$5001,B3565,$I$2:$I$5001,I3565),1,0))</f>
        <v/>
      </c>
      <c r="M3565" s="16" t="str">
        <f aca="false">IF(B3565="","",IF(E3565="Em ajustes",IF(N3565=_xlfn.MINIFS($N$2:$N$5001,$B$2:$B$5001,B3565,$E$2:$E$5001,"Em ajustes"),1,0),0))</f>
        <v/>
      </c>
      <c r="N3565" s="17" t="str">
        <f aca="false">IF(A3565="","",IF(ISNUMBER(A3565),A3565,IFERROR(DATE(VALUE(MID(A3565,7,4)),VALUE(MID(A3565,4,2)),VALUE(MID(A3565,1,2)))+TIME(VALUE(MID(A3565,12,2)),VALUE(MID(A3565,15,2)),VALUE(MID(A3565,18,2))),"")))</f>
        <v/>
      </c>
    </row>
    <row r="3566" customFormat="false" ht="15" hidden="false" customHeight="false" outlineLevel="0" collapsed="false">
      <c r="I3566" s="15" t="str">
        <f aca="false">IF(N3566="","",INT(N3566))</f>
        <v/>
      </c>
      <c r="J3566" s="16" t="str">
        <f aca="false">IF(B3566="","",IF(N3566=_xlfn.MINIFS($N$2:$N$5001,$B$2:$B$5001,B3566),1,0))</f>
        <v/>
      </c>
      <c r="K3566" s="16" t="str">
        <f aca="false">IF(B3566="","",IF(AND(D3566="Formalização",E3566="Concluído"),IF(COUNTIFS($B$2:$B$5001,B3566,$E$2:$E$5001,"Em ajustes",$N$2:$N$5001,"&lt;"&amp;I3566)&gt;0,1,0),0))</f>
        <v/>
      </c>
      <c r="L3566" s="16" t="str">
        <f aca="false">IF(B3566="","",IF(N3566=_xlfn.MAXIFS($N$2:$N$5001,$B$2:$B$5001,B3566,$I$2:$I$5001,I3566),1,0))</f>
        <v/>
      </c>
      <c r="M3566" s="16" t="str">
        <f aca="false">IF(B3566="","",IF(E3566="Em ajustes",IF(N3566=_xlfn.MINIFS($N$2:$N$5001,$B$2:$B$5001,B3566,$E$2:$E$5001,"Em ajustes"),1,0),0))</f>
        <v/>
      </c>
      <c r="N3566" s="17" t="str">
        <f aca="false">IF(A3566="","",IF(ISNUMBER(A3566),A3566,IFERROR(DATE(VALUE(MID(A3566,7,4)),VALUE(MID(A3566,4,2)),VALUE(MID(A3566,1,2)))+TIME(VALUE(MID(A3566,12,2)),VALUE(MID(A3566,15,2)),VALUE(MID(A3566,18,2))),"")))</f>
        <v/>
      </c>
    </row>
    <row r="3567" customFormat="false" ht="15" hidden="false" customHeight="false" outlineLevel="0" collapsed="false">
      <c r="I3567" s="15" t="str">
        <f aca="false">IF(N3567="","",INT(N3567))</f>
        <v/>
      </c>
      <c r="J3567" s="16" t="str">
        <f aca="false">IF(B3567="","",IF(N3567=_xlfn.MINIFS($N$2:$N$5001,$B$2:$B$5001,B3567),1,0))</f>
        <v/>
      </c>
      <c r="K3567" s="16" t="str">
        <f aca="false">IF(B3567="","",IF(AND(D3567="Formalização",E3567="Concluído"),IF(COUNTIFS($B$2:$B$5001,B3567,$E$2:$E$5001,"Em ajustes",$N$2:$N$5001,"&lt;"&amp;I3567)&gt;0,1,0),0))</f>
        <v/>
      </c>
      <c r="L3567" s="16" t="str">
        <f aca="false">IF(B3567="","",IF(N3567=_xlfn.MAXIFS($N$2:$N$5001,$B$2:$B$5001,B3567,$I$2:$I$5001,I3567),1,0))</f>
        <v/>
      </c>
      <c r="M3567" s="16" t="str">
        <f aca="false">IF(B3567="","",IF(E3567="Em ajustes",IF(N3567=_xlfn.MINIFS($N$2:$N$5001,$B$2:$B$5001,B3567,$E$2:$E$5001,"Em ajustes"),1,0),0))</f>
        <v/>
      </c>
      <c r="N3567" s="17" t="str">
        <f aca="false">IF(A3567="","",IF(ISNUMBER(A3567),A3567,IFERROR(DATE(VALUE(MID(A3567,7,4)),VALUE(MID(A3567,4,2)),VALUE(MID(A3567,1,2)))+TIME(VALUE(MID(A3567,12,2)),VALUE(MID(A3567,15,2)),VALUE(MID(A3567,18,2))),"")))</f>
        <v/>
      </c>
    </row>
    <row r="3568" customFormat="false" ht="15" hidden="false" customHeight="false" outlineLevel="0" collapsed="false">
      <c r="I3568" s="15" t="str">
        <f aca="false">IF(N3568="","",INT(N3568))</f>
        <v/>
      </c>
      <c r="J3568" s="16" t="str">
        <f aca="false">IF(B3568="","",IF(N3568=_xlfn.MINIFS($N$2:$N$5001,$B$2:$B$5001,B3568),1,0))</f>
        <v/>
      </c>
      <c r="K3568" s="16" t="str">
        <f aca="false">IF(B3568="","",IF(AND(D3568="Formalização",E3568="Concluído"),IF(COUNTIFS($B$2:$B$5001,B3568,$E$2:$E$5001,"Em ajustes",$N$2:$N$5001,"&lt;"&amp;I3568)&gt;0,1,0),0))</f>
        <v/>
      </c>
      <c r="L3568" s="16" t="str">
        <f aca="false">IF(B3568="","",IF(N3568=_xlfn.MAXIFS($N$2:$N$5001,$B$2:$B$5001,B3568,$I$2:$I$5001,I3568),1,0))</f>
        <v/>
      </c>
      <c r="M3568" s="16" t="str">
        <f aca="false">IF(B3568="","",IF(E3568="Em ajustes",IF(N3568=_xlfn.MINIFS($N$2:$N$5001,$B$2:$B$5001,B3568,$E$2:$E$5001,"Em ajustes"),1,0),0))</f>
        <v/>
      </c>
      <c r="N3568" s="17" t="str">
        <f aca="false">IF(A3568="","",IF(ISNUMBER(A3568),A3568,IFERROR(DATE(VALUE(MID(A3568,7,4)),VALUE(MID(A3568,4,2)),VALUE(MID(A3568,1,2)))+TIME(VALUE(MID(A3568,12,2)),VALUE(MID(A3568,15,2)),VALUE(MID(A3568,18,2))),"")))</f>
        <v/>
      </c>
    </row>
    <row r="3569" customFormat="false" ht="15" hidden="false" customHeight="false" outlineLevel="0" collapsed="false">
      <c r="I3569" s="15" t="str">
        <f aca="false">IF(N3569="","",INT(N3569))</f>
        <v/>
      </c>
      <c r="J3569" s="16" t="str">
        <f aca="false">IF(B3569="","",IF(N3569=_xlfn.MINIFS($N$2:$N$5001,$B$2:$B$5001,B3569),1,0))</f>
        <v/>
      </c>
      <c r="K3569" s="16" t="str">
        <f aca="false">IF(B3569="","",IF(AND(D3569="Formalização",E3569="Concluído"),IF(COUNTIFS($B$2:$B$5001,B3569,$E$2:$E$5001,"Em ajustes",$N$2:$N$5001,"&lt;"&amp;I3569)&gt;0,1,0),0))</f>
        <v/>
      </c>
      <c r="L3569" s="16" t="str">
        <f aca="false">IF(B3569="","",IF(N3569=_xlfn.MAXIFS($N$2:$N$5001,$B$2:$B$5001,B3569,$I$2:$I$5001,I3569),1,0))</f>
        <v/>
      </c>
      <c r="M3569" s="16" t="str">
        <f aca="false">IF(B3569="","",IF(E3569="Em ajustes",IF(N3569=_xlfn.MINIFS($N$2:$N$5001,$B$2:$B$5001,B3569,$E$2:$E$5001,"Em ajustes"),1,0),0))</f>
        <v/>
      </c>
      <c r="N3569" s="17" t="str">
        <f aca="false">IF(A3569="","",IF(ISNUMBER(A3569),A3569,IFERROR(DATE(VALUE(MID(A3569,7,4)),VALUE(MID(A3569,4,2)),VALUE(MID(A3569,1,2)))+TIME(VALUE(MID(A3569,12,2)),VALUE(MID(A3569,15,2)),VALUE(MID(A3569,18,2))),"")))</f>
        <v/>
      </c>
    </row>
    <row r="3570" customFormat="false" ht="15" hidden="false" customHeight="false" outlineLevel="0" collapsed="false">
      <c r="I3570" s="15" t="str">
        <f aca="false">IF(N3570="","",INT(N3570))</f>
        <v/>
      </c>
      <c r="J3570" s="16" t="str">
        <f aca="false">IF(B3570="","",IF(N3570=_xlfn.MINIFS($N$2:$N$5001,$B$2:$B$5001,B3570),1,0))</f>
        <v/>
      </c>
      <c r="K3570" s="16" t="str">
        <f aca="false">IF(B3570="","",IF(AND(D3570="Formalização",E3570="Concluído"),IF(COUNTIFS($B$2:$B$5001,B3570,$E$2:$E$5001,"Em ajustes",$N$2:$N$5001,"&lt;"&amp;I3570)&gt;0,1,0),0))</f>
        <v/>
      </c>
      <c r="L3570" s="16" t="str">
        <f aca="false">IF(B3570="","",IF(N3570=_xlfn.MAXIFS($N$2:$N$5001,$B$2:$B$5001,B3570,$I$2:$I$5001,I3570),1,0))</f>
        <v/>
      </c>
      <c r="M3570" s="16" t="str">
        <f aca="false">IF(B3570="","",IF(E3570="Em ajustes",IF(N3570=_xlfn.MINIFS($N$2:$N$5001,$B$2:$B$5001,B3570,$E$2:$E$5001,"Em ajustes"),1,0),0))</f>
        <v/>
      </c>
      <c r="N3570" s="17" t="str">
        <f aca="false">IF(A3570="","",IF(ISNUMBER(A3570),A3570,IFERROR(DATE(VALUE(MID(A3570,7,4)),VALUE(MID(A3570,4,2)),VALUE(MID(A3570,1,2)))+TIME(VALUE(MID(A3570,12,2)),VALUE(MID(A3570,15,2)),VALUE(MID(A3570,18,2))),"")))</f>
        <v/>
      </c>
    </row>
    <row r="3571" customFormat="false" ht="15" hidden="false" customHeight="false" outlineLevel="0" collapsed="false">
      <c r="I3571" s="15" t="str">
        <f aca="false">IF(N3571="","",INT(N3571))</f>
        <v/>
      </c>
      <c r="J3571" s="16" t="str">
        <f aca="false">IF(B3571="","",IF(N3571=_xlfn.MINIFS($N$2:$N$5001,$B$2:$B$5001,B3571),1,0))</f>
        <v/>
      </c>
      <c r="K3571" s="16" t="str">
        <f aca="false">IF(B3571="","",IF(AND(D3571="Formalização",E3571="Concluído"),IF(COUNTIFS($B$2:$B$5001,B3571,$E$2:$E$5001,"Em ajustes",$N$2:$N$5001,"&lt;"&amp;I3571)&gt;0,1,0),0))</f>
        <v/>
      </c>
      <c r="L3571" s="16" t="str">
        <f aca="false">IF(B3571="","",IF(N3571=_xlfn.MAXIFS($N$2:$N$5001,$B$2:$B$5001,B3571,$I$2:$I$5001,I3571),1,0))</f>
        <v/>
      </c>
      <c r="M3571" s="16" t="str">
        <f aca="false">IF(B3571="","",IF(E3571="Em ajustes",IF(N3571=_xlfn.MINIFS($N$2:$N$5001,$B$2:$B$5001,B3571,$E$2:$E$5001,"Em ajustes"),1,0),0))</f>
        <v/>
      </c>
      <c r="N3571" s="17" t="str">
        <f aca="false">IF(A3571="","",IF(ISNUMBER(A3571),A3571,IFERROR(DATE(VALUE(MID(A3571,7,4)),VALUE(MID(A3571,4,2)),VALUE(MID(A3571,1,2)))+TIME(VALUE(MID(A3571,12,2)),VALUE(MID(A3571,15,2)),VALUE(MID(A3571,18,2))),"")))</f>
        <v/>
      </c>
    </row>
    <row r="3572" customFormat="false" ht="15" hidden="false" customHeight="false" outlineLevel="0" collapsed="false">
      <c r="I3572" s="15" t="str">
        <f aca="false">IF(N3572="","",INT(N3572))</f>
        <v/>
      </c>
      <c r="J3572" s="16" t="str">
        <f aca="false">IF(B3572="","",IF(N3572=_xlfn.MINIFS($N$2:$N$5001,$B$2:$B$5001,B3572),1,0))</f>
        <v/>
      </c>
      <c r="K3572" s="16" t="str">
        <f aca="false">IF(B3572="","",IF(AND(D3572="Formalização",E3572="Concluído"),IF(COUNTIFS($B$2:$B$5001,B3572,$E$2:$E$5001,"Em ajustes",$N$2:$N$5001,"&lt;"&amp;I3572)&gt;0,1,0),0))</f>
        <v/>
      </c>
      <c r="L3572" s="16" t="str">
        <f aca="false">IF(B3572="","",IF(N3572=_xlfn.MAXIFS($N$2:$N$5001,$B$2:$B$5001,B3572,$I$2:$I$5001,I3572),1,0))</f>
        <v/>
      </c>
      <c r="M3572" s="16" t="str">
        <f aca="false">IF(B3572="","",IF(E3572="Em ajustes",IF(N3572=_xlfn.MINIFS($N$2:$N$5001,$B$2:$B$5001,B3572,$E$2:$E$5001,"Em ajustes"),1,0),0))</f>
        <v/>
      </c>
      <c r="N3572" s="17" t="str">
        <f aca="false">IF(A3572="","",IF(ISNUMBER(A3572),A3572,IFERROR(DATE(VALUE(MID(A3572,7,4)),VALUE(MID(A3572,4,2)),VALUE(MID(A3572,1,2)))+TIME(VALUE(MID(A3572,12,2)),VALUE(MID(A3572,15,2)),VALUE(MID(A3572,18,2))),"")))</f>
        <v/>
      </c>
    </row>
    <row r="3573" customFormat="false" ht="15" hidden="false" customHeight="false" outlineLevel="0" collapsed="false">
      <c r="I3573" s="15" t="str">
        <f aca="false">IF(N3573="","",INT(N3573))</f>
        <v/>
      </c>
      <c r="J3573" s="16" t="str">
        <f aca="false">IF(B3573="","",IF(N3573=_xlfn.MINIFS($N$2:$N$5001,$B$2:$B$5001,B3573),1,0))</f>
        <v/>
      </c>
      <c r="K3573" s="16" t="str">
        <f aca="false">IF(B3573="","",IF(AND(D3573="Formalização",E3573="Concluído"),IF(COUNTIFS($B$2:$B$5001,B3573,$E$2:$E$5001,"Em ajustes",$N$2:$N$5001,"&lt;"&amp;I3573)&gt;0,1,0),0))</f>
        <v/>
      </c>
      <c r="L3573" s="16" t="str">
        <f aca="false">IF(B3573="","",IF(N3573=_xlfn.MAXIFS($N$2:$N$5001,$B$2:$B$5001,B3573,$I$2:$I$5001,I3573),1,0))</f>
        <v/>
      </c>
      <c r="M3573" s="16" t="str">
        <f aca="false">IF(B3573="","",IF(E3573="Em ajustes",IF(N3573=_xlfn.MINIFS($N$2:$N$5001,$B$2:$B$5001,B3573,$E$2:$E$5001,"Em ajustes"),1,0),0))</f>
        <v/>
      </c>
      <c r="N3573" s="17" t="str">
        <f aca="false">IF(A3573="","",IF(ISNUMBER(A3573),A3573,IFERROR(DATE(VALUE(MID(A3573,7,4)),VALUE(MID(A3573,4,2)),VALUE(MID(A3573,1,2)))+TIME(VALUE(MID(A3573,12,2)),VALUE(MID(A3573,15,2)),VALUE(MID(A3573,18,2))),"")))</f>
        <v/>
      </c>
    </row>
    <row r="3574" customFormat="false" ht="15" hidden="false" customHeight="false" outlineLevel="0" collapsed="false">
      <c r="I3574" s="15" t="str">
        <f aca="false">IF(N3574="","",INT(N3574))</f>
        <v/>
      </c>
      <c r="J3574" s="16" t="str">
        <f aca="false">IF(B3574="","",IF(N3574=_xlfn.MINIFS($N$2:$N$5001,$B$2:$B$5001,B3574),1,0))</f>
        <v/>
      </c>
      <c r="K3574" s="16" t="str">
        <f aca="false">IF(B3574="","",IF(AND(D3574="Formalização",E3574="Concluído"),IF(COUNTIFS($B$2:$B$5001,B3574,$E$2:$E$5001,"Em ajustes",$N$2:$N$5001,"&lt;"&amp;I3574)&gt;0,1,0),0))</f>
        <v/>
      </c>
      <c r="L3574" s="16" t="str">
        <f aca="false">IF(B3574="","",IF(N3574=_xlfn.MAXIFS($N$2:$N$5001,$B$2:$B$5001,B3574,$I$2:$I$5001,I3574),1,0))</f>
        <v/>
      </c>
      <c r="M3574" s="16" t="str">
        <f aca="false">IF(B3574="","",IF(E3574="Em ajustes",IF(N3574=_xlfn.MINIFS($N$2:$N$5001,$B$2:$B$5001,B3574,$E$2:$E$5001,"Em ajustes"),1,0),0))</f>
        <v/>
      </c>
      <c r="N3574" s="17" t="str">
        <f aca="false">IF(A3574="","",IF(ISNUMBER(A3574),A3574,IFERROR(DATE(VALUE(MID(A3574,7,4)),VALUE(MID(A3574,4,2)),VALUE(MID(A3574,1,2)))+TIME(VALUE(MID(A3574,12,2)),VALUE(MID(A3574,15,2)),VALUE(MID(A3574,18,2))),"")))</f>
        <v/>
      </c>
    </row>
    <row r="3575" customFormat="false" ht="15" hidden="false" customHeight="false" outlineLevel="0" collapsed="false">
      <c r="I3575" s="15" t="str">
        <f aca="false">IF(N3575="","",INT(N3575))</f>
        <v/>
      </c>
      <c r="J3575" s="16" t="str">
        <f aca="false">IF(B3575="","",IF(N3575=_xlfn.MINIFS($N$2:$N$5001,$B$2:$B$5001,B3575),1,0))</f>
        <v/>
      </c>
      <c r="K3575" s="16" t="str">
        <f aca="false">IF(B3575="","",IF(AND(D3575="Formalização",E3575="Concluído"),IF(COUNTIFS($B$2:$B$5001,B3575,$E$2:$E$5001,"Em ajustes",$N$2:$N$5001,"&lt;"&amp;I3575)&gt;0,1,0),0))</f>
        <v/>
      </c>
      <c r="L3575" s="16" t="str">
        <f aca="false">IF(B3575="","",IF(N3575=_xlfn.MAXIFS($N$2:$N$5001,$B$2:$B$5001,B3575,$I$2:$I$5001,I3575),1,0))</f>
        <v/>
      </c>
      <c r="M3575" s="16" t="str">
        <f aca="false">IF(B3575="","",IF(E3575="Em ajustes",IF(N3575=_xlfn.MINIFS($N$2:$N$5001,$B$2:$B$5001,B3575,$E$2:$E$5001,"Em ajustes"),1,0),0))</f>
        <v/>
      </c>
      <c r="N3575" s="17" t="str">
        <f aca="false">IF(A3575="","",IF(ISNUMBER(A3575),A3575,IFERROR(DATE(VALUE(MID(A3575,7,4)),VALUE(MID(A3575,4,2)),VALUE(MID(A3575,1,2)))+TIME(VALUE(MID(A3575,12,2)),VALUE(MID(A3575,15,2)),VALUE(MID(A3575,18,2))),"")))</f>
        <v/>
      </c>
    </row>
    <row r="3576" customFormat="false" ht="15" hidden="false" customHeight="false" outlineLevel="0" collapsed="false">
      <c r="I3576" s="15" t="str">
        <f aca="false">IF(N3576="","",INT(N3576))</f>
        <v/>
      </c>
      <c r="J3576" s="16" t="str">
        <f aca="false">IF(B3576="","",IF(N3576=_xlfn.MINIFS($N$2:$N$5001,$B$2:$B$5001,B3576),1,0))</f>
        <v/>
      </c>
      <c r="K3576" s="16" t="str">
        <f aca="false">IF(B3576="","",IF(AND(D3576="Formalização",E3576="Concluído"),IF(COUNTIFS($B$2:$B$5001,B3576,$E$2:$E$5001,"Em ajustes",$N$2:$N$5001,"&lt;"&amp;I3576)&gt;0,1,0),0))</f>
        <v/>
      </c>
      <c r="L3576" s="16" t="str">
        <f aca="false">IF(B3576="","",IF(N3576=_xlfn.MAXIFS($N$2:$N$5001,$B$2:$B$5001,B3576,$I$2:$I$5001,I3576),1,0))</f>
        <v/>
      </c>
      <c r="M3576" s="16" t="str">
        <f aca="false">IF(B3576="","",IF(E3576="Em ajustes",IF(N3576=_xlfn.MINIFS($N$2:$N$5001,$B$2:$B$5001,B3576,$E$2:$E$5001,"Em ajustes"),1,0),0))</f>
        <v/>
      </c>
      <c r="N3576" s="17" t="str">
        <f aca="false">IF(A3576="","",IF(ISNUMBER(A3576),A3576,IFERROR(DATE(VALUE(MID(A3576,7,4)),VALUE(MID(A3576,4,2)),VALUE(MID(A3576,1,2)))+TIME(VALUE(MID(A3576,12,2)),VALUE(MID(A3576,15,2)),VALUE(MID(A3576,18,2))),"")))</f>
        <v/>
      </c>
    </row>
    <row r="3577" customFormat="false" ht="15" hidden="false" customHeight="false" outlineLevel="0" collapsed="false">
      <c r="I3577" s="15" t="str">
        <f aca="false">IF(N3577="","",INT(N3577))</f>
        <v/>
      </c>
      <c r="J3577" s="16" t="str">
        <f aca="false">IF(B3577="","",IF(N3577=_xlfn.MINIFS($N$2:$N$5001,$B$2:$B$5001,B3577),1,0))</f>
        <v/>
      </c>
      <c r="K3577" s="16" t="str">
        <f aca="false">IF(B3577="","",IF(AND(D3577="Formalização",E3577="Concluído"),IF(COUNTIFS($B$2:$B$5001,B3577,$E$2:$E$5001,"Em ajustes",$N$2:$N$5001,"&lt;"&amp;I3577)&gt;0,1,0),0))</f>
        <v/>
      </c>
      <c r="L3577" s="16" t="str">
        <f aca="false">IF(B3577="","",IF(N3577=_xlfn.MAXIFS($N$2:$N$5001,$B$2:$B$5001,B3577,$I$2:$I$5001,I3577),1,0))</f>
        <v/>
      </c>
      <c r="M3577" s="16" t="str">
        <f aca="false">IF(B3577="","",IF(E3577="Em ajustes",IF(N3577=_xlfn.MINIFS($N$2:$N$5001,$B$2:$B$5001,B3577,$E$2:$E$5001,"Em ajustes"),1,0),0))</f>
        <v/>
      </c>
      <c r="N3577" s="17" t="str">
        <f aca="false">IF(A3577="","",IF(ISNUMBER(A3577),A3577,IFERROR(DATE(VALUE(MID(A3577,7,4)),VALUE(MID(A3577,4,2)),VALUE(MID(A3577,1,2)))+TIME(VALUE(MID(A3577,12,2)),VALUE(MID(A3577,15,2)),VALUE(MID(A3577,18,2))),"")))</f>
        <v/>
      </c>
    </row>
    <row r="3578" customFormat="false" ht="15" hidden="false" customHeight="false" outlineLevel="0" collapsed="false">
      <c r="I3578" s="15" t="str">
        <f aca="false">IF(N3578="","",INT(N3578))</f>
        <v/>
      </c>
      <c r="J3578" s="16" t="str">
        <f aca="false">IF(B3578="","",IF(N3578=_xlfn.MINIFS($N$2:$N$5001,$B$2:$B$5001,B3578),1,0))</f>
        <v/>
      </c>
      <c r="K3578" s="16" t="str">
        <f aca="false">IF(B3578="","",IF(AND(D3578="Formalização",E3578="Concluído"),IF(COUNTIFS($B$2:$B$5001,B3578,$E$2:$E$5001,"Em ajustes",$N$2:$N$5001,"&lt;"&amp;I3578)&gt;0,1,0),0))</f>
        <v/>
      </c>
      <c r="L3578" s="16" t="str">
        <f aca="false">IF(B3578="","",IF(N3578=_xlfn.MAXIFS($N$2:$N$5001,$B$2:$B$5001,B3578,$I$2:$I$5001,I3578),1,0))</f>
        <v/>
      </c>
      <c r="M3578" s="16" t="str">
        <f aca="false">IF(B3578="","",IF(E3578="Em ajustes",IF(N3578=_xlfn.MINIFS($N$2:$N$5001,$B$2:$B$5001,B3578,$E$2:$E$5001,"Em ajustes"),1,0),0))</f>
        <v/>
      </c>
      <c r="N3578" s="17" t="str">
        <f aca="false">IF(A3578="","",IF(ISNUMBER(A3578),A3578,IFERROR(DATE(VALUE(MID(A3578,7,4)),VALUE(MID(A3578,4,2)),VALUE(MID(A3578,1,2)))+TIME(VALUE(MID(A3578,12,2)),VALUE(MID(A3578,15,2)),VALUE(MID(A3578,18,2))),"")))</f>
        <v/>
      </c>
    </row>
    <row r="3579" customFormat="false" ht="15" hidden="false" customHeight="false" outlineLevel="0" collapsed="false">
      <c r="I3579" s="15" t="str">
        <f aca="false">IF(N3579="","",INT(N3579))</f>
        <v/>
      </c>
      <c r="J3579" s="16" t="str">
        <f aca="false">IF(B3579="","",IF(N3579=_xlfn.MINIFS($N$2:$N$5001,$B$2:$B$5001,B3579),1,0))</f>
        <v/>
      </c>
      <c r="K3579" s="16" t="str">
        <f aca="false">IF(B3579="","",IF(AND(D3579="Formalização",E3579="Concluído"),IF(COUNTIFS($B$2:$B$5001,B3579,$E$2:$E$5001,"Em ajustes",$N$2:$N$5001,"&lt;"&amp;I3579)&gt;0,1,0),0))</f>
        <v/>
      </c>
      <c r="L3579" s="16" t="str">
        <f aca="false">IF(B3579="","",IF(N3579=_xlfn.MAXIFS($N$2:$N$5001,$B$2:$B$5001,B3579,$I$2:$I$5001,I3579),1,0))</f>
        <v/>
      </c>
      <c r="M3579" s="16" t="str">
        <f aca="false">IF(B3579="","",IF(E3579="Em ajustes",IF(N3579=_xlfn.MINIFS($N$2:$N$5001,$B$2:$B$5001,B3579,$E$2:$E$5001,"Em ajustes"),1,0),0))</f>
        <v/>
      </c>
      <c r="N3579" s="17" t="str">
        <f aca="false">IF(A3579="","",IF(ISNUMBER(A3579),A3579,IFERROR(DATE(VALUE(MID(A3579,7,4)),VALUE(MID(A3579,4,2)),VALUE(MID(A3579,1,2)))+TIME(VALUE(MID(A3579,12,2)),VALUE(MID(A3579,15,2)),VALUE(MID(A3579,18,2))),"")))</f>
        <v/>
      </c>
    </row>
    <row r="3580" customFormat="false" ht="15" hidden="false" customHeight="false" outlineLevel="0" collapsed="false">
      <c r="I3580" s="15" t="str">
        <f aca="false">IF(N3580="","",INT(N3580))</f>
        <v/>
      </c>
      <c r="J3580" s="16" t="str">
        <f aca="false">IF(B3580="","",IF(N3580=_xlfn.MINIFS($N$2:$N$5001,$B$2:$B$5001,B3580),1,0))</f>
        <v/>
      </c>
      <c r="K3580" s="16" t="str">
        <f aca="false">IF(B3580="","",IF(AND(D3580="Formalização",E3580="Concluído"),IF(COUNTIFS($B$2:$B$5001,B3580,$E$2:$E$5001,"Em ajustes",$N$2:$N$5001,"&lt;"&amp;I3580)&gt;0,1,0),0))</f>
        <v/>
      </c>
      <c r="L3580" s="16" t="str">
        <f aca="false">IF(B3580="","",IF(N3580=_xlfn.MAXIFS($N$2:$N$5001,$B$2:$B$5001,B3580,$I$2:$I$5001,I3580),1,0))</f>
        <v/>
      </c>
      <c r="M3580" s="16" t="str">
        <f aca="false">IF(B3580="","",IF(E3580="Em ajustes",IF(N3580=_xlfn.MINIFS($N$2:$N$5001,$B$2:$B$5001,B3580,$E$2:$E$5001,"Em ajustes"),1,0),0))</f>
        <v/>
      </c>
      <c r="N3580" s="17" t="str">
        <f aca="false">IF(A3580="","",IF(ISNUMBER(A3580),A3580,IFERROR(DATE(VALUE(MID(A3580,7,4)),VALUE(MID(A3580,4,2)),VALUE(MID(A3580,1,2)))+TIME(VALUE(MID(A3580,12,2)),VALUE(MID(A3580,15,2)),VALUE(MID(A3580,18,2))),"")))</f>
        <v/>
      </c>
    </row>
    <row r="3581" customFormat="false" ht="15" hidden="false" customHeight="false" outlineLevel="0" collapsed="false">
      <c r="I3581" s="15" t="str">
        <f aca="false">IF(N3581="","",INT(N3581))</f>
        <v/>
      </c>
      <c r="J3581" s="16" t="str">
        <f aca="false">IF(B3581="","",IF(N3581=_xlfn.MINIFS($N$2:$N$5001,$B$2:$B$5001,B3581),1,0))</f>
        <v/>
      </c>
      <c r="K3581" s="16" t="str">
        <f aca="false">IF(B3581="","",IF(AND(D3581="Formalização",E3581="Concluído"),IF(COUNTIFS($B$2:$B$5001,B3581,$E$2:$E$5001,"Em ajustes",$N$2:$N$5001,"&lt;"&amp;I3581)&gt;0,1,0),0))</f>
        <v/>
      </c>
      <c r="L3581" s="16" t="str">
        <f aca="false">IF(B3581="","",IF(N3581=_xlfn.MAXIFS($N$2:$N$5001,$B$2:$B$5001,B3581,$I$2:$I$5001,I3581),1,0))</f>
        <v/>
      </c>
      <c r="M3581" s="16" t="str">
        <f aca="false">IF(B3581="","",IF(E3581="Em ajustes",IF(N3581=_xlfn.MINIFS($N$2:$N$5001,$B$2:$B$5001,B3581,$E$2:$E$5001,"Em ajustes"),1,0),0))</f>
        <v/>
      </c>
      <c r="N3581" s="17" t="str">
        <f aca="false">IF(A3581="","",IF(ISNUMBER(A3581),A3581,IFERROR(DATE(VALUE(MID(A3581,7,4)),VALUE(MID(A3581,4,2)),VALUE(MID(A3581,1,2)))+TIME(VALUE(MID(A3581,12,2)),VALUE(MID(A3581,15,2)),VALUE(MID(A3581,18,2))),"")))</f>
        <v/>
      </c>
    </row>
    <row r="3582" customFormat="false" ht="15" hidden="false" customHeight="false" outlineLevel="0" collapsed="false">
      <c r="I3582" s="15" t="str">
        <f aca="false">IF(N3582="","",INT(N3582))</f>
        <v/>
      </c>
      <c r="J3582" s="16" t="str">
        <f aca="false">IF(B3582="","",IF(N3582=_xlfn.MINIFS($N$2:$N$5001,$B$2:$B$5001,B3582),1,0))</f>
        <v/>
      </c>
      <c r="K3582" s="16" t="str">
        <f aca="false">IF(B3582="","",IF(AND(D3582="Formalização",E3582="Concluído"),IF(COUNTIFS($B$2:$B$5001,B3582,$E$2:$E$5001,"Em ajustes",$N$2:$N$5001,"&lt;"&amp;I3582)&gt;0,1,0),0))</f>
        <v/>
      </c>
      <c r="L3582" s="16" t="str">
        <f aca="false">IF(B3582="","",IF(N3582=_xlfn.MAXIFS($N$2:$N$5001,$B$2:$B$5001,B3582,$I$2:$I$5001,I3582),1,0))</f>
        <v/>
      </c>
      <c r="M3582" s="16" t="str">
        <f aca="false">IF(B3582="","",IF(E3582="Em ajustes",IF(N3582=_xlfn.MINIFS($N$2:$N$5001,$B$2:$B$5001,B3582,$E$2:$E$5001,"Em ajustes"),1,0),0))</f>
        <v/>
      </c>
      <c r="N3582" s="17" t="str">
        <f aca="false">IF(A3582="","",IF(ISNUMBER(A3582),A3582,IFERROR(DATE(VALUE(MID(A3582,7,4)),VALUE(MID(A3582,4,2)),VALUE(MID(A3582,1,2)))+TIME(VALUE(MID(A3582,12,2)),VALUE(MID(A3582,15,2)),VALUE(MID(A3582,18,2))),"")))</f>
        <v/>
      </c>
    </row>
    <row r="3583" customFormat="false" ht="15" hidden="false" customHeight="false" outlineLevel="0" collapsed="false">
      <c r="I3583" s="15" t="str">
        <f aca="false">IF(N3583="","",INT(N3583))</f>
        <v/>
      </c>
      <c r="J3583" s="16" t="str">
        <f aca="false">IF(B3583="","",IF(N3583=_xlfn.MINIFS($N$2:$N$5001,$B$2:$B$5001,B3583),1,0))</f>
        <v/>
      </c>
      <c r="K3583" s="16" t="str">
        <f aca="false">IF(B3583="","",IF(AND(D3583="Formalização",E3583="Concluído"),IF(COUNTIFS($B$2:$B$5001,B3583,$E$2:$E$5001,"Em ajustes",$N$2:$N$5001,"&lt;"&amp;I3583)&gt;0,1,0),0))</f>
        <v/>
      </c>
      <c r="L3583" s="16" t="str">
        <f aca="false">IF(B3583="","",IF(N3583=_xlfn.MAXIFS($N$2:$N$5001,$B$2:$B$5001,B3583,$I$2:$I$5001,I3583),1,0))</f>
        <v/>
      </c>
      <c r="M3583" s="16" t="str">
        <f aca="false">IF(B3583="","",IF(E3583="Em ajustes",IF(N3583=_xlfn.MINIFS($N$2:$N$5001,$B$2:$B$5001,B3583,$E$2:$E$5001,"Em ajustes"),1,0),0))</f>
        <v/>
      </c>
      <c r="N3583" s="17" t="str">
        <f aca="false">IF(A3583="","",IF(ISNUMBER(A3583),A3583,IFERROR(DATE(VALUE(MID(A3583,7,4)),VALUE(MID(A3583,4,2)),VALUE(MID(A3583,1,2)))+TIME(VALUE(MID(A3583,12,2)),VALUE(MID(A3583,15,2)),VALUE(MID(A3583,18,2))),"")))</f>
        <v/>
      </c>
    </row>
    <row r="3584" customFormat="false" ht="15" hidden="false" customHeight="false" outlineLevel="0" collapsed="false">
      <c r="I3584" s="15" t="str">
        <f aca="false">IF(N3584="","",INT(N3584))</f>
        <v/>
      </c>
      <c r="J3584" s="16" t="str">
        <f aca="false">IF(B3584="","",IF(N3584=_xlfn.MINIFS($N$2:$N$5001,$B$2:$B$5001,B3584),1,0))</f>
        <v/>
      </c>
      <c r="K3584" s="16" t="str">
        <f aca="false">IF(B3584="","",IF(AND(D3584="Formalização",E3584="Concluído"),IF(COUNTIFS($B$2:$B$5001,B3584,$E$2:$E$5001,"Em ajustes",$N$2:$N$5001,"&lt;"&amp;I3584)&gt;0,1,0),0))</f>
        <v/>
      </c>
      <c r="L3584" s="16" t="str">
        <f aca="false">IF(B3584="","",IF(N3584=_xlfn.MAXIFS($N$2:$N$5001,$B$2:$B$5001,B3584,$I$2:$I$5001,I3584),1,0))</f>
        <v/>
      </c>
      <c r="M3584" s="16" t="str">
        <f aca="false">IF(B3584="","",IF(E3584="Em ajustes",IF(N3584=_xlfn.MINIFS($N$2:$N$5001,$B$2:$B$5001,B3584,$E$2:$E$5001,"Em ajustes"),1,0),0))</f>
        <v/>
      </c>
      <c r="N3584" s="17" t="str">
        <f aca="false">IF(A3584="","",IF(ISNUMBER(A3584),A3584,IFERROR(DATE(VALUE(MID(A3584,7,4)),VALUE(MID(A3584,4,2)),VALUE(MID(A3584,1,2)))+TIME(VALUE(MID(A3584,12,2)),VALUE(MID(A3584,15,2)),VALUE(MID(A3584,18,2))),"")))</f>
        <v/>
      </c>
    </row>
    <row r="3585" customFormat="false" ht="15" hidden="false" customHeight="false" outlineLevel="0" collapsed="false">
      <c r="I3585" s="15" t="str">
        <f aca="false">IF(N3585="","",INT(N3585))</f>
        <v/>
      </c>
      <c r="J3585" s="16" t="str">
        <f aca="false">IF(B3585="","",IF(N3585=_xlfn.MINIFS($N$2:$N$5001,$B$2:$B$5001,B3585),1,0))</f>
        <v/>
      </c>
      <c r="K3585" s="16" t="str">
        <f aca="false">IF(B3585="","",IF(AND(D3585="Formalização",E3585="Concluído"),IF(COUNTIFS($B$2:$B$5001,B3585,$E$2:$E$5001,"Em ajustes",$N$2:$N$5001,"&lt;"&amp;I3585)&gt;0,1,0),0))</f>
        <v/>
      </c>
      <c r="L3585" s="16" t="str">
        <f aca="false">IF(B3585="","",IF(N3585=_xlfn.MAXIFS($N$2:$N$5001,$B$2:$B$5001,B3585,$I$2:$I$5001,I3585),1,0))</f>
        <v/>
      </c>
      <c r="M3585" s="16" t="str">
        <f aca="false">IF(B3585="","",IF(E3585="Em ajustes",IF(N3585=_xlfn.MINIFS($N$2:$N$5001,$B$2:$B$5001,B3585,$E$2:$E$5001,"Em ajustes"),1,0),0))</f>
        <v/>
      </c>
      <c r="N3585" s="17" t="str">
        <f aca="false">IF(A3585="","",IF(ISNUMBER(A3585),A3585,IFERROR(DATE(VALUE(MID(A3585,7,4)),VALUE(MID(A3585,4,2)),VALUE(MID(A3585,1,2)))+TIME(VALUE(MID(A3585,12,2)),VALUE(MID(A3585,15,2)),VALUE(MID(A3585,18,2))),"")))</f>
        <v/>
      </c>
    </row>
    <row r="3586" customFormat="false" ht="15" hidden="false" customHeight="false" outlineLevel="0" collapsed="false">
      <c r="I3586" s="15" t="str">
        <f aca="false">IF(N3586="","",INT(N3586))</f>
        <v/>
      </c>
      <c r="J3586" s="16" t="str">
        <f aca="false">IF(B3586="","",IF(N3586=_xlfn.MINIFS($N$2:$N$5001,$B$2:$B$5001,B3586),1,0))</f>
        <v/>
      </c>
      <c r="K3586" s="16" t="str">
        <f aca="false">IF(B3586="","",IF(AND(D3586="Formalização",E3586="Concluído"),IF(COUNTIFS($B$2:$B$5001,B3586,$E$2:$E$5001,"Em ajustes",$N$2:$N$5001,"&lt;"&amp;I3586)&gt;0,1,0),0))</f>
        <v/>
      </c>
      <c r="L3586" s="16" t="str">
        <f aca="false">IF(B3586="","",IF(N3586=_xlfn.MAXIFS($N$2:$N$5001,$B$2:$B$5001,B3586,$I$2:$I$5001,I3586),1,0))</f>
        <v/>
      </c>
      <c r="M3586" s="16" t="str">
        <f aca="false">IF(B3586="","",IF(E3586="Em ajustes",IF(N3586=_xlfn.MINIFS($N$2:$N$5001,$B$2:$B$5001,B3586,$E$2:$E$5001,"Em ajustes"),1,0),0))</f>
        <v/>
      </c>
      <c r="N3586" s="17" t="str">
        <f aca="false">IF(A3586="","",IF(ISNUMBER(A3586),A3586,IFERROR(DATE(VALUE(MID(A3586,7,4)),VALUE(MID(A3586,4,2)),VALUE(MID(A3586,1,2)))+TIME(VALUE(MID(A3586,12,2)),VALUE(MID(A3586,15,2)),VALUE(MID(A3586,18,2))),"")))</f>
        <v/>
      </c>
    </row>
    <row r="3587" customFormat="false" ht="15" hidden="false" customHeight="false" outlineLevel="0" collapsed="false">
      <c r="I3587" s="15" t="str">
        <f aca="false">IF(N3587="","",INT(N3587))</f>
        <v/>
      </c>
      <c r="J3587" s="16" t="str">
        <f aca="false">IF(B3587="","",IF(N3587=_xlfn.MINIFS($N$2:$N$5001,$B$2:$B$5001,B3587),1,0))</f>
        <v/>
      </c>
      <c r="K3587" s="16" t="str">
        <f aca="false">IF(B3587="","",IF(AND(D3587="Formalização",E3587="Concluído"),IF(COUNTIFS($B$2:$B$5001,B3587,$E$2:$E$5001,"Em ajustes",$N$2:$N$5001,"&lt;"&amp;I3587)&gt;0,1,0),0))</f>
        <v/>
      </c>
      <c r="L3587" s="16" t="str">
        <f aca="false">IF(B3587="","",IF(N3587=_xlfn.MAXIFS($N$2:$N$5001,$B$2:$B$5001,B3587,$I$2:$I$5001,I3587),1,0))</f>
        <v/>
      </c>
      <c r="M3587" s="16" t="str">
        <f aca="false">IF(B3587="","",IF(E3587="Em ajustes",IF(N3587=_xlfn.MINIFS($N$2:$N$5001,$B$2:$B$5001,B3587,$E$2:$E$5001,"Em ajustes"),1,0),0))</f>
        <v/>
      </c>
      <c r="N3587" s="17" t="str">
        <f aca="false">IF(A3587="","",IF(ISNUMBER(A3587),A3587,IFERROR(DATE(VALUE(MID(A3587,7,4)),VALUE(MID(A3587,4,2)),VALUE(MID(A3587,1,2)))+TIME(VALUE(MID(A3587,12,2)),VALUE(MID(A3587,15,2)),VALUE(MID(A3587,18,2))),"")))</f>
        <v/>
      </c>
    </row>
    <row r="3588" customFormat="false" ht="15" hidden="false" customHeight="false" outlineLevel="0" collapsed="false">
      <c r="I3588" s="15" t="str">
        <f aca="false">IF(N3588="","",INT(N3588))</f>
        <v/>
      </c>
      <c r="J3588" s="16" t="str">
        <f aca="false">IF(B3588="","",IF(N3588=_xlfn.MINIFS($N$2:$N$5001,$B$2:$B$5001,B3588),1,0))</f>
        <v/>
      </c>
      <c r="K3588" s="16" t="str">
        <f aca="false">IF(B3588="","",IF(AND(D3588="Formalização",E3588="Concluído"),IF(COUNTIFS($B$2:$B$5001,B3588,$E$2:$E$5001,"Em ajustes",$N$2:$N$5001,"&lt;"&amp;I3588)&gt;0,1,0),0))</f>
        <v/>
      </c>
      <c r="L3588" s="16" t="str">
        <f aca="false">IF(B3588="","",IF(N3588=_xlfn.MAXIFS($N$2:$N$5001,$B$2:$B$5001,B3588,$I$2:$I$5001,I3588),1,0))</f>
        <v/>
      </c>
      <c r="M3588" s="16" t="str">
        <f aca="false">IF(B3588="","",IF(E3588="Em ajustes",IF(N3588=_xlfn.MINIFS($N$2:$N$5001,$B$2:$B$5001,B3588,$E$2:$E$5001,"Em ajustes"),1,0),0))</f>
        <v/>
      </c>
      <c r="N3588" s="17" t="str">
        <f aca="false">IF(A3588="","",IF(ISNUMBER(A3588),A3588,IFERROR(DATE(VALUE(MID(A3588,7,4)),VALUE(MID(A3588,4,2)),VALUE(MID(A3588,1,2)))+TIME(VALUE(MID(A3588,12,2)),VALUE(MID(A3588,15,2)),VALUE(MID(A3588,18,2))),"")))</f>
        <v/>
      </c>
    </row>
    <row r="3589" customFormat="false" ht="15" hidden="false" customHeight="false" outlineLevel="0" collapsed="false">
      <c r="I3589" s="15" t="str">
        <f aca="false">IF(N3589="","",INT(N3589))</f>
        <v/>
      </c>
      <c r="J3589" s="16" t="str">
        <f aca="false">IF(B3589="","",IF(N3589=_xlfn.MINIFS($N$2:$N$5001,$B$2:$B$5001,B3589),1,0))</f>
        <v/>
      </c>
      <c r="K3589" s="16" t="str">
        <f aca="false">IF(B3589="","",IF(AND(D3589="Formalização",E3589="Concluído"),IF(COUNTIFS($B$2:$B$5001,B3589,$E$2:$E$5001,"Em ajustes",$N$2:$N$5001,"&lt;"&amp;I3589)&gt;0,1,0),0))</f>
        <v/>
      </c>
      <c r="L3589" s="16" t="str">
        <f aca="false">IF(B3589="","",IF(N3589=_xlfn.MAXIFS($N$2:$N$5001,$B$2:$B$5001,B3589,$I$2:$I$5001,I3589),1,0))</f>
        <v/>
      </c>
      <c r="M3589" s="16" t="str">
        <f aca="false">IF(B3589="","",IF(E3589="Em ajustes",IF(N3589=_xlfn.MINIFS($N$2:$N$5001,$B$2:$B$5001,B3589,$E$2:$E$5001,"Em ajustes"),1,0),0))</f>
        <v/>
      </c>
      <c r="N3589" s="17" t="str">
        <f aca="false">IF(A3589="","",IF(ISNUMBER(A3589),A3589,IFERROR(DATE(VALUE(MID(A3589,7,4)),VALUE(MID(A3589,4,2)),VALUE(MID(A3589,1,2)))+TIME(VALUE(MID(A3589,12,2)),VALUE(MID(A3589,15,2)),VALUE(MID(A3589,18,2))),"")))</f>
        <v/>
      </c>
    </row>
    <row r="3590" customFormat="false" ht="15" hidden="false" customHeight="false" outlineLevel="0" collapsed="false">
      <c r="I3590" s="15" t="str">
        <f aca="false">IF(N3590="","",INT(N3590))</f>
        <v/>
      </c>
      <c r="J3590" s="16" t="str">
        <f aca="false">IF(B3590="","",IF(N3590=_xlfn.MINIFS($N$2:$N$5001,$B$2:$B$5001,B3590),1,0))</f>
        <v/>
      </c>
      <c r="K3590" s="16" t="str">
        <f aca="false">IF(B3590="","",IF(AND(D3590="Formalização",E3590="Concluído"),IF(COUNTIFS($B$2:$B$5001,B3590,$E$2:$E$5001,"Em ajustes",$N$2:$N$5001,"&lt;"&amp;I3590)&gt;0,1,0),0))</f>
        <v/>
      </c>
      <c r="L3590" s="16" t="str">
        <f aca="false">IF(B3590="","",IF(N3590=_xlfn.MAXIFS($N$2:$N$5001,$B$2:$B$5001,B3590,$I$2:$I$5001,I3590),1,0))</f>
        <v/>
      </c>
      <c r="M3590" s="16" t="str">
        <f aca="false">IF(B3590="","",IF(E3590="Em ajustes",IF(N3590=_xlfn.MINIFS($N$2:$N$5001,$B$2:$B$5001,B3590,$E$2:$E$5001,"Em ajustes"),1,0),0))</f>
        <v/>
      </c>
      <c r="N3590" s="17" t="str">
        <f aca="false">IF(A3590="","",IF(ISNUMBER(A3590),A3590,IFERROR(DATE(VALUE(MID(A3590,7,4)),VALUE(MID(A3590,4,2)),VALUE(MID(A3590,1,2)))+TIME(VALUE(MID(A3590,12,2)),VALUE(MID(A3590,15,2)),VALUE(MID(A3590,18,2))),"")))</f>
        <v/>
      </c>
    </row>
    <row r="3591" customFormat="false" ht="15" hidden="false" customHeight="false" outlineLevel="0" collapsed="false">
      <c r="I3591" s="15" t="str">
        <f aca="false">IF(N3591="","",INT(N3591))</f>
        <v/>
      </c>
      <c r="J3591" s="16" t="str">
        <f aca="false">IF(B3591="","",IF(N3591=_xlfn.MINIFS($N$2:$N$5001,$B$2:$B$5001,B3591),1,0))</f>
        <v/>
      </c>
      <c r="K3591" s="16" t="str">
        <f aca="false">IF(B3591="","",IF(AND(D3591="Formalização",E3591="Concluído"),IF(COUNTIFS($B$2:$B$5001,B3591,$E$2:$E$5001,"Em ajustes",$N$2:$N$5001,"&lt;"&amp;I3591)&gt;0,1,0),0))</f>
        <v/>
      </c>
      <c r="L3591" s="16" t="str">
        <f aca="false">IF(B3591="","",IF(N3591=_xlfn.MAXIFS($N$2:$N$5001,$B$2:$B$5001,B3591,$I$2:$I$5001,I3591),1,0))</f>
        <v/>
      </c>
      <c r="M3591" s="16" t="str">
        <f aca="false">IF(B3591="","",IF(E3591="Em ajustes",IF(N3591=_xlfn.MINIFS($N$2:$N$5001,$B$2:$B$5001,B3591,$E$2:$E$5001,"Em ajustes"),1,0),0))</f>
        <v/>
      </c>
      <c r="N3591" s="17" t="str">
        <f aca="false">IF(A3591="","",IF(ISNUMBER(A3591),A3591,IFERROR(DATE(VALUE(MID(A3591,7,4)),VALUE(MID(A3591,4,2)),VALUE(MID(A3591,1,2)))+TIME(VALUE(MID(A3591,12,2)),VALUE(MID(A3591,15,2)),VALUE(MID(A3591,18,2))),"")))</f>
        <v/>
      </c>
    </row>
    <row r="3592" customFormat="false" ht="15" hidden="false" customHeight="false" outlineLevel="0" collapsed="false">
      <c r="I3592" s="15" t="str">
        <f aca="false">IF(N3592="","",INT(N3592))</f>
        <v/>
      </c>
      <c r="J3592" s="16" t="str">
        <f aca="false">IF(B3592="","",IF(N3592=_xlfn.MINIFS($N$2:$N$5001,$B$2:$B$5001,B3592),1,0))</f>
        <v/>
      </c>
      <c r="K3592" s="16" t="str">
        <f aca="false">IF(B3592="","",IF(AND(D3592="Formalização",E3592="Concluído"),IF(COUNTIFS($B$2:$B$5001,B3592,$E$2:$E$5001,"Em ajustes",$N$2:$N$5001,"&lt;"&amp;I3592)&gt;0,1,0),0))</f>
        <v/>
      </c>
      <c r="L3592" s="16" t="str">
        <f aca="false">IF(B3592="","",IF(N3592=_xlfn.MAXIFS($N$2:$N$5001,$B$2:$B$5001,B3592,$I$2:$I$5001,I3592),1,0))</f>
        <v/>
      </c>
      <c r="M3592" s="16" t="str">
        <f aca="false">IF(B3592="","",IF(E3592="Em ajustes",IF(N3592=_xlfn.MINIFS($N$2:$N$5001,$B$2:$B$5001,B3592,$E$2:$E$5001,"Em ajustes"),1,0),0))</f>
        <v/>
      </c>
      <c r="N3592" s="17" t="str">
        <f aca="false">IF(A3592="","",IF(ISNUMBER(A3592),A3592,IFERROR(DATE(VALUE(MID(A3592,7,4)),VALUE(MID(A3592,4,2)),VALUE(MID(A3592,1,2)))+TIME(VALUE(MID(A3592,12,2)),VALUE(MID(A3592,15,2)),VALUE(MID(A3592,18,2))),"")))</f>
        <v/>
      </c>
    </row>
    <row r="3593" customFormat="false" ht="15" hidden="false" customHeight="false" outlineLevel="0" collapsed="false">
      <c r="I3593" s="15" t="str">
        <f aca="false">IF(N3593="","",INT(N3593))</f>
        <v/>
      </c>
      <c r="J3593" s="16" t="str">
        <f aca="false">IF(B3593="","",IF(N3593=_xlfn.MINIFS($N$2:$N$5001,$B$2:$B$5001,B3593),1,0))</f>
        <v/>
      </c>
      <c r="K3593" s="16" t="str">
        <f aca="false">IF(B3593="","",IF(AND(D3593="Formalização",E3593="Concluído"),IF(COUNTIFS($B$2:$B$5001,B3593,$E$2:$E$5001,"Em ajustes",$N$2:$N$5001,"&lt;"&amp;I3593)&gt;0,1,0),0))</f>
        <v/>
      </c>
      <c r="L3593" s="16" t="str">
        <f aca="false">IF(B3593="","",IF(N3593=_xlfn.MAXIFS($N$2:$N$5001,$B$2:$B$5001,B3593,$I$2:$I$5001,I3593),1,0))</f>
        <v/>
      </c>
      <c r="M3593" s="16" t="str">
        <f aca="false">IF(B3593="","",IF(E3593="Em ajustes",IF(N3593=_xlfn.MINIFS($N$2:$N$5001,$B$2:$B$5001,B3593,$E$2:$E$5001,"Em ajustes"),1,0),0))</f>
        <v/>
      </c>
      <c r="N3593" s="17" t="str">
        <f aca="false">IF(A3593="","",IF(ISNUMBER(A3593),A3593,IFERROR(DATE(VALUE(MID(A3593,7,4)),VALUE(MID(A3593,4,2)),VALUE(MID(A3593,1,2)))+TIME(VALUE(MID(A3593,12,2)),VALUE(MID(A3593,15,2)),VALUE(MID(A3593,18,2))),"")))</f>
        <v/>
      </c>
    </row>
    <row r="3594" customFormat="false" ht="15" hidden="false" customHeight="false" outlineLevel="0" collapsed="false">
      <c r="I3594" s="15" t="str">
        <f aca="false">IF(N3594="","",INT(N3594))</f>
        <v/>
      </c>
      <c r="J3594" s="16" t="str">
        <f aca="false">IF(B3594="","",IF(N3594=_xlfn.MINIFS($N$2:$N$5001,$B$2:$B$5001,B3594),1,0))</f>
        <v/>
      </c>
      <c r="K3594" s="16" t="str">
        <f aca="false">IF(B3594="","",IF(AND(D3594="Formalização",E3594="Concluído"),IF(COUNTIFS($B$2:$B$5001,B3594,$E$2:$E$5001,"Em ajustes",$N$2:$N$5001,"&lt;"&amp;I3594)&gt;0,1,0),0))</f>
        <v/>
      </c>
      <c r="L3594" s="16" t="str">
        <f aca="false">IF(B3594="","",IF(N3594=_xlfn.MAXIFS($N$2:$N$5001,$B$2:$B$5001,B3594,$I$2:$I$5001,I3594),1,0))</f>
        <v/>
      </c>
      <c r="M3594" s="16" t="str">
        <f aca="false">IF(B3594="","",IF(E3594="Em ajustes",IF(N3594=_xlfn.MINIFS($N$2:$N$5001,$B$2:$B$5001,B3594,$E$2:$E$5001,"Em ajustes"),1,0),0))</f>
        <v/>
      </c>
      <c r="N3594" s="17" t="str">
        <f aca="false">IF(A3594="","",IF(ISNUMBER(A3594),A3594,IFERROR(DATE(VALUE(MID(A3594,7,4)),VALUE(MID(A3594,4,2)),VALUE(MID(A3594,1,2)))+TIME(VALUE(MID(A3594,12,2)),VALUE(MID(A3594,15,2)),VALUE(MID(A3594,18,2))),"")))</f>
        <v/>
      </c>
    </row>
    <row r="3595" customFormat="false" ht="15" hidden="false" customHeight="false" outlineLevel="0" collapsed="false">
      <c r="I3595" s="15" t="str">
        <f aca="false">IF(N3595="","",INT(N3595))</f>
        <v/>
      </c>
      <c r="J3595" s="16" t="str">
        <f aca="false">IF(B3595="","",IF(N3595=_xlfn.MINIFS($N$2:$N$5001,$B$2:$B$5001,B3595),1,0))</f>
        <v/>
      </c>
      <c r="K3595" s="16" t="str">
        <f aca="false">IF(B3595="","",IF(AND(D3595="Formalização",E3595="Concluído"),IF(COUNTIFS($B$2:$B$5001,B3595,$E$2:$E$5001,"Em ajustes",$N$2:$N$5001,"&lt;"&amp;I3595)&gt;0,1,0),0))</f>
        <v/>
      </c>
      <c r="L3595" s="16" t="str">
        <f aca="false">IF(B3595="","",IF(N3595=_xlfn.MAXIFS($N$2:$N$5001,$B$2:$B$5001,B3595,$I$2:$I$5001,I3595),1,0))</f>
        <v/>
      </c>
      <c r="M3595" s="16" t="str">
        <f aca="false">IF(B3595="","",IF(E3595="Em ajustes",IF(N3595=_xlfn.MINIFS($N$2:$N$5001,$B$2:$B$5001,B3595,$E$2:$E$5001,"Em ajustes"),1,0),0))</f>
        <v/>
      </c>
      <c r="N3595" s="17" t="str">
        <f aca="false">IF(A3595="","",IF(ISNUMBER(A3595),A3595,IFERROR(DATE(VALUE(MID(A3595,7,4)),VALUE(MID(A3595,4,2)),VALUE(MID(A3595,1,2)))+TIME(VALUE(MID(A3595,12,2)),VALUE(MID(A3595,15,2)),VALUE(MID(A3595,18,2))),"")))</f>
        <v/>
      </c>
    </row>
    <row r="3596" customFormat="false" ht="15" hidden="false" customHeight="false" outlineLevel="0" collapsed="false">
      <c r="I3596" s="15" t="str">
        <f aca="false">IF(N3596="","",INT(N3596))</f>
        <v/>
      </c>
      <c r="J3596" s="16" t="str">
        <f aca="false">IF(B3596="","",IF(N3596=_xlfn.MINIFS($N$2:$N$5001,$B$2:$B$5001,B3596),1,0))</f>
        <v/>
      </c>
      <c r="K3596" s="16" t="str">
        <f aca="false">IF(B3596="","",IF(AND(D3596="Formalização",E3596="Concluído"),IF(COUNTIFS($B$2:$B$5001,B3596,$E$2:$E$5001,"Em ajustes",$N$2:$N$5001,"&lt;"&amp;I3596)&gt;0,1,0),0))</f>
        <v/>
      </c>
      <c r="L3596" s="16" t="str">
        <f aca="false">IF(B3596="","",IF(N3596=_xlfn.MAXIFS($N$2:$N$5001,$B$2:$B$5001,B3596,$I$2:$I$5001,I3596),1,0))</f>
        <v/>
      </c>
      <c r="M3596" s="16" t="str">
        <f aca="false">IF(B3596="","",IF(E3596="Em ajustes",IF(N3596=_xlfn.MINIFS($N$2:$N$5001,$B$2:$B$5001,B3596,$E$2:$E$5001,"Em ajustes"),1,0),0))</f>
        <v/>
      </c>
      <c r="N3596" s="17" t="str">
        <f aca="false">IF(A3596="","",IF(ISNUMBER(A3596),A3596,IFERROR(DATE(VALUE(MID(A3596,7,4)),VALUE(MID(A3596,4,2)),VALUE(MID(A3596,1,2)))+TIME(VALUE(MID(A3596,12,2)),VALUE(MID(A3596,15,2)),VALUE(MID(A3596,18,2))),"")))</f>
        <v/>
      </c>
    </row>
    <row r="3597" customFormat="false" ht="15" hidden="false" customHeight="false" outlineLevel="0" collapsed="false">
      <c r="I3597" s="15" t="str">
        <f aca="false">IF(N3597="","",INT(N3597))</f>
        <v/>
      </c>
      <c r="J3597" s="16" t="str">
        <f aca="false">IF(B3597="","",IF(N3597=_xlfn.MINIFS($N$2:$N$5001,$B$2:$B$5001,B3597),1,0))</f>
        <v/>
      </c>
      <c r="K3597" s="16" t="str">
        <f aca="false">IF(B3597="","",IF(AND(D3597="Formalização",E3597="Concluído"),IF(COUNTIFS($B$2:$B$5001,B3597,$E$2:$E$5001,"Em ajustes",$N$2:$N$5001,"&lt;"&amp;I3597)&gt;0,1,0),0))</f>
        <v/>
      </c>
      <c r="L3597" s="16" t="str">
        <f aca="false">IF(B3597="","",IF(N3597=_xlfn.MAXIFS($N$2:$N$5001,$B$2:$B$5001,B3597,$I$2:$I$5001,I3597),1,0))</f>
        <v/>
      </c>
      <c r="M3597" s="16" t="str">
        <f aca="false">IF(B3597="","",IF(E3597="Em ajustes",IF(N3597=_xlfn.MINIFS($N$2:$N$5001,$B$2:$B$5001,B3597,$E$2:$E$5001,"Em ajustes"),1,0),0))</f>
        <v/>
      </c>
      <c r="N3597" s="17" t="str">
        <f aca="false">IF(A3597="","",IF(ISNUMBER(A3597),A3597,IFERROR(DATE(VALUE(MID(A3597,7,4)),VALUE(MID(A3597,4,2)),VALUE(MID(A3597,1,2)))+TIME(VALUE(MID(A3597,12,2)),VALUE(MID(A3597,15,2)),VALUE(MID(A3597,18,2))),"")))</f>
        <v/>
      </c>
    </row>
    <row r="3598" customFormat="false" ht="15" hidden="false" customHeight="false" outlineLevel="0" collapsed="false">
      <c r="I3598" s="15" t="str">
        <f aca="false">IF(N3598="","",INT(N3598))</f>
        <v/>
      </c>
      <c r="J3598" s="16" t="str">
        <f aca="false">IF(B3598="","",IF(N3598=_xlfn.MINIFS($N$2:$N$5001,$B$2:$B$5001,B3598),1,0))</f>
        <v/>
      </c>
      <c r="K3598" s="16" t="str">
        <f aca="false">IF(B3598="","",IF(AND(D3598="Formalização",E3598="Concluído"),IF(COUNTIFS($B$2:$B$5001,B3598,$E$2:$E$5001,"Em ajustes",$N$2:$N$5001,"&lt;"&amp;I3598)&gt;0,1,0),0))</f>
        <v/>
      </c>
      <c r="L3598" s="16" t="str">
        <f aca="false">IF(B3598="","",IF(N3598=_xlfn.MAXIFS($N$2:$N$5001,$B$2:$B$5001,B3598,$I$2:$I$5001,I3598),1,0))</f>
        <v/>
      </c>
      <c r="M3598" s="16" t="str">
        <f aca="false">IF(B3598="","",IF(E3598="Em ajustes",IF(N3598=_xlfn.MINIFS($N$2:$N$5001,$B$2:$B$5001,B3598,$E$2:$E$5001,"Em ajustes"),1,0),0))</f>
        <v/>
      </c>
      <c r="N3598" s="17" t="str">
        <f aca="false">IF(A3598="","",IF(ISNUMBER(A3598),A3598,IFERROR(DATE(VALUE(MID(A3598,7,4)),VALUE(MID(A3598,4,2)),VALUE(MID(A3598,1,2)))+TIME(VALUE(MID(A3598,12,2)),VALUE(MID(A3598,15,2)),VALUE(MID(A3598,18,2))),"")))</f>
        <v/>
      </c>
    </row>
    <row r="3599" customFormat="false" ht="15" hidden="false" customHeight="false" outlineLevel="0" collapsed="false">
      <c r="I3599" s="15" t="str">
        <f aca="false">IF(N3599="","",INT(N3599))</f>
        <v/>
      </c>
      <c r="J3599" s="16" t="str">
        <f aca="false">IF(B3599="","",IF(N3599=_xlfn.MINIFS($N$2:$N$5001,$B$2:$B$5001,B3599),1,0))</f>
        <v/>
      </c>
      <c r="K3599" s="16" t="str">
        <f aca="false">IF(B3599="","",IF(AND(D3599="Formalização",E3599="Concluído"),IF(COUNTIFS($B$2:$B$5001,B3599,$E$2:$E$5001,"Em ajustes",$N$2:$N$5001,"&lt;"&amp;I3599)&gt;0,1,0),0))</f>
        <v/>
      </c>
      <c r="L3599" s="16" t="str">
        <f aca="false">IF(B3599="","",IF(N3599=_xlfn.MAXIFS($N$2:$N$5001,$B$2:$B$5001,B3599,$I$2:$I$5001,I3599),1,0))</f>
        <v/>
      </c>
      <c r="M3599" s="16" t="str">
        <f aca="false">IF(B3599="","",IF(E3599="Em ajustes",IF(N3599=_xlfn.MINIFS($N$2:$N$5001,$B$2:$B$5001,B3599,$E$2:$E$5001,"Em ajustes"),1,0),0))</f>
        <v/>
      </c>
      <c r="N3599" s="17" t="str">
        <f aca="false">IF(A3599="","",IF(ISNUMBER(A3599),A3599,IFERROR(DATE(VALUE(MID(A3599,7,4)),VALUE(MID(A3599,4,2)),VALUE(MID(A3599,1,2)))+TIME(VALUE(MID(A3599,12,2)),VALUE(MID(A3599,15,2)),VALUE(MID(A3599,18,2))),"")))</f>
        <v/>
      </c>
    </row>
    <row r="3600" customFormat="false" ht="15" hidden="false" customHeight="false" outlineLevel="0" collapsed="false">
      <c r="I3600" s="15" t="str">
        <f aca="false">IF(N3600="","",INT(N3600))</f>
        <v/>
      </c>
      <c r="J3600" s="16" t="str">
        <f aca="false">IF(B3600="","",IF(N3600=_xlfn.MINIFS($N$2:$N$5001,$B$2:$B$5001,B3600),1,0))</f>
        <v/>
      </c>
      <c r="K3600" s="16" t="str">
        <f aca="false">IF(B3600="","",IF(AND(D3600="Formalização",E3600="Concluído"),IF(COUNTIFS($B$2:$B$5001,B3600,$E$2:$E$5001,"Em ajustes",$N$2:$N$5001,"&lt;"&amp;I3600)&gt;0,1,0),0))</f>
        <v/>
      </c>
      <c r="L3600" s="16" t="str">
        <f aca="false">IF(B3600="","",IF(N3600=_xlfn.MAXIFS($N$2:$N$5001,$B$2:$B$5001,B3600,$I$2:$I$5001,I3600),1,0))</f>
        <v/>
      </c>
      <c r="M3600" s="16" t="str">
        <f aca="false">IF(B3600="","",IF(E3600="Em ajustes",IF(N3600=_xlfn.MINIFS($N$2:$N$5001,$B$2:$B$5001,B3600,$E$2:$E$5001,"Em ajustes"),1,0),0))</f>
        <v/>
      </c>
      <c r="N3600" s="17" t="str">
        <f aca="false">IF(A3600="","",IF(ISNUMBER(A3600),A3600,IFERROR(DATE(VALUE(MID(A3600,7,4)),VALUE(MID(A3600,4,2)),VALUE(MID(A3600,1,2)))+TIME(VALUE(MID(A3600,12,2)),VALUE(MID(A3600,15,2)),VALUE(MID(A3600,18,2))),"")))</f>
        <v/>
      </c>
    </row>
    <row r="3601" customFormat="false" ht="15" hidden="false" customHeight="false" outlineLevel="0" collapsed="false">
      <c r="I3601" s="15" t="str">
        <f aca="false">IF(N3601="","",INT(N3601))</f>
        <v/>
      </c>
      <c r="J3601" s="16" t="str">
        <f aca="false">IF(B3601="","",IF(N3601=_xlfn.MINIFS($N$2:$N$5001,$B$2:$B$5001,B3601),1,0))</f>
        <v/>
      </c>
      <c r="K3601" s="16" t="str">
        <f aca="false">IF(B3601="","",IF(AND(D3601="Formalização",E3601="Concluído"),IF(COUNTIFS($B$2:$B$5001,B3601,$E$2:$E$5001,"Em ajustes",$N$2:$N$5001,"&lt;"&amp;I3601)&gt;0,1,0),0))</f>
        <v/>
      </c>
      <c r="L3601" s="16" t="str">
        <f aca="false">IF(B3601="","",IF(N3601=_xlfn.MAXIFS($N$2:$N$5001,$B$2:$B$5001,B3601,$I$2:$I$5001,I3601),1,0))</f>
        <v/>
      </c>
      <c r="M3601" s="16" t="str">
        <f aca="false">IF(B3601="","",IF(E3601="Em ajustes",IF(N3601=_xlfn.MINIFS($N$2:$N$5001,$B$2:$B$5001,B3601,$E$2:$E$5001,"Em ajustes"),1,0),0))</f>
        <v/>
      </c>
      <c r="N3601" s="17" t="str">
        <f aca="false">IF(A3601="","",IF(ISNUMBER(A3601),A3601,IFERROR(DATE(VALUE(MID(A3601,7,4)),VALUE(MID(A3601,4,2)),VALUE(MID(A3601,1,2)))+TIME(VALUE(MID(A3601,12,2)),VALUE(MID(A3601,15,2)),VALUE(MID(A3601,18,2))),"")))</f>
        <v/>
      </c>
    </row>
    <row r="3602" customFormat="false" ht="15" hidden="false" customHeight="false" outlineLevel="0" collapsed="false">
      <c r="I3602" s="15" t="str">
        <f aca="false">IF(N3602="","",INT(N3602))</f>
        <v/>
      </c>
      <c r="J3602" s="16" t="str">
        <f aca="false">IF(B3602="","",IF(N3602=_xlfn.MINIFS($N$2:$N$5001,$B$2:$B$5001,B3602),1,0))</f>
        <v/>
      </c>
      <c r="K3602" s="16" t="str">
        <f aca="false">IF(B3602="","",IF(AND(D3602="Formalização",E3602="Concluído"),IF(COUNTIFS($B$2:$B$5001,B3602,$E$2:$E$5001,"Em ajustes",$N$2:$N$5001,"&lt;"&amp;I3602)&gt;0,1,0),0))</f>
        <v/>
      </c>
      <c r="L3602" s="16" t="str">
        <f aca="false">IF(B3602="","",IF(N3602=_xlfn.MAXIFS($N$2:$N$5001,$B$2:$B$5001,B3602,$I$2:$I$5001,I3602),1,0))</f>
        <v/>
      </c>
      <c r="M3602" s="16" t="str">
        <f aca="false">IF(B3602="","",IF(E3602="Em ajustes",IF(N3602=_xlfn.MINIFS($N$2:$N$5001,$B$2:$B$5001,B3602,$E$2:$E$5001,"Em ajustes"),1,0),0))</f>
        <v/>
      </c>
      <c r="N3602" s="17" t="str">
        <f aca="false">IF(A3602="","",IF(ISNUMBER(A3602),A3602,IFERROR(DATE(VALUE(MID(A3602,7,4)),VALUE(MID(A3602,4,2)),VALUE(MID(A3602,1,2)))+TIME(VALUE(MID(A3602,12,2)),VALUE(MID(A3602,15,2)),VALUE(MID(A3602,18,2))),"")))</f>
        <v/>
      </c>
    </row>
    <row r="3603" customFormat="false" ht="15" hidden="false" customHeight="false" outlineLevel="0" collapsed="false">
      <c r="I3603" s="15" t="str">
        <f aca="false">IF(N3603="","",INT(N3603))</f>
        <v/>
      </c>
      <c r="J3603" s="16" t="str">
        <f aca="false">IF(B3603="","",IF(N3603=_xlfn.MINIFS($N$2:$N$5001,$B$2:$B$5001,B3603),1,0))</f>
        <v/>
      </c>
      <c r="K3603" s="16" t="str">
        <f aca="false">IF(B3603="","",IF(AND(D3603="Formalização",E3603="Concluído"),IF(COUNTIFS($B$2:$B$5001,B3603,$E$2:$E$5001,"Em ajustes",$N$2:$N$5001,"&lt;"&amp;I3603)&gt;0,1,0),0))</f>
        <v/>
      </c>
      <c r="L3603" s="16" t="str">
        <f aca="false">IF(B3603="","",IF(N3603=_xlfn.MAXIFS($N$2:$N$5001,$B$2:$B$5001,B3603,$I$2:$I$5001,I3603),1,0))</f>
        <v/>
      </c>
      <c r="M3603" s="16" t="str">
        <f aca="false">IF(B3603="","",IF(E3603="Em ajustes",IF(N3603=_xlfn.MINIFS($N$2:$N$5001,$B$2:$B$5001,B3603,$E$2:$E$5001,"Em ajustes"),1,0),0))</f>
        <v/>
      </c>
      <c r="N3603" s="17" t="str">
        <f aca="false">IF(A3603="","",IF(ISNUMBER(A3603),A3603,IFERROR(DATE(VALUE(MID(A3603,7,4)),VALUE(MID(A3603,4,2)),VALUE(MID(A3603,1,2)))+TIME(VALUE(MID(A3603,12,2)),VALUE(MID(A3603,15,2)),VALUE(MID(A3603,18,2))),"")))</f>
        <v/>
      </c>
    </row>
    <row r="3604" customFormat="false" ht="15" hidden="false" customHeight="false" outlineLevel="0" collapsed="false">
      <c r="I3604" s="15" t="str">
        <f aca="false">IF(N3604="","",INT(N3604))</f>
        <v/>
      </c>
      <c r="J3604" s="16" t="str">
        <f aca="false">IF(B3604="","",IF(N3604=_xlfn.MINIFS($N$2:$N$5001,$B$2:$B$5001,B3604),1,0))</f>
        <v/>
      </c>
      <c r="K3604" s="16" t="str">
        <f aca="false">IF(B3604="","",IF(AND(D3604="Formalização",E3604="Concluído"),IF(COUNTIFS($B$2:$B$5001,B3604,$E$2:$E$5001,"Em ajustes",$N$2:$N$5001,"&lt;"&amp;I3604)&gt;0,1,0),0))</f>
        <v/>
      </c>
      <c r="L3604" s="16" t="str">
        <f aca="false">IF(B3604="","",IF(N3604=_xlfn.MAXIFS($N$2:$N$5001,$B$2:$B$5001,B3604,$I$2:$I$5001,I3604),1,0))</f>
        <v/>
      </c>
      <c r="M3604" s="16" t="str">
        <f aca="false">IF(B3604="","",IF(E3604="Em ajustes",IF(N3604=_xlfn.MINIFS($N$2:$N$5001,$B$2:$B$5001,B3604,$E$2:$E$5001,"Em ajustes"),1,0),0))</f>
        <v/>
      </c>
      <c r="N3604" s="17" t="str">
        <f aca="false">IF(A3604="","",IF(ISNUMBER(A3604),A3604,IFERROR(DATE(VALUE(MID(A3604,7,4)),VALUE(MID(A3604,4,2)),VALUE(MID(A3604,1,2)))+TIME(VALUE(MID(A3604,12,2)),VALUE(MID(A3604,15,2)),VALUE(MID(A3604,18,2))),"")))</f>
        <v/>
      </c>
    </row>
    <row r="3605" customFormat="false" ht="15" hidden="false" customHeight="false" outlineLevel="0" collapsed="false">
      <c r="I3605" s="15" t="str">
        <f aca="false">IF(N3605="","",INT(N3605))</f>
        <v/>
      </c>
      <c r="J3605" s="16" t="str">
        <f aca="false">IF(B3605="","",IF(N3605=_xlfn.MINIFS($N$2:$N$5001,$B$2:$B$5001,B3605),1,0))</f>
        <v/>
      </c>
      <c r="K3605" s="16" t="str">
        <f aca="false">IF(B3605="","",IF(AND(D3605="Formalização",E3605="Concluído"),IF(COUNTIFS($B$2:$B$5001,B3605,$E$2:$E$5001,"Em ajustes",$N$2:$N$5001,"&lt;"&amp;I3605)&gt;0,1,0),0))</f>
        <v/>
      </c>
      <c r="L3605" s="16" t="str">
        <f aca="false">IF(B3605="","",IF(N3605=_xlfn.MAXIFS($N$2:$N$5001,$B$2:$B$5001,B3605,$I$2:$I$5001,I3605),1,0))</f>
        <v/>
      </c>
      <c r="M3605" s="16" t="str">
        <f aca="false">IF(B3605="","",IF(E3605="Em ajustes",IF(N3605=_xlfn.MINIFS($N$2:$N$5001,$B$2:$B$5001,B3605,$E$2:$E$5001,"Em ajustes"),1,0),0))</f>
        <v/>
      </c>
      <c r="N3605" s="17" t="str">
        <f aca="false">IF(A3605="","",IF(ISNUMBER(A3605),A3605,IFERROR(DATE(VALUE(MID(A3605,7,4)),VALUE(MID(A3605,4,2)),VALUE(MID(A3605,1,2)))+TIME(VALUE(MID(A3605,12,2)),VALUE(MID(A3605,15,2)),VALUE(MID(A3605,18,2))),"")))</f>
        <v/>
      </c>
    </row>
    <row r="3606" customFormat="false" ht="15" hidden="false" customHeight="false" outlineLevel="0" collapsed="false">
      <c r="I3606" s="15" t="str">
        <f aca="false">IF(N3606="","",INT(N3606))</f>
        <v/>
      </c>
      <c r="J3606" s="16" t="str">
        <f aca="false">IF(B3606="","",IF(N3606=_xlfn.MINIFS($N$2:$N$5001,$B$2:$B$5001,B3606),1,0))</f>
        <v/>
      </c>
      <c r="K3606" s="16" t="str">
        <f aca="false">IF(B3606="","",IF(AND(D3606="Formalização",E3606="Concluído"),IF(COUNTIFS($B$2:$B$5001,B3606,$E$2:$E$5001,"Em ajustes",$N$2:$N$5001,"&lt;"&amp;I3606)&gt;0,1,0),0))</f>
        <v/>
      </c>
      <c r="L3606" s="16" t="str">
        <f aca="false">IF(B3606="","",IF(N3606=_xlfn.MAXIFS($N$2:$N$5001,$B$2:$B$5001,B3606,$I$2:$I$5001,I3606),1,0))</f>
        <v/>
      </c>
      <c r="M3606" s="16" t="str">
        <f aca="false">IF(B3606="","",IF(E3606="Em ajustes",IF(N3606=_xlfn.MINIFS($N$2:$N$5001,$B$2:$B$5001,B3606,$E$2:$E$5001,"Em ajustes"),1,0),0))</f>
        <v/>
      </c>
      <c r="N3606" s="17" t="str">
        <f aca="false">IF(A3606="","",IF(ISNUMBER(A3606),A3606,IFERROR(DATE(VALUE(MID(A3606,7,4)),VALUE(MID(A3606,4,2)),VALUE(MID(A3606,1,2)))+TIME(VALUE(MID(A3606,12,2)),VALUE(MID(A3606,15,2)),VALUE(MID(A3606,18,2))),"")))</f>
        <v/>
      </c>
    </row>
    <row r="3607" customFormat="false" ht="15" hidden="false" customHeight="false" outlineLevel="0" collapsed="false">
      <c r="I3607" s="15" t="str">
        <f aca="false">IF(N3607="","",INT(N3607))</f>
        <v/>
      </c>
      <c r="J3607" s="16" t="str">
        <f aca="false">IF(B3607="","",IF(N3607=_xlfn.MINIFS($N$2:$N$5001,$B$2:$B$5001,B3607),1,0))</f>
        <v/>
      </c>
      <c r="K3607" s="16" t="str">
        <f aca="false">IF(B3607="","",IF(AND(D3607="Formalização",E3607="Concluído"),IF(COUNTIFS($B$2:$B$5001,B3607,$E$2:$E$5001,"Em ajustes",$N$2:$N$5001,"&lt;"&amp;I3607)&gt;0,1,0),0))</f>
        <v/>
      </c>
      <c r="L3607" s="16" t="str">
        <f aca="false">IF(B3607="","",IF(N3607=_xlfn.MAXIFS($N$2:$N$5001,$B$2:$B$5001,B3607,$I$2:$I$5001,I3607),1,0))</f>
        <v/>
      </c>
      <c r="M3607" s="16" t="str">
        <f aca="false">IF(B3607="","",IF(E3607="Em ajustes",IF(N3607=_xlfn.MINIFS($N$2:$N$5001,$B$2:$B$5001,B3607,$E$2:$E$5001,"Em ajustes"),1,0),0))</f>
        <v/>
      </c>
      <c r="N3607" s="17" t="str">
        <f aca="false">IF(A3607="","",IF(ISNUMBER(A3607),A3607,IFERROR(DATE(VALUE(MID(A3607,7,4)),VALUE(MID(A3607,4,2)),VALUE(MID(A3607,1,2)))+TIME(VALUE(MID(A3607,12,2)),VALUE(MID(A3607,15,2)),VALUE(MID(A3607,18,2))),"")))</f>
        <v/>
      </c>
    </row>
    <row r="3608" customFormat="false" ht="15" hidden="false" customHeight="false" outlineLevel="0" collapsed="false">
      <c r="I3608" s="15" t="str">
        <f aca="false">IF(N3608="","",INT(N3608))</f>
        <v/>
      </c>
      <c r="J3608" s="16" t="str">
        <f aca="false">IF(B3608="","",IF(N3608=_xlfn.MINIFS($N$2:$N$5001,$B$2:$B$5001,B3608),1,0))</f>
        <v/>
      </c>
      <c r="K3608" s="16" t="str">
        <f aca="false">IF(B3608="","",IF(AND(D3608="Formalização",E3608="Concluído"),IF(COUNTIFS($B$2:$B$5001,B3608,$E$2:$E$5001,"Em ajustes",$N$2:$N$5001,"&lt;"&amp;I3608)&gt;0,1,0),0))</f>
        <v/>
      </c>
      <c r="L3608" s="16" t="str">
        <f aca="false">IF(B3608="","",IF(N3608=_xlfn.MAXIFS($N$2:$N$5001,$B$2:$B$5001,B3608,$I$2:$I$5001,I3608),1,0))</f>
        <v/>
      </c>
      <c r="M3608" s="16" t="str">
        <f aca="false">IF(B3608="","",IF(E3608="Em ajustes",IF(N3608=_xlfn.MINIFS($N$2:$N$5001,$B$2:$B$5001,B3608,$E$2:$E$5001,"Em ajustes"),1,0),0))</f>
        <v/>
      </c>
      <c r="N3608" s="17" t="str">
        <f aca="false">IF(A3608="","",IF(ISNUMBER(A3608),A3608,IFERROR(DATE(VALUE(MID(A3608,7,4)),VALUE(MID(A3608,4,2)),VALUE(MID(A3608,1,2)))+TIME(VALUE(MID(A3608,12,2)),VALUE(MID(A3608,15,2)),VALUE(MID(A3608,18,2))),"")))</f>
        <v/>
      </c>
    </row>
    <row r="3609" customFormat="false" ht="15" hidden="false" customHeight="false" outlineLevel="0" collapsed="false">
      <c r="I3609" s="15" t="str">
        <f aca="false">IF(N3609="","",INT(N3609))</f>
        <v/>
      </c>
      <c r="J3609" s="16" t="str">
        <f aca="false">IF(B3609="","",IF(N3609=_xlfn.MINIFS($N$2:$N$5001,$B$2:$B$5001,B3609),1,0))</f>
        <v/>
      </c>
      <c r="K3609" s="16" t="str">
        <f aca="false">IF(B3609="","",IF(AND(D3609="Formalização",E3609="Concluído"),IF(COUNTIFS($B$2:$B$5001,B3609,$E$2:$E$5001,"Em ajustes",$N$2:$N$5001,"&lt;"&amp;I3609)&gt;0,1,0),0))</f>
        <v/>
      </c>
      <c r="L3609" s="16" t="str">
        <f aca="false">IF(B3609="","",IF(N3609=_xlfn.MAXIFS($N$2:$N$5001,$B$2:$B$5001,B3609,$I$2:$I$5001,I3609),1,0))</f>
        <v/>
      </c>
      <c r="M3609" s="16" t="str">
        <f aca="false">IF(B3609="","",IF(E3609="Em ajustes",IF(N3609=_xlfn.MINIFS($N$2:$N$5001,$B$2:$B$5001,B3609,$E$2:$E$5001,"Em ajustes"),1,0),0))</f>
        <v/>
      </c>
      <c r="N3609" s="17" t="str">
        <f aca="false">IF(A3609="","",IF(ISNUMBER(A3609),A3609,IFERROR(DATE(VALUE(MID(A3609,7,4)),VALUE(MID(A3609,4,2)),VALUE(MID(A3609,1,2)))+TIME(VALUE(MID(A3609,12,2)),VALUE(MID(A3609,15,2)),VALUE(MID(A3609,18,2))),"")))</f>
        <v/>
      </c>
    </row>
    <row r="3610" customFormat="false" ht="15" hidden="false" customHeight="false" outlineLevel="0" collapsed="false">
      <c r="I3610" s="15" t="str">
        <f aca="false">IF(N3610="","",INT(N3610))</f>
        <v/>
      </c>
      <c r="J3610" s="16" t="str">
        <f aca="false">IF(B3610="","",IF(N3610=_xlfn.MINIFS($N$2:$N$5001,$B$2:$B$5001,B3610),1,0))</f>
        <v/>
      </c>
      <c r="K3610" s="16" t="str">
        <f aca="false">IF(B3610="","",IF(AND(D3610="Formalização",E3610="Concluído"),IF(COUNTIFS($B$2:$B$5001,B3610,$E$2:$E$5001,"Em ajustes",$N$2:$N$5001,"&lt;"&amp;I3610)&gt;0,1,0),0))</f>
        <v/>
      </c>
      <c r="L3610" s="16" t="str">
        <f aca="false">IF(B3610="","",IF(N3610=_xlfn.MAXIFS($N$2:$N$5001,$B$2:$B$5001,B3610,$I$2:$I$5001,I3610),1,0))</f>
        <v/>
      </c>
      <c r="M3610" s="16" t="str">
        <f aca="false">IF(B3610="","",IF(E3610="Em ajustes",IF(N3610=_xlfn.MINIFS($N$2:$N$5001,$B$2:$B$5001,B3610,$E$2:$E$5001,"Em ajustes"),1,0),0))</f>
        <v/>
      </c>
      <c r="N3610" s="17" t="str">
        <f aca="false">IF(A3610="","",IF(ISNUMBER(A3610),A3610,IFERROR(DATE(VALUE(MID(A3610,7,4)),VALUE(MID(A3610,4,2)),VALUE(MID(A3610,1,2)))+TIME(VALUE(MID(A3610,12,2)),VALUE(MID(A3610,15,2)),VALUE(MID(A3610,18,2))),"")))</f>
        <v/>
      </c>
    </row>
    <row r="3611" customFormat="false" ht="15" hidden="false" customHeight="false" outlineLevel="0" collapsed="false">
      <c r="I3611" s="15" t="str">
        <f aca="false">IF(N3611="","",INT(N3611))</f>
        <v/>
      </c>
      <c r="J3611" s="16" t="str">
        <f aca="false">IF(B3611="","",IF(N3611=_xlfn.MINIFS($N$2:$N$5001,$B$2:$B$5001,B3611),1,0))</f>
        <v/>
      </c>
      <c r="K3611" s="16" t="str">
        <f aca="false">IF(B3611="","",IF(AND(D3611="Formalização",E3611="Concluído"),IF(COUNTIFS($B$2:$B$5001,B3611,$E$2:$E$5001,"Em ajustes",$N$2:$N$5001,"&lt;"&amp;I3611)&gt;0,1,0),0))</f>
        <v/>
      </c>
      <c r="L3611" s="16" t="str">
        <f aca="false">IF(B3611="","",IF(N3611=_xlfn.MAXIFS($N$2:$N$5001,$B$2:$B$5001,B3611,$I$2:$I$5001,I3611),1,0))</f>
        <v/>
      </c>
      <c r="M3611" s="16" t="str">
        <f aca="false">IF(B3611="","",IF(E3611="Em ajustes",IF(N3611=_xlfn.MINIFS($N$2:$N$5001,$B$2:$B$5001,B3611,$E$2:$E$5001,"Em ajustes"),1,0),0))</f>
        <v/>
      </c>
      <c r="N3611" s="17" t="str">
        <f aca="false">IF(A3611="","",IF(ISNUMBER(A3611),A3611,IFERROR(DATE(VALUE(MID(A3611,7,4)),VALUE(MID(A3611,4,2)),VALUE(MID(A3611,1,2)))+TIME(VALUE(MID(A3611,12,2)),VALUE(MID(A3611,15,2)),VALUE(MID(A3611,18,2))),"")))</f>
        <v/>
      </c>
    </row>
    <row r="3612" customFormat="false" ht="15" hidden="false" customHeight="false" outlineLevel="0" collapsed="false">
      <c r="I3612" s="15" t="str">
        <f aca="false">IF(N3612="","",INT(N3612))</f>
        <v/>
      </c>
      <c r="J3612" s="16" t="str">
        <f aca="false">IF(B3612="","",IF(N3612=_xlfn.MINIFS($N$2:$N$5001,$B$2:$B$5001,B3612),1,0))</f>
        <v/>
      </c>
      <c r="K3612" s="16" t="str">
        <f aca="false">IF(B3612="","",IF(AND(D3612="Formalização",E3612="Concluído"),IF(COUNTIFS($B$2:$B$5001,B3612,$E$2:$E$5001,"Em ajustes",$N$2:$N$5001,"&lt;"&amp;I3612)&gt;0,1,0),0))</f>
        <v/>
      </c>
      <c r="L3612" s="16" t="str">
        <f aca="false">IF(B3612="","",IF(N3612=_xlfn.MAXIFS($N$2:$N$5001,$B$2:$B$5001,B3612,$I$2:$I$5001,I3612),1,0))</f>
        <v/>
      </c>
      <c r="M3612" s="16" t="str">
        <f aca="false">IF(B3612="","",IF(E3612="Em ajustes",IF(N3612=_xlfn.MINIFS($N$2:$N$5001,$B$2:$B$5001,B3612,$E$2:$E$5001,"Em ajustes"),1,0),0))</f>
        <v/>
      </c>
      <c r="N3612" s="17" t="str">
        <f aca="false">IF(A3612="","",IF(ISNUMBER(A3612),A3612,IFERROR(DATE(VALUE(MID(A3612,7,4)),VALUE(MID(A3612,4,2)),VALUE(MID(A3612,1,2)))+TIME(VALUE(MID(A3612,12,2)),VALUE(MID(A3612,15,2)),VALUE(MID(A3612,18,2))),"")))</f>
        <v/>
      </c>
    </row>
    <row r="3613" customFormat="false" ht="15" hidden="false" customHeight="false" outlineLevel="0" collapsed="false">
      <c r="I3613" s="15" t="str">
        <f aca="false">IF(N3613="","",INT(N3613))</f>
        <v/>
      </c>
      <c r="J3613" s="16" t="str">
        <f aca="false">IF(B3613="","",IF(N3613=_xlfn.MINIFS($N$2:$N$5001,$B$2:$B$5001,B3613),1,0))</f>
        <v/>
      </c>
      <c r="K3613" s="16" t="str">
        <f aca="false">IF(B3613="","",IF(AND(D3613="Formalização",E3613="Concluído"),IF(COUNTIFS($B$2:$B$5001,B3613,$E$2:$E$5001,"Em ajustes",$N$2:$N$5001,"&lt;"&amp;I3613)&gt;0,1,0),0))</f>
        <v/>
      </c>
      <c r="L3613" s="16" t="str">
        <f aca="false">IF(B3613="","",IF(N3613=_xlfn.MAXIFS($N$2:$N$5001,$B$2:$B$5001,B3613,$I$2:$I$5001,I3613),1,0))</f>
        <v/>
      </c>
      <c r="M3613" s="16" t="str">
        <f aca="false">IF(B3613="","",IF(E3613="Em ajustes",IF(N3613=_xlfn.MINIFS($N$2:$N$5001,$B$2:$B$5001,B3613,$E$2:$E$5001,"Em ajustes"),1,0),0))</f>
        <v/>
      </c>
      <c r="N3613" s="17" t="str">
        <f aca="false">IF(A3613="","",IF(ISNUMBER(A3613),A3613,IFERROR(DATE(VALUE(MID(A3613,7,4)),VALUE(MID(A3613,4,2)),VALUE(MID(A3613,1,2)))+TIME(VALUE(MID(A3613,12,2)),VALUE(MID(A3613,15,2)),VALUE(MID(A3613,18,2))),"")))</f>
        <v/>
      </c>
    </row>
    <row r="3614" customFormat="false" ht="15" hidden="false" customHeight="false" outlineLevel="0" collapsed="false">
      <c r="I3614" s="15" t="str">
        <f aca="false">IF(N3614="","",INT(N3614))</f>
        <v/>
      </c>
      <c r="J3614" s="16" t="str">
        <f aca="false">IF(B3614="","",IF(N3614=_xlfn.MINIFS($N$2:$N$5001,$B$2:$B$5001,B3614),1,0))</f>
        <v/>
      </c>
      <c r="K3614" s="16" t="str">
        <f aca="false">IF(B3614="","",IF(AND(D3614="Formalização",E3614="Concluído"),IF(COUNTIFS($B$2:$B$5001,B3614,$E$2:$E$5001,"Em ajustes",$N$2:$N$5001,"&lt;"&amp;I3614)&gt;0,1,0),0))</f>
        <v/>
      </c>
      <c r="L3614" s="16" t="str">
        <f aca="false">IF(B3614="","",IF(N3614=_xlfn.MAXIFS($N$2:$N$5001,$B$2:$B$5001,B3614,$I$2:$I$5001,I3614),1,0))</f>
        <v/>
      </c>
      <c r="M3614" s="16" t="str">
        <f aca="false">IF(B3614="","",IF(E3614="Em ajustes",IF(N3614=_xlfn.MINIFS($N$2:$N$5001,$B$2:$B$5001,B3614,$E$2:$E$5001,"Em ajustes"),1,0),0))</f>
        <v/>
      </c>
      <c r="N3614" s="17" t="str">
        <f aca="false">IF(A3614="","",IF(ISNUMBER(A3614),A3614,IFERROR(DATE(VALUE(MID(A3614,7,4)),VALUE(MID(A3614,4,2)),VALUE(MID(A3614,1,2)))+TIME(VALUE(MID(A3614,12,2)),VALUE(MID(A3614,15,2)),VALUE(MID(A3614,18,2))),"")))</f>
        <v/>
      </c>
    </row>
    <row r="3615" customFormat="false" ht="15" hidden="false" customHeight="false" outlineLevel="0" collapsed="false">
      <c r="I3615" s="15" t="str">
        <f aca="false">IF(N3615="","",INT(N3615))</f>
        <v/>
      </c>
      <c r="J3615" s="16" t="str">
        <f aca="false">IF(B3615="","",IF(N3615=_xlfn.MINIFS($N$2:$N$5001,$B$2:$B$5001,B3615),1,0))</f>
        <v/>
      </c>
      <c r="K3615" s="16" t="str">
        <f aca="false">IF(B3615="","",IF(AND(D3615="Formalização",E3615="Concluído"),IF(COUNTIFS($B$2:$B$5001,B3615,$E$2:$E$5001,"Em ajustes",$N$2:$N$5001,"&lt;"&amp;I3615)&gt;0,1,0),0))</f>
        <v/>
      </c>
      <c r="L3615" s="16" t="str">
        <f aca="false">IF(B3615="","",IF(N3615=_xlfn.MAXIFS($N$2:$N$5001,$B$2:$B$5001,B3615,$I$2:$I$5001,I3615),1,0))</f>
        <v/>
      </c>
      <c r="M3615" s="16" t="str">
        <f aca="false">IF(B3615="","",IF(E3615="Em ajustes",IF(N3615=_xlfn.MINIFS($N$2:$N$5001,$B$2:$B$5001,B3615,$E$2:$E$5001,"Em ajustes"),1,0),0))</f>
        <v/>
      </c>
      <c r="N3615" s="17" t="str">
        <f aca="false">IF(A3615="","",IF(ISNUMBER(A3615),A3615,IFERROR(DATE(VALUE(MID(A3615,7,4)),VALUE(MID(A3615,4,2)),VALUE(MID(A3615,1,2)))+TIME(VALUE(MID(A3615,12,2)),VALUE(MID(A3615,15,2)),VALUE(MID(A3615,18,2))),"")))</f>
        <v/>
      </c>
    </row>
    <row r="3616" customFormat="false" ht="15" hidden="false" customHeight="false" outlineLevel="0" collapsed="false">
      <c r="I3616" s="15" t="str">
        <f aca="false">IF(N3616="","",INT(N3616))</f>
        <v/>
      </c>
      <c r="J3616" s="16" t="str">
        <f aca="false">IF(B3616="","",IF(N3616=_xlfn.MINIFS($N$2:$N$5001,$B$2:$B$5001,B3616),1,0))</f>
        <v/>
      </c>
      <c r="K3616" s="16" t="str">
        <f aca="false">IF(B3616="","",IF(AND(D3616="Formalização",E3616="Concluído"),IF(COUNTIFS($B$2:$B$5001,B3616,$E$2:$E$5001,"Em ajustes",$N$2:$N$5001,"&lt;"&amp;I3616)&gt;0,1,0),0))</f>
        <v/>
      </c>
      <c r="L3616" s="16" t="str">
        <f aca="false">IF(B3616="","",IF(N3616=_xlfn.MAXIFS($N$2:$N$5001,$B$2:$B$5001,B3616,$I$2:$I$5001,I3616),1,0))</f>
        <v/>
      </c>
      <c r="M3616" s="16" t="str">
        <f aca="false">IF(B3616="","",IF(E3616="Em ajustes",IF(N3616=_xlfn.MINIFS($N$2:$N$5001,$B$2:$B$5001,B3616,$E$2:$E$5001,"Em ajustes"),1,0),0))</f>
        <v/>
      </c>
      <c r="N3616" s="17" t="str">
        <f aca="false">IF(A3616="","",IF(ISNUMBER(A3616),A3616,IFERROR(DATE(VALUE(MID(A3616,7,4)),VALUE(MID(A3616,4,2)),VALUE(MID(A3616,1,2)))+TIME(VALUE(MID(A3616,12,2)),VALUE(MID(A3616,15,2)),VALUE(MID(A3616,18,2))),"")))</f>
        <v/>
      </c>
    </row>
    <row r="3617" customFormat="false" ht="15" hidden="false" customHeight="false" outlineLevel="0" collapsed="false">
      <c r="I3617" s="15" t="str">
        <f aca="false">IF(N3617="","",INT(N3617))</f>
        <v/>
      </c>
      <c r="J3617" s="16" t="str">
        <f aca="false">IF(B3617="","",IF(N3617=_xlfn.MINIFS($N$2:$N$5001,$B$2:$B$5001,B3617),1,0))</f>
        <v/>
      </c>
      <c r="K3617" s="16" t="str">
        <f aca="false">IF(B3617="","",IF(AND(D3617="Formalização",E3617="Concluído"),IF(COUNTIFS($B$2:$B$5001,B3617,$E$2:$E$5001,"Em ajustes",$N$2:$N$5001,"&lt;"&amp;I3617)&gt;0,1,0),0))</f>
        <v/>
      </c>
      <c r="L3617" s="16" t="str">
        <f aca="false">IF(B3617="","",IF(N3617=_xlfn.MAXIFS($N$2:$N$5001,$B$2:$B$5001,B3617,$I$2:$I$5001,I3617),1,0))</f>
        <v/>
      </c>
      <c r="M3617" s="16" t="str">
        <f aca="false">IF(B3617="","",IF(E3617="Em ajustes",IF(N3617=_xlfn.MINIFS($N$2:$N$5001,$B$2:$B$5001,B3617,$E$2:$E$5001,"Em ajustes"),1,0),0))</f>
        <v/>
      </c>
      <c r="N3617" s="17" t="str">
        <f aca="false">IF(A3617="","",IF(ISNUMBER(A3617),A3617,IFERROR(DATE(VALUE(MID(A3617,7,4)),VALUE(MID(A3617,4,2)),VALUE(MID(A3617,1,2)))+TIME(VALUE(MID(A3617,12,2)),VALUE(MID(A3617,15,2)),VALUE(MID(A3617,18,2))),"")))</f>
        <v/>
      </c>
    </row>
    <row r="3618" customFormat="false" ht="15" hidden="false" customHeight="false" outlineLevel="0" collapsed="false">
      <c r="I3618" s="15" t="str">
        <f aca="false">IF(N3618="","",INT(N3618))</f>
        <v/>
      </c>
      <c r="J3618" s="16" t="str">
        <f aca="false">IF(B3618="","",IF(N3618=_xlfn.MINIFS($N$2:$N$5001,$B$2:$B$5001,B3618),1,0))</f>
        <v/>
      </c>
      <c r="K3618" s="16" t="str">
        <f aca="false">IF(B3618="","",IF(AND(D3618="Formalização",E3618="Concluído"),IF(COUNTIFS($B$2:$B$5001,B3618,$E$2:$E$5001,"Em ajustes",$N$2:$N$5001,"&lt;"&amp;I3618)&gt;0,1,0),0))</f>
        <v/>
      </c>
      <c r="L3618" s="16" t="str">
        <f aca="false">IF(B3618="","",IF(N3618=_xlfn.MAXIFS($N$2:$N$5001,$B$2:$B$5001,B3618,$I$2:$I$5001,I3618),1,0))</f>
        <v/>
      </c>
      <c r="M3618" s="16" t="str">
        <f aca="false">IF(B3618="","",IF(E3618="Em ajustes",IF(N3618=_xlfn.MINIFS($N$2:$N$5001,$B$2:$B$5001,B3618,$E$2:$E$5001,"Em ajustes"),1,0),0))</f>
        <v/>
      </c>
      <c r="N3618" s="17" t="str">
        <f aca="false">IF(A3618="","",IF(ISNUMBER(A3618),A3618,IFERROR(DATE(VALUE(MID(A3618,7,4)),VALUE(MID(A3618,4,2)),VALUE(MID(A3618,1,2)))+TIME(VALUE(MID(A3618,12,2)),VALUE(MID(A3618,15,2)),VALUE(MID(A3618,18,2))),"")))</f>
        <v/>
      </c>
    </row>
    <row r="3619" customFormat="false" ht="15" hidden="false" customHeight="false" outlineLevel="0" collapsed="false">
      <c r="I3619" s="15" t="str">
        <f aca="false">IF(N3619="","",INT(N3619))</f>
        <v/>
      </c>
      <c r="J3619" s="16" t="str">
        <f aca="false">IF(B3619="","",IF(N3619=_xlfn.MINIFS($N$2:$N$5001,$B$2:$B$5001,B3619),1,0))</f>
        <v/>
      </c>
      <c r="K3619" s="16" t="str">
        <f aca="false">IF(B3619="","",IF(AND(D3619="Formalização",E3619="Concluído"),IF(COUNTIFS($B$2:$B$5001,B3619,$E$2:$E$5001,"Em ajustes",$N$2:$N$5001,"&lt;"&amp;I3619)&gt;0,1,0),0))</f>
        <v/>
      </c>
      <c r="L3619" s="16" t="str">
        <f aca="false">IF(B3619="","",IF(N3619=_xlfn.MAXIFS($N$2:$N$5001,$B$2:$B$5001,B3619,$I$2:$I$5001,I3619),1,0))</f>
        <v/>
      </c>
      <c r="M3619" s="16" t="str">
        <f aca="false">IF(B3619="","",IF(E3619="Em ajustes",IF(N3619=_xlfn.MINIFS($N$2:$N$5001,$B$2:$B$5001,B3619,$E$2:$E$5001,"Em ajustes"),1,0),0))</f>
        <v/>
      </c>
      <c r="N3619" s="17" t="str">
        <f aca="false">IF(A3619="","",IF(ISNUMBER(A3619),A3619,IFERROR(DATE(VALUE(MID(A3619,7,4)),VALUE(MID(A3619,4,2)),VALUE(MID(A3619,1,2)))+TIME(VALUE(MID(A3619,12,2)),VALUE(MID(A3619,15,2)),VALUE(MID(A3619,18,2))),"")))</f>
        <v/>
      </c>
    </row>
    <row r="3620" customFormat="false" ht="15" hidden="false" customHeight="false" outlineLevel="0" collapsed="false">
      <c r="I3620" s="15" t="str">
        <f aca="false">IF(N3620="","",INT(N3620))</f>
        <v/>
      </c>
      <c r="J3620" s="16" t="str">
        <f aca="false">IF(B3620="","",IF(N3620=_xlfn.MINIFS($N$2:$N$5001,$B$2:$B$5001,B3620),1,0))</f>
        <v/>
      </c>
      <c r="K3620" s="16" t="str">
        <f aca="false">IF(B3620="","",IF(AND(D3620="Formalização",E3620="Concluído"),IF(COUNTIFS($B$2:$B$5001,B3620,$E$2:$E$5001,"Em ajustes",$N$2:$N$5001,"&lt;"&amp;I3620)&gt;0,1,0),0))</f>
        <v/>
      </c>
      <c r="L3620" s="16" t="str">
        <f aca="false">IF(B3620="","",IF(N3620=_xlfn.MAXIFS($N$2:$N$5001,$B$2:$B$5001,B3620,$I$2:$I$5001,I3620),1,0))</f>
        <v/>
      </c>
      <c r="M3620" s="16" t="str">
        <f aca="false">IF(B3620="","",IF(E3620="Em ajustes",IF(N3620=_xlfn.MINIFS($N$2:$N$5001,$B$2:$B$5001,B3620,$E$2:$E$5001,"Em ajustes"),1,0),0))</f>
        <v/>
      </c>
      <c r="N3620" s="17" t="str">
        <f aca="false">IF(A3620="","",IF(ISNUMBER(A3620),A3620,IFERROR(DATE(VALUE(MID(A3620,7,4)),VALUE(MID(A3620,4,2)),VALUE(MID(A3620,1,2)))+TIME(VALUE(MID(A3620,12,2)),VALUE(MID(A3620,15,2)),VALUE(MID(A3620,18,2))),"")))</f>
        <v/>
      </c>
    </row>
    <row r="3621" customFormat="false" ht="15" hidden="false" customHeight="false" outlineLevel="0" collapsed="false">
      <c r="I3621" s="15" t="str">
        <f aca="false">IF(N3621="","",INT(N3621))</f>
        <v/>
      </c>
      <c r="J3621" s="16" t="str">
        <f aca="false">IF(B3621="","",IF(N3621=_xlfn.MINIFS($N$2:$N$5001,$B$2:$B$5001,B3621),1,0))</f>
        <v/>
      </c>
      <c r="K3621" s="16" t="str">
        <f aca="false">IF(B3621="","",IF(AND(D3621="Formalização",E3621="Concluído"),IF(COUNTIFS($B$2:$B$5001,B3621,$E$2:$E$5001,"Em ajustes",$N$2:$N$5001,"&lt;"&amp;I3621)&gt;0,1,0),0))</f>
        <v/>
      </c>
      <c r="L3621" s="16" t="str">
        <f aca="false">IF(B3621="","",IF(N3621=_xlfn.MAXIFS($N$2:$N$5001,$B$2:$B$5001,B3621,$I$2:$I$5001,I3621),1,0))</f>
        <v/>
      </c>
      <c r="M3621" s="16" t="str">
        <f aca="false">IF(B3621="","",IF(E3621="Em ajustes",IF(N3621=_xlfn.MINIFS($N$2:$N$5001,$B$2:$B$5001,B3621,$E$2:$E$5001,"Em ajustes"),1,0),0))</f>
        <v/>
      </c>
      <c r="N3621" s="17" t="str">
        <f aca="false">IF(A3621="","",IF(ISNUMBER(A3621),A3621,IFERROR(DATE(VALUE(MID(A3621,7,4)),VALUE(MID(A3621,4,2)),VALUE(MID(A3621,1,2)))+TIME(VALUE(MID(A3621,12,2)),VALUE(MID(A3621,15,2)),VALUE(MID(A3621,18,2))),"")))</f>
        <v/>
      </c>
    </row>
    <row r="3622" customFormat="false" ht="15" hidden="false" customHeight="false" outlineLevel="0" collapsed="false">
      <c r="I3622" s="15" t="str">
        <f aca="false">IF(N3622="","",INT(N3622))</f>
        <v/>
      </c>
      <c r="J3622" s="16" t="str">
        <f aca="false">IF(B3622="","",IF(N3622=_xlfn.MINIFS($N$2:$N$5001,$B$2:$B$5001,B3622),1,0))</f>
        <v/>
      </c>
      <c r="K3622" s="16" t="str">
        <f aca="false">IF(B3622="","",IF(AND(D3622="Formalização",E3622="Concluído"),IF(COUNTIFS($B$2:$B$5001,B3622,$E$2:$E$5001,"Em ajustes",$N$2:$N$5001,"&lt;"&amp;I3622)&gt;0,1,0),0))</f>
        <v/>
      </c>
      <c r="L3622" s="16" t="str">
        <f aca="false">IF(B3622="","",IF(N3622=_xlfn.MAXIFS($N$2:$N$5001,$B$2:$B$5001,B3622,$I$2:$I$5001,I3622),1,0))</f>
        <v/>
      </c>
      <c r="M3622" s="16" t="str">
        <f aca="false">IF(B3622="","",IF(E3622="Em ajustes",IF(N3622=_xlfn.MINIFS($N$2:$N$5001,$B$2:$B$5001,B3622,$E$2:$E$5001,"Em ajustes"),1,0),0))</f>
        <v/>
      </c>
      <c r="N3622" s="17" t="str">
        <f aca="false">IF(A3622="","",IF(ISNUMBER(A3622),A3622,IFERROR(DATE(VALUE(MID(A3622,7,4)),VALUE(MID(A3622,4,2)),VALUE(MID(A3622,1,2)))+TIME(VALUE(MID(A3622,12,2)),VALUE(MID(A3622,15,2)),VALUE(MID(A3622,18,2))),"")))</f>
        <v/>
      </c>
    </row>
    <row r="3623" customFormat="false" ht="15" hidden="false" customHeight="false" outlineLevel="0" collapsed="false">
      <c r="I3623" s="15" t="str">
        <f aca="false">IF(N3623="","",INT(N3623))</f>
        <v/>
      </c>
      <c r="J3623" s="16" t="str">
        <f aca="false">IF(B3623="","",IF(N3623=_xlfn.MINIFS($N$2:$N$5001,$B$2:$B$5001,B3623),1,0))</f>
        <v/>
      </c>
      <c r="K3623" s="16" t="str">
        <f aca="false">IF(B3623="","",IF(AND(D3623="Formalização",E3623="Concluído"),IF(COUNTIFS($B$2:$B$5001,B3623,$E$2:$E$5001,"Em ajustes",$N$2:$N$5001,"&lt;"&amp;I3623)&gt;0,1,0),0))</f>
        <v/>
      </c>
      <c r="L3623" s="16" t="str">
        <f aca="false">IF(B3623="","",IF(N3623=_xlfn.MAXIFS($N$2:$N$5001,$B$2:$B$5001,B3623,$I$2:$I$5001,I3623),1,0))</f>
        <v/>
      </c>
      <c r="M3623" s="16" t="str">
        <f aca="false">IF(B3623="","",IF(E3623="Em ajustes",IF(N3623=_xlfn.MINIFS($N$2:$N$5001,$B$2:$B$5001,B3623,$E$2:$E$5001,"Em ajustes"),1,0),0))</f>
        <v/>
      </c>
      <c r="N3623" s="17" t="str">
        <f aca="false">IF(A3623="","",IF(ISNUMBER(A3623),A3623,IFERROR(DATE(VALUE(MID(A3623,7,4)),VALUE(MID(A3623,4,2)),VALUE(MID(A3623,1,2)))+TIME(VALUE(MID(A3623,12,2)),VALUE(MID(A3623,15,2)),VALUE(MID(A3623,18,2))),"")))</f>
        <v/>
      </c>
    </row>
    <row r="3624" customFormat="false" ht="15" hidden="false" customHeight="false" outlineLevel="0" collapsed="false">
      <c r="I3624" s="15" t="str">
        <f aca="false">IF(N3624="","",INT(N3624))</f>
        <v/>
      </c>
      <c r="J3624" s="16" t="str">
        <f aca="false">IF(B3624="","",IF(N3624=_xlfn.MINIFS($N$2:$N$5001,$B$2:$B$5001,B3624),1,0))</f>
        <v/>
      </c>
      <c r="K3624" s="16" t="str">
        <f aca="false">IF(B3624="","",IF(AND(D3624="Formalização",E3624="Concluído"),IF(COUNTIFS($B$2:$B$5001,B3624,$E$2:$E$5001,"Em ajustes",$N$2:$N$5001,"&lt;"&amp;I3624)&gt;0,1,0),0))</f>
        <v/>
      </c>
      <c r="L3624" s="16" t="str">
        <f aca="false">IF(B3624="","",IF(N3624=_xlfn.MAXIFS($N$2:$N$5001,$B$2:$B$5001,B3624,$I$2:$I$5001,I3624),1,0))</f>
        <v/>
      </c>
      <c r="M3624" s="16" t="str">
        <f aca="false">IF(B3624="","",IF(E3624="Em ajustes",IF(N3624=_xlfn.MINIFS($N$2:$N$5001,$B$2:$B$5001,B3624,$E$2:$E$5001,"Em ajustes"),1,0),0))</f>
        <v/>
      </c>
      <c r="N3624" s="17" t="str">
        <f aca="false">IF(A3624="","",IF(ISNUMBER(A3624),A3624,IFERROR(DATE(VALUE(MID(A3624,7,4)),VALUE(MID(A3624,4,2)),VALUE(MID(A3624,1,2)))+TIME(VALUE(MID(A3624,12,2)),VALUE(MID(A3624,15,2)),VALUE(MID(A3624,18,2))),"")))</f>
        <v/>
      </c>
    </row>
    <row r="3625" customFormat="false" ht="15" hidden="false" customHeight="false" outlineLevel="0" collapsed="false">
      <c r="I3625" s="15" t="str">
        <f aca="false">IF(N3625="","",INT(N3625))</f>
        <v/>
      </c>
      <c r="J3625" s="16" t="str">
        <f aca="false">IF(B3625="","",IF(N3625=_xlfn.MINIFS($N$2:$N$5001,$B$2:$B$5001,B3625),1,0))</f>
        <v/>
      </c>
      <c r="K3625" s="16" t="str">
        <f aca="false">IF(B3625="","",IF(AND(D3625="Formalização",E3625="Concluído"),IF(COUNTIFS($B$2:$B$5001,B3625,$E$2:$E$5001,"Em ajustes",$N$2:$N$5001,"&lt;"&amp;I3625)&gt;0,1,0),0))</f>
        <v/>
      </c>
      <c r="L3625" s="16" t="str">
        <f aca="false">IF(B3625="","",IF(N3625=_xlfn.MAXIFS($N$2:$N$5001,$B$2:$B$5001,B3625,$I$2:$I$5001,I3625),1,0))</f>
        <v/>
      </c>
      <c r="M3625" s="16" t="str">
        <f aca="false">IF(B3625="","",IF(E3625="Em ajustes",IF(N3625=_xlfn.MINIFS($N$2:$N$5001,$B$2:$B$5001,B3625,$E$2:$E$5001,"Em ajustes"),1,0),0))</f>
        <v/>
      </c>
      <c r="N3625" s="17" t="str">
        <f aca="false">IF(A3625="","",IF(ISNUMBER(A3625),A3625,IFERROR(DATE(VALUE(MID(A3625,7,4)),VALUE(MID(A3625,4,2)),VALUE(MID(A3625,1,2)))+TIME(VALUE(MID(A3625,12,2)),VALUE(MID(A3625,15,2)),VALUE(MID(A3625,18,2))),"")))</f>
        <v/>
      </c>
    </row>
    <row r="3626" customFormat="false" ht="15" hidden="false" customHeight="false" outlineLevel="0" collapsed="false">
      <c r="I3626" s="15" t="str">
        <f aca="false">IF(N3626="","",INT(N3626))</f>
        <v/>
      </c>
      <c r="J3626" s="16" t="str">
        <f aca="false">IF(B3626="","",IF(N3626=_xlfn.MINIFS($N$2:$N$5001,$B$2:$B$5001,B3626),1,0))</f>
        <v/>
      </c>
      <c r="K3626" s="16" t="str">
        <f aca="false">IF(B3626="","",IF(AND(D3626="Formalização",E3626="Concluído"),IF(COUNTIFS($B$2:$B$5001,B3626,$E$2:$E$5001,"Em ajustes",$N$2:$N$5001,"&lt;"&amp;I3626)&gt;0,1,0),0))</f>
        <v/>
      </c>
      <c r="L3626" s="16" t="str">
        <f aca="false">IF(B3626="","",IF(N3626=_xlfn.MAXIFS($N$2:$N$5001,$B$2:$B$5001,B3626,$I$2:$I$5001,I3626),1,0))</f>
        <v/>
      </c>
      <c r="M3626" s="16" t="str">
        <f aca="false">IF(B3626="","",IF(E3626="Em ajustes",IF(N3626=_xlfn.MINIFS($N$2:$N$5001,$B$2:$B$5001,B3626,$E$2:$E$5001,"Em ajustes"),1,0),0))</f>
        <v/>
      </c>
      <c r="N3626" s="17" t="str">
        <f aca="false">IF(A3626="","",IF(ISNUMBER(A3626),A3626,IFERROR(DATE(VALUE(MID(A3626,7,4)),VALUE(MID(A3626,4,2)),VALUE(MID(A3626,1,2)))+TIME(VALUE(MID(A3626,12,2)),VALUE(MID(A3626,15,2)),VALUE(MID(A3626,18,2))),"")))</f>
        <v/>
      </c>
    </row>
    <row r="3627" customFormat="false" ht="15" hidden="false" customHeight="false" outlineLevel="0" collapsed="false">
      <c r="I3627" s="15" t="str">
        <f aca="false">IF(N3627="","",INT(N3627))</f>
        <v/>
      </c>
      <c r="J3627" s="16" t="str">
        <f aca="false">IF(B3627="","",IF(N3627=_xlfn.MINIFS($N$2:$N$5001,$B$2:$B$5001,B3627),1,0))</f>
        <v/>
      </c>
      <c r="K3627" s="16" t="str">
        <f aca="false">IF(B3627="","",IF(AND(D3627="Formalização",E3627="Concluído"),IF(COUNTIFS($B$2:$B$5001,B3627,$E$2:$E$5001,"Em ajustes",$N$2:$N$5001,"&lt;"&amp;I3627)&gt;0,1,0),0))</f>
        <v/>
      </c>
      <c r="L3627" s="16" t="str">
        <f aca="false">IF(B3627="","",IF(N3627=_xlfn.MAXIFS($N$2:$N$5001,$B$2:$B$5001,B3627,$I$2:$I$5001,I3627),1,0))</f>
        <v/>
      </c>
      <c r="M3627" s="16" t="str">
        <f aca="false">IF(B3627="","",IF(E3627="Em ajustes",IF(N3627=_xlfn.MINIFS($N$2:$N$5001,$B$2:$B$5001,B3627,$E$2:$E$5001,"Em ajustes"),1,0),0))</f>
        <v/>
      </c>
      <c r="N3627" s="17" t="str">
        <f aca="false">IF(A3627="","",IF(ISNUMBER(A3627),A3627,IFERROR(DATE(VALUE(MID(A3627,7,4)),VALUE(MID(A3627,4,2)),VALUE(MID(A3627,1,2)))+TIME(VALUE(MID(A3627,12,2)),VALUE(MID(A3627,15,2)),VALUE(MID(A3627,18,2))),"")))</f>
        <v/>
      </c>
    </row>
    <row r="3628" customFormat="false" ht="15" hidden="false" customHeight="false" outlineLevel="0" collapsed="false">
      <c r="I3628" s="15" t="str">
        <f aca="false">IF(N3628="","",INT(N3628))</f>
        <v/>
      </c>
      <c r="J3628" s="16" t="str">
        <f aca="false">IF(B3628="","",IF(N3628=_xlfn.MINIFS($N$2:$N$5001,$B$2:$B$5001,B3628),1,0))</f>
        <v/>
      </c>
      <c r="K3628" s="16" t="str">
        <f aca="false">IF(B3628="","",IF(AND(D3628="Formalização",E3628="Concluído"),IF(COUNTIFS($B$2:$B$5001,B3628,$E$2:$E$5001,"Em ajustes",$N$2:$N$5001,"&lt;"&amp;I3628)&gt;0,1,0),0))</f>
        <v/>
      </c>
      <c r="L3628" s="16" t="str">
        <f aca="false">IF(B3628="","",IF(N3628=_xlfn.MAXIFS($N$2:$N$5001,$B$2:$B$5001,B3628,$I$2:$I$5001,I3628),1,0))</f>
        <v/>
      </c>
      <c r="M3628" s="16" t="str">
        <f aca="false">IF(B3628="","",IF(E3628="Em ajustes",IF(N3628=_xlfn.MINIFS($N$2:$N$5001,$B$2:$B$5001,B3628,$E$2:$E$5001,"Em ajustes"),1,0),0))</f>
        <v/>
      </c>
      <c r="N3628" s="17" t="str">
        <f aca="false">IF(A3628="","",IF(ISNUMBER(A3628),A3628,IFERROR(DATE(VALUE(MID(A3628,7,4)),VALUE(MID(A3628,4,2)),VALUE(MID(A3628,1,2)))+TIME(VALUE(MID(A3628,12,2)),VALUE(MID(A3628,15,2)),VALUE(MID(A3628,18,2))),"")))</f>
        <v/>
      </c>
    </row>
    <row r="3629" customFormat="false" ht="15" hidden="false" customHeight="false" outlineLevel="0" collapsed="false">
      <c r="I3629" s="15" t="str">
        <f aca="false">IF(N3629="","",INT(N3629))</f>
        <v/>
      </c>
      <c r="J3629" s="16" t="str">
        <f aca="false">IF(B3629="","",IF(N3629=_xlfn.MINIFS($N$2:$N$5001,$B$2:$B$5001,B3629),1,0))</f>
        <v/>
      </c>
      <c r="K3629" s="16" t="str">
        <f aca="false">IF(B3629="","",IF(AND(D3629="Formalização",E3629="Concluído"),IF(COUNTIFS($B$2:$B$5001,B3629,$E$2:$E$5001,"Em ajustes",$N$2:$N$5001,"&lt;"&amp;I3629)&gt;0,1,0),0))</f>
        <v/>
      </c>
      <c r="L3629" s="16" t="str">
        <f aca="false">IF(B3629="","",IF(N3629=_xlfn.MAXIFS($N$2:$N$5001,$B$2:$B$5001,B3629,$I$2:$I$5001,I3629),1,0))</f>
        <v/>
      </c>
      <c r="M3629" s="16" t="str">
        <f aca="false">IF(B3629="","",IF(E3629="Em ajustes",IF(N3629=_xlfn.MINIFS($N$2:$N$5001,$B$2:$B$5001,B3629,$E$2:$E$5001,"Em ajustes"),1,0),0))</f>
        <v/>
      </c>
      <c r="N3629" s="17" t="str">
        <f aca="false">IF(A3629="","",IF(ISNUMBER(A3629),A3629,IFERROR(DATE(VALUE(MID(A3629,7,4)),VALUE(MID(A3629,4,2)),VALUE(MID(A3629,1,2)))+TIME(VALUE(MID(A3629,12,2)),VALUE(MID(A3629,15,2)),VALUE(MID(A3629,18,2))),"")))</f>
        <v/>
      </c>
    </row>
    <row r="3630" customFormat="false" ht="15" hidden="false" customHeight="false" outlineLevel="0" collapsed="false">
      <c r="I3630" s="15" t="str">
        <f aca="false">IF(N3630="","",INT(N3630))</f>
        <v/>
      </c>
      <c r="J3630" s="16" t="str">
        <f aca="false">IF(B3630="","",IF(N3630=_xlfn.MINIFS($N$2:$N$5001,$B$2:$B$5001,B3630),1,0))</f>
        <v/>
      </c>
      <c r="K3630" s="16" t="str">
        <f aca="false">IF(B3630="","",IF(AND(D3630="Formalização",E3630="Concluído"),IF(COUNTIFS($B$2:$B$5001,B3630,$E$2:$E$5001,"Em ajustes",$N$2:$N$5001,"&lt;"&amp;I3630)&gt;0,1,0),0))</f>
        <v/>
      </c>
      <c r="L3630" s="16" t="str">
        <f aca="false">IF(B3630="","",IF(N3630=_xlfn.MAXIFS($N$2:$N$5001,$B$2:$B$5001,B3630,$I$2:$I$5001,I3630),1,0))</f>
        <v/>
      </c>
      <c r="M3630" s="16" t="str">
        <f aca="false">IF(B3630="","",IF(E3630="Em ajustes",IF(N3630=_xlfn.MINIFS($N$2:$N$5001,$B$2:$B$5001,B3630,$E$2:$E$5001,"Em ajustes"),1,0),0))</f>
        <v/>
      </c>
      <c r="N3630" s="17" t="str">
        <f aca="false">IF(A3630="","",IF(ISNUMBER(A3630),A3630,IFERROR(DATE(VALUE(MID(A3630,7,4)),VALUE(MID(A3630,4,2)),VALUE(MID(A3630,1,2)))+TIME(VALUE(MID(A3630,12,2)),VALUE(MID(A3630,15,2)),VALUE(MID(A3630,18,2))),"")))</f>
        <v/>
      </c>
    </row>
    <row r="3631" customFormat="false" ht="15" hidden="false" customHeight="false" outlineLevel="0" collapsed="false">
      <c r="I3631" s="15" t="str">
        <f aca="false">IF(N3631="","",INT(N3631))</f>
        <v/>
      </c>
      <c r="J3631" s="16" t="str">
        <f aca="false">IF(B3631="","",IF(N3631=_xlfn.MINIFS($N$2:$N$5001,$B$2:$B$5001,B3631),1,0))</f>
        <v/>
      </c>
      <c r="K3631" s="16" t="str">
        <f aca="false">IF(B3631="","",IF(AND(D3631="Formalização",E3631="Concluído"),IF(COUNTIFS($B$2:$B$5001,B3631,$E$2:$E$5001,"Em ajustes",$N$2:$N$5001,"&lt;"&amp;I3631)&gt;0,1,0),0))</f>
        <v/>
      </c>
      <c r="L3631" s="16" t="str">
        <f aca="false">IF(B3631="","",IF(N3631=_xlfn.MAXIFS($N$2:$N$5001,$B$2:$B$5001,B3631,$I$2:$I$5001,I3631),1,0))</f>
        <v/>
      </c>
      <c r="M3631" s="16" t="str">
        <f aca="false">IF(B3631="","",IF(E3631="Em ajustes",IF(N3631=_xlfn.MINIFS($N$2:$N$5001,$B$2:$B$5001,B3631,$E$2:$E$5001,"Em ajustes"),1,0),0))</f>
        <v/>
      </c>
      <c r="N3631" s="17" t="str">
        <f aca="false">IF(A3631="","",IF(ISNUMBER(A3631),A3631,IFERROR(DATE(VALUE(MID(A3631,7,4)),VALUE(MID(A3631,4,2)),VALUE(MID(A3631,1,2)))+TIME(VALUE(MID(A3631,12,2)),VALUE(MID(A3631,15,2)),VALUE(MID(A3631,18,2))),"")))</f>
        <v/>
      </c>
    </row>
    <row r="3632" customFormat="false" ht="15" hidden="false" customHeight="false" outlineLevel="0" collapsed="false">
      <c r="I3632" s="15" t="str">
        <f aca="false">IF(N3632="","",INT(N3632))</f>
        <v/>
      </c>
      <c r="J3632" s="16" t="str">
        <f aca="false">IF(B3632="","",IF(N3632=_xlfn.MINIFS($N$2:$N$5001,$B$2:$B$5001,B3632),1,0))</f>
        <v/>
      </c>
      <c r="K3632" s="16" t="str">
        <f aca="false">IF(B3632="","",IF(AND(D3632="Formalização",E3632="Concluído"),IF(COUNTIFS($B$2:$B$5001,B3632,$E$2:$E$5001,"Em ajustes",$N$2:$N$5001,"&lt;"&amp;I3632)&gt;0,1,0),0))</f>
        <v/>
      </c>
      <c r="L3632" s="16" t="str">
        <f aca="false">IF(B3632="","",IF(N3632=_xlfn.MAXIFS($N$2:$N$5001,$B$2:$B$5001,B3632,$I$2:$I$5001,I3632),1,0))</f>
        <v/>
      </c>
      <c r="M3632" s="16" t="str">
        <f aca="false">IF(B3632="","",IF(E3632="Em ajustes",IF(N3632=_xlfn.MINIFS($N$2:$N$5001,$B$2:$B$5001,B3632,$E$2:$E$5001,"Em ajustes"),1,0),0))</f>
        <v/>
      </c>
      <c r="N3632" s="17" t="str">
        <f aca="false">IF(A3632="","",IF(ISNUMBER(A3632),A3632,IFERROR(DATE(VALUE(MID(A3632,7,4)),VALUE(MID(A3632,4,2)),VALUE(MID(A3632,1,2)))+TIME(VALUE(MID(A3632,12,2)),VALUE(MID(A3632,15,2)),VALUE(MID(A3632,18,2))),"")))</f>
        <v/>
      </c>
    </row>
    <row r="3633" customFormat="false" ht="15" hidden="false" customHeight="false" outlineLevel="0" collapsed="false">
      <c r="I3633" s="15" t="str">
        <f aca="false">IF(N3633="","",INT(N3633))</f>
        <v/>
      </c>
      <c r="J3633" s="16" t="str">
        <f aca="false">IF(B3633="","",IF(N3633=_xlfn.MINIFS($N$2:$N$5001,$B$2:$B$5001,B3633),1,0))</f>
        <v/>
      </c>
      <c r="K3633" s="16" t="str">
        <f aca="false">IF(B3633="","",IF(AND(D3633="Formalização",E3633="Concluído"),IF(COUNTIFS($B$2:$B$5001,B3633,$E$2:$E$5001,"Em ajustes",$N$2:$N$5001,"&lt;"&amp;I3633)&gt;0,1,0),0))</f>
        <v/>
      </c>
      <c r="L3633" s="16" t="str">
        <f aca="false">IF(B3633="","",IF(N3633=_xlfn.MAXIFS($N$2:$N$5001,$B$2:$B$5001,B3633,$I$2:$I$5001,I3633),1,0))</f>
        <v/>
      </c>
      <c r="M3633" s="16" t="str">
        <f aca="false">IF(B3633="","",IF(E3633="Em ajustes",IF(N3633=_xlfn.MINIFS($N$2:$N$5001,$B$2:$B$5001,B3633,$E$2:$E$5001,"Em ajustes"),1,0),0))</f>
        <v/>
      </c>
      <c r="N3633" s="17" t="str">
        <f aca="false">IF(A3633="","",IF(ISNUMBER(A3633),A3633,IFERROR(DATE(VALUE(MID(A3633,7,4)),VALUE(MID(A3633,4,2)),VALUE(MID(A3633,1,2)))+TIME(VALUE(MID(A3633,12,2)),VALUE(MID(A3633,15,2)),VALUE(MID(A3633,18,2))),"")))</f>
        <v/>
      </c>
    </row>
    <row r="3634" customFormat="false" ht="15" hidden="false" customHeight="false" outlineLevel="0" collapsed="false">
      <c r="I3634" s="15" t="str">
        <f aca="false">IF(N3634="","",INT(N3634))</f>
        <v/>
      </c>
      <c r="J3634" s="16" t="str">
        <f aca="false">IF(B3634="","",IF(N3634=_xlfn.MINIFS($N$2:$N$5001,$B$2:$B$5001,B3634),1,0))</f>
        <v/>
      </c>
      <c r="K3634" s="16" t="str">
        <f aca="false">IF(B3634="","",IF(AND(D3634="Formalização",E3634="Concluído"),IF(COUNTIFS($B$2:$B$5001,B3634,$E$2:$E$5001,"Em ajustes",$N$2:$N$5001,"&lt;"&amp;I3634)&gt;0,1,0),0))</f>
        <v/>
      </c>
      <c r="L3634" s="16" t="str">
        <f aca="false">IF(B3634="","",IF(N3634=_xlfn.MAXIFS($N$2:$N$5001,$B$2:$B$5001,B3634,$I$2:$I$5001,I3634),1,0))</f>
        <v/>
      </c>
      <c r="M3634" s="16" t="str">
        <f aca="false">IF(B3634="","",IF(E3634="Em ajustes",IF(N3634=_xlfn.MINIFS($N$2:$N$5001,$B$2:$B$5001,B3634,$E$2:$E$5001,"Em ajustes"),1,0),0))</f>
        <v/>
      </c>
      <c r="N3634" s="17" t="str">
        <f aca="false">IF(A3634="","",IF(ISNUMBER(A3634),A3634,IFERROR(DATE(VALUE(MID(A3634,7,4)),VALUE(MID(A3634,4,2)),VALUE(MID(A3634,1,2)))+TIME(VALUE(MID(A3634,12,2)),VALUE(MID(A3634,15,2)),VALUE(MID(A3634,18,2))),"")))</f>
        <v/>
      </c>
    </row>
    <row r="3635" customFormat="false" ht="15" hidden="false" customHeight="false" outlineLevel="0" collapsed="false">
      <c r="I3635" s="15" t="str">
        <f aca="false">IF(N3635="","",INT(N3635))</f>
        <v/>
      </c>
      <c r="J3635" s="16" t="str">
        <f aca="false">IF(B3635="","",IF(N3635=_xlfn.MINIFS($N$2:$N$5001,$B$2:$B$5001,B3635),1,0))</f>
        <v/>
      </c>
      <c r="K3635" s="16" t="str">
        <f aca="false">IF(B3635="","",IF(AND(D3635="Formalização",E3635="Concluído"),IF(COUNTIFS($B$2:$B$5001,B3635,$E$2:$E$5001,"Em ajustes",$N$2:$N$5001,"&lt;"&amp;I3635)&gt;0,1,0),0))</f>
        <v/>
      </c>
      <c r="L3635" s="16" t="str">
        <f aca="false">IF(B3635="","",IF(N3635=_xlfn.MAXIFS($N$2:$N$5001,$B$2:$B$5001,B3635,$I$2:$I$5001,I3635),1,0))</f>
        <v/>
      </c>
      <c r="M3635" s="16" t="str">
        <f aca="false">IF(B3635="","",IF(E3635="Em ajustes",IF(N3635=_xlfn.MINIFS($N$2:$N$5001,$B$2:$B$5001,B3635,$E$2:$E$5001,"Em ajustes"),1,0),0))</f>
        <v/>
      </c>
      <c r="N3635" s="17" t="str">
        <f aca="false">IF(A3635="","",IF(ISNUMBER(A3635),A3635,IFERROR(DATE(VALUE(MID(A3635,7,4)),VALUE(MID(A3635,4,2)),VALUE(MID(A3635,1,2)))+TIME(VALUE(MID(A3635,12,2)),VALUE(MID(A3635,15,2)),VALUE(MID(A3635,18,2))),"")))</f>
        <v/>
      </c>
    </row>
    <row r="3636" customFormat="false" ht="15" hidden="false" customHeight="false" outlineLevel="0" collapsed="false">
      <c r="I3636" s="15" t="str">
        <f aca="false">IF(N3636="","",INT(N3636))</f>
        <v/>
      </c>
      <c r="J3636" s="16" t="str">
        <f aca="false">IF(B3636="","",IF(N3636=_xlfn.MINIFS($N$2:$N$5001,$B$2:$B$5001,B3636),1,0))</f>
        <v/>
      </c>
      <c r="K3636" s="16" t="str">
        <f aca="false">IF(B3636="","",IF(AND(D3636="Formalização",E3636="Concluído"),IF(COUNTIFS($B$2:$B$5001,B3636,$E$2:$E$5001,"Em ajustes",$N$2:$N$5001,"&lt;"&amp;I3636)&gt;0,1,0),0))</f>
        <v/>
      </c>
      <c r="L3636" s="16" t="str">
        <f aca="false">IF(B3636="","",IF(N3636=_xlfn.MAXIFS($N$2:$N$5001,$B$2:$B$5001,B3636,$I$2:$I$5001,I3636),1,0))</f>
        <v/>
      </c>
      <c r="M3636" s="16" t="str">
        <f aca="false">IF(B3636="","",IF(E3636="Em ajustes",IF(N3636=_xlfn.MINIFS($N$2:$N$5001,$B$2:$B$5001,B3636,$E$2:$E$5001,"Em ajustes"),1,0),0))</f>
        <v/>
      </c>
      <c r="N3636" s="17" t="str">
        <f aca="false">IF(A3636="","",IF(ISNUMBER(A3636),A3636,IFERROR(DATE(VALUE(MID(A3636,7,4)),VALUE(MID(A3636,4,2)),VALUE(MID(A3636,1,2)))+TIME(VALUE(MID(A3636,12,2)),VALUE(MID(A3636,15,2)),VALUE(MID(A3636,18,2))),"")))</f>
        <v/>
      </c>
    </row>
    <row r="3637" customFormat="false" ht="15" hidden="false" customHeight="false" outlineLevel="0" collapsed="false">
      <c r="I3637" s="15" t="str">
        <f aca="false">IF(N3637="","",INT(N3637))</f>
        <v/>
      </c>
      <c r="J3637" s="16" t="str">
        <f aca="false">IF(B3637="","",IF(N3637=_xlfn.MINIFS($N$2:$N$5001,$B$2:$B$5001,B3637),1,0))</f>
        <v/>
      </c>
      <c r="K3637" s="16" t="str">
        <f aca="false">IF(B3637="","",IF(AND(D3637="Formalização",E3637="Concluído"),IF(COUNTIFS($B$2:$B$5001,B3637,$E$2:$E$5001,"Em ajustes",$N$2:$N$5001,"&lt;"&amp;I3637)&gt;0,1,0),0))</f>
        <v/>
      </c>
      <c r="L3637" s="16" t="str">
        <f aca="false">IF(B3637="","",IF(N3637=_xlfn.MAXIFS($N$2:$N$5001,$B$2:$B$5001,B3637,$I$2:$I$5001,I3637),1,0))</f>
        <v/>
      </c>
      <c r="M3637" s="16" t="str">
        <f aca="false">IF(B3637="","",IF(E3637="Em ajustes",IF(N3637=_xlfn.MINIFS($N$2:$N$5001,$B$2:$B$5001,B3637,$E$2:$E$5001,"Em ajustes"),1,0),0))</f>
        <v/>
      </c>
      <c r="N3637" s="17" t="str">
        <f aca="false">IF(A3637="","",IF(ISNUMBER(A3637),A3637,IFERROR(DATE(VALUE(MID(A3637,7,4)),VALUE(MID(A3637,4,2)),VALUE(MID(A3637,1,2)))+TIME(VALUE(MID(A3637,12,2)),VALUE(MID(A3637,15,2)),VALUE(MID(A3637,18,2))),"")))</f>
        <v/>
      </c>
    </row>
    <row r="3638" customFormat="false" ht="15" hidden="false" customHeight="false" outlineLevel="0" collapsed="false">
      <c r="I3638" s="15" t="str">
        <f aca="false">IF(N3638="","",INT(N3638))</f>
        <v/>
      </c>
      <c r="J3638" s="16" t="str">
        <f aca="false">IF(B3638="","",IF(N3638=_xlfn.MINIFS($N$2:$N$5001,$B$2:$B$5001,B3638),1,0))</f>
        <v/>
      </c>
      <c r="K3638" s="16" t="str">
        <f aca="false">IF(B3638="","",IF(AND(D3638="Formalização",E3638="Concluído"),IF(COUNTIFS($B$2:$B$5001,B3638,$E$2:$E$5001,"Em ajustes",$N$2:$N$5001,"&lt;"&amp;I3638)&gt;0,1,0),0))</f>
        <v/>
      </c>
      <c r="L3638" s="16" t="str">
        <f aca="false">IF(B3638="","",IF(N3638=_xlfn.MAXIFS($N$2:$N$5001,$B$2:$B$5001,B3638,$I$2:$I$5001,I3638),1,0))</f>
        <v/>
      </c>
      <c r="M3638" s="16" t="str">
        <f aca="false">IF(B3638="","",IF(E3638="Em ajustes",IF(N3638=_xlfn.MINIFS($N$2:$N$5001,$B$2:$B$5001,B3638,$E$2:$E$5001,"Em ajustes"),1,0),0))</f>
        <v/>
      </c>
      <c r="N3638" s="17" t="str">
        <f aca="false">IF(A3638="","",IF(ISNUMBER(A3638),A3638,IFERROR(DATE(VALUE(MID(A3638,7,4)),VALUE(MID(A3638,4,2)),VALUE(MID(A3638,1,2)))+TIME(VALUE(MID(A3638,12,2)),VALUE(MID(A3638,15,2)),VALUE(MID(A3638,18,2))),"")))</f>
        <v/>
      </c>
    </row>
    <row r="3639" customFormat="false" ht="15" hidden="false" customHeight="false" outlineLevel="0" collapsed="false">
      <c r="I3639" s="15" t="str">
        <f aca="false">IF(N3639="","",INT(N3639))</f>
        <v/>
      </c>
      <c r="J3639" s="16" t="str">
        <f aca="false">IF(B3639="","",IF(N3639=_xlfn.MINIFS($N$2:$N$5001,$B$2:$B$5001,B3639),1,0))</f>
        <v/>
      </c>
      <c r="K3639" s="16" t="str">
        <f aca="false">IF(B3639="","",IF(AND(D3639="Formalização",E3639="Concluído"),IF(COUNTIFS($B$2:$B$5001,B3639,$E$2:$E$5001,"Em ajustes",$N$2:$N$5001,"&lt;"&amp;I3639)&gt;0,1,0),0))</f>
        <v/>
      </c>
      <c r="L3639" s="16" t="str">
        <f aca="false">IF(B3639="","",IF(N3639=_xlfn.MAXIFS($N$2:$N$5001,$B$2:$B$5001,B3639,$I$2:$I$5001,I3639),1,0))</f>
        <v/>
      </c>
      <c r="M3639" s="16" t="str">
        <f aca="false">IF(B3639="","",IF(E3639="Em ajustes",IF(N3639=_xlfn.MINIFS($N$2:$N$5001,$B$2:$B$5001,B3639,$E$2:$E$5001,"Em ajustes"),1,0),0))</f>
        <v/>
      </c>
      <c r="N3639" s="17" t="str">
        <f aca="false">IF(A3639="","",IF(ISNUMBER(A3639),A3639,IFERROR(DATE(VALUE(MID(A3639,7,4)),VALUE(MID(A3639,4,2)),VALUE(MID(A3639,1,2)))+TIME(VALUE(MID(A3639,12,2)),VALUE(MID(A3639,15,2)),VALUE(MID(A3639,18,2))),"")))</f>
        <v/>
      </c>
    </row>
    <row r="3640" customFormat="false" ht="15" hidden="false" customHeight="false" outlineLevel="0" collapsed="false">
      <c r="I3640" s="15" t="str">
        <f aca="false">IF(N3640="","",INT(N3640))</f>
        <v/>
      </c>
      <c r="J3640" s="16" t="str">
        <f aca="false">IF(B3640="","",IF(N3640=_xlfn.MINIFS($N$2:$N$5001,$B$2:$B$5001,B3640),1,0))</f>
        <v/>
      </c>
      <c r="K3640" s="16" t="str">
        <f aca="false">IF(B3640="","",IF(AND(D3640="Formalização",E3640="Concluído"),IF(COUNTIFS($B$2:$B$5001,B3640,$E$2:$E$5001,"Em ajustes",$N$2:$N$5001,"&lt;"&amp;I3640)&gt;0,1,0),0))</f>
        <v/>
      </c>
      <c r="L3640" s="16" t="str">
        <f aca="false">IF(B3640="","",IF(N3640=_xlfn.MAXIFS($N$2:$N$5001,$B$2:$B$5001,B3640,$I$2:$I$5001,I3640),1,0))</f>
        <v/>
      </c>
      <c r="M3640" s="16" t="str">
        <f aca="false">IF(B3640="","",IF(E3640="Em ajustes",IF(N3640=_xlfn.MINIFS($N$2:$N$5001,$B$2:$B$5001,B3640,$E$2:$E$5001,"Em ajustes"),1,0),0))</f>
        <v/>
      </c>
      <c r="N3640" s="17" t="str">
        <f aca="false">IF(A3640="","",IF(ISNUMBER(A3640),A3640,IFERROR(DATE(VALUE(MID(A3640,7,4)),VALUE(MID(A3640,4,2)),VALUE(MID(A3640,1,2)))+TIME(VALUE(MID(A3640,12,2)),VALUE(MID(A3640,15,2)),VALUE(MID(A3640,18,2))),"")))</f>
        <v/>
      </c>
    </row>
    <row r="3641" customFormat="false" ht="15" hidden="false" customHeight="false" outlineLevel="0" collapsed="false">
      <c r="I3641" s="15" t="str">
        <f aca="false">IF(N3641="","",INT(N3641))</f>
        <v/>
      </c>
      <c r="J3641" s="16" t="str">
        <f aca="false">IF(B3641="","",IF(N3641=_xlfn.MINIFS($N$2:$N$5001,$B$2:$B$5001,B3641),1,0))</f>
        <v/>
      </c>
      <c r="K3641" s="16" t="str">
        <f aca="false">IF(B3641="","",IF(AND(D3641="Formalização",E3641="Concluído"),IF(COUNTIFS($B$2:$B$5001,B3641,$E$2:$E$5001,"Em ajustes",$N$2:$N$5001,"&lt;"&amp;I3641)&gt;0,1,0),0))</f>
        <v/>
      </c>
      <c r="L3641" s="16" t="str">
        <f aca="false">IF(B3641="","",IF(N3641=_xlfn.MAXIFS($N$2:$N$5001,$B$2:$B$5001,B3641,$I$2:$I$5001,I3641),1,0))</f>
        <v/>
      </c>
      <c r="M3641" s="16" t="str">
        <f aca="false">IF(B3641="","",IF(E3641="Em ajustes",IF(N3641=_xlfn.MINIFS($N$2:$N$5001,$B$2:$B$5001,B3641,$E$2:$E$5001,"Em ajustes"),1,0),0))</f>
        <v/>
      </c>
      <c r="N3641" s="17" t="str">
        <f aca="false">IF(A3641="","",IF(ISNUMBER(A3641),A3641,IFERROR(DATE(VALUE(MID(A3641,7,4)),VALUE(MID(A3641,4,2)),VALUE(MID(A3641,1,2)))+TIME(VALUE(MID(A3641,12,2)),VALUE(MID(A3641,15,2)),VALUE(MID(A3641,18,2))),"")))</f>
        <v/>
      </c>
    </row>
    <row r="3642" customFormat="false" ht="15" hidden="false" customHeight="false" outlineLevel="0" collapsed="false">
      <c r="I3642" s="15" t="str">
        <f aca="false">IF(N3642="","",INT(N3642))</f>
        <v/>
      </c>
      <c r="J3642" s="16" t="str">
        <f aca="false">IF(B3642="","",IF(N3642=_xlfn.MINIFS($N$2:$N$5001,$B$2:$B$5001,B3642),1,0))</f>
        <v/>
      </c>
      <c r="K3642" s="16" t="str">
        <f aca="false">IF(B3642="","",IF(AND(D3642="Formalização",E3642="Concluído"),IF(COUNTIFS($B$2:$B$5001,B3642,$E$2:$E$5001,"Em ajustes",$N$2:$N$5001,"&lt;"&amp;I3642)&gt;0,1,0),0))</f>
        <v/>
      </c>
      <c r="L3642" s="16" t="str">
        <f aca="false">IF(B3642="","",IF(N3642=_xlfn.MAXIFS($N$2:$N$5001,$B$2:$B$5001,B3642,$I$2:$I$5001,I3642),1,0))</f>
        <v/>
      </c>
      <c r="M3642" s="16" t="str">
        <f aca="false">IF(B3642="","",IF(E3642="Em ajustes",IF(N3642=_xlfn.MINIFS($N$2:$N$5001,$B$2:$B$5001,B3642,$E$2:$E$5001,"Em ajustes"),1,0),0))</f>
        <v/>
      </c>
      <c r="N3642" s="17" t="str">
        <f aca="false">IF(A3642="","",IF(ISNUMBER(A3642),A3642,IFERROR(DATE(VALUE(MID(A3642,7,4)),VALUE(MID(A3642,4,2)),VALUE(MID(A3642,1,2)))+TIME(VALUE(MID(A3642,12,2)),VALUE(MID(A3642,15,2)),VALUE(MID(A3642,18,2))),"")))</f>
        <v/>
      </c>
    </row>
    <row r="3643" customFormat="false" ht="15" hidden="false" customHeight="false" outlineLevel="0" collapsed="false">
      <c r="I3643" s="15" t="str">
        <f aca="false">IF(N3643="","",INT(N3643))</f>
        <v/>
      </c>
      <c r="J3643" s="16" t="str">
        <f aca="false">IF(B3643="","",IF(N3643=_xlfn.MINIFS($N$2:$N$5001,$B$2:$B$5001,B3643),1,0))</f>
        <v/>
      </c>
      <c r="K3643" s="16" t="str">
        <f aca="false">IF(B3643="","",IF(AND(D3643="Formalização",E3643="Concluído"),IF(COUNTIFS($B$2:$B$5001,B3643,$E$2:$E$5001,"Em ajustes",$N$2:$N$5001,"&lt;"&amp;I3643)&gt;0,1,0),0))</f>
        <v/>
      </c>
      <c r="L3643" s="16" t="str">
        <f aca="false">IF(B3643="","",IF(N3643=_xlfn.MAXIFS($N$2:$N$5001,$B$2:$B$5001,B3643,$I$2:$I$5001,I3643),1,0))</f>
        <v/>
      </c>
      <c r="M3643" s="16" t="str">
        <f aca="false">IF(B3643="","",IF(E3643="Em ajustes",IF(N3643=_xlfn.MINIFS($N$2:$N$5001,$B$2:$B$5001,B3643,$E$2:$E$5001,"Em ajustes"),1,0),0))</f>
        <v/>
      </c>
      <c r="N3643" s="17" t="str">
        <f aca="false">IF(A3643="","",IF(ISNUMBER(A3643),A3643,IFERROR(DATE(VALUE(MID(A3643,7,4)),VALUE(MID(A3643,4,2)),VALUE(MID(A3643,1,2)))+TIME(VALUE(MID(A3643,12,2)),VALUE(MID(A3643,15,2)),VALUE(MID(A3643,18,2))),"")))</f>
        <v/>
      </c>
    </row>
    <row r="3644" customFormat="false" ht="15" hidden="false" customHeight="false" outlineLevel="0" collapsed="false">
      <c r="I3644" s="15" t="str">
        <f aca="false">IF(N3644="","",INT(N3644))</f>
        <v/>
      </c>
      <c r="J3644" s="16" t="str">
        <f aca="false">IF(B3644="","",IF(N3644=_xlfn.MINIFS($N$2:$N$5001,$B$2:$B$5001,B3644),1,0))</f>
        <v/>
      </c>
      <c r="K3644" s="16" t="str">
        <f aca="false">IF(B3644="","",IF(AND(D3644="Formalização",E3644="Concluído"),IF(COUNTIFS($B$2:$B$5001,B3644,$E$2:$E$5001,"Em ajustes",$N$2:$N$5001,"&lt;"&amp;I3644)&gt;0,1,0),0))</f>
        <v/>
      </c>
      <c r="L3644" s="16" t="str">
        <f aca="false">IF(B3644="","",IF(N3644=_xlfn.MAXIFS($N$2:$N$5001,$B$2:$B$5001,B3644,$I$2:$I$5001,I3644),1,0))</f>
        <v/>
      </c>
      <c r="M3644" s="16" t="str">
        <f aca="false">IF(B3644="","",IF(E3644="Em ajustes",IF(N3644=_xlfn.MINIFS($N$2:$N$5001,$B$2:$B$5001,B3644,$E$2:$E$5001,"Em ajustes"),1,0),0))</f>
        <v/>
      </c>
      <c r="N3644" s="17" t="str">
        <f aca="false">IF(A3644="","",IF(ISNUMBER(A3644),A3644,IFERROR(DATE(VALUE(MID(A3644,7,4)),VALUE(MID(A3644,4,2)),VALUE(MID(A3644,1,2)))+TIME(VALUE(MID(A3644,12,2)),VALUE(MID(A3644,15,2)),VALUE(MID(A3644,18,2))),"")))</f>
        <v/>
      </c>
    </row>
    <row r="3645" customFormat="false" ht="15" hidden="false" customHeight="false" outlineLevel="0" collapsed="false">
      <c r="I3645" s="15" t="str">
        <f aca="false">IF(N3645="","",INT(N3645))</f>
        <v/>
      </c>
      <c r="J3645" s="16" t="str">
        <f aca="false">IF(B3645="","",IF(N3645=_xlfn.MINIFS($N$2:$N$5001,$B$2:$B$5001,B3645),1,0))</f>
        <v/>
      </c>
      <c r="K3645" s="16" t="str">
        <f aca="false">IF(B3645="","",IF(AND(D3645="Formalização",E3645="Concluído"),IF(COUNTIFS($B$2:$B$5001,B3645,$E$2:$E$5001,"Em ajustes",$N$2:$N$5001,"&lt;"&amp;I3645)&gt;0,1,0),0))</f>
        <v/>
      </c>
      <c r="L3645" s="16" t="str">
        <f aca="false">IF(B3645="","",IF(N3645=_xlfn.MAXIFS($N$2:$N$5001,$B$2:$B$5001,B3645,$I$2:$I$5001,I3645),1,0))</f>
        <v/>
      </c>
      <c r="M3645" s="16" t="str">
        <f aca="false">IF(B3645="","",IF(E3645="Em ajustes",IF(N3645=_xlfn.MINIFS($N$2:$N$5001,$B$2:$B$5001,B3645,$E$2:$E$5001,"Em ajustes"),1,0),0))</f>
        <v/>
      </c>
      <c r="N3645" s="17" t="str">
        <f aca="false">IF(A3645="","",IF(ISNUMBER(A3645),A3645,IFERROR(DATE(VALUE(MID(A3645,7,4)),VALUE(MID(A3645,4,2)),VALUE(MID(A3645,1,2)))+TIME(VALUE(MID(A3645,12,2)),VALUE(MID(A3645,15,2)),VALUE(MID(A3645,18,2))),"")))</f>
        <v/>
      </c>
    </row>
    <row r="3646" customFormat="false" ht="15" hidden="false" customHeight="false" outlineLevel="0" collapsed="false">
      <c r="I3646" s="15" t="str">
        <f aca="false">IF(N3646="","",INT(N3646))</f>
        <v/>
      </c>
      <c r="J3646" s="16" t="str">
        <f aca="false">IF(B3646="","",IF(N3646=_xlfn.MINIFS($N$2:$N$5001,$B$2:$B$5001,B3646),1,0))</f>
        <v/>
      </c>
      <c r="K3646" s="16" t="str">
        <f aca="false">IF(B3646="","",IF(AND(D3646="Formalização",E3646="Concluído"),IF(COUNTIFS($B$2:$B$5001,B3646,$E$2:$E$5001,"Em ajustes",$N$2:$N$5001,"&lt;"&amp;I3646)&gt;0,1,0),0))</f>
        <v/>
      </c>
      <c r="L3646" s="16" t="str">
        <f aca="false">IF(B3646="","",IF(N3646=_xlfn.MAXIFS($N$2:$N$5001,$B$2:$B$5001,B3646,$I$2:$I$5001,I3646),1,0))</f>
        <v/>
      </c>
      <c r="M3646" s="16" t="str">
        <f aca="false">IF(B3646="","",IF(E3646="Em ajustes",IF(N3646=_xlfn.MINIFS($N$2:$N$5001,$B$2:$B$5001,B3646,$E$2:$E$5001,"Em ajustes"),1,0),0))</f>
        <v/>
      </c>
      <c r="N3646" s="17" t="str">
        <f aca="false">IF(A3646="","",IF(ISNUMBER(A3646),A3646,IFERROR(DATE(VALUE(MID(A3646,7,4)),VALUE(MID(A3646,4,2)),VALUE(MID(A3646,1,2)))+TIME(VALUE(MID(A3646,12,2)),VALUE(MID(A3646,15,2)),VALUE(MID(A3646,18,2))),"")))</f>
        <v/>
      </c>
    </row>
    <row r="3647" customFormat="false" ht="15" hidden="false" customHeight="false" outlineLevel="0" collapsed="false">
      <c r="I3647" s="15" t="str">
        <f aca="false">IF(N3647="","",INT(N3647))</f>
        <v/>
      </c>
      <c r="J3647" s="16" t="str">
        <f aca="false">IF(B3647="","",IF(N3647=_xlfn.MINIFS($N$2:$N$5001,$B$2:$B$5001,B3647),1,0))</f>
        <v/>
      </c>
      <c r="K3647" s="16" t="str">
        <f aca="false">IF(B3647="","",IF(AND(D3647="Formalização",E3647="Concluído"),IF(COUNTIFS($B$2:$B$5001,B3647,$E$2:$E$5001,"Em ajustes",$N$2:$N$5001,"&lt;"&amp;I3647)&gt;0,1,0),0))</f>
        <v/>
      </c>
      <c r="L3647" s="16" t="str">
        <f aca="false">IF(B3647="","",IF(N3647=_xlfn.MAXIFS($N$2:$N$5001,$B$2:$B$5001,B3647,$I$2:$I$5001,I3647),1,0))</f>
        <v/>
      </c>
      <c r="M3647" s="16" t="str">
        <f aca="false">IF(B3647="","",IF(E3647="Em ajustes",IF(N3647=_xlfn.MINIFS($N$2:$N$5001,$B$2:$B$5001,B3647,$E$2:$E$5001,"Em ajustes"),1,0),0))</f>
        <v/>
      </c>
      <c r="N3647" s="17" t="str">
        <f aca="false">IF(A3647="","",IF(ISNUMBER(A3647),A3647,IFERROR(DATE(VALUE(MID(A3647,7,4)),VALUE(MID(A3647,4,2)),VALUE(MID(A3647,1,2)))+TIME(VALUE(MID(A3647,12,2)),VALUE(MID(A3647,15,2)),VALUE(MID(A3647,18,2))),"")))</f>
        <v/>
      </c>
    </row>
    <row r="3648" customFormat="false" ht="15" hidden="false" customHeight="false" outlineLevel="0" collapsed="false">
      <c r="I3648" s="15" t="str">
        <f aca="false">IF(N3648="","",INT(N3648))</f>
        <v/>
      </c>
      <c r="J3648" s="16" t="str">
        <f aca="false">IF(B3648="","",IF(N3648=_xlfn.MINIFS($N$2:$N$5001,$B$2:$B$5001,B3648),1,0))</f>
        <v/>
      </c>
      <c r="K3648" s="16" t="str">
        <f aca="false">IF(B3648="","",IF(AND(D3648="Formalização",E3648="Concluído"),IF(COUNTIFS($B$2:$B$5001,B3648,$E$2:$E$5001,"Em ajustes",$N$2:$N$5001,"&lt;"&amp;I3648)&gt;0,1,0),0))</f>
        <v/>
      </c>
      <c r="L3648" s="16" t="str">
        <f aca="false">IF(B3648="","",IF(N3648=_xlfn.MAXIFS($N$2:$N$5001,$B$2:$B$5001,B3648,$I$2:$I$5001,I3648),1,0))</f>
        <v/>
      </c>
      <c r="M3648" s="16" t="str">
        <f aca="false">IF(B3648="","",IF(E3648="Em ajustes",IF(N3648=_xlfn.MINIFS($N$2:$N$5001,$B$2:$B$5001,B3648,$E$2:$E$5001,"Em ajustes"),1,0),0))</f>
        <v/>
      </c>
      <c r="N3648" s="17" t="str">
        <f aca="false">IF(A3648="","",IF(ISNUMBER(A3648),A3648,IFERROR(DATE(VALUE(MID(A3648,7,4)),VALUE(MID(A3648,4,2)),VALUE(MID(A3648,1,2)))+TIME(VALUE(MID(A3648,12,2)),VALUE(MID(A3648,15,2)),VALUE(MID(A3648,18,2))),"")))</f>
        <v/>
      </c>
    </row>
    <row r="3649" customFormat="false" ht="15" hidden="false" customHeight="false" outlineLevel="0" collapsed="false">
      <c r="I3649" s="15" t="str">
        <f aca="false">IF(N3649="","",INT(N3649))</f>
        <v/>
      </c>
      <c r="J3649" s="16" t="str">
        <f aca="false">IF(B3649="","",IF(N3649=_xlfn.MINIFS($N$2:$N$5001,$B$2:$B$5001,B3649),1,0))</f>
        <v/>
      </c>
      <c r="K3649" s="16" t="str">
        <f aca="false">IF(B3649="","",IF(AND(D3649="Formalização",E3649="Concluído"),IF(COUNTIFS($B$2:$B$5001,B3649,$E$2:$E$5001,"Em ajustes",$N$2:$N$5001,"&lt;"&amp;I3649)&gt;0,1,0),0))</f>
        <v/>
      </c>
      <c r="L3649" s="16" t="str">
        <f aca="false">IF(B3649="","",IF(N3649=_xlfn.MAXIFS($N$2:$N$5001,$B$2:$B$5001,B3649,$I$2:$I$5001,I3649),1,0))</f>
        <v/>
      </c>
      <c r="M3649" s="16" t="str">
        <f aca="false">IF(B3649="","",IF(E3649="Em ajustes",IF(N3649=_xlfn.MINIFS($N$2:$N$5001,$B$2:$B$5001,B3649,$E$2:$E$5001,"Em ajustes"),1,0),0))</f>
        <v/>
      </c>
      <c r="N3649" s="17" t="str">
        <f aca="false">IF(A3649="","",IF(ISNUMBER(A3649),A3649,IFERROR(DATE(VALUE(MID(A3649,7,4)),VALUE(MID(A3649,4,2)),VALUE(MID(A3649,1,2)))+TIME(VALUE(MID(A3649,12,2)),VALUE(MID(A3649,15,2)),VALUE(MID(A3649,18,2))),"")))</f>
        <v/>
      </c>
    </row>
    <row r="3650" customFormat="false" ht="15" hidden="false" customHeight="false" outlineLevel="0" collapsed="false">
      <c r="I3650" s="15" t="str">
        <f aca="false">IF(N3650="","",INT(N3650))</f>
        <v/>
      </c>
      <c r="J3650" s="16" t="str">
        <f aca="false">IF(B3650="","",IF(N3650=_xlfn.MINIFS($N$2:$N$5001,$B$2:$B$5001,B3650),1,0))</f>
        <v/>
      </c>
      <c r="K3650" s="16" t="str">
        <f aca="false">IF(B3650="","",IF(AND(D3650="Formalização",E3650="Concluído"),IF(COUNTIFS($B$2:$B$5001,B3650,$E$2:$E$5001,"Em ajustes",$N$2:$N$5001,"&lt;"&amp;I3650)&gt;0,1,0),0))</f>
        <v/>
      </c>
      <c r="L3650" s="16" t="str">
        <f aca="false">IF(B3650="","",IF(N3650=_xlfn.MAXIFS($N$2:$N$5001,$B$2:$B$5001,B3650,$I$2:$I$5001,I3650),1,0))</f>
        <v/>
      </c>
      <c r="M3650" s="16" t="str">
        <f aca="false">IF(B3650="","",IF(E3650="Em ajustes",IF(N3650=_xlfn.MINIFS($N$2:$N$5001,$B$2:$B$5001,B3650,$E$2:$E$5001,"Em ajustes"),1,0),0))</f>
        <v/>
      </c>
      <c r="N3650" s="17" t="str">
        <f aca="false">IF(A3650="","",IF(ISNUMBER(A3650),A3650,IFERROR(DATE(VALUE(MID(A3650,7,4)),VALUE(MID(A3650,4,2)),VALUE(MID(A3650,1,2)))+TIME(VALUE(MID(A3650,12,2)),VALUE(MID(A3650,15,2)),VALUE(MID(A3650,18,2))),"")))</f>
        <v/>
      </c>
    </row>
    <row r="3651" customFormat="false" ht="15" hidden="false" customHeight="false" outlineLevel="0" collapsed="false">
      <c r="I3651" s="15" t="str">
        <f aca="false">IF(N3651="","",INT(N3651))</f>
        <v/>
      </c>
      <c r="J3651" s="16" t="str">
        <f aca="false">IF(B3651="","",IF(N3651=_xlfn.MINIFS($N$2:$N$5001,$B$2:$B$5001,B3651),1,0))</f>
        <v/>
      </c>
      <c r="K3651" s="16" t="str">
        <f aca="false">IF(B3651="","",IF(AND(D3651="Formalização",E3651="Concluído"),IF(COUNTIFS($B$2:$B$5001,B3651,$E$2:$E$5001,"Em ajustes",$N$2:$N$5001,"&lt;"&amp;I3651)&gt;0,1,0),0))</f>
        <v/>
      </c>
      <c r="L3651" s="16" t="str">
        <f aca="false">IF(B3651="","",IF(N3651=_xlfn.MAXIFS($N$2:$N$5001,$B$2:$B$5001,B3651,$I$2:$I$5001,I3651),1,0))</f>
        <v/>
      </c>
      <c r="M3651" s="16" t="str">
        <f aca="false">IF(B3651="","",IF(E3651="Em ajustes",IF(N3651=_xlfn.MINIFS($N$2:$N$5001,$B$2:$B$5001,B3651,$E$2:$E$5001,"Em ajustes"),1,0),0))</f>
        <v/>
      </c>
      <c r="N3651" s="17" t="str">
        <f aca="false">IF(A3651="","",IF(ISNUMBER(A3651),A3651,IFERROR(DATE(VALUE(MID(A3651,7,4)),VALUE(MID(A3651,4,2)),VALUE(MID(A3651,1,2)))+TIME(VALUE(MID(A3651,12,2)),VALUE(MID(A3651,15,2)),VALUE(MID(A3651,18,2))),"")))</f>
        <v/>
      </c>
    </row>
    <row r="3652" customFormat="false" ht="15" hidden="false" customHeight="false" outlineLevel="0" collapsed="false">
      <c r="I3652" s="15" t="str">
        <f aca="false">IF(N3652="","",INT(N3652))</f>
        <v/>
      </c>
      <c r="J3652" s="16" t="str">
        <f aca="false">IF(B3652="","",IF(N3652=_xlfn.MINIFS($N$2:$N$5001,$B$2:$B$5001,B3652),1,0))</f>
        <v/>
      </c>
      <c r="K3652" s="16" t="str">
        <f aca="false">IF(B3652="","",IF(AND(D3652="Formalização",E3652="Concluído"),IF(COUNTIFS($B$2:$B$5001,B3652,$E$2:$E$5001,"Em ajustes",$N$2:$N$5001,"&lt;"&amp;I3652)&gt;0,1,0),0))</f>
        <v/>
      </c>
      <c r="L3652" s="16" t="str">
        <f aca="false">IF(B3652="","",IF(N3652=_xlfn.MAXIFS($N$2:$N$5001,$B$2:$B$5001,B3652,$I$2:$I$5001,I3652),1,0))</f>
        <v/>
      </c>
      <c r="M3652" s="16" t="str">
        <f aca="false">IF(B3652="","",IF(E3652="Em ajustes",IF(N3652=_xlfn.MINIFS($N$2:$N$5001,$B$2:$B$5001,B3652,$E$2:$E$5001,"Em ajustes"),1,0),0))</f>
        <v/>
      </c>
      <c r="N3652" s="17" t="str">
        <f aca="false">IF(A3652="","",IF(ISNUMBER(A3652),A3652,IFERROR(DATE(VALUE(MID(A3652,7,4)),VALUE(MID(A3652,4,2)),VALUE(MID(A3652,1,2)))+TIME(VALUE(MID(A3652,12,2)),VALUE(MID(A3652,15,2)),VALUE(MID(A3652,18,2))),"")))</f>
        <v/>
      </c>
    </row>
    <row r="3653" customFormat="false" ht="15" hidden="false" customHeight="false" outlineLevel="0" collapsed="false">
      <c r="I3653" s="15" t="str">
        <f aca="false">IF(N3653="","",INT(N3653))</f>
        <v/>
      </c>
      <c r="J3653" s="16" t="str">
        <f aca="false">IF(B3653="","",IF(N3653=_xlfn.MINIFS($N$2:$N$5001,$B$2:$B$5001,B3653),1,0))</f>
        <v/>
      </c>
      <c r="K3653" s="16" t="str">
        <f aca="false">IF(B3653="","",IF(AND(D3653="Formalização",E3653="Concluído"),IF(COUNTIFS($B$2:$B$5001,B3653,$E$2:$E$5001,"Em ajustes",$N$2:$N$5001,"&lt;"&amp;I3653)&gt;0,1,0),0))</f>
        <v/>
      </c>
      <c r="L3653" s="16" t="str">
        <f aca="false">IF(B3653="","",IF(N3653=_xlfn.MAXIFS($N$2:$N$5001,$B$2:$B$5001,B3653,$I$2:$I$5001,I3653),1,0))</f>
        <v/>
      </c>
      <c r="M3653" s="16" t="str">
        <f aca="false">IF(B3653="","",IF(E3653="Em ajustes",IF(N3653=_xlfn.MINIFS($N$2:$N$5001,$B$2:$B$5001,B3653,$E$2:$E$5001,"Em ajustes"),1,0),0))</f>
        <v/>
      </c>
      <c r="N3653" s="17" t="str">
        <f aca="false">IF(A3653="","",IF(ISNUMBER(A3653),A3653,IFERROR(DATE(VALUE(MID(A3653,7,4)),VALUE(MID(A3653,4,2)),VALUE(MID(A3653,1,2)))+TIME(VALUE(MID(A3653,12,2)),VALUE(MID(A3653,15,2)),VALUE(MID(A3653,18,2))),"")))</f>
        <v/>
      </c>
    </row>
    <row r="3654" customFormat="false" ht="15" hidden="false" customHeight="false" outlineLevel="0" collapsed="false">
      <c r="I3654" s="15" t="str">
        <f aca="false">IF(N3654="","",INT(N3654))</f>
        <v/>
      </c>
      <c r="J3654" s="16" t="str">
        <f aca="false">IF(B3654="","",IF(N3654=_xlfn.MINIFS($N$2:$N$5001,$B$2:$B$5001,B3654),1,0))</f>
        <v/>
      </c>
      <c r="K3654" s="16" t="str">
        <f aca="false">IF(B3654="","",IF(AND(D3654="Formalização",E3654="Concluído"),IF(COUNTIFS($B$2:$B$5001,B3654,$E$2:$E$5001,"Em ajustes",$N$2:$N$5001,"&lt;"&amp;I3654)&gt;0,1,0),0))</f>
        <v/>
      </c>
      <c r="L3654" s="16" t="str">
        <f aca="false">IF(B3654="","",IF(N3654=_xlfn.MAXIFS($N$2:$N$5001,$B$2:$B$5001,B3654,$I$2:$I$5001,I3654),1,0))</f>
        <v/>
      </c>
      <c r="M3654" s="16" t="str">
        <f aca="false">IF(B3654="","",IF(E3654="Em ajustes",IF(N3654=_xlfn.MINIFS($N$2:$N$5001,$B$2:$B$5001,B3654,$E$2:$E$5001,"Em ajustes"),1,0),0))</f>
        <v/>
      </c>
      <c r="N3654" s="17" t="str">
        <f aca="false">IF(A3654="","",IF(ISNUMBER(A3654),A3654,IFERROR(DATE(VALUE(MID(A3654,7,4)),VALUE(MID(A3654,4,2)),VALUE(MID(A3654,1,2)))+TIME(VALUE(MID(A3654,12,2)),VALUE(MID(A3654,15,2)),VALUE(MID(A3654,18,2))),"")))</f>
        <v/>
      </c>
    </row>
    <row r="3655" customFormat="false" ht="15" hidden="false" customHeight="false" outlineLevel="0" collapsed="false">
      <c r="I3655" s="15" t="str">
        <f aca="false">IF(N3655="","",INT(N3655))</f>
        <v/>
      </c>
      <c r="J3655" s="16" t="str">
        <f aca="false">IF(B3655="","",IF(N3655=_xlfn.MINIFS($N$2:$N$5001,$B$2:$B$5001,B3655),1,0))</f>
        <v/>
      </c>
      <c r="K3655" s="16" t="str">
        <f aca="false">IF(B3655="","",IF(AND(D3655="Formalização",E3655="Concluído"),IF(COUNTIFS($B$2:$B$5001,B3655,$E$2:$E$5001,"Em ajustes",$N$2:$N$5001,"&lt;"&amp;I3655)&gt;0,1,0),0))</f>
        <v/>
      </c>
      <c r="L3655" s="16" t="str">
        <f aca="false">IF(B3655="","",IF(N3655=_xlfn.MAXIFS($N$2:$N$5001,$B$2:$B$5001,B3655,$I$2:$I$5001,I3655),1,0))</f>
        <v/>
      </c>
      <c r="M3655" s="16" t="str">
        <f aca="false">IF(B3655="","",IF(E3655="Em ajustes",IF(N3655=_xlfn.MINIFS($N$2:$N$5001,$B$2:$B$5001,B3655,$E$2:$E$5001,"Em ajustes"),1,0),0))</f>
        <v/>
      </c>
      <c r="N3655" s="17" t="str">
        <f aca="false">IF(A3655="","",IF(ISNUMBER(A3655),A3655,IFERROR(DATE(VALUE(MID(A3655,7,4)),VALUE(MID(A3655,4,2)),VALUE(MID(A3655,1,2)))+TIME(VALUE(MID(A3655,12,2)),VALUE(MID(A3655,15,2)),VALUE(MID(A3655,18,2))),"")))</f>
        <v/>
      </c>
    </row>
    <row r="3656" customFormat="false" ht="15" hidden="false" customHeight="false" outlineLevel="0" collapsed="false">
      <c r="I3656" s="15" t="str">
        <f aca="false">IF(N3656="","",INT(N3656))</f>
        <v/>
      </c>
      <c r="J3656" s="16" t="str">
        <f aca="false">IF(B3656="","",IF(N3656=_xlfn.MINIFS($N$2:$N$5001,$B$2:$B$5001,B3656),1,0))</f>
        <v/>
      </c>
      <c r="K3656" s="16" t="str">
        <f aca="false">IF(B3656="","",IF(AND(D3656="Formalização",E3656="Concluído"),IF(COUNTIFS($B$2:$B$5001,B3656,$E$2:$E$5001,"Em ajustes",$N$2:$N$5001,"&lt;"&amp;I3656)&gt;0,1,0),0))</f>
        <v/>
      </c>
      <c r="L3656" s="16" t="str">
        <f aca="false">IF(B3656="","",IF(N3656=_xlfn.MAXIFS($N$2:$N$5001,$B$2:$B$5001,B3656,$I$2:$I$5001,I3656),1,0))</f>
        <v/>
      </c>
      <c r="M3656" s="16" t="str">
        <f aca="false">IF(B3656="","",IF(E3656="Em ajustes",IF(N3656=_xlfn.MINIFS($N$2:$N$5001,$B$2:$B$5001,B3656,$E$2:$E$5001,"Em ajustes"),1,0),0))</f>
        <v/>
      </c>
      <c r="N3656" s="17" t="str">
        <f aca="false">IF(A3656="","",IF(ISNUMBER(A3656),A3656,IFERROR(DATE(VALUE(MID(A3656,7,4)),VALUE(MID(A3656,4,2)),VALUE(MID(A3656,1,2)))+TIME(VALUE(MID(A3656,12,2)),VALUE(MID(A3656,15,2)),VALUE(MID(A3656,18,2))),"")))</f>
        <v/>
      </c>
    </row>
    <row r="3657" customFormat="false" ht="15" hidden="false" customHeight="false" outlineLevel="0" collapsed="false">
      <c r="I3657" s="15" t="str">
        <f aca="false">IF(N3657="","",INT(N3657))</f>
        <v/>
      </c>
      <c r="J3657" s="16" t="str">
        <f aca="false">IF(B3657="","",IF(N3657=_xlfn.MINIFS($N$2:$N$5001,$B$2:$B$5001,B3657),1,0))</f>
        <v/>
      </c>
      <c r="K3657" s="16" t="str">
        <f aca="false">IF(B3657="","",IF(AND(D3657="Formalização",E3657="Concluído"),IF(COUNTIFS($B$2:$B$5001,B3657,$E$2:$E$5001,"Em ajustes",$N$2:$N$5001,"&lt;"&amp;I3657)&gt;0,1,0),0))</f>
        <v/>
      </c>
      <c r="L3657" s="16" t="str">
        <f aca="false">IF(B3657="","",IF(N3657=_xlfn.MAXIFS($N$2:$N$5001,$B$2:$B$5001,B3657,$I$2:$I$5001,I3657),1,0))</f>
        <v/>
      </c>
      <c r="M3657" s="16" t="str">
        <f aca="false">IF(B3657="","",IF(E3657="Em ajustes",IF(N3657=_xlfn.MINIFS($N$2:$N$5001,$B$2:$B$5001,B3657,$E$2:$E$5001,"Em ajustes"),1,0),0))</f>
        <v/>
      </c>
      <c r="N3657" s="17" t="str">
        <f aca="false">IF(A3657="","",IF(ISNUMBER(A3657),A3657,IFERROR(DATE(VALUE(MID(A3657,7,4)),VALUE(MID(A3657,4,2)),VALUE(MID(A3657,1,2)))+TIME(VALUE(MID(A3657,12,2)),VALUE(MID(A3657,15,2)),VALUE(MID(A3657,18,2))),"")))</f>
        <v/>
      </c>
    </row>
    <row r="3658" customFormat="false" ht="15" hidden="false" customHeight="false" outlineLevel="0" collapsed="false">
      <c r="I3658" s="15" t="str">
        <f aca="false">IF(N3658="","",INT(N3658))</f>
        <v/>
      </c>
      <c r="J3658" s="16" t="str">
        <f aca="false">IF(B3658="","",IF(N3658=_xlfn.MINIFS($N$2:$N$5001,$B$2:$B$5001,B3658),1,0))</f>
        <v/>
      </c>
      <c r="K3658" s="16" t="str">
        <f aca="false">IF(B3658="","",IF(AND(D3658="Formalização",E3658="Concluído"),IF(COUNTIFS($B$2:$B$5001,B3658,$E$2:$E$5001,"Em ajustes",$N$2:$N$5001,"&lt;"&amp;I3658)&gt;0,1,0),0))</f>
        <v/>
      </c>
      <c r="L3658" s="16" t="str">
        <f aca="false">IF(B3658="","",IF(N3658=_xlfn.MAXIFS($N$2:$N$5001,$B$2:$B$5001,B3658,$I$2:$I$5001,I3658),1,0))</f>
        <v/>
      </c>
      <c r="M3658" s="16" t="str">
        <f aca="false">IF(B3658="","",IF(E3658="Em ajustes",IF(N3658=_xlfn.MINIFS($N$2:$N$5001,$B$2:$B$5001,B3658,$E$2:$E$5001,"Em ajustes"),1,0),0))</f>
        <v/>
      </c>
      <c r="N3658" s="17" t="str">
        <f aca="false">IF(A3658="","",IF(ISNUMBER(A3658),A3658,IFERROR(DATE(VALUE(MID(A3658,7,4)),VALUE(MID(A3658,4,2)),VALUE(MID(A3658,1,2)))+TIME(VALUE(MID(A3658,12,2)),VALUE(MID(A3658,15,2)),VALUE(MID(A3658,18,2))),"")))</f>
        <v/>
      </c>
    </row>
    <row r="3659" customFormat="false" ht="15" hidden="false" customHeight="false" outlineLevel="0" collapsed="false">
      <c r="I3659" s="15" t="str">
        <f aca="false">IF(N3659="","",INT(N3659))</f>
        <v/>
      </c>
      <c r="J3659" s="16" t="str">
        <f aca="false">IF(B3659="","",IF(N3659=_xlfn.MINIFS($N$2:$N$5001,$B$2:$B$5001,B3659),1,0))</f>
        <v/>
      </c>
      <c r="K3659" s="16" t="str">
        <f aca="false">IF(B3659="","",IF(AND(D3659="Formalização",E3659="Concluído"),IF(COUNTIFS($B$2:$B$5001,B3659,$E$2:$E$5001,"Em ajustes",$N$2:$N$5001,"&lt;"&amp;I3659)&gt;0,1,0),0))</f>
        <v/>
      </c>
      <c r="L3659" s="16" t="str">
        <f aca="false">IF(B3659="","",IF(N3659=_xlfn.MAXIFS($N$2:$N$5001,$B$2:$B$5001,B3659,$I$2:$I$5001,I3659),1,0))</f>
        <v/>
      </c>
      <c r="M3659" s="16" t="str">
        <f aca="false">IF(B3659="","",IF(E3659="Em ajustes",IF(N3659=_xlfn.MINIFS($N$2:$N$5001,$B$2:$B$5001,B3659,$E$2:$E$5001,"Em ajustes"),1,0),0))</f>
        <v/>
      </c>
      <c r="N3659" s="17" t="str">
        <f aca="false">IF(A3659="","",IF(ISNUMBER(A3659),A3659,IFERROR(DATE(VALUE(MID(A3659,7,4)),VALUE(MID(A3659,4,2)),VALUE(MID(A3659,1,2)))+TIME(VALUE(MID(A3659,12,2)),VALUE(MID(A3659,15,2)),VALUE(MID(A3659,18,2))),"")))</f>
        <v/>
      </c>
    </row>
    <row r="3660" customFormat="false" ht="15" hidden="false" customHeight="false" outlineLevel="0" collapsed="false">
      <c r="I3660" s="15" t="str">
        <f aca="false">IF(N3660="","",INT(N3660))</f>
        <v/>
      </c>
      <c r="J3660" s="16" t="str">
        <f aca="false">IF(B3660="","",IF(N3660=_xlfn.MINIFS($N$2:$N$5001,$B$2:$B$5001,B3660),1,0))</f>
        <v/>
      </c>
      <c r="K3660" s="16" t="str">
        <f aca="false">IF(B3660="","",IF(AND(D3660="Formalização",E3660="Concluído"),IF(COUNTIFS($B$2:$B$5001,B3660,$E$2:$E$5001,"Em ajustes",$N$2:$N$5001,"&lt;"&amp;I3660)&gt;0,1,0),0))</f>
        <v/>
      </c>
      <c r="L3660" s="16" t="str">
        <f aca="false">IF(B3660="","",IF(N3660=_xlfn.MAXIFS($N$2:$N$5001,$B$2:$B$5001,B3660,$I$2:$I$5001,I3660),1,0))</f>
        <v/>
      </c>
      <c r="M3660" s="16" t="str">
        <f aca="false">IF(B3660="","",IF(E3660="Em ajustes",IF(N3660=_xlfn.MINIFS($N$2:$N$5001,$B$2:$B$5001,B3660,$E$2:$E$5001,"Em ajustes"),1,0),0))</f>
        <v/>
      </c>
      <c r="N3660" s="17" t="str">
        <f aca="false">IF(A3660="","",IF(ISNUMBER(A3660),A3660,IFERROR(DATE(VALUE(MID(A3660,7,4)),VALUE(MID(A3660,4,2)),VALUE(MID(A3660,1,2)))+TIME(VALUE(MID(A3660,12,2)),VALUE(MID(A3660,15,2)),VALUE(MID(A3660,18,2))),"")))</f>
        <v/>
      </c>
    </row>
    <row r="3661" customFormat="false" ht="15" hidden="false" customHeight="false" outlineLevel="0" collapsed="false">
      <c r="I3661" s="15" t="str">
        <f aca="false">IF(N3661="","",INT(N3661))</f>
        <v/>
      </c>
      <c r="J3661" s="16" t="str">
        <f aca="false">IF(B3661="","",IF(N3661=_xlfn.MINIFS($N$2:$N$5001,$B$2:$B$5001,B3661),1,0))</f>
        <v/>
      </c>
      <c r="K3661" s="16" t="str">
        <f aca="false">IF(B3661="","",IF(AND(D3661="Formalização",E3661="Concluído"),IF(COUNTIFS($B$2:$B$5001,B3661,$E$2:$E$5001,"Em ajustes",$N$2:$N$5001,"&lt;"&amp;I3661)&gt;0,1,0),0))</f>
        <v/>
      </c>
      <c r="L3661" s="16" t="str">
        <f aca="false">IF(B3661="","",IF(N3661=_xlfn.MAXIFS($N$2:$N$5001,$B$2:$B$5001,B3661,$I$2:$I$5001,I3661),1,0))</f>
        <v/>
      </c>
      <c r="M3661" s="16" t="str">
        <f aca="false">IF(B3661="","",IF(E3661="Em ajustes",IF(N3661=_xlfn.MINIFS($N$2:$N$5001,$B$2:$B$5001,B3661,$E$2:$E$5001,"Em ajustes"),1,0),0))</f>
        <v/>
      </c>
      <c r="N3661" s="17" t="str">
        <f aca="false">IF(A3661="","",IF(ISNUMBER(A3661),A3661,IFERROR(DATE(VALUE(MID(A3661,7,4)),VALUE(MID(A3661,4,2)),VALUE(MID(A3661,1,2)))+TIME(VALUE(MID(A3661,12,2)),VALUE(MID(A3661,15,2)),VALUE(MID(A3661,18,2))),"")))</f>
        <v/>
      </c>
    </row>
    <row r="3662" customFormat="false" ht="15" hidden="false" customHeight="false" outlineLevel="0" collapsed="false">
      <c r="I3662" s="15" t="str">
        <f aca="false">IF(N3662="","",INT(N3662))</f>
        <v/>
      </c>
      <c r="J3662" s="16" t="str">
        <f aca="false">IF(B3662="","",IF(N3662=_xlfn.MINIFS($N$2:$N$5001,$B$2:$B$5001,B3662),1,0))</f>
        <v/>
      </c>
      <c r="K3662" s="16" t="str">
        <f aca="false">IF(B3662="","",IF(AND(D3662="Formalização",E3662="Concluído"),IF(COUNTIFS($B$2:$B$5001,B3662,$E$2:$E$5001,"Em ajustes",$N$2:$N$5001,"&lt;"&amp;I3662)&gt;0,1,0),0))</f>
        <v/>
      </c>
      <c r="L3662" s="16" t="str">
        <f aca="false">IF(B3662="","",IF(N3662=_xlfn.MAXIFS($N$2:$N$5001,$B$2:$B$5001,B3662,$I$2:$I$5001,I3662),1,0))</f>
        <v/>
      </c>
      <c r="M3662" s="16" t="str">
        <f aca="false">IF(B3662="","",IF(E3662="Em ajustes",IF(N3662=_xlfn.MINIFS($N$2:$N$5001,$B$2:$B$5001,B3662,$E$2:$E$5001,"Em ajustes"),1,0),0))</f>
        <v/>
      </c>
      <c r="N3662" s="17" t="str">
        <f aca="false">IF(A3662="","",IF(ISNUMBER(A3662),A3662,IFERROR(DATE(VALUE(MID(A3662,7,4)),VALUE(MID(A3662,4,2)),VALUE(MID(A3662,1,2)))+TIME(VALUE(MID(A3662,12,2)),VALUE(MID(A3662,15,2)),VALUE(MID(A3662,18,2))),"")))</f>
        <v/>
      </c>
    </row>
    <row r="3663" customFormat="false" ht="15" hidden="false" customHeight="false" outlineLevel="0" collapsed="false">
      <c r="I3663" s="15" t="str">
        <f aca="false">IF(N3663="","",INT(N3663))</f>
        <v/>
      </c>
      <c r="J3663" s="16" t="str">
        <f aca="false">IF(B3663="","",IF(N3663=_xlfn.MINIFS($N$2:$N$5001,$B$2:$B$5001,B3663),1,0))</f>
        <v/>
      </c>
      <c r="K3663" s="16" t="str">
        <f aca="false">IF(B3663="","",IF(AND(D3663="Formalização",E3663="Concluído"),IF(COUNTIFS($B$2:$B$5001,B3663,$E$2:$E$5001,"Em ajustes",$N$2:$N$5001,"&lt;"&amp;I3663)&gt;0,1,0),0))</f>
        <v/>
      </c>
      <c r="L3663" s="16" t="str">
        <f aca="false">IF(B3663="","",IF(N3663=_xlfn.MAXIFS($N$2:$N$5001,$B$2:$B$5001,B3663,$I$2:$I$5001,I3663),1,0))</f>
        <v/>
      </c>
      <c r="M3663" s="16" t="str">
        <f aca="false">IF(B3663="","",IF(E3663="Em ajustes",IF(N3663=_xlfn.MINIFS($N$2:$N$5001,$B$2:$B$5001,B3663,$E$2:$E$5001,"Em ajustes"),1,0),0))</f>
        <v/>
      </c>
      <c r="N3663" s="17" t="str">
        <f aca="false">IF(A3663="","",IF(ISNUMBER(A3663),A3663,IFERROR(DATE(VALUE(MID(A3663,7,4)),VALUE(MID(A3663,4,2)),VALUE(MID(A3663,1,2)))+TIME(VALUE(MID(A3663,12,2)),VALUE(MID(A3663,15,2)),VALUE(MID(A3663,18,2))),"")))</f>
        <v/>
      </c>
    </row>
    <row r="3664" customFormat="false" ht="15" hidden="false" customHeight="false" outlineLevel="0" collapsed="false">
      <c r="I3664" s="15" t="str">
        <f aca="false">IF(N3664="","",INT(N3664))</f>
        <v/>
      </c>
      <c r="J3664" s="16" t="str">
        <f aca="false">IF(B3664="","",IF(N3664=_xlfn.MINIFS($N$2:$N$5001,$B$2:$B$5001,B3664),1,0))</f>
        <v/>
      </c>
      <c r="K3664" s="16" t="str">
        <f aca="false">IF(B3664="","",IF(AND(D3664="Formalização",E3664="Concluído"),IF(COUNTIFS($B$2:$B$5001,B3664,$E$2:$E$5001,"Em ajustes",$N$2:$N$5001,"&lt;"&amp;I3664)&gt;0,1,0),0))</f>
        <v/>
      </c>
      <c r="L3664" s="16" t="str">
        <f aca="false">IF(B3664="","",IF(N3664=_xlfn.MAXIFS($N$2:$N$5001,$B$2:$B$5001,B3664,$I$2:$I$5001,I3664),1,0))</f>
        <v/>
      </c>
      <c r="M3664" s="16" t="str">
        <f aca="false">IF(B3664="","",IF(E3664="Em ajustes",IF(N3664=_xlfn.MINIFS($N$2:$N$5001,$B$2:$B$5001,B3664,$E$2:$E$5001,"Em ajustes"),1,0),0))</f>
        <v/>
      </c>
      <c r="N3664" s="17" t="str">
        <f aca="false">IF(A3664="","",IF(ISNUMBER(A3664),A3664,IFERROR(DATE(VALUE(MID(A3664,7,4)),VALUE(MID(A3664,4,2)),VALUE(MID(A3664,1,2)))+TIME(VALUE(MID(A3664,12,2)),VALUE(MID(A3664,15,2)),VALUE(MID(A3664,18,2))),"")))</f>
        <v/>
      </c>
    </row>
    <row r="3665" customFormat="false" ht="15" hidden="false" customHeight="false" outlineLevel="0" collapsed="false">
      <c r="I3665" s="15" t="str">
        <f aca="false">IF(N3665="","",INT(N3665))</f>
        <v/>
      </c>
      <c r="J3665" s="16" t="str">
        <f aca="false">IF(B3665="","",IF(N3665=_xlfn.MINIFS($N$2:$N$5001,$B$2:$B$5001,B3665),1,0))</f>
        <v/>
      </c>
      <c r="K3665" s="16" t="str">
        <f aca="false">IF(B3665="","",IF(AND(D3665="Formalização",E3665="Concluído"),IF(COUNTIFS($B$2:$B$5001,B3665,$E$2:$E$5001,"Em ajustes",$N$2:$N$5001,"&lt;"&amp;I3665)&gt;0,1,0),0))</f>
        <v/>
      </c>
      <c r="L3665" s="16" t="str">
        <f aca="false">IF(B3665="","",IF(N3665=_xlfn.MAXIFS($N$2:$N$5001,$B$2:$B$5001,B3665,$I$2:$I$5001,I3665),1,0))</f>
        <v/>
      </c>
      <c r="M3665" s="16" t="str">
        <f aca="false">IF(B3665="","",IF(E3665="Em ajustes",IF(N3665=_xlfn.MINIFS($N$2:$N$5001,$B$2:$B$5001,B3665,$E$2:$E$5001,"Em ajustes"),1,0),0))</f>
        <v/>
      </c>
      <c r="N3665" s="17" t="str">
        <f aca="false">IF(A3665="","",IF(ISNUMBER(A3665),A3665,IFERROR(DATE(VALUE(MID(A3665,7,4)),VALUE(MID(A3665,4,2)),VALUE(MID(A3665,1,2)))+TIME(VALUE(MID(A3665,12,2)),VALUE(MID(A3665,15,2)),VALUE(MID(A3665,18,2))),"")))</f>
        <v/>
      </c>
    </row>
    <row r="3666" customFormat="false" ht="15" hidden="false" customHeight="false" outlineLevel="0" collapsed="false">
      <c r="I3666" s="15" t="str">
        <f aca="false">IF(N3666="","",INT(N3666))</f>
        <v/>
      </c>
      <c r="J3666" s="16" t="str">
        <f aca="false">IF(B3666="","",IF(N3666=_xlfn.MINIFS($N$2:$N$5001,$B$2:$B$5001,B3666),1,0))</f>
        <v/>
      </c>
      <c r="K3666" s="16" t="str">
        <f aca="false">IF(B3666="","",IF(AND(D3666="Formalização",E3666="Concluído"),IF(COUNTIFS($B$2:$B$5001,B3666,$E$2:$E$5001,"Em ajustes",$N$2:$N$5001,"&lt;"&amp;I3666)&gt;0,1,0),0))</f>
        <v/>
      </c>
      <c r="L3666" s="16" t="str">
        <f aca="false">IF(B3666="","",IF(N3666=_xlfn.MAXIFS($N$2:$N$5001,$B$2:$B$5001,B3666,$I$2:$I$5001,I3666),1,0))</f>
        <v/>
      </c>
      <c r="M3666" s="16" t="str">
        <f aca="false">IF(B3666="","",IF(E3666="Em ajustes",IF(N3666=_xlfn.MINIFS($N$2:$N$5001,$B$2:$B$5001,B3666,$E$2:$E$5001,"Em ajustes"),1,0),0))</f>
        <v/>
      </c>
      <c r="N3666" s="17" t="str">
        <f aca="false">IF(A3666="","",IF(ISNUMBER(A3666),A3666,IFERROR(DATE(VALUE(MID(A3666,7,4)),VALUE(MID(A3666,4,2)),VALUE(MID(A3666,1,2)))+TIME(VALUE(MID(A3666,12,2)),VALUE(MID(A3666,15,2)),VALUE(MID(A3666,18,2))),"")))</f>
        <v/>
      </c>
    </row>
    <row r="3667" customFormat="false" ht="15" hidden="false" customHeight="false" outlineLevel="0" collapsed="false">
      <c r="I3667" s="15" t="str">
        <f aca="false">IF(N3667="","",INT(N3667))</f>
        <v/>
      </c>
      <c r="J3667" s="16" t="str">
        <f aca="false">IF(B3667="","",IF(N3667=_xlfn.MINIFS($N$2:$N$5001,$B$2:$B$5001,B3667),1,0))</f>
        <v/>
      </c>
      <c r="K3667" s="16" t="str">
        <f aca="false">IF(B3667="","",IF(AND(D3667="Formalização",E3667="Concluído"),IF(COUNTIFS($B$2:$B$5001,B3667,$E$2:$E$5001,"Em ajustes",$N$2:$N$5001,"&lt;"&amp;I3667)&gt;0,1,0),0))</f>
        <v/>
      </c>
      <c r="L3667" s="16" t="str">
        <f aca="false">IF(B3667="","",IF(N3667=_xlfn.MAXIFS($N$2:$N$5001,$B$2:$B$5001,B3667,$I$2:$I$5001,I3667),1,0))</f>
        <v/>
      </c>
      <c r="M3667" s="16" t="str">
        <f aca="false">IF(B3667="","",IF(E3667="Em ajustes",IF(N3667=_xlfn.MINIFS($N$2:$N$5001,$B$2:$B$5001,B3667,$E$2:$E$5001,"Em ajustes"),1,0),0))</f>
        <v/>
      </c>
      <c r="N3667" s="17" t="str">
        <f aca="false">IF(A3667="","",IF(ISNUMBER(A3667),A3667,IFERROR(DATE(VALUE(MID(A3667,7,4)),VALUE(MID(A3667,4,2)),VALUE(MID(A3667,1,2)))+TIME(VALUE(MID(A3667,12,2)),VALUE(MID(A3667,15,2)),VALUE(MID(A3667,18,2))),"")))</f>
        <v/>
      </c>
    </row>
    <row r="3668" customFormat="false" ht="15" hidden="false" customHeight="false" outlineLevel="0" collapsed="false">
      <c r="I3668" s="15" t="str">
        <f aca="false">IF(N3668="","",INT(N3668))</f>
        <v/>
      </c>
      <c r="J3668" s="16" t="str">
        <f aca="false">IF(B3668="","",IF(N3668=_xlfn.MINIFS($N$2:$N$5001,$B$2:$B$5001,B3668),1,0))</f>
        <v/>
      </c>
      <c r="K3668" s="16" t="str">
        <f aca="false">IF(B3668="","",IF(AND(D3668="Formalização",E3668="Concluído"),IF(COUNTIFS($B$2:$B$5001,B3668,$E$2:$E$5001,"Em ajustes",$N$2:$N$5001,"&lt;"&amp;I3668)&gt;0,1,0),0))</f>
        <v/>
      </c>
      <c r="L3668" s="16" t="str">
        <f aca="false">IF(B3668="","",IF(N3668=_xlfn.MAXIFS($N$2:$N$5001,$B$2:$B$5001,B3668,$I$2:$I$5001,I3668),1,0))</f>
        <v/>
      </c>
      <c r="M3668" s="16" t="str">
        <f aca="false">IF(B3668="","",IF(E3668="Em ajustes",IF(N3668=_xlfn.MINIFS($N$2:$N$5001,$B$2:$B$5001,B3668,$E$2:$E$5001,"Em ajustes"),1,0),0))</f>
        <v/>
      </c>
      <c r="N3668" s="17" t="str">
        <f aca="false">IF(A3668="","",IF(ISNUMBER(A3668),A3668,IFERROR(DATE(VALUE(MID(A3668,7,4)),VALUE(MID(A3668,4,2)),VALUE(MID(A3668,1,2)))+TIME(VALUE(MID(A3668,12,2)),VALUE(MID(A3668,15,2)),VALUE(MID(A3668,18,2))),"")))</f>
        <v/>
      </c>
    </row>
    <row r="3669" customFormat="false" ht="15" hidden="false" customHeight="false" outlineLevel="0" collapsed="false">
      <c r="I3669" s="15" t="str">
        <f aca="false">IF(N3669="","",INT(N3669))</f>
        <v/>
      </c>
      <c r="J3669" s="16" t="str">
        <f aca="false">IF(B3669="","",IF(N3669=_xlfn.MINIFS($N$2:$N$5001,$B$2:$B$5001,B3669),1,0))</f>
        <v/>
      </c>
      <c r="K3669" s="16" t="str">
        <f aca="false">IF(B3669="","",IF(AND(D3669="Formalização",E3669="Concluído"),IF(COUNTIFS($B$2:$B$5001,B3669,$E$2:$E$5001,"Em ajustes",$N$2:$N$5001,"&lt;"&amp;I3669)&gt;0,1,0),0))</f>
        <v/>
      </c>
      <c r="L3669" s="16" t="str">
        <f aca="false">IF(B3669="","",IF(N3669=_xlfn.MAXIFS($N$2:$N$5001,$B$2:$B$5001,B3669,$I$2:$I$5001,I3669),1,0))</f>
        <v/>
      </c>
      <c r="M3669" s="16" t="str">
        <f aca="false">IF(B3669="","",IF(E3669="Em ajustes",IF(N3669=_xlfn.MINIFS($N$2:$N$5001,$B$2:$B$5001,B3669,$E$2:$E$5001,"Em ajustes"),1,0),0))</f>
        <v/>
      </c>
      <c r="N3669" s="17" t="str">
        <f aca="false">IF(A3669="","",IF(ISNUMBER(A3669),A3669,IFERROR(DATE(VALUE(MID(A3669,7,4)),VALUE(MID(A3669,4,2)),VALUE(MID(A3669,1,2)))+TIME(VALUE(MID(A3669,12,2)),VALUE(MID(A3669,15,2)),VALUE(MID(A3669,18,2))),"")))</f>
        <v/>
      </c>
    </row>
    <row r="3670" customFormat="false" ht="15" hidden="false" customHeight="false" outlineLevel="0" collapsed="false">
      <c r="I3670" s="15" t="str">
        <f aca="false">IF(N3670="","",INT(N3670))</f>
        <v/>
      </c>
      <c r="J3670" s="16" t="str">
        <f aca="false">IF(B3670="","",IF(N3670=_xlfn.MINIFS($N$2:$N$5001,$B$2:$B$5001,B3670),1,0))</f>
        <v/>
      </c>
      <c r="K3670" s="16" t="str">
        <f aca="false">IF(B3670="","",IF(AND(D3670="Formalização",E3670="Concluído"),IF(COUNTIFS($B$2:$B$5001,B3670,$E$2:$E$5001,"Em ajustes",$N$2:$N$5001,"&lt;"&amp;I3670)&gt;0,1,0),0))</f>
        <v/>
      </c>
      <c r="L3670" s="16" t="str">
        <f aca="false">IF(B3670="","",IF(N3670=_xlfn.MAXIFS($N$2:$N$5001,$B$2:$B$5001,B3670,$I$2:$I$5001,I3670),1,0))</f>
        <v/>
      </c>
      <c r="M3670" s="16" t="str">
        <f aca="false">IF(B3670="","",IF(E3670="Em ajustes",IF(N3670=_xlfn.MINIFS($N$2:$N$5001,$B$2:$B$5001,B3670,$E$2:$E$5001,"Em ajustes"),1,0),0))</f>
        <v/>
      </c>
      <c r="N3670" s="17" t="str">
        <f aca="false">IF(A3670="","",IF(ISNUMBER(A3670),A3670,IFERROR(DATE(VALUE(MID(A3670,7,4)),VALUE(MID(A3670,4,2)),VALUE(MID(A3670,1,2)))+TIME(VALUE(MID(A3670,12,2)),VALUE(MID(A3670,15,2)),VALUE(MID(A3670,18,2))),"")))</f>
        <v/>
      </c>
    </row>
    <row r="3671" customFormat="false" ht="15" hidden="false" customHeight="false" outlineLevel="0" collapsed="false">
      <c r="I3671" s="15" t="str">
        <f aca="false">IF(N3671="","",INT(N3671))</f>
        <v/>
      </c>
      <c r="J3671" s="16" t="str">
        <f aca="false">IF(B3671="","",IF(N3671=_xlfn.MINIFS($N$2:$N$5001,$B$2:$B$5001,B3671),1,0))</f>
        <v/>
      </c>
      <c r="K3671" s="16" t="str">
        <f aca="false">IF(B3671="","",IF(AND(D3671="Formalização",E3671="Concluído"),IF(COUNTIFS($B$2:$B$5001,B3671,$E$2:$E$5001,"Em ajustes",$N$2:$N$5001,"&lt;"&amp;I3671)&gt;0,1,0),0))</f>
        <v/>
      </c>
      <c r="L3671" s="16" t="str">
        <f aca="false">IF(B3671="","",IF(N3671=_xlfn.MAXIFS($N$2:$N$5001,$B$2:$B$5001,B3671,$I$2:$I$5001,I3671),1,0))</f>
        <v/>
      </c>
      <c r="M3671" s="16" t="str">
        <f aca="false">IF(B3671="","",IF(E3671="Em ajustes",IF(N3671=_xlfn.MINIFS($N$2:$N$5001,$B$2:$B$5001,B3671,$E$2:$E$5001,"Em ajustes"),1,0),0))</f>
        <v/>
      </c>
      <c r="N3671" s="17" t="str">
        <f aca="false">IF(A3671="","",IF(ISNUMBER(A3671),A3671,IFERROR(DATE(VALUE(MID(A3671,7,4)),VALUE(MID(A3671,4,2)),VALUE(MID(A3671,1,2)))+TIME(VALUE(MID(A3671,12,2)),VALUE(MID(A3671,15,2)),VALUE(MID(A3671,18,2))),"")))</f>
        <v/>
      </c>
    </row>
    <row r="3672" customFormat="false" ht="15" hidden="false" customHeight="false" outlineLevel="0" collapsed="false">
      <c r="I3672" s="15" t="str">
        <f aca="false">IF(N3672="","",INT(N3672))</f>
        <v/>
      </c>
      <c r="J3672" s="16" t="str">
        <f aca="false">IF(B3672="","",IF(N3672=_xlfn.MINIFS($N$2:$N$5001,$B$2:$B$5001,B3672),1,0))</f>
        <v/>
      </c>
      <c r="K3672" s="16" t="str">
        <f aca="false">IF(B3672="","",IF(AND(D3672="Formalização",E3672="Concluído"),IF(COUNTIFS($B$2:$B$5001,B3672,$E$2:$E$5001,"Em ajustes",$N$2:$N$5001,"&lt;"&amp;I3672)&gt;0,1,0),0))</f>
        <v/>
      </c>
      <c r="L3672" s="16" t="str">
        <f aca="false">IF(B3672="","",IF(N3672=_xlfn.MAXIFS($N$2:$N$5001,$B$2:$B$5001,B3672,$I$2:$I$5001,I3672),1,0))</f>
        <v/>
      </c>
      <c r="M3672" s="16" t="str">
        <f aca="false">IF(B3672="","",IF(E3672="Em ajustes",IF(N3672=_xlfn.MINIFS($N$2:$N$5001,$B$2:$B$5001,B3672,$E$2:$E$5001,"Em ajustes"),1,0),0))</f>
        <v/>
      </c>
      <c r="N3672" s="17" t="str">
        <f aca="false">IF(A3672="","",IF(ISNUMBER(A3672),A3672,IFERROR(DATE(VALUE(MID(A3672,7,4)),VALUE(MID(A3672,4,2)),VALUE(MID(A3672,1,2)))+TIME(VALUE(MID(A3672,12,2)),VALUE(MID(A3672,15,2)),VALUE(MID(A3672,18,2))),"")))</f>
        <v/>
      </c>
    </row>
    <row r="3673" customFormat="false" ht="15" hidden="false" customHeight="false" outlineLevel="0" collapsed="false">
      <c r="I3673" s="15" t="str">
        <f aca="false">IF(N3673="","",INT(N3673))</f>
        <v/>
      </c>
      <c r="J3673" s="16" t="str">
        <f aca="false">IF(B3673="","",IF(N3673=_xlfn.MINIFS($N$2:$N$5001,$B$2:$B$5001,B3673),1,0))</f>
        <v/>
      </c>
      <c r="K3673" s="16" t="str">
        <f aca="false">IF(B3673="","",IF(AND(D3673="Formalização",E3673="Concluído"),IF(COUNTIFS($B$2:$B$5001,B3673,$E$2:$E$5001,"Em ajustes",$N$2:$N$5001,"&lt;"&amp;I3673)&gt;0,1,0),0))</f>
        <v/>
      </c>
      <c r="L3673" s="16" t="str">
        <f aca="false">IF(B3673="","",IF(N3673=_xlfn.MAXIFS($N$2:$N$5001,$B$2:$B$5001,B3673,$I$2:$I$5001,I3673),1,0))</f>
        <v/>
      </c>
      <c r="M3673" s="16" t="str">
        <f aca="false">IF(B3673="","",IF(E3673="Em ajustes",IF(N3673=_xlfn.MINIFS($N$2:$N$5001,$B$2:$B$5001,B3673,$E$2:$E$5001,"Em ajustes"),1,0),0))</f>
        <v/>
      </c>
      <c r="N3673" s="17" t="str">
        <f aca="false">IF(A3673="","",IF(ISNUMBER(A3673),A3673,IFERROR(DATE(VALUE(MID(A3673,7,4)),VALUE(MID(A3673,4,2)),VALUE(MID(A3673,1,2)))+TIME(VALUE(MID(A3673,12,2)),VALUE(MID(A3673,15,2)),VALUE(MID(A3673,18,2))),"")))</f>
        <v/>
      </c>
    </row>
    <row r="3674" customFormat="false" ht="15" hidden="false" customHeight="false" outlineLevel="0" collapsed="false">
      <c r="I3674" s="15" t="str">
        <f aca="false">IF(N3674="","",INT(N3674))</f>
        <v/>
      </c>
      <c r="J3674" s="16" t="str">
        <f aca="false">IF(B3674="","",IF(N3674=_xlfn.MINIFS($N$2:$N$5001,$B$2:$B$5001,B3674),1,0))</f>
        <v/>
      </c>
      <c r="K3674" s="16" t="str">
        <f aca="false">IF(B3674="","",IF(AND(D3674="Formalização",E3674="Concluído"),IF(COUNTIFS($B$2:$B$5001,B3674,$E$2:$E$5001,"Em ajustes",$N$2:$N$5001,"&lt;"&amp;I3674)&gt;0,1,0),0))</f>
        <v/>
      </c>
      <c r="L3674" s="16" t="str">
        <f aca="false">IF(B3674="","",IF(N3674=_xlfn.MAXIFS($N$2:$N$5001,$B$2:$B$5001,B3674,$I$2:$I$5001,I3674),1,0))</f>
        <v/>
      </c>
      <c r="M3674" s="16" t="str">
        <f aca="false">IF(B3674="","",IF(E3674="Em ajustes",IF(N3674=_xlfn.MINIFS($N$2:$N$5001,$B$2:$B$5001,B3674,$E$2:$E$5001,"Em ajustes"),1,0),0))</f>
        <v/>
      </c>
      <c r="N3674" s="17" t="str">
        <f aca="false">IF(A3674="","",IF(ISNUMBER(A3674),A3674,IFERROR(DATE(VALUE(MID(A3674,7,4)),VALUE(MID(A3674,4,2)),VALUE(MID(A3674,1,2)))+TIME(VALUE(MID(A3674,12,2)),VALUE(MID(A3674,15,2)),VALUE(MID(A3674,18,2))),"")))</f>
        <v/>
      </c>
    </row>
    <row r="3675" customFormat="false" ht="15" hidden="false" customHeight="false" outlineLevel="0" collapsed="false">
      <c r="I3675" s="15" t="str">
        <f aca="false">IF(N3675="","",INT(N3675))</f>
        <v/>
      </c>
      <c r="J3675" s="16" t="str">
        <f aca="false">IF(B3675="","",IF(N3675=_xlfn.MINIFS($N$2:$N$5001,$B$2:$B$5001,B3675),1,0))</f>
        <v/>
      </c>
      <c r="K3675" s="16" t="str">
        <f aca="false">IF(B3675="","",IF(AND(D3675="Formalização",E3675="Concluído"),IF(COUNTIFS($B$2:$B$5001,B3675,$E$2:$E$5001,"Em ajustes",$N$2:$N$5001,"&lt;"&amp;I3675)&gt;0,1,0),0))</f>
        <v/>
      </c>
      <c r="L3675" s="16" t="str">
        <f aca="false">IF(B3675="","",IF(N3675=_xlfn.MAXIFS($N$2:$N$5001,$B$2:$B$5001,B3675,$I$2:$I$5001,I3675),1,0))</f>
        <v/>
      </c>
      <c r="M3675" s="16" t="str">
        <f aca="false">IF(B3675="","",IF(E3675="Em ajustes",IF(N3675=_xlfn.MINIFS($N$2:$N$5001,$B$2:$B$5001,B3675,$E$2:$E$5001,"Em ajustes"),1,0),0))</f>
        <v/>
      </c>
      <c r="N3675" s="17" t="str">
        <f aca="false">IF(A3675="","",IF(ISNUMBER(A3675),A3675,IFERROR(DATE(VALUE(MID(A3675,7,4)),VALUE(MID(A3675,4,2)),VALUE(MID(A3675,1,2)))+TIME(VALUE(MID(A3675,12,2)),VALUE(MID(A3675,15,2)),VALUE(MID(A3675,18,2))),"")))</f>
        <v/>
      </c>
    </row>
    <row r="3676" customFormat="false" ht="15" hidden="false" customHeight="false" outlineLevel="0" collapsed="false">
      <c r="I3676" s="15" t="str">
        <f aca="false">IF(N3676="","",INT(N3676))</f>
        <v/>
      </c>
      <c r="J3676" s="16" t="str">
        <f aca="false">IF(B3676="","",IF(N3676=_xlfn.MINIFS($N$2:$N$5001,$B$2:$B$5001,B3676),1,0))</f>
        <v/>
      </c>
      <c r="K3676" s="16" t="str">
        <f aca="false">IF(B3676="","",IF(AND(D3676="Formalização",E3676="Concluído"),IF(COUNTIFS($B$2:$B$5001,B3676,$E$2:$E$5001,"Em ajustes",$N$2:$N$5001,"&lt;"&amp;I3676)&gt;0,1,0),0))</f>
        <v/>
      </c>
      <c r="L3676" s="16" t="str">
        <f aca="false">IF(B3676="","",IF(N3676=_xlfn.MAXIFS($N$2:$N$5001,$B$2:$B$5001,B3676,$I$2:$I$5001,I3676),1,0))</f>
        <v/>
      </c>
      <c r="M3676" s="16" t="str">
        <f aca="false">IF(B3676="","",IF(E3676="Em ajustes",IF(N3676=_xlfn.MINIFS($N$2:$N$5001,$B$2:$B$5001,B3676,$E$2:$E$5001,"Em ajustes"),1,0),0))</f>
        <v/>
      </c>
      <c r="N3676" s="17" t="str">
        <f aca="false">IF(A3676="","",IF(ISNUMBER(A3676),A3676,IFERROR(DATE(VALUE(MID(A3676,7,4)),VALUE(MID(A3676,4,2)),VALUE(MID(A3676,1,2)))+TIME(VALUE(MID(A3676,12,2)),VALUE(MID(A3676,15,2)),VALUE(MID(A3676,18,2))),"")))</f>
        <v/>
      </c>
    </row>
    <row r="3677" customFormat="false" ht="15" hidden="false" customHeight="false" outlineLevel="0" collapsed="false">
      <c r="I3677" s="15" t="str">
        <f aca="false">IF(N3677="","",INT(N3677))</f>
        <v/>
      </c>
      <c r="J3677" s="16" t="str">
        <f aca="false">IF(B3677="","",IF(N3677=_xlfn.MINIFS($N$2:$N$5001,$B$2:$B$5001,B3677),1,0))</f>
        <v/>
      </c>
      <c r="K3677" s="16" t="str">
        <f aca="false">IF(B3677="","",IF(AND(D3677="Formalização",E3677="Concluído"),IF(COUNTIFS($B$2:$B$5001,B3677,$E$2:$E$5001,"Em ajustes",$N$2:$N$5001,"&lt;"&amp;I3677)&gt;0,1,0),0))</f>
        <v/>
      </c>
      <c r="L3677" s="16" t="str">
        <f aca="false">IF(B3677="","",IF(N3677=_xlfn.MAXIFS($N$2:$N$5001,$B$2:$B$5001,B3677,$I$2:$I$5001,I3677),1,0))</f>
        <v/>
      </c>
      <c r="M3677" s="16" t="str">
        <f aca="false">IF(B3677="","",IF(E3677="Em ajustes",IF(N3677=_xlfn.MINIFS($N$2:$N$5001,$B$2:$B$5001,B3677,$E$2:$E$5001,"Em ajustes"),1,0),0))</f>
        <v/>
      </c>
      <c r="N3677" s="17" t="str">
        <f aca="false">IF(A3677="","",IF(ISNUMBER(A3677),A3677,IFERROR(DATE(VALUE(MID(A3677,7,4)),VALUE(MID(A3677,4,2)),VALUE(MID(A3677,1,2)))+TIME(VALUE(MID(A3677,12,2)),VALUE(MID(A3677,15,2)),VALUE(MID(A3677,18,2))),"")))</f>
        <v/>
      </c>
    </row>
    <row r="3678" customFormat="false" ht="15" hidden="false" customHeight="false" outlineLevel="0" collapsed="false">
      <c r="I3678" s="15" t="str">
        <f aca="false">IF(N3678="","",INT(N3678))</f>
        <v/>
      </c>
      <c r="J3678" s="16" t="str">
        <f aca="false">IF(B3678="","",IF(N3678=_xlfn.MINIFS($N$2:$N$5001,$B$2:$B$5001,B3678),1,0))</f>
        <v/>
      </c>
      <c r="K3678" s="16" t="str">
        <f aca="false">IF(B3678="","",IF(AND(D3678="Formalização",E3678="Concluído"),IF(COUNTIFS($B$2:$B$5001,B3678,$E$2:$E$5001,"Em ajustes",$N$2:$N$5001,"&lt;"&amp;I3678)&gt;0,1,0),0))</f>
        <v/>
      </c>
      <c r="L3678" s="16" t="str">
        <f aca="false">IF(B3678="","",IF(N3678=_xlfn.MAXIFS($N$2:$N$5001,$B$2:$B$5001,B3678,$I$2:$I$5001,I3678),1,0))</f>
        <v/>
      </c>
      <c r="M3678" s="16" t="str">
        <f aca="false">IF(B3678="","",IF(E3678="Em ajustes",IF(N3678=_xlfn.MINIFS($N$2:$N$5001,$B$2:$B$5001,B3678,$E$2:$E$5001,"Em ajustes"),1,0),0))</f>
        <v/>
      </c>
      <c r="N3678" s="17" t="str">
        <f aca="false">IF(A3678="","",IF(ISNUMBER(A3678),A3678,IFERROR(DATE(VALUE(MID(A3678,7,4)),VALUE(MID(A3678,4,2)),VALUE(MID(A3678,1,2)))+TIME(VALUE(MID(A3678,12,2)),VALUE(MID(A3678,15,2)),VALUE(MID(A3678,18,2))),"")))</f>
        <v/>
      </c>
    </row>
    <row r="3679" customFormat="false" ht="15" hidden="false" customHeight="false" outlineLevel="0" collapsed="false">
      <c r="I3679" s="15" t="str">
        <f aca="false">IF(N3679="","",INT(N3679))</f>
        <v/>
      </c>
      <c r="J3679" s="16" t="str">
        <f aca="false">IF(B3679="","",IF(N3679=_xlfn.MINIFS($N$2:$N$5001,$B$2:$B$5001,B3679),1,0))</f>
        <v/>
      </c>
      <c r="K3679" s="16" t="str">
        <f aca="false">IF(B3679="","",IF(AND(D3679="Formalização",E3679="Concluído"),IF(COUNTIFS($B$2:$B$5001,B3679,$E$2:$E$5001,"Em ajustes",$N$2:$N$5001,"&lt;"&amp;I3679)&gt;0,1,0),0))</f>
        <v/>
      </c>
      <c r="L3679" s="16" t="str">
        <f aca="false">IF(B3679="","",IF(N3679=_xlfn.MAXIFS($N$2:$N$5001,$B$2:$B$5001,B3679,$I$2:$I$5001,I3679),1,0))</f>
        <v/>
      </c>
      <c r="M3679" s="16" t="str">
        <f aca="false">IF(B3679="","",IF(E3679="Em ajustes",IF(N3679=_xlfn.MINIFS($N$2:$N$5001,$B$2:$B$5001,B3679,$E$2:$E$5001,"Em ajustes"),1,0),0))</f>
        <v/>
      </c>
      <c r="N3679" s="17" t="str">
        <f aca="false">IF(A3679="","",IF(ISNUMBER(A3679),A3679,IFERROR(DATE(VALUE(MID(A3679,7,4)),VALUE(MID(A3679,4,2)),VALUE(MID(A3679,1,2)))+TIME(VALUE(MID(A3679,12,2)),VALUE(MID(A3679,15,2)),VALUE(MID(A3679,18,2))),"")))</f>
        <v/>
      </c>
    </row>
    <row r="3680" customFormat="false" ht="15" hidden="false" customHeight="false" outlineLevel="0" collapsed="false">
      <c r="I3680" s="15" t="str">
        <f aca="false">IF(N3680="","",INT(N3680))</f>
        <v/>
      </c>
      <c r="J3680" s="16" t="str">
        <f aca="false">IF(B3680="","",IF(N3680=_xlfn.MINIFS($N$2:$N$5001,$B$2:$B$5001,B3680),1,0))</f>
        <v/>
      </c>
      <c r="K3680" s="16" t="str">
        <f aca="false">IF(B3680="","",IF(AND(D3680="Formalização",E3680="Concluído"),IF(COUNTIFS($B$2:$B$5001,B3680,$E$2:$E$5001,"Em ajustes",$N$2:$N$5001,"&lt;"&amp;I3680)&gt;0,1,0),0))</f>
        <v/>
      </c>
      <c r="L3680" s="16" t="str">
        <f aca="false">IF(B3680="","",IF(N3680=_xlfn.MAXIFS($N$2:$N$5001,$B$2:$B$5001,B3680,$I$2:$I$5001,I3680),1,0))</f>
        <v/>
      </c>
      <c r="M3680" s="16" t="str">
        <f aca="false">IF(B3680="","",IF(E3680="Em ajustes",IF(N3680=_xlfn.MINIFS($N$2:$N$5001,$B$2:$B$5001,B3680,$E$2:$E$5001,"Em ajustes"),1,0),0))</f>
        <v/>
      </c>
      <c r="N3680" s="17" t="str">
        <f aca="false">IF(A3680="","",IF(ISNUMBER(A3680),A3680,IFERROR(DATE(VALUE(MID(A3680,7,4)),VALUE(MID(A3680,4,2)),VALUE(MID(A3680,1,2)))+TIME(VALUE(MID(A3680,12,2)),VALUE(MID(A3680,15,2)),VALUE(MID(A3680,18,2))),"")))</f>
        <v/>
      </c>
    </row>
    <row r="3681" customFormat="false" ht="15" hidden="false" customHeight="false" outlineLevel="0" collapsed="false">
      <c r="I3681" s="15" t="str">
        <f aca="false">IF(N3681="","",INT(N3681))</f>
        <v/>
      </c>
      <c r="J3681" s="16" t="str">
        <f aca="false">IF(B3681="","",IF(N3681=_xlfn.MINIFS($N$2:$N$5001,$B$2:$B$5001,B3681),1,0))</f>
        <v/>
      </c>
      <c r="K3681" s="16" t="str">
        <f aca="false">IF(B3681="","",IF(AND(D3681="Formalização",E3681="Concluído"),IF(COUNTIFS($B$2:$B$5001,B3681,$E$2:$E$5001,"Em ajustes",$N$2:$N$5001,"&lt;"&amp;I3681)&gt;0,1,0),0))</f>
        <v/>
      </c>
      <c r="L3681" s="16" t="str">
        <f aca="false">IF(B3681="","",IF(N3681=_xlfn.MAXIFS($N$2:$N$5001,$B$2:$B$5001,B3681,$I$2:$I$5001,I3681),1,0))</f>
        <v/>
      </c>
      <c r="M3681" s="16" t="str">
        <f aca="false">IF(B3681="","",IF(E3681="Em ajustes",IF(N3681=_xlfn.MINIFS($N$2:$N$5001,$B$2:$B$5001,B3681,$E$2:$E$5001,"Em ajustes"),1,0),0))</f>
        <v/>
      </c>
      <c r="N3681" s="17" t="str">
        <f aca="false">IF(A3681="","",IF(ISNUMBER(A3681),A3681,IFERROR(DATE(VALUE(MID(A3681,7,4)),VALUE(MID(A3681,4,2)),VALUE(MID(A3681,1,2)))+TIME(VALUE(MID(A3681,12,2)),VALUE(MID(A3681,15,2)),VALUE(MID(A3681,18,2))),"")))</f>
        <v/>
      </c>
    </row>
    <row r="3682" customFormat="false" ht="15" hidden="false" customHeight="false" outlineLevel="0" collapsed="false">
      <c r="I3682" s="15" t="str">
        <f aca="false">IF(N3682="","",INT(N3682))</f>
        <v/>
      </c>
      <c r="J3682" s="16" t="str">
        <f aca="false">IF(B3682="","",IF(N3682=_xlfn.MINIFS($N$2:$N$5001,$B$2:$B$5001,B3682),1,0))</f>
        <v/>
      </c>
      <c r="K3682" s="16" t="str">
        <f aca="false">IF(B3682="","",IF(AND(D3682="Formalização",E3682="Concluído"),IF(COUNTIFS($B$2:$B$5001,B3682,$E$2:$E$5001,"Em ajustes",$N$2:$N$5001,"&lt;"&amp;I3682)&gt;0,1,0),0))</f>
        <v/>
      </c>
      <c r="L3682" s="16" t="str">
        <f aca="false">IF(B3682="","",IF(N3682=_xlfn.MAXIFS($N$2:$N$5001,$B$2:$B$5001,B3682,$I$2:$I$5001,I3682),1,0))</f>
        <v/>
      </c>
      <c r="M3682" s="16" t="str">
        <f aca="false">IF(B3682="","",IF(E3682="Em ajustes",IF(N3682=_xlfn.MINIFS($N$2:$N$5001,$B$2:$B$5001,B3682,$E$2:$E$5001,"Em ajustes"),1,0),0))</f>
        <v/>
      </c>
      <c r="N3682" s="17" t="str">
        <f aca="false">IF(A3682="","",IF(ISNUMBER(A3682),A3682,IFERROR(DATE(VALUE(MID(A3682,7,4)),VALUE(MID(A3682,4,2)),VALUE(MID(A3682,1,2)))+TIME(VALUE(MID(A3682,12,2)),VALUE(MID(A3682,15,2)),VALUE(MID(A3682,18,2))),"")))</f>
        <v/>
      </c>
    </row>
    <row r="3683" customFormat="false" ht="15" hidden="false" customHeight="false" outlineLevel="0" collapsed="false">
      <c r="I3683" s="15" t="str">
        <f aca="false">IF(N3683="","",INT(N3683))</f>
        <v/>
      </c>
      <c r="J3683" s="16" t="str">
        <f aca="false">IF(B3683="","",IF(N3683=_xlfn.MINIFS($N$2:$N$5001,$B$2:$B$5001,B3683),1,0))</f>
        <v/>
      </c>
      <c r="K3683" s="16" t="str">
        <f aca="false">IF(B3683="","",IF(AND(D3683="Formalização",E3683="Concluído"),IF(COUNTIFS($B$2:$B$5001,B3683,$E$2:$E$5001,"Em ajustes",$N$2:$N$5001,"&lt;"&amp;I3683)&gt;0,1,0),0))</f>
        <v/>
      </c>
      <c r="L3683" s="16" t="str">
        <f aca="false">IF(B3683="","",IF(N3683=_xlfn.MAXIFS($N$2:$N$5001,$B$2:$B$5001,B3683,$I$2:$I$5001,I3683),1,0))</f>
        <v/>
      </c>
      <c r="M3683" s="16" t="str">
        <f aca="false">IF(B3683="","",IF(E3683="Em ajustes",IF(N3683=_xlfn.MINIFS($N$2:$N$5001,$B$2:$B$5001,B3683,$E$2:$E$5001,"Em ajustes"),1,0),0))</f>
        <v/>
      </c>
      <c r="N3683" s="17" t="str">
        <f aca="false">IF(A3683="","",IF(ISNUMBER(A3683),A3683,IFERROR(DATE(VALUE(MID(A3683,7,4)),VALUE(MID(A3683,4,2)),VALUE(MID(A3683,1,2)))+TIME(VALUE(MID(A3683,12,2)),VALUE(MID(A3683,15,2)),VALUE(MID(A3683,18,2))),"")))</f>
        <v/>
      </c>
    </row>
    <row r="3684" customFormat="false" ht="15" hidden="false" customHeight="false" outlineLevel="0" collapsed="false">
      <c r="I3684" s="15" t="str">
        <f aca="false">IF(N3684="","",INT(N3684))</f>
        <v/>
      </c>
      <c r="J3684" s="16" t="str">
        <f aca="false">IF(B3684="","",IF(N3684=_xlfn.MINIFS($N$2:$N$5001,$B$2:$B$5001,B3684),1,0))</f>
        <v/>
      </c>
      <c r="K3684" s="16" t="str">
        <f aca="false">IF(B3684="","",IF(AND(D3684="Formalização",E3684="Concluído"),IF(COUNTIFS($B$2:$B$5001,B3684,$E$2:$E$5001,"Em ajustes",$N$2:$N$5001,"&lt;"&amp;I3684)&gt;0,1,0),0))</f>
        <v/>
      </c>
      <c r="L3684" s="16" t="str">
        <f aca="false">IF(B3684="","",IF(N3684=_xlfn.MAXIFS($N$2:$N$5001,$B$2:$B$5001,B3684,$I$2:$I$5001,I3684),1,0))</f>
        <v/>
      </c>
      <c r="M3684" s="16" t="str">
        <f aca="false">IF(B3684="","",IF(E3684="Em ajustes",IF(N3684=_xlfn.MINIFS($N$2:$N$5001,$B$2:$B$5001,B3684,$E$2:$E$5001,"Em ajustes"),1,0),0))</f>
        <v/>
      </c>
      <c r="N3684" s="17" t="str">
        <f aca="false">IF(A3684="","",IF(ISNUMBER(A3684),A3684,IFERROR(DATE(VALUE(MID(A3684,7,4)),VALUE(MID(A3684,4,2)),VALUE(MID(A3684,1,2)))+TIME(VALUE(MID(A3684,12,2)),VALUE(MID(A3684,15,2)),VALUE(MID(A3684,18,2))),"")))</f>
        <v/>
      </c>
    </row>
    <row r="3685" customFormat="false" ht="15" hidden="false" customHeight="false" outlineLevel="0" collapsed="false">
      <c r="I3685" s="15" t="str">
        <f aca="false">IF(N3685="","",INT(N3685))</f>
        <v/>
      </c>
      <c r="J3685" s="16" t="str">
        <f aca="false">IF(B3685="","",IF(N3685=_xlfn.MINIFS($N$2:$N$5001,$B$2:$B$5001,B3685),1,0))</f>
        <v/>
      </c>
      <c r="K3685" s="16" t="str">
        <f aca="false">IF(B3685="","",IF(AND(D3685="Formalização",E3685="Concluído"),IF(COUNTIFS($B$2:$B$5001,B3685,$E$2:$E$5001,"Em ajustes",$N$2:$N$5001,"&lt;"&amp;I3685)&gt;0,1,0),0))</f>
        <v/>
      </c>
      <c r="L3685" s="16" t="str">
        <f aca="false">IF(B3685="","",IF(N3685=_xlfn.MAXIFS($N$2:$N$5001,$B$2:$B$5001,B3685,$I$2:$I$5001,I3685),1,0))</f>
        <v/>
      </c>
      <c r="M3685" s="16" t="str">
        <f aca="false">IF(B3685="","",IF(E3685="Em ajustes",IF(N3685=_xlfn.MINIFS($N$2:$N$5001,$B$2:$B$5001,B3685,$E$2:$E$5001,"Em ajustes"),1,0),0))</f>
        <v/>
      </c>
      <c r="N3685" s="17" t="str">
        <f aca="false">IF(A3685="","",IF(ISNUMBER(A3685),A3685,IFERROR(DATE(VALUE(MID(A3685,7,4)),VALUE(MID(A3685,4,2)),VALUE(MID(A3685,1,2)))+TIME(VALUE(MID(A3685,12,2)),VALUE(MID(A3685,15,2)),VALUE(MID(A3685,18,2))),"")))</f>
        <v/>
      </c>
    </row>
    <row r="3686" customFormat="false" ht="15" hidden="false" customHeight="false" outlineLevel="0" collapsed="false">
      <c r="I3686" s="15" t="str">
        <f aca="false">IF(N3686="","",INT(N3686))</f>
        <v/>
      </c>
      <c r="J3686" s="16" t="str">
        <f aca="false">IF(B3686="","",IF(N3686=_xlfn.MINIFS($N$2:$N$5001,$B$2:$B$5001,B3686),1,0))</f>
        <v/>
      </c>
      <c r="K3686" s="16" t="str">
        <f aca="false">IF(B3686="","",IF(AND(D3686="Formalização",E3686="Concluído"),IF(COUNTIFS($B$2:$B$5001,B3686,$E$2:$E$5001,"Em ajustes",$N$2:$N$5001,"&lt;"&amp;I3686)&gt;0,1,0),0))</f>
        <v/>
      </c>
      <c r="L3686" s="16" t="str">
        <f aca="false">IF(B3686="","",IF(N3686=_xlfn.MAXIFS($N$2:$N$5001,$B$2:$B$5001,B3686,$I$2:$I$5001,I3686),1,0))</f>
        <v/>
      </c>
      <c r="M3686" s="16" t="str">
        <f aca="false">IF(B3686="","",IF(E3686="Em ajustes",IF(N3686=_xlfn.MINIFS($N$2:$N$5001,$B$2:$B$5001,B3686,$E$2:$E$5001,"Em ajustes"),1,0),0))</f>
        <v/>
      </c>
      <c r="N3686" s="17" t="str">
        <f aca="false">IF(A3686="","",IF(ISNUMBER(A3686),A3686,IFERROR(DATE(VALUE(MID(A3686,7,4)),VALUE(MID(A3686,4,2)),VALUE(MID(A3686,1,2)))+TIME(VALUE(MID(A3686,12,2)),VALUE(MID(A3686,15,2)),VALUE(MID(A3686,18,2))),"")))</f>
        <v/>
      </c>
    </row>
    <row r="3687" customFormat="false" ht="15" hidden="false" customHeight="false" outlineLevel="0" collapsed="false">
      <c r="I3687" s="15" t="str">
        <f aca="false">IF(N3687="","",INT(N3687))</f>
        <v/>
      </c>
      <c r="J3687" s="16" t="str">
        <f aca="false">IF(B3687="","",IF(N3687=_xlfn.MINIFS($N$2:$N$5001,$B$2:$B$5001,B3687),1,0))</f>
        <v/>
      </c>
      <c r="K3687" s="16" t="str">
        <f aca="false">IF(B3687="","",IF(AND(D3687="Formalização",E3687="Concluído"),IF(COUNTIFS($B$2:$B$5001,B3687,$E$2:$E$5001,"Em ajustes",$N$2:$N$5001,"&lt;"&amp;I3687)&gt;0,1,0),0))</f>
        <v/>
      </c>
      <c r="L3687" s="16" t="str">
        <f aca="false">IF(B3687="","",IF(N3687=_xlfn.MAXIFS($N$2:$N$5001,$B$2:$B$5001,B3687,$I$2:$I$5001,I3687),1,0))</f>
        <v/>
      </c>
      <c r="M3687" s="16" t="str">
        <f aca="false">IF(B3687="","",IF(E3687="Em ajustes",IF(N3687=_xlfn.MINIFS($N$2:$N$5001,$B$2:$B$5001,B3687,$E$2:$E$5001,"Em ajustes"),1,0),0))</f>
        <v/>
      </c>
      <c r="N3687" s="17" t="str">
        <f aca="false">IF(A3687="","",IF(ISNUMBER(A3687),A3687,IFERROR(DATE(VALUE(MID(A3687,7,4)),VALUE(MID(A3687,4,2)),VALUE(MID(A3687,1,2)))+TIME(VALUE(MID(A3687,12,2)),VALUE(MID(A3687,15,2)),VALUE(MID(A3687,18,2))),"")))</f>
        <v/>
      </c>
    </row>
    <row r="3688" customFormat="false" ht="15" hidden="false" customHeight="false" outlineLevel="0" collapsed="false">
      <c r="I3688" s="15" t="str">
        <f aca="false">IF(N3688="","",INT(N3688))</f>
        <v/>
      </c>
      <c r="J3688" s="16" t="str">
        <f aca="false">IF(B3688="","",IF(N3688=_xlfn.MINIFS($N$2:$N$5001,$B$2:$B$5001,B3688),1,0))</f>
        <v/>
      </c>
      <c r="K3688" s="16" t="str">
        <f aca="false">IF(B3688="","",IF(AND(D3688="Formalização",E3688="Concluído"),IF(COUNTIFS($B$2:$B$5001,B3688,$E$2:$E$5001,"Em ajustes",$N$2:$N$5001,"&lt;"&amp;I3688)&gt;0,1,0),0))</f>
        <v/>
      </c>
      <c r="L3688" s="16" t="str">
        <f aca="false">IF(B3688="","",IF(N3688=_xlfn.MAXIFS($N$2:$N$5001,$B$2:$B$5001,B3688,$I$2:$I$5001,I3688),1,0))</f>
        <v/>
      </c>
      <c r="M3688" s="16" t="str">
        <f aca="false">IF(B3688="","",IF(E3688="Em ajustes",IF(N3688=_xlfn.MINIFS($N$2:$N$5001,$B$2:$B$5001,B3688,$E$2:$E$5001,"Em ajustes"),1,0),0))</f>
        <v/>
      </c>
      <c r="N3688" s="17" t="str">
        <f aca="false">IF(A3688="","",IF(ISNUMBER(A3688),A3688,IFERROR(DATE(VALUE(MID(A3688,7,4)),VALUE(MID(A3688,4,2)),VALUE(MID(A3688,1,2)))+TIME(VALUE(MID(A3688,12,2)),VALUE(MID(A3688,15,2)),VALUE(MID(A3688,18,2))),"")))</f>
        <v/>
      </c>
    </row>
    <row r="3689" customFormat="false" ht="15" hidden="false" customHeight="false" outlineLevel="0" collapsed="false">
      <c r="I3689" s="15" t="str">
        <f aca="false">IF(N3689="","",INT(N3689))</f>
        <v/>
      </c>
      <c r="J3689" s="16" t="str">
        <f aca="false">IF(B3689="","",IF(N3689=_xlfn.MINIFS($N$2:$N$5001,$B$2:$B$5001,B3689),1,0))</f>
        <v/>
      </c>
      <c r="K3689" s="16" t="str">
        <f aca="false">IF(B3689="","",IF(AND(D3689="Formalização",E3689="Concluído"),IF(COUNTIFS($B$2:$B$5001,B3689,$E$2:$E$5001,"Em ajustes",$N$2:$N$5001,"&lt;"&amp;I3689)&gt;0,1,0),0))</f>
        <v/>
      </c>
      <c r="L3689" s="16" t="str">
        <f aca="false">IF(B3689="","",IF(N3689=_xlfn.MAXIFS($N$2:$N$5001,$B$2:$B$5001,B3689,$I$2:$I$5001,I3689),1,0))</f>
        <v/>
      </c>
      <c r="M3689" s="16" t="str">
        <f aca="false">IF(B3689="","",IF(E3689="Em ajustes",IF(N3689=_xlfn.MINIFS($N$2:$N$5001,$B$2:$B$5001,B3689,$E$2:$E$5001,"Em ajustes"),1,0),0))</f>
        <v/>
      </c>
      <c r="N3689" s="17" t="str">
        <f aca="false">IF(A3689="","",IF(ISNUMBER(A3689),A3689,IFERROR(DATE(VALUE(MID(A3689,7,4)),VALUE(MID(A3689,4,2)),VALUE(MID(A3689,1,2)))+TIME(VALUE(MID(A3689,12,2)),VALUE(MID(A3689,15,2)),VALUE(MID(A3689,18,2))),"")))</f>
        <v/>
      </c>
    </row>
    <row r="3690" customFormat="false" ht="15" hidden="false" customHeight="false" outlineLevel="0" collapsed="false">
      <c r="I3690" s="15" t="str">
        <f aca="false">IF(N3690="","",INT(N3690))</f>
        <v/>
      </c>
      <c r="J3690" s="16" t="str">
        <f aca="false">IF(B3690="","",IF(N3690=_xlfn.MINIFS($N$2:$N$5001,$B$2:$B$5001,B3690),1,0))</f>
        <v/>
      </c>
      <c r="K3690" s="16" t="str">
        <f aca="false">IF(B3690="","",IF(AND(D3690="Formalização",E3690="Concluído"),IF(COUNTIFS($B$2:$B$5001,B3690,$E$2:$E$5001,"Em ajustes",$N$2:$N$5001,"&lt;"&amp;I3690)&gt;0,1,0),0))</f>
        <v/>
      </c>
      <c r="L3690" s="16" t="str">
        <f aca="false">IF(B3690="","",IF(N3690=_xlfn.MAXIFS($N$2:$N$5001,$B$2:$B$5001,B3690,$I$2:$I$5001,I3690),1,0))</f>
        <v/>
      </c>
      <c r="M3690" s="16" t="str">
        <f aca="false">IF(B3690="","",IF(E3690="Em ajustes",IF(N3690=_xlfn.MINIFS($N$2:$N$5001,$B$2:$B$5001,B3690,$E$2:$E$5001,"Em ajustes"),1,0),0))</f>
        <v/>
      </c>
      <c r="N3690" s="17" t="str">
        <f aca="false">IF(A3690="","",IF(ISNUMBER(A3690),A3690,IFERROR(DATE(VALUE(MID(A3690,7,4)),VALUE(MID(A3690,4,2)),VALUE(MID(A3690,1,2)))+TIME(VALUE(MID(A3690,12,2)),VALUE(MID(A3690,15,2)),VALUE(MID(A3690,18,2))),"")))</f>
        <v/>
      </c>
    </row>
    <row r="3691" customFormat="false" ht="15" hidden="false" customHeight="false" outlineLevel="0" collapsed="false">
      <c r="I3691" s="15" t="str">
        <f aca="false">IF(N3691="","",INT(N3691))</f>
        <v/>
      </c>
      <c r="J3691" s="16" t="str">
        <f aca="false">IF(B3691="","",IF(N3691=_xlfn.MINIFS($N$2:$N$5001,$B$2:$B$5001,B3691),1,0))</f>
        <v/>
      </c>
      <c r="K3691" s="16" t="str">
        <f aca="false">IF(B3691="","",IF(AND(D3691="Formalização",E3691="Concluído"),IF(COUNTIFS($B$2:$B$5001,B3691,$E$2:$E$5001,"Em ajustes",$N$2:$N$5001,"&lt;"&amp;I3691)&gt;0,1,0),0))</f>
        <v/>
      </c>
      <c r="L3691" s="16" t="str">
        <f aca="false">IF(B3691="","",IF(N3691=_xlfn.MAXIFS($N$2:$N$5001,$B$2:$B$5001,B3691,$I$2:$I$5001,I3691),1,0))</f>
        <v/>
      </c>
      <c r="M3691" s="16" t="str">
        <f aca="false">IF(B3691="","",IF(E3691="Em ajustes",IF(N3691=_xlfn.MINIFS($N$2:$N$5001,$B$2:$B$5001,B3691,$E$2:$E$5001,"Em ajustes"),1,0),0))</f>
        <v/>
      </c>
      <c r="N3691" s="17" t="str">
        <f aca="false">IF(A3691="","",IF(ISNUMBER(A3691),A3691,IFERROR(DATE(VALUE(MID(A3691,7,4)),VALUE(MID(A3691,4,2)),VALUE(MID(A3691,1,2)))+TIME(VALUE(MID(A3691,12,2)),VALUE(MID(A3691,15,2)),VALUE(MID(A3691,18,2))),"")))</f>
        <v/>
      </c>
    </row>
    <row r="3692" customFormat="false" ht="15" hidden="false" customHeight="false" outlineLevel="0" collapsed="false">
      <c r="I3692" s="15" t="str">
        <f aca="false">IF(N3692="","",INT(N3692))</f>
        <v/>
      </c>
      <c r="J3692" s="16" t="str">
        <f aca="false">IF(B3692="","",IF(N3692=_xlfn.MINIFS($N$2:$N$5001,$B$2:$B$5001,B3692),1,0))</f>
        <v/>
      </c>
      <c r="K3692" s="16" t="str">
        <f aca="false">IF(B3692="","",IF(AND(D3692="Formalização",E3692="Concluído"),IF(COUNTIFS($B$2:$B$5001,B3692,$E$2:$E$5001,"Em ajustes",$N$2:$N$5001,"&lt;"&amp;I3692)&gt;0,1,0),0))</f>
        <v/>
      </c>
      <c r="L3692" s="16" t="str">
        <f aca="false">IF(B3692="","",IF(N3692=_xlfn.MAXIFS($N$2:$N$5001,$B$2:$B$5001,B3692,$I$2:$I$5001,I3692),1,0))</f>
        <v/>
      </c>
      <c r="M3692" s="16" t="str">
        <f aca="false">IF(B3692="","",IF(E3692="Em ajustes",IF(N3692=_xlfn.MINIFS($N$2:$N$5001,$B$2:$B$5001,B3692,$E$2:$E$5001,"Em ajustes"),1,0),0))</f>
        <v/>
      </c>
      <c r="N3692" s="17" t="str">
        <f aca="false">IF(A3692="","",IF(ISNUMBER(A3692),A3692,IFERROR(DATE(VALUE(MID(A3692,7,4)),VALUE(MID(A3692,4,2)),VALUE(MID(A3692,1,2)))+TIME(VALUE(MID(A3692,12,2)),VALUE(MID(A3692,15,2)),VALUE(MID(A3692,18,2))),"")))</f>
        <v/>
      </c>
    </row>
    <row r="3693" customFormat="false" ht="15" hidden="false" customHeight="false" outlineLevel="0" collapsed="false">
      <c r="I3693" s="15" t="str">
        <f aca="false">IF(N3693="","",INT(N3693))</f>
        <v/>
      </c>
      <c r="J3693" s="16" t="str">
        <f aca="false">IF(B3693="","",IF(N3693=_xlfn.MINIFS($N$2:$N$5001,$B$2:$B$5001,B3693),1,0))</f>
        <v/>
      </c>
      <c r="K3693" s="16" t="str">
        <f aca="false">IF(B3693="","",IF(AND(D3693="Formalização",E3693="Concluído"),IF(COUNTIFS($B$2:$B$5001,B3693,$E$2:$E$5001,"Em ajustes",$N$2:$N$5001,"&lt;"&amp;I3693)&gt;0,1,0),0))</f>
        <v/>
      </c>
      <c r="L3693" s="16" t="str">
        <f aca="false">IF(B3693="","",IF(N3693=_xlfn.MAXIFS($N$2:$N$5001,$B$2:$B$5001,B3693,$I$2:$I$5001,I3693),1,0))</f>
        <v/>
      </c>
      <c r="M3693" s="16" t="str">
        <f aca="false">IF(B3693="","",IF(E3693="Em ajustes",IF(N3693=_xlfn.MINIFS($N$2:$N$5001,$B$2:$B$5001,B3693,$E$2:$E$5001,"Em ajustes"),1,0),0))</f>
        <v/>
      </c>
      <c r="N3693" s="17" t="str">
        <f aca="false">IF(A3693="","",IF(ISNUMBER(A3693),A3693,IFERROR(DATE(VALUE(MID(A3693,7,4)),VALUE(MID(A3693,4,2)),VALUE(MID(A3693,1,2)))+TIME(VALUE(MID(A3693,12,2)),VALUE(MID(A3693,15,2)),VALUE(MID(A3693,18,2))),"")))</f>
        <v/>
      </c>
    </row>
    <row r="3694" customFormat="false" ht="15" hidden="false" customHeight="false" outlineLevel="0" collapsed="false">
      <c r="I3694" s="15" t="str">
        <f aca="false">IF(N3694="","",INT(N3694))</f>
        <v/>
      </c>
      <c r="J3694" s="16" t="str">
        <f aca="false">IF(B3694="","",IF(N3694=_xlfn.MINIFS($N$2:$N$5001,$B$2:$B$5001,B3694),1,0))</f>
        <v/>
      </c>
      <c r="K3694" s="16" t="str">
        <f aca="false">IF(B3694="","",IF(AND(D3694="Formalização",E3694="Concluído"),IF(COUNTIFS($B$2:$B$5001,B3694,$E$2:$E$5001,"Em ajustes",$N$2:$N$5001,"&lt;"&amp;I3694)&gt;0,1,0),0))</f>
        <v/>
      </c>
      <c r="L3694" s="16" t="str">
        <f aca="false">IF(B3694="","",IF(N3694=_xlfn.MAXIFS($N$2:$N$5001,$B$2:$B$5001,B3694,$I$2:$I$5001,I3694),1,0))</f>
        <v/>
      </c>
      <c r="M3694" s="16" t="str">
        <f aca="false">IF(B3694="","",IF(E3694="Em ajustes",IF(N3694=_xlfn.MINIFS($N$2:$N$5001,$B$2:$B$5001,B3694,$E$2:$E$5001,"Em ajustes"),1,0),0))</f>
        <v/>
      </c>
      <c r="N3694" s="17" t="str">
        <f aca="false">IF(A3694="","",IF(ISNUMBER(A3694),A3694,IFERROR(DATE(VALUE(MID(A3694,7,4)),VALUE(MID(A3694,4,2)),VALUE(MID(A3694,1,2)))+TIME(VALUE(MID(A3694,12,2)),VALUE(MID(A3694,15,2)),VALUE(MID(A3694,18,2))),"")))</f>
        <v/>
      </c>
    </row>
    <row r="3695" customFormat="false" ht="15" hidden="false" customHeight="false" outlineLevel="0" collapsed="false">
      <c r="I3695" s="15" t="str">
        <f aca="false">IF(N3695="","",INT(N3695))</f>
        <v/>
      </c>
      <c r="J3695" s="16" t="str">
        <f aca="false">IF(B3695="","",IF(N3695=_xlfn.MINIFS($N$2:$N$5001,$B$2:$B$5001,B3695),1,0))</f>
        <v/>
      </c>
      <c r="K3695" s="16" t="str">
        <f aca="false">IF(B3695="","",IF(AND(D3695="Formalização",E3695="Concluído"),IF(COUNTIFS($B$2:$B$5001,B3695,$E$2:$E$5001,"Em ajustes",$N$2:$N$5001,"&lt;"&amp;I3695)&gt;0,1,0),0))</f>
        <v/>
      </c>
      <c r="L3695" s="16" t="str">
        <f aca="false">IF(B3695="","",IF(N3695=_xlfn.MAXIFS($N$2:$N$5001,$B$2:$B$5001,B3695,$I$2:$I$5001,I3695),1,0))</f>
        <v/>
      </c>
      <c r="M3695" s="16" t="str">
        <f aca="false">IF(B3695="","",IF(E3695="Em ajustes",IF(N3695=_xlfn.MINIFS($N$2:$N$5001,$B$2:$B$5001,B3695,$E$2:$E$5001,"Em ajustes"),1,0),0))</f>
        <v/>
      </c>
      <c r="N3695" s="17" t="str">
        <f aca="false">IF(A3695="","",IF(ISNUMBER(A3695),A3695,IFERROR(DATE(VALUE(MID(A3695,7,4)),VALUE(MID(A3695,4,2)),VALUE(MID(A3695,1,2)))+TIME(VALUE(MID(A3695,12,2)),VALUE(MID(A3695,15,2)),VALUE(MID(A3695,18,2))),"")))</f>
        <v/>
      </c>
    </row>
    <row r="3696" customFormat="false" ht="15" hidden="false" customHeight="false" outlineLevel="0" collapsed="false">
      <c r="I3696" s="15" t="str">
        <f aca="false">IF(N3696="","",INT(N3696))</f>
        <v/>
      </c>
      <c r="J3696" s="16" t="str">
        <f aca="false">IF(B3696="","",IF(N3696=_xlfn.MINIFS($N$2:$N$5001,$B$2:$B$5001,B3696),1,0))</f>
        <v/>
      </c>
      <c r="K3696" s="16" t="str">
        <f aca="false">IF(B3696="","",IF(AND(D3696="Formalização",E3696="Concluído"),IF(COUNTIFS($B$2:$B$5001,B3696,$E$2:$E$5001,"Em ajustes",$N$2:$N$5001,"&lt;"&amp;I3696)&gt;0,1,0),0))</f>
        <v/>
      </c>
      <c r="L3696" s="16" t="str">
        <f aca="false">IF(B3696="","",IF(N3696=_xlfn.MAXIFS($N$2:$N$5001,$B$2:$B$5001,B3696,$I$2:$I$5001,I3696),1,0))</f>
        <v/>
      </c>
      <c r="M3696" s="16" t="str">
        <f aca="false">IF(B3696="","",IF(E3696="Em ajustes",IF(N3696=_xlfn.MINIFS($N$2:$N$5001,$B$2:$B$5001,B3696,$E$2:$E$5001,"Em ajustes"),1,0),0))</f>
        <v/>
      </c>
      <c r="N3696" s="17" t="str">
        <f aca="false">IF(A3696="","",IF(ISNUMBER(A3696),A3696,IFERROR(DATE(VALUE(MID(A3696,7,4)),VALUE(MID(A3696,4,2)),VALUE(MID(A3696,1,2)))+TIME(VALUE(MID(A3696,12,2)),VALUE(MID(A3696,15,2)),VALUE(MID(A3696,18,2))),"")))</f>
        <v/>
      </c>
    </row>
    <row r="3697" customFormat="false" ht="15" hidden="false" customHeight="false" outlineLevel="0" collapsed="false">
      <c r="I3697" s="15" t="str">
        <f aca="false">IF(N3697="","",INT(N3697))</f>
        <v/>
      </c>
      <c r="J3697" s="16" t="str">
        <f aca="false">IF(B3697="","",IF(N3697=_xlfn.MINIFS($N$2:$N$5001,$B$2:$B$5001,B3697),1,0))</f>
        <v/>
      </c>
      <c r="K3697" s="16" t="str">
        <f aca="false">IF(B3697="","",IF(AND(D3697="Formalização",E3697="Concluído"),IF(COUNTIFS($B$2:$B$5001,B3697,$E$2:$E$5001,"Em ajustes",$N$2:$N$5001,"&lt;"&amp;I3697)&gt;0,1,0),0))</f>
        <v/>
      </c>
      <c r="L3697" s="16" t="str">
        <f aca="false">IF(B3697="","",IF(N3697=_xlfn.MAXIFS($N$2:$N$5001,$B$2:$B$5001,B3697,$I$2:$I$5001,I3697),1,0))</f>
        <v/>
      </c>
      <c r="M3697" s="16" t="str">
        <f aca="false">IF(B3697="","",IF(E3697="Em ajustes",IF(N3697=_xlfn.MINIFS($N$2:$N$5001,$B$2:$B$5001,B3697,$E$2:$E$5001,"Em ajustes"),1,0),0))</f>
        <v/>
      </c>
      <c r="N3697" s="17" t="str">
        <f aca="false">IF(A3697="","",IF(ISNUMBER(A3697),A3697,IFERROR(DATE(VALUE(MID(A3697,7,4)),VALUE(MID(A3697,4,2)),VALUE(MID(A3697,1,2)))+TIME(VALUE(MID(A3697,12,2)),VALUE(MID(A3697,15,2)),VALUE(MID(A3697,18,2))),"")))</f>
        <v/>
      </c>
    </row>
    <row r="3698" customFormat="false" ht="15" hidden="false" customHeight="false" outlineLevel="0" collapsed="false">
      <c r="I3698" s="15" t="str">
        <f aca="false">IF(N3698="","",INT(N3698))</f>
        <v/>
      </c>
      <c r="J3698" s="16" t="str">
        <f aca="false">IF(B3698="","",IF(N3698=_xlfn.MINIFS($N$2:$N$5001,$B$2:$B$5001,B3698),1,0))</f>
        <v/>
      </c>
      <c r="K3698" s="16" t="str">
        <f aca="false">IF(B3698="","",IF(AND(D3698="Formalização",E3698="Concluído"),IF(COUNTIFS($B$2:$B$5001,B3698,$E$2:$E$5001,"Em ajustes",$N$2:$N$5001,"&lt;"&amp;I3698)&gt;0,1,0),0))</f>
        <v/>
      </c>
      <c r="L3698" s="16" t="str">
        <f aca="false">IF(B3698="","",IF(N3698=_xlfn.MAXIFS($N$2:$N$5001,$B$2:$B$5001,B3698,$I$2:$I$5001,I3698),1,0))</f>
        <v/>
      </c>
      <c r="M3698" s="16" t="str">
        <f aca="false">IF(B3698="","",IF(E3698="Em ajustes",IF(N3698=_xlfn.MINIFS($N$2:$N$5001,$B$2:$B$5001,B3698,$E$2:$E$5001,"Em ajustes"),1,0),0))</f>
        <v/>
      </c>
      <c r="N3698" s="17" t="str">
        <f aca="false">IF(A3698="","",IF(ISNUMBER(A3698),A3698,IFERROR(DATE(VALUE(MID(A3698,7,4)),VALUE(MID(A3698,4,2)),VALUE(MID(A3698,1,2)))+TIME(VALUE(MID(A3698,12,2)),VALUE(MID(A3698,15,2)),VALUE(MID(A3698,18,2))),"")))</f>
        <v/>
      </c>
    </row>
    <row r="3699" customFormat="false" ht="15" hidden="false" customHeight="false" outlineLevel="0" collapsed="false">
      <c r="I3699" s="15" t="str">
        <f aca="false">IF(N3699="","",INT(N3699))</f>
        <v/>
      </c>
      <c r="J3699" s="16" t="str">
        <f aca="false">IF(B3699="","",IF(N3699=_xlfn.MINIFS($N$2:$N$5001,$B$2:$B$5001,B3699),1,0))</f>
        <v/>
      </c>
      <c r="K3699" s="16" t="str">
        <f aca="false">IF(B3699="","",IF(AND(D3699="Formalização",E3699="Concluído"),IF(COUNTIFS($B$2:$B$5001,B3699,$E$2:$E$5001,"Em ajustes",$N$2:$N$5001,"&lt;"&amp;I3699)&gt;0,1,0),0))</f>
        <v/>
      </c>
      <c r="L3699" s="16" t="str">
        <f aca="false">IF(B3699="","",IF(N3699=_xlfn.MAXIFS($N$2:$N$5001,$B$2:$B$5001,B3699,$I$2:$I$5001,I3699),1,0))</f>
        <v/>
      </c>
      <c r="M3699" s="16" t="str">
        <f aca="false">IF(B3699="","",IF(E3699="Em ajustes",IF(N3699=_xlfn.MINIFS($N$2:$N$5001,$B$2:$B$5001,B3699,$E$2:$E$5001,"Em ajustes"),1,0),0))</f>
        <v/>
      </c>
      <c r="N3699" s="17" t="str">
        <f aca="false">IF(A3699="","",IF(ISNUMBER(A3699),A3699,IFERROR(DATE(VALUE(MID(A3699,7,4)),VALUE(MID(A3699,4,2)),VALUE(MID(A3699,1,2)))+TIME(VALUE(MID(A3699,12,2)),VALUE(MID(A3699,15,2)),VALUE(MID(A3699,18,2))),"")))</f>
        <v/>
      </c>
    </row>
    <row r="3700" customFormat="false" ht="15" hidden="false" customHeight="false" outlineLevel="0" collapsed="false">
      <c r="I3700" s="15" t="str">
        <f aca="false">IF(N3700="","",INT(N3700))</f>
        <v/>
      </c>
      <c r="J3700" s="16" t="str">
        <f aca="false">IF(B3700="","",IF(N3700=_xlfn.MINIFS($N$2:$N$5001,$B$2:$B$5001,B3700),1,0))</f>
        <v/>
      </c>
      <c r="K3700" s="16" t="str">
        <f aca="false">IF(B3700="","",IF(AND(D3700="Formalização",E3700="Concluído"),IF(COUNTIFS($B$2:$B$5001,B3700,$E$2:$E$5001,"Em ajustes",$N$2:$N$5001,"&lt;"&amp;I3700)&gt;0,1,0),0))</f>
        <v/>
      </c>
      <c r="L3700" s="16" t="str">
        <f aca="false">IF(B3700="","",IF(N3700=_xlfn.MAXIFS($N$2:$N$5001,$B$2:$B$5001,B3700,$I$2:$I$5001,I3700),1,0))</f>
        <v/>
      </c>
      <c r="M3700" s="16" t="str">
        <f aca="false">IF(B3700="","",IF(E3700="Em ajustes",IF(N3700=_xlfn.MINIFS($N$2:$N$5001,$B$2:$B$5001,B3700,$E$2:$E$5001,"Em ajustes"),1,0),0))</f>
        <v/>
      </c>
      <c r="N3700" s="17" t="str">
        <f aca="false">IF(A3700="","",IF(ISNUMBER(A3700),A3700,IFERROR(DATE(VALUE(MID(A3700,7,4)),VALUE(MID(A3700,4,2)),VALUE(MID(A3700,1,2)))+TIME(VALUE(MID(A3700,12,2)),VALUE(MID(A3700,15,2)),VALUE(MID(A3700,18,2))),"")))</f>
        <v/>
      </c>
    </row>
    <row r="3701" customFormat="false" ht="15" hidden="false" customHeight="false" outlineLevel="0" collapsed="false">
      <c r="I3701" s="15" t="str">
        <f aca="false">IF(N3701="","",INT(N3701))</f>
        <v/>
      </c>
      <c r="J3701" s="16" t="str">
        <f aca="false">IF(B3701="","",IF(N3701=_xlfn.MINIFS($N$2:$N$5001,$B$2:$B$5001,B3701),1,0))</f>
        <v/>
      </c>
      <c r="K3701" s="16" t="str">
        <f aca="false">IF(B3701="","",IF(AND(D3701="Formalização",E3701="Concluído"),IF(COUNTIFS($B$2:$B$5001,B3701,$E$2:$E$5001,"Em ajustes",$N$2:$N$5001,"&lt;"&amp;I3701)&gt;0,1,0),0))</f>
        <v/>
      </c>
      <c r="L3701" s="16" t="str">
        <f aca="false">IF(B3701="","",IF(N3701=_xlfn.MAXIFS($N$2:$N$5001,$B$2:$B$5001,B3701,$I$2:$I$5001,I3701),1,0))</f>
        <v/>
      </c>
      <c r="M3701" s="16" t="str">
        <f aca="false">IF(B3701="","",IF(E3701="Em ajustes",IF(N3701=_xlfn.MINIFS($N$2:$N$5001,$B$2:$B$5001,B3701,$E$2:$E$5001,"Em ajustes"),1,0),0))</f>
        <v/>
      </c>
      <c r="N3701" s="17" t="str">
        <f aca="false">IF(A3701="","",IF(ISNUMBER(A3701),A3701,IFERROR(DATE(VALUE(MID(A3701,7,4)),VALUE(MID(A3701,4,2)),VALUE(MID(A3701,1,2)))+TIME(VALUE(MID(A3701,12,2)),VALUE(MID(A3701,15,2)),VALUE(MID(A3701,18,2))),"")))</f>
        <v/>
      </c>
    </row>
    <row r="3702" customFormat="false" ht="15" hidden="false" customHeight="false" outlineLevel="0" collapsed="false">
      <c r="I3702" s="15" t="str">
        <f aca="false">IF(N3702="","",INT(N3702))</f>
        <v/>
      </c>
      <c r="J3702" s="16" t="str">
        <f aca="false">IF(B3702="","",IF(N3702=_xlfn.MINIFS($N$2:$N$5001,$B$2:$B$5001,B3702),1,0))</f>
        <v/>
      </c>
      <c r="K3702" s="16" t="str">
        <f aca="false">IF(B3702="","",IF(AND(D3702="Formalização",E3702="Concluído"),IF(COUNTIFS($B$2:$B$5001,B3702,$E$2:$E$5001,"Em ajustes",$N$2:$N$5001,"&lt;"&amp;I3702)&gt;0,1,0),0))</f>
        <v/>
      </c>
      <c r="L3702" s="16" t="str">
        <f aca="false">IF(B3702="","",IF(N3702=_xlfn.MAXIFS($N$2:$N$5001,$B$2:$B$5001,B3702,$I$2:$I$5001,I3702),1,0))</f>
        <v/>
      </c>
      <c r="M3702" s="16" t="str">
        <f aca="false">IF(B3702="","",IF(E3702="Em ajustes",IF(N3702=_xlfn.MINIFS($N$2:$N$5001,$B$2:$B$5001,B3702,$E$2:$E$5001,"Em ajustes"),1,0),0))</f>
        <v/>
      </c>
      <c r="N3702" s="17" t="str">
        <f aca="false">IF(A3702="","",IF(ISNUMBER(A3702),A3702,IFERROR(DATE(VALUE(MID(A3702,7,4)),VALUE(MID(A3702,4,2)),VALUE(MID(A3702,1,2)))+TIME(VALUE(MID(A3702,12,2)),VALUE(MID(A3702,15,2)),VALUE(MID(A3702,18,2))),"")))</f>
        <v/>
      </c>
    </row>
    <row r="3703" customFormat="false" ht="15" hidden="false" customHeight="false" outlineLevel="0" collapsed="false">
      <c r="I3703" s="15" t="str">
        <f aca="false">IF(N3703="","",INT(N3703))</f>
        <v/>
      </c>
      <c r="J3703" s="16" t="str">
        <f aca="false">IF(B3703="","",IF(N3703=_xlfn.MINIFS($N$2:$N$5001,$B$2:$B$5001,B3703),1,0))</f>
        <v/>
      </c>
      <c r="K3703" s="16" t="str">
        <f aca="false">IF(B3703="","",IF(AND(D3703="Formalização",E3703="Concluído"),IF(COUNTIFS($B$2:$B$5001,B3703,$E$2:$E$5001,"Em ajustes",$N$2:$N$5001,"&lt;"&amp;I3703)&gt;0,1,0),0))</f>
        <v/>
      </c>
      <c r="L3703" s="16" t="str">
        <f aca="false">IF(B3703="","",IF(N3703=_xlfn.MAXIFS($N$2:$N$5001,$B$2:$B$5001,B3703,$I$2:$I$5001,I3703),1,0))</f>
        <v/>
      </c>
      <c r="M3703" s="16" t="str">
        <f aca="false">IF(B3703="","",IF(E3703="Em ajustes",IF(N3703=_xlfn.MINIFS($N$2:$N$5001,$B$2:$B$5001,B3703,$E$2:$E$5001,"Em ajustes"),1,0),0))</f>
        <v/>
      </c>
      <c r="N3703" s="17" t="str">
        <f aca="false">IF(A3703="","",IF(ISNUMBER(A3703),A3703,IFERROR(DATE(VALUE(MID(A3703,7,4)),VALUE(MID(A3703,4,2)),VALUE(MID(A3703,1,2)))+TIME(VALUE(MID(A3703,12,2)),VALUE(MID(A3703,15,2)),VALUE(MID(A3703,18,2))),"")))</f>
        <v/>
      </c>
    </row>
    <row r="3704" customFormat="false" ht="15" hidden="false" customHeight="false" outlineLevel="0" collapsed="false">
      <c r="I3704" s="15" t="str">
        <f aca="false">IF(N3704="","",INT(N3704))</f>
        <v/>
      </c>
      <c r="J3704" s="16" t="str">
        <f aca="false">IF(B3704="","",IF(N3704=_xlfn.MINIFS($N$2:$N$5001,$B$2:$B$5001,B3704),1,0))</f>
        <v/>
      </c>
      <c r="K3704" s="16" t="str">
        <f aca="false">IF(B3704="","",IF(AND(D3704="Formalização",E3704="Concluído"),IF(COUNTIFS($B$2:$B$5001,B3704,$E$2:$E$5001,"Em ajustes",$N$2:$N$5001,"&lt;"&amp;I3704)&gt;0,1,0),0))</f>
        <v/>
      </c>
      <c r="L3704" s="16" t="str">
        <f aca="false">IF(B3704="","",IF(N3704=_xlfn.MAXIFS($N$2:$N$5001,$B$2:$B$5001,B3704,$I$2:$I$5001,I3704),1,0))</f>
        <v/>
      </c>
      <c r="M3704" s="16" t="str">
        <f aca="false">IF(B3704="","",IF(E3704="Em ajustes",IF(N3704=_xlfn.MINIFS($N$2:$N$5001,$B$2:$B$5001,B3704,$E$2:$E$5001,"Em ajustes"),1,0),0))</f>
        <v/>
      </c>
      <c r="N3704" s="17" t="str">
        <f aca="false">IF(A3704="","",IF(ISNUMBER(A3704),A3704,IFERROR(DATE(VALUE(MID(A3704,7,4)),VALUE(MID(A3704,4,2)),VALUE(MID(A3704,1,2)))+TIME(VALUE(MID(A3704,12,2)),VALUE(MID(A3704,15,2)),VALUE(MID(A3704,18,2))),"")))</f>
        <v/>
      </c>
    </row>
    <row r="3705" customFormat="false" ht="15" hidden="false" customHeight="false" outlineLevel="0" collapsed="false">
      <c r="I3705" s="15" t="str">
        <f aca="false">IF(N3705="","",INT(N3705))</f>
        <v/>
      </c>
      <c r="J3705" s="16" t="str">
        <f aca="false">IF(B3705="","",IF(N3705=_xlfn.MINIFS($N$2:$N$5001,$B$2:$B$5001,B3705),1,0))</f>
        <v/>
      </c>
      <c r="K3705" s="16" t="str">
        <f aca="false">IF(B3705="","",IF(AND(D3705="Formalização",E3705="Concluído"),IF(COUNTIFS($B$2:$B$5001,B3705,$E$2:$E$5001,"Em ajustes",$N$2:$N$5001,"&lt;"&amp;I3705)&gt;0,1,0),0))</f>
        <v/>
      </c>
      <c r="L3705" s="16" t="str">
        <f aca="false">IF(B3705="","",IF(N3705=_xlfn.MAXIFS($N$2:$N$5001,$B$2:$B$5001,B3705,$I$2:$I$5001,I3705),1,0))</f>
        <v/>
      </c>
      <c r="M3705" s="16" t="str">
        <f aca="false">IF(B3705="","",IF(E3705="Em ajustes",IF(N3705=_xlfn.MINIFS($N$2:$N$5001,$B$2:$B$5001,B3705,$E$2:$E$5001,"Em ajustes"),1,0),0))</f>
        <v/>
      </c>
      <c r="N3705" s="17" t="str">
        <f aca="false">IF(A3705="","",IF(ISNUMBER(A3705),A3705,IFERROR(DATE(VALUE(MID(A3705,7,4)),VALUE(MID(A3705,4,2)),VALUE(MID(A3705,1,2)))+TIME(VALUE(MID(A3705,12,2)),VALUE(MID(A3705,15,2)),VALUE(MID(A3705,18,2))),"")))</f>
        <v/>
      </c>
    </row>
    <row r="3706" customFormat="false" ht="15" hidden="false" customHeight="false" outlineLevel="0" collapsed="false">
      <c r="I3706" s="15" t="str">
        <f aca="false">IF(N3706="","",INT(N3706))</f>
        <v/>
      </c>
      <c r="J3706" s="16" t="str">
        <f aca="false">IF(B3706="","",IF(N3706=_xlfn.MINIFS($N$2:$N$5001,$B$2:$B$5001,B3706),1,0))</f>
        <v/>
      </c>
      <c r="K3706" s="16" t="str">
        <f aca="false">IF(B3706="","",IF(AND(D3706="Formalização",E3706="Concluído"),IF(COUNTIFS($B$2:$B$5001,B3706,$E$2:$E$5001,"Em ajustes",$N$2:$N$5001,"&lt;"&amp;I3706)&gt;0,1,0),0))</f>
        <v/>
      </c>
      <c r="L3706" s="16" t="str">
        <f aca="false">IF(B3706="","",IF(N3706=_xlfn.MAXIFS($N$2:$N$5001,$B$2:$B$5001,B3706,$I$2:$I$5001,I3706),1,0))</f>
        <v/>
      </c>
      <c r="M3706" s="16" t="str">
        <f aca="false">IF(B3706="","",IF(E3706="Em ajustes",IF(N3706=_xlfn.MINIFS($N$2:$N$5001,$B$2:$B$5001,B3706,$E$2:$E$5001,"Em ajustes"),1,0),0))</f>
        <v/>
      </c>
      <c r="N3706" s="17" t="str">
        <f aca="false">IF(A3706="","",IF(ISNUMBER(A3706),A3706,IFERROR(DATE(VALUE(MID(A3706,7,4)),VALUE(MID(A3706,4,2)),VALUE(MID(A3706,1,2)))+TIME(VALUE(MID(A3706,12,2)),VALUE(MID(A3706,15,2)),VALUE(MID(A3706,18,2))),"")))</f>
        <v/>
      </c>
    </row>
    <row r="3707" customFormat="false" ht="15" hidden="false" customHeight="false" outlineLevel="0" collapsed="false">
      <c r="I3707" s="15" t="str">
        <f aca="false">IF(N3707="","",INT(N3707))</f>
        <v/>
      </c>
      <c r="J3707" s="16" t="str">
        <f aca="false">IF(B3707="","",IF(N3707=_xlfn.MINIFS($N$2:$N$5001,$B$2:$B$5001,B3707),1,0))</f>
        <v/>
      </c>
      <c r="K3707" s="16" t="str">
        <f aca="false">IF(B3707="","",IF(AND(D3707="Formalização",E3707="Concluído"),IF(COUNTIFS($B$2:$B$5001,B3707,$E$2:$E$5001,"Em ajustes",$N$2:$N$5001,"&lt;"&amp;I3707)&gt;0,1,0),0))</f>
        <v/>
      </c>
      <c r="L3707" s="16" t="str">
        <f aca="false">IF(B3707="","",IF(N3707=_xlfn.MAXIFS($N$2:$N$5001,$B$2:$B$5001,B3707,$I$2:$I$5001,I3707),1,0))</f>
        <v/>
      </c>
      <c r="M3707" s="16" t="str">
        <f aca="false">IF(B3707="","",IF(E3707="Em ajustes",IF(N3707=_xlfn.MINIFS($N$2:$N$5001,$B$2:$B$5001,B3707,$E$2:$E$5001,"Em ajustes"),1,0),0))</f>
        <v/>
      </c>
      <c r="N3707" s="17" t="str">
        <f aca="false">IF(A3707="","",IF(ISNUMBER(A3707),A3707,IFERROR(DATE(VALUE(MID(A3707,7,4)),VALUE(MID(A3707,4,2)),VALUE(MID(A3707,1,2)))+TIME(VALUE(MID(A3707,12,2)),VALUE(MID(A3707,15,2)),VALUE(MID(A3707,18,2))),"")))</f>
        <v/>
      </c>
    </row>
    <row r="3708" customFormat="false" ht="15" hidden="false" customHeight="false" outlineLevel="0" collapsed="false">
      <c r="I3708" s="15" t="str">
        <f aca="false">IF(N3708="","",INT(N3708))</f>
        <v/>
      </c>
      <c r="J3708" s="16" t="str">
        <f aca="false">IF(B3708="","",IF(N3708=_xlfn.MINIFS($N$2:$N$5001,$B$2:$B$5001,B3708),1,0))</f>
        <v/>
      </c>
      <c r="K3708" s="16" t="str">
        <f aca="false">IF(B3708="","",IF(AND(D3708="Formalização",E3708="Concluído"),IF(COUNTIFS($B$2:$B$5001,B3708,$E$2:$E$5001,"Em ajustes",$N$2:$N$5001,"&lt;"&amp;I3708)&gt;0,1,0),0))</f>
        <v/>
      </c>
      <c r="L3708" s="16" t="str">
        <f aca="false">IF(B3708="","",IF(N3708=_xlfn.MAXIFS($N$2:$N$5001,$B$2:$B$5001,B3708,$I$2:$I$5001,I3708),1,0))</f>
        <v/>
      </c>
      <c r="M3708" s="16" t="str">
        <f aca="false">IF(B3708="","",IF(E3708="Em ajustes",IF(N3708=_xlfn.MINIFS($N$2:$N$5001,$B$2:$B$5001,B3708,$E$2:$E$5001,"Em ajustes"),1,0),0))</f>
        <v/>
      </c>
      <c r="N3708" s="17" t="str">
        <f aca="false">IF(A3708="","",IF(ISNUMBER(A3708),A3708,IFERROR(DATE(VALUE(MID(A3708,7,4)),VALUE(MID(A3708,4,2)),VALUE(MID(A3708,1,2)))+TIME(VALUE(MID(A3708,12,2)),VALUE(MID(A3708,15,2)),VALUE(MID(A3708,18,2))),"")))</f>
        <v/>
      </c>
    </row>
    <row r="3709" customFormat="false" ht="15" hidden="false" customHeight="false" outlineLevel="0" collapsed="false">
      <c r="I3709" s="15" t="str">
        <f aca="false">IF(N3709="","",INT(N3709))</f>
        <v/>
      </c>
      <c r="J3709" s="16" t="str">
        <f aca="false">IF(B3709="","",IF(N3709=_xlfn.MINIFS($N$2:$N$5001,$B$2:$B$5001,B3709),1,0))</f>
        <v/>
      </c>
      <c r="K3709" s="16" t="str">
        <f aca="false">IF(B3709="","",IF(AND(D3709="Formalização",E3709="Concluído"),IF(COUNTIFS($B$2:$B$5001,B3709,$E$2:$E$5001,"Em ajustes",$N$2:$N$5001,"&lt;"&amp;I3709)&gt;0,1,0),0))</f>
        <v/>
      </c>
      <c r="L3709" s="16" t="str">
        <f aca="false">IF(B3709="","",IF(N3709=_xlfn.MAXIFS($N$2:$N$5001,$B$2:$B$5001,B3709,$I$2:$I$5001,I3709),1,0))</f>
        <v/>
      </c>
      <c r="M3709" s="16" t="str">
        <f aca="false">IF(B3709="","",IF(E3709="Em ajustes",IF(N3709=_xlfn.MINIFS($N$2:$N$5001,$B$2:$B$5001,B3709,$E$2:$E$5001,"Em ajustes"),1,0),0))</f>
        <v/>
      </c>
      <c r="N3709" s="17" t="str">
        <f aca="false">IF(A3709="","",IF(ISNUMBER(A3709),A3709,IFERROR(DATE(VALUE(MID(A3709,7,4)),VALUE(MID(A3709,4,2)),VALUE(MID(A3709,1,2)))+TIME(VALUE(MID(A3709,12,2)),VALUE(MID(A3709,15,2)),VALUE(MID(A3709,18,2))),"")))</f>
        <v/>
      </c>
    </row>
    <row r="3710" customFormat="false" ht="15" hidden="false" customHeight="false" outlineLevel="0" collapsed="false">
      <c r="I3710" s="15" t="str">
        <f aca="false">IF(N3710="","",INT(N3710))</f>
        <v/>
      </c>
      <c r="J3710" s="16" t="str">
        <f aca="false">IF(B3710="","",IF(N3710=_xlfn.MINIFS($N$2:$N$5001,$B$2:$B$5001,B3710),1,0))</f>
        <v/>
      </c>
      <c r="K3710" s="16" t="str">
        <f aca="false">IF(B3710="","",IF(AND(D3710="Formalização",E3710="Concluído"),IF(COUNTIFS($B$2:$B$5001,B3710,$E$2:$E$5001,"Em ajustes",$N$2:$N$5001,"&lt;"&amp;I3710)&gt;0,1,0),0))</f>
        <v/>
      </c>
      <c r="L3710" s="16" t="str">
        <f aca="false">IF(B3710="","",IF(N3710=_xlfn.MAXIFS($N$2:$N$5001,$B$2:$B$5001,B3710,$I$2:$I$5001,I3710),1,0))</f>
        <v/>
      </c>
      <c r="M3710" s="16" t="str">
        <f aca="false">IF(B3710="","",IF(E3710="Em ajustes",IF(N3710=_xlfn.MINIFS($N$2:$N$5001,$B$2:$B$5001,B3710,$E$2:$E$5001,"Em ajustes"),1,0),0))</f>
        <v/>
      </c>
      <c r="N3710" s="17" t="str">
        <f aca="false">IF(A3710="","",IF(ISNUMBER(A3710),A3710,IFERROR(DATE(VALUE(MID(A3710,7,4)),VALUE(MID(A3710,4,2)),VALUE(MID(A3710,1,2)))+TIME(VALUE(MID(A3710,12,2)),VALUE(MID(A3710,15,2)),VALUE(MID(A3710,18,2))),"")))</f>
        <v/>
      </c>
    </row>
    <row r="3711" customFormat="false" ht="15" hidden="false" customHeight="false" outlineLevel="0" collapsed="false">
      <c r="I3711" s="15" t="str">
        <f aca="false">IF(N3711="","",INT(N3711))</f>
        <v/>
      </c>
      <c r="J3711" s="16" t="str">
        <f aca="false">IF(B3711="","",IF(N3711=_xlfn.MINIFS($N$2:$N$5001,$B$2:$B$5001,B3711),1,0))</f>
        <v/>
      </c>
      <c r="K3711" s="16" t="str">
        <f aca="false">IF(B3711="","",IF(AND(D3711="Formalização",E3711="Concluído"),IF(COUNTIFS($B$2:$B$5001,B3711,$E$2:$E$5001,"Em ajustes",$N$2:$N$5001,"&lt;"&amp;I3711)&gt;0,1,0),0))</f>
        <v/>
      </c>
      <c r="L3711" s="16" t="str">
        <f aca="false">IF(B3711="","",IF(N3711=_xlfn.MAXIFS($N$2:$N$5001,$B$2:$B$5001,B3711,$I$2:$I$5001,I3711),1,0))</f>
        <v/>
      </c>
      <c r="M3711" s="16" t="str">
        <f aca="false">IF(B3711="","",IF(E3711="Em ajustes",IF(N3711=_xlfn.MINIFS($N$2:$N$5001,$B$2:$B$5001,B3711,$E$2:$E$5001,"Em ajustes"),1,0),0))</f>
        <v/>
      </c>
      <c r="N3711" s="17" t="str">
        <f aca="false">IF(A3711="","",IF(ISNUMBER(A3711),A3711,IFERROR(DATE(VALUE(MID(A3711,7,4)),VALUE(MID(A3711,4,2)),VALUE(MID(A3711,1,2)))+TIME(VALUE(MID(A3711,12,2)),VALUE(MID(A3711,15,2)),VALUE(MID(A3711,18,2))),"")))</f>
        <v/>
      </c>
    </row>
    <row r="3712" customFormat="false" ht="15" hidden="false" customHeight="false" outlineLevel="0" collapsed="false">
      <c r="I3712" s="15" t="str">
        <f aca="false">IF(N3712="","",INT(N3712))</f>
        <v/>
      </c>
      <c r="J3712" s="16" t="str">
        <f aca="false">IF(B3712="","",IF(N3712=_xlfn.MINIFS($N$2:$N$5001,$B$2:$B$5001,B3712),1,0))</f>
        <v/>
      </c>
      <c r="K3712" s="16" t="str">
        <f aca="false">IF(B3712="","",IF(AND(D3712="Formalização",E3712="Concluído"),IF(COUNTIFS($B$2:$B$5001,B3712,$E$2:$E$5001,"Em ajustes",$N$2:$N$5001,"&lt;"&amp;I3712)&gt;0,1,0),0))</f>
        <v/>
      </c>
      <c r="L3712" s="16" t="str">
        <f aca="false">IF(B3712="","",IF(N3712=_xlfn.MAXIFS($N$2:$N$5001,$B$2:$B$5001,B3712,$I$2:$I$5001,I3712),1,0))</f>
        <v/>
      </c>
      <c r="M3712" s="16" t="str">
        <f aca="false">IF(B3712="","",IF(E3712="Em ajustes",IF(N3712=_xlfn.MINIFS($N$2:$N$5001,$B$2:$B$5001,B3712,$E$2:$E$5001,"Em ajustes"),1,0),0))</f>
        <v/>
      </c>
      <c r="N3712" s="17" t="str">
        <f aca="false">IF(A3712="","",IF(ISNUMBER(A3712),A3712,IFERROR(DATE(VALUE(MID(A3712,7,4)),VALUE(MID(A3712,4,2)),VALUE(MID(A3712,1,2)))+TIME(VALUE(MID(A3712,12,2)),VALUE(MID(A3712,15,2)),VALUE(MID(A3712,18,2))),"")))</f>
        <v/>
      </c>
    </row>
    <row r="3713" customFormat="false" ht="15" hidden="false" customHeight="false" outlineLevel="0" collapsed="false">
      <c r="I3713" s="15" t="str">
        <f aca="false">IF(N3713="","",INT(N3713))</f>
        <v/>
      </c>
      <c r="J3713" s="16" t="str">
        <f aca="false">IF(B3713="","",IF(N3713=_xlfn.MINIFS($N$2:$N$5001,$B$2:$B$5001,B3713),1,0))</f>
        <v/>
      </c>
      <c r="K3713" s="16" t="str">
        <f aca="false">IF(B3713="","",IF(AND(D3713="Formalização",E3713="Concluído"),IF(COUNTIFS($B$2:$B$5001,B3713,$E$2:$E$5001,"Em ajustes",$N$2:$N$5001,"&lt;"&amp;I3713)&gt;0,1,0),0))</f>
        <v/>
      </c>
      <c r="L3713" s="16" t="str">
        <f aca="false">IF(B3713="","",IF(N3713=_xlfn.MAXIFS($N$2:$N$5001,$B$2:$B$5001,B3713,$I$2:$I$5001,I3713),1,0))</f>
        <v/>
      </c>
      <c r="M3713" s="16" t="str">
        <f aca="false">IF(B3713="","",IF(E3713="Em ajustes",IF(N3713=_xlfn.MINIFS($N$2:$N$5001,$B$2:$B$5001,B3713,$E$2:$E$5001,"Em ajustes"),1,0),0))</f>
        <v/>
      </c>
      <c r="N3713" s="17" t="str">
        <f aca="false">IF(A3713="","",IF(ISNUMBER(A3713),A3713,IFERROR(DATE(VALUE(MID(A3713,7,4)),VALUE(MID(A3713,4,2)),VALUE(MID(A3713,1,2)))+TIME(VALUE(MID(A3713,12,2)),VALUE(MID(A3713,15,2)),VALUE(MID(A3713,18,2))),"")))</f>
        <v/>
      </c>
    </row>
    <row r="3714" customFormat="false" ht="15" hidden="false" customHeight="false" outlineLevel="0" collapsed="false">
      <c r="I3714" s="15" t="str">
        <f aca="false">IF(N3714="","",INT(N3714))</f>
        <v/>
      </c>
      <c r="J3714" s="16" t="str">
        <f aca="false">IF(B3714="","",IF(N3714=_xlfn.MINIFS($N$2:$N$5001,$B$2:$B$5001,B3714),1,0))</f>
        <v/>
      </c>
      <c r="K3714" s="16" t="str">
        <f aca="false">IF(B3714="","",IF(AND(D3714="Formalização",E3714="Concluído"),IF(COUNTIFS($B$2:$B$5001,B3714,$E$2:$E$5001,"Em ajustes",$N$2:$N$5001,"&lt;"&amp;I3714)&gt;0,1,0),0))</f>
        <v/>
      </c>
      <c r="L3714" s="16" t="str">
        <f aca="false">IF(B3714="","",IF(N3714=_xlfn.MAXIFS($N$2:$N$5001,$B$2:$B$5001,B3714,$I$2:$I$5001,I3714),1,0))</f>
        <v/>
      </c>
      <c r="M3714" s="16" t="str">
        <f aca="false">IF(B3714="","",IF(E3714="Em ajustes",IF(N3714=_xlfn.MINIFS($N$2:$N$5001,$B$2:$B$5001,B3714,$E$2:$E$5001,"Em ajustes"),1,0),0))</f>
        <v/>
      </c>
      <c r="N3714" s="17" t="str">
        <f aca="false">IF(A3714="","",IF(ISNUMBER(A3714),A3714,IFERROR(DATE(VALUE(MID(A3714,7,4)),VALUE(MID(A3714,4,2)),VALUE(MID(A3714,1,2)))+TIME(VALUE(MID(A3714,12,2)),VALUE(MID(A3714,15,2)),VALUE(MID(A3714,18,2))),"")))</f>
        <v/>
      </c>
    </row>
    <row r="3715" customFormat="false" ht="15" hidden="false" customHeight="false" outlineLevel="0" collapsed="false">
      <c r="I3715" s="15" t="str">
        <f aca="false">IF(N3715="","",INT(N3715))</f>
        <v/>
      </c>
      <c r="J3715" s="16" t="str">
        <f aca="false">IF(B3715="","",IF(N3715=_xlfn.MINIFS($N$2:$N$5001,$B$2:$B$5001,B3715),1,0))</f>
        <v/>
      </c>
      <c r="K3715" s="16" t="str">
        <f aca="false">IF(B3715="","",IF(AND(D3715="Formalização",E3715="Concluído"),IF(COUNTIFS($B$2:$B$5001,B3715,$E$2:$E$5001,"Em ajustes",$N$2:$N$5001,"&lt;"&amp;I3715)&gt;0,1,0),0))</f>
        <v/>
      </c>
      <c r="L3715" s="16" t="str">
        <f aca="false">IF(B3715="","",IF(N3715=_xlfn.MAXIFS($N$2:$N$5001,$B$2:$B$5001,B3715,$I$2:$I$5001,I3715),1,0))</f>
        <v/>
      </c>
      <c r="M3715" s="16" t="str">
        <f aca="false">IF(B3715="","",IF(E3715="Em ajustes",IF(N3715=_xlfn.MINIFS($N$2:$N$5001,$B$2:$B$5001,B3715,$E$2:$E$5001,"Em ajustes"),1,0),0))</f>
        <v/>
      </c>
      <c r="N3715" s="17" t="str">
        <f aca="false">IF(A3715="","",IF(ISNUMBER(A3715),A3715,IFERROR(DATE(VALUE(MID(A3715,7,4)),VALUE(MID(A3715,4,2)),VALUE(MID(A3715,1,2)))+TIME(VALUE(MID(A3715,12,2)),VALUE(MID(A3715,15,2)),VALUE(MID(A3715,18,2))),"")))</f>
        <v/>
      </c>
    </row>
    <row r="3716" customFormat="false" ht="15" hidden="false" customHeight="false" outlineLevel="0" collapsed="false">
      <c r="I3716" s="15" t="str">
        <f aca="false">IF(N3716="","",INT(N3716))</f>
        <v/>
      </c>
      <c r="J3716" s="16" t="str">
        <f aca="false">IF(B3716="","",IF(N3716=_xlfn.MINIFS($N$2:$N$5001,$B$2:$B$5001,B3716),1,0))</f>
        <v/>
      </c>
      <c r="K3716" s="16" t="str">
        <f aca="false">IF(B3716="","",IF(AND(D3716="Formalização",E3716="Concluído"),IF(COUNTIFS($B$2:$B$5001,B3716,$E$2:$E$5001,"Em ajustes",$N$2:$N$5001,"&lt;"&amp;I3716)&gt;0,1,0),0))</f>
        <v/>
      </c>
      <c r="L3716" s="16" t="str">
        <f aca="false">IF(B3716="","",IF(N3716=_xlfn.MAXIFS($N$2:$N$5001,$B$2:$B$5001,B3716,$I$2:$I$5001,I3716),1,0))</f>
        <v/>
      </c>
      <c r="M3716" s="16" t="str">
        <f aca="false">IF(B3716="","",IF(E3716="Em ajustes",IF(N3716=_xlfn.MINIFS($N$2:$N$5001,$B$2:$B$5001,B3716,$E$2:$E$5001,"Em ajustes"),1,0),0))</f>
        <v/>
      </c>
      <c r="N3716" s="17" t="str">
        <f aca="false">IF(A3716="","",IF(ISNUMBER(A3716),A3716,IFERROR(DATE(VALUE(MID(A3716,7,4)),VALUE(MID(A3716,4,2)),VALUE(MID(A3716,1,2)))+TIME(VALUE(MID(A3716,12,2)),VALUE(MID(A3716,15,2)),VALUE(MID(A3716,18,2))),"")))</f>
        <v/>
      </c>
    </row>
    <row r="3717" customFormat="false" ht="15" hidden="false" customHeight="false" outlineLevel="0" collapsed="false">
      <c r="I3717" s="15" t="str">
        <f aca="false">IF(N3717="","",INT(N3717))</f>
        <v/>
      </c>
      <c r="J3717" s="16" t="str">
        <f aca="false">IF(B3717="","",IF(N3717=_xlfn.MINIFS($N$2:$N$5001,$B$2:$B$5001,B3717),1,0))</f>
        <v/>
      </c>
      <c r="K3717" s="16" t="str">
        <f aca="false">IF(B3717="","",IF(AND(D3717="Formalização",E3717="Concluído"),IF(COUNTIFS($B$2:$B$5001,B3717,$E$2:$E$5001,"Em ajustes",$N$2:$N$5001,"&lt;"&amp;I3717)&gt;0,1,0),0))</f>
        <v/>
      </c>
      <c r="L3717" s="16" t="str">
        <f aca="false">IF(B3717="","",IF(N3717=_xlfn.MAXIFS($N$2:$N$5001,$B$2:$B$5001,B3717,$I$2:$I$5001,I3717),1,0))</f>
        <v/>
      </c>
      <c r="M3717" s="16" t="str">
        <f aca="false">IF(B3717="","",IF(E3717="Em ajustes",IF(N3717=_xlfn.MINIFS($N$2:$N$5001,$B$2:$B$5001,B3717,$E$2:$E$5001,"Em ajustes"),1,0),0))</f>
        <v/>
      </c>
      <c r="N3717" s="17" t="str">
        <f aca="false">IF(A3717="","",IF(ISNUMBER(A3717),A3717,IFERROR(DATE(VALUE(MID(A3717,7,4)),VALUE(MID(A3717,4,2)),VALUE(MID(A3717,1,2)))+TIME(VALUE(MID(A3717,12,2)),VALUE(MID(A3717,15,2)),VALUE(MID(A3717,18,2))),"")))</f>
        <v/>
      </c>
    </row>
    <row r="3718" customFormat="false" ht="15" hidden="false" customHeight="false" outlineLevel="0" collapsed="false">
      <c r="I3718" s="15" t="str">
        <f aca="false">IF(N3718="","",INT(N3718))</f>
        <v/>
      </c>
      <c r="J3718" s="16" t="str">
        <f aca="false">IF(B3718="","",IF(N3718=_xlfn.MINIFS($N$2:$N$5001,$B$2:$B$5001,B3718),1,0))</f>
        <v/>
      </c>
      <c r="K3718" s="16" t="str">
        <f aca="false">IF(B3718="","",IF(AND(D3718="Formalização",E3718="Concluído"),IF(COUNTIFS($B$2:$B$5001,B3718,$E$2:$E$5001,"Em ajustes",$N$2:$N$5001,"&lt;"&amp;I3718)&gt;0,1,0),0))</f>
        <v/>
      </c>
      <c r="L3718" s="16" t="str">
        <f aca="false">IF(B3718="","",IF(N3718=_xlfn.MAXIFS($N$2:$N$5001,$B$2:$B$5001,B3718,$I$2:$I$5001,I3718),1,0))</f>
        <v/>
      </c>
      <c r="M3718" s="16" t="str">
        <f aca="false">IF(B3718="","",IF(E3718="Em ajustes",IF(N3718=_xlfn.MINIFS($N$2:$N$5001,$B$2:$B$5001,B3718,$E$2:$E$5001,"Em ajustes"),1,0),0))</f>
        <v/>
      </c>
      <c r="N3718" s="17" t="str">
        <f aca="false">IF(A3718="","",IF(ISNUMBER(A3718),A3718,IFERROR(DATE(VALUE(MID(A3718,7,4)),VALUE(MID(A3718,4,2)),VALUE(MID(A3718,1,2)))+TIME(VALUE(MID(A3718,12,2)),VALUE(MID(A3718,15,2)),VALUE(MID(A3718,18,2))),"")))</f>
        <v/>
      </c>
    </row>
    <row r="3719" customFormat="false" ht="15" hidden="false" customHeight="false" outlineLevel="0" collapsed="false">
      <c r="I3719" s="15" t="str">
        <f aca="false">IF(N3719="","",INT(N3719))</f>
        <v/>
      </c>
      <c r="J3719" s="16" t="str">
        <f aca="false">IF(B3719="","",IF(N3719=_xlfn.MINIFS($N$2:$N$5001,$B$2:$B$5001,B3719),1,0))</f>
        <v/>
      </c>
      <c r="K3719" s="16" t="str">
        <f aca="false">IF(B3719="","",IF(AND(D3719="Formalização",E3719="Concluído"),IF(COUNTIFS($B$2:$B$5001,B3719,$E$2:$E$5001,"Em ajustes",$N$2:$N$5001,"&lt;"&amp;I3719)&gt;0,1,0),0))</f>
        <v/>
      </c>
      <c r="L3719" s="16" t="str">
        <f aca="false">IF(B3719="","",IF(N3719=_xlfn.MAXIFS($N$2:$N$5001,$B$2:$B$5001,B3719,$I$2:$I$5001,I3719),1,0))</f>
        <v/>
      </c>
      <c r="M3719" s="16" t="str">
        <f aca="false">IF(B3719="","",IF(E3719="Em ajustes",IF(N3719=_xlfn.MINIFS($N$2:$N$5001,$B$2:$B$5001,B3719,$E$2:$E$5001,"Em ajustes"),1,0),0))</f>
        <v/>
      </c>
      <c r="N3719" s="17" t="str">
        <f aca="false">IF(A3719="","",IF(ISNUMBER(A3719),A3719,IFERROR(DATE(VALUE(MID(A3719,7,4)),VALUE(MID(A3719,4,2)),VALUE(MID(A3719,1,2)))+TIME(VALUE(MID(A3719,12,2)),VALUE(MID(A3719,15,2)),VALUE(MID(A3719,18,2))),"")))</f>
        <v/>
      </c>
    </row>
    <row r="3720" customFormat="false" ht="15" hidden="false" customHeight="false" outlineLevel="0" collapsed="false">
      <c r="I3720" s="15" t="str">
        <f aca="false">IF(N3720="","",INT(N3720))</f>
        <v/>
      </c>
      <c r="J3720" s="16" t="str">
        <f aca="false">IF(B3720="","",IF(N3720=_xlfn.MINIFS($N$2:$N$5001,$B$2:$B$5001,B3720),1,0))</f>
        <v/>
      </c>
      <c r="K3720" s="16" t="str">
        <f aca="false">IF(B3720="","",IF(AND(D3720="Formalização",E3720="Concluído"),IF(COUNTIFS($B$2:$B$5001,B3720,$E$2:$E$5001,"Em ajustes",$N$2:$N$5001,"&lt;"&amp;I3720)&gt;0,1,0),0))</f>
        <v/>
      </c>
      <c r="L3720" s="16" t="str">
        <f aca="false">IF(B3720="","",IF(N3720=_xlfn.MAXIFS($N$2:$N$5001,$B$2:$B$5001,B3720,$I$2:$I$5001,I3720),1,0))</f>
        <v/>
      </c>
      <c r="M3720" s="16" t="str">
        <f aca="false">IF(B3720="","",IF(E3720="Em ajustes",IF(N3720=_xlfn.MINIFS($N$2:$N$5001,$B$2:$B$5001,B3720,$E$2:$E$5001,"Em ajustes"),1,0),0))</f>
        <v/>
      </c>
      <c r="N3720" s="17" t="str">
        <f aca="false">IF(A3720="","",IF(ISNUMBER(A3720),A3720,IFERROR(DATE(VALUE(MID(A3720,7,4)),VALUE(MID(A3720,4,2)),VALUE(MID(A3720,1,2)))+TIME(VALUE(MID(A3720,12,2)),VALUE(MID(A3720,15,2)),VALUE(MID(A3720,18,2))),"")))</f>
        <v/>
      </c>
    </row>
    <row r="3721" customFormat="false" ht="15" hidden="false" customHeight="false" outlineLevel="0" collapsed="false">
      <c r="I3721" s="15" t="str">
        <f aca="false">IF(N3721="","",INT(N3721))</f>
        <v/>
      </c>
      <c r="J3721" s="16" t="str">
        <f aca="false">IF(B3721="","",IF(N3721=_xlfn.MINIFS($N$2:$N$5001,$B$2:$B$5001,B3721),1,0))</f>
        <v/>
      </c>
      <c r="K3721" s="16" t="str">
        <f aca="false">IF(B3721="","",IF(AND(D3721="Formalização",E3721="Concluído"),IF(COUNTIFS($B$2:$B$5001,B3721,$E$2:$E$5001,"Em ajustes",$N$2:$N$5001,"&lt;"&amp;I3721)&gt;0,1,0),0))</f>
        <v/>
      </c>
      <c r="L3721" s="16" t="str">
        <f aca="false">IF(B3721="","",IF(N3721=_xlfn.MAXIFS($N$2:$N$5001,$B$2:$B$5001,B3721,$I$2:$I$5001,I3721),1,0))</f>
        <v/>
      </c>
      <c r="M3721" s="16" t="str">
        <f aca="false">IF(B3721="","",IF(E3721="Em ajustes",IF(N3721=_xlfn.MINIFS($N$2:$N$5001,$B$2:$B$5001,B3721,$E$2:$E$5001,"Em ajustes"),1,0),0))</f>
        <v/>
      </c>
      <c r="N3721" s="17" t="str">
        <f aca="false">IF(A3721="","",IF(ISNUMBER(A3721),A3721,IFERROR(DATE(VALUE(MID(A3721,7,4)),VALUE(MID(A3721,4,2)),VALUE(MID(A3721,1,2)))+TIME(VALUE(MID(A3721,12,2)),VALUE(MID(A3721,15,2)),VALUE(MID(A3721,18,2))),"")))</f>
        <v/>
      </c>
    </row>
    <row r="3722" customFormat="false" ht="15" hidden="false" customHeight="false" outlineLevel="0" collapsed="false">
      <c r="I3722" s="15" t="str">
        <f aca="false">IF(N3722="","",INT(N3722))</f>
        <v/>
      </c>
      <c r="J3722" s="16" t="str">
        <f aca="false">IF(B3722="","",IF(N3722=_xlfn.MINIFS($N$2:$N$5001,$B$2:$B$5001,B3722),1,0))</f>
        <v/>
      </c>
      <c r="K3722" s="16" t="str">
        <f aca="false">IF(B3722="","",IF(AND(D3722="Formalização",E3722="Concluído"),IF(COUNTIFS($B$2:$B$5001,B3722,$E$2:$E$5001,"Em ajustes",$N$2:$N$5001,"&lt;"&amp;I3722)&gt;0,1,0),0))</f>
        <v/>
      </c>
      <c r="L3722" s="16" t="str">
        <f aca="false">IF(B3722="","",IF(N3722=_xlfn.MAXIFS($N$2:$N$5001,$B$2:$B$5001,B3722,$I$2:$I$5001,I3722),1,0))</f>
        <v/>
      </c>
      <c r="M3722" s="16" t="str">
        <f aca="false">IF(B3722="","",IF(E3722="Em ajustes",IF(N3722=_xlfn.MINIFS($N$2:$N$5001,$B$2:$B$5001,B3722,$E$2:$E$5001,"Em ajustes"),1,0),0))</f>
        <v/>
      </c>
      <c r="N3722" s="17" t="str">
        <f aca="false">IF(A3722="","",IF(ISNUMBER(A3722),A3722,IFERROR(DATE(VALUE(MID(A3722,7,4)),VALUE(MID(A3722,4,2)),VALUE(MID(A3722,1,2)))+TIME(VALUE(MID(A3722,12,2)),VALUE(MID(A3722,15,2)),VALUE(MID(A3722,18,2))),"")))</f>
        <v/>
      </c>
    </row>
    <row r="3723" customFormat="false" ht="15" hidden="false" customHeight="false" outlineLevel="0" collapsed="false">
      <c r="I3723" s="15" t="str">
        <f aca="false">IF(N3723="","",INT(N3723))</f>
        <v/>
      </c>
      <c r="J3723" s="16" t="str">
        <f aca="false">IF(B3723="","",IF(N3723=_xlfn.MINIFS($N$2:$N$5001,$B$2:$B$5001,B3723),1,0))</f>
        <v/>
      </c>
      <c r="K3723" s="16" t="str">
        <f aca="false">IF(B3723="","",IF(AND(D3723="Formalização",E3723="Concluído"),IF(COUNTIFS($B$2:$B$5001,B3723,$E$2:$E$5001,"Em ajustes",$N$2:$N$5001,"&lt;"&amp;I3723)&gt;0,1,0),0))</f>
        <v/>
      </c>
      <c r="L3723" s="16" t="str">
        <f aca="false">IF(B3723="","",IF(N3723=_xlfn.MAXIFS($N$2:$N$5001,$B$2:$B$5001,B3723,$I$2:$I$5001,I3723),1,0))</f>
        <v/>
      </c>
      <c r="M3723" s="16" t="str">
        <f aca="false">IF(B3723="","",IF(E3723="Em ajustes",IF(N3723=_xlfn.MINIFS($N$2:$N$5001,$B$2:$B$5001,B3723,$E$2:$E$5001,"Em ajustes"),1,0),0))</f>
        <v/>
      </c>
      <c r="N3723" s="17" t="str">
        <f aca="false">IF(A3723="","",IF(ISNUMBER(A3723),A3723,IFERROR(DATE(VALUE(MID(A3723,7,4)),VALUE(MID(A3723,4,2)),VALUE(MID(A3723,1,2)))+TIME(VALUE(MID(A3723,12,2)),VALUE(MID(A3723,15,2)),VALUE(MID(A3723,18,2))),"")))</f>
        <v/>
      </c>
    </row>
    <row r="3724" customFormat="false" ht="15" hidden="false" customHeight="false" outlineLevel="0" collapsed="false">
      <c r="I3724" s="15" t="str">
        <f aca="false">IF(N3724="","",INT(N3724))</f>
        <v/>
      </c>
      <c r="J3724" s="16" t="str">
        <f aca="false">IF(B3724="","",IF(N3724=_xlfn.MINIFS($N$2:$N$5001,$B$2:$B$5001,B3724),1,0))</f>
        <v/>
      </c>
      <c r="K3724" s="16" t="str">
        <f aca="false">IF(B3724="","",IF(AND(D3724="Formalização",E3724="Concluído"),IF(COUNTIFS($B$2:$B$5001,B3724,$E$2:$E$5001,"Em ajustes",$N$2:$N$5001,"&lt;"&amp;I3724)&gt;0,1,0),0))</f>
        <v/>
      </c>
      <c r="L3724" s="16" t="str">
        <f aca="false">IF(B3724="","",IF(N3724=_xlfn.MAXIFS($N$2:$N$5001,$B$2:$B$5001,B3724,$I$2:$I$5001,I3724),1,0))</f>
        <v/>
      </c>
      <c r="M3724" s="16" t="str">
        <f aca="false">IF(B3724="","",IF(E3724="Em ajustes",IF(N3724=_xlfn.MINIFS($N$2:$N$5001,$B$2:$B$5001,B3724,$E$2:$E$5001,"Em ajustes"),1,0),0))</f>
        <v/>
      </c>
      <c r="N3724" s="17" t="str">
        <f aca="false">IF(A3724="","",IF(ISNUMBER(A3724),A3724,IFERROR(DATE(VALUE(MID(A3724,7,4)),VALUE(MID(A3724,4,2)),VALUE(MID(A3724,1,2)))+TIME(VALUE(MID(A3724,12,2)),VALUE(MID(A3724,15,2)),VALUE(MID(A3724,18,2))),"")))</f>
        <v/>
      </c>
    </row>
    <row r="3725" customFormat="false" ht="15" hidden="false" customHeight="false" outlineLevel="0" collapsed="false">
      <c r="I3725" s="15" t="str">
        <f aca="false">IF(N3725="","",INT(N3725))</f>
        <v/>
      </c>
      <c r="J3725" s="16" t="str">
        <f aca="false">IF(B3725="","",IF(N3725=_xlfn.MINIFS($N$2:$N$5001,$B$2:$B$5001,B3725),1,0))</f>
        <v/>
      </c>
      <c r="K3725" s="16" t="str">
        <f aca="false">IF(B3725="","",IF(AND(D3725="Formalização",E3725="Concluído"),IF(COUNTIFS($B$2:$B$5001,B3725,$E$2:$E$5001,"Em ajustes",$N$2:$N$5001,"&lt;"&amp;I3725)&gt;0,1,0),0))</f>
        <v/>
      </c>
      <c r="L3725" s="16" t="str">
        <f aca="false">IF(B3725="","",IF(N3725=_xlfn.MAXIFS($N$2:$N$5001,$B$2:$B$5001,B3725,$I$2:$I$5001,I3725),1,0))</f>
        <v/>
      </c>
      <c r="M3725" s="16" t="str">
        <f aca="false">IF(B3725="","",IF(E3725="Em ajustes",IF(N3725=_xlfn.MINIFS($N$2:$N$5001,$B$2:$B$5001,B3725,$E$2:$E$5001,"Em ajustes"),1,0),0))</f>
        <v/>
      </c>
      <c r="N3725" s="17" t="str">
        <f aca="false">IF(A3725="","",IF(ISNUMBER(A3725),A3725,IFERROR(DATE(VALUE(MID(A3725,7,4)),VALUE(MID(A3725,4,2)),VALUE(MID(A3725,1,2)))+TIME(VALUE(MID(A3725,12,2)),VALUE(MID(A3725,15,2)),VALUE(MID(A3725,18,2))),"")))</f>
        <v/>
      </c>
    </row>
    <row r="3726" customFormat="false" ht="15" hidden="false" customHeight="false" outlineLevel="0" collapsed="false">
      <c r="I3726" s="15" t="str">
        <f aca="false">IF(N3726="","",INT(N3726))</f>
        <v/>
      </c>
      <c r="J3726" s="16" t="str">
        <f aca="false">IF(B3726="","",IF(N3726=_xlfn.MINIFS($N$2:$N$5001,$B$2:$B$5001,B3726),1,0))</f>
        <v/>
      </c>
      <c r="K3726" s="16" t="str">
        <f aca="false">IF(B3726="","",IF(AND(D3726="Formalização",E3726="Concluído"),IF(COUNTIFS($B$2:$B$5001,B3726,$E$2:$E$5001,"Em ajustes",$N$2:$N$5001,"&lt;"&amp;I3726)&gt;0,1,0),0))</f>
        <v/>
      </c>
      <c r="L3726" s="16" t="str">
        <f aca="false">IF(B3726="","",IF(N3726=_xlfn.MAXIFS($N$2:$N$5001,$B$2:$B$5001,B3726,$I$2:$I$5001,I3726),1,0))</f>
        <v/>
      </c>
      <c r="M3726" s="16" t="str">
        <f aca="false">IF(B3726="","",IF(E3726="Em ajustes",IF(N3726=_xlfn.MINIFS($N$2:$N$5001,$B$2:$B$5001,B3726,$E$2:$E$5001,"Em ajustes"),1,0),0))</f>
        <v/>
      </c>
      <c r="N3726" s="17" t="str">
        <f aca="false">IF(A3726="","",IF(ISNUMBER(A3726),A3726,IFERROR(DATE(VALUE(MID(A3726,7,4)),VALUE(MID(A3726,4,2)),VALUE(MID(A3726,1,2)))+TIME(VALUE(MID(A3726,12,2)),VALUE(MID(A3726,15,2)),VALUE(MID(A3726,18,2))),"")))</f>
        <v/>
      </c>
    </row>
    <row r="3727" customFormat="false" ht="15" hidden="false" customHeight="false" outlineLevel="0" collapsed="false">
      <c r="I3727" s="15" t="str">
        <f aca="false">IF(N3727="","",INT(N3727))</f>
        <v/>
      </c>
      <c r="J3727" s="16" t="str">
        <f aca="false">IF(B3727="","",IF(N3727=_xlfn.MINIFS($N$2:$N$5001,$B$2:$B$5001,B3727),1,0))</f>
        <v/>
      </c>
      <c r="K3727" s="16" t="str">
        <f aca="false">IF(B3727="","",IF(AND(D3727="Formalização",E3727="Concluído"),IF(COUNTIFS($B$2:$B$5001,B3727,$E$2:$E$5001,"Em ajustes",$N$2:$N$5001,"&lt;"&amp;I3727)&gt;0,1,0),0))</f>
        <v/>
      </c>
      <c r="L3727" s="16" t="str">
        <f aca="false">IF(B3727="","",IF(N3727=_xlfn.MAXIFS($N$2:$N$5001,$B$2:$B$5001,B3727,$I$2:$I$5001,I3727),1,0))</f>
        <v/>
      </c>
      <c r="M3727" s="16" t="str">
        <f aca="false">IF(B3727="","",IF(E3727="Em ajustes",IF(N3727=_xlfn.MINIFS($N$2:$N$5001,$B$2:$B$5001,B3727,$E$2:$E$5001,"Em ajustes"),1,0),0))</f>
        <v/>
      </c>
      <c r="N3727" s="17" t="str">
        <f aca="false">IF(A3727="","",IF(ISNUMBER(A3727),A3727,IFERROR(DATE(VALUE(MID(A3727,7,4)),VALUE(MID(A3727,4,2)),VALUE(MID(A3727,1,2)))+TIME(VALUE(MID(A3727,12,2)),VALUE(MID(A3727,15,2)),VALUE(MID(A3727,18,2))),"")))</f>
        <v/>
      </c>
    </row>
    <row r="3728" customFormat="false" ht="15" hidden="false" customHeight="false" outlineLevel="0" collapsed="false">
      <c r="I3728" s="15" t="str">
        <f aca="false">IF(N3728="","",INT(N3728))</f>
        <v/>
      </c>
      <c r="J3728" s="16" t="str">
        <f aca="false">IF(B3728="","",IF(N3728=_xlfn.MINIFS($N$2:$N$5001,$B$2:$B$5001,B3728),1,0))</f>
        <v/>
      </c>
      <c r="K3728" s="16" t="str">
        <f aca="false">IF(B3728="","",IF(AND(D3728="Formalização",E3728="Concluído"),IF(COUNTIFS($B$2:$B$5001,B3728,$E$2:$E$5001,"Em ajustes",$N$2:$N$5001,"&lt;"&amp;I3728)&gt;0,1,0),0))</f>
        <v/>
      </c>
      <c r="L3728" s="16" t="str">
        <f aca="false">IF(B3728="","",IF(N3728=_xlfn.MAXIFS($N$2:$N$5001,$B$2:$B$5001,B3728,$I$2:$I$5001,I3728),1,0))</f>
        <v/>
      </c>
      <c r="M3728" s="16" t="str">
        <f aca="false">IF(B3728="","",IF(E3728="Em ajustes",IF(N3728=_xlfn.MINIFS($N$2:$N$5001,$B$2:$B$5001,B3728,$E$2:$E$5001,"Em ajustes"),1,0),0))</f>
        <v/>
      </c>
      <c r="N3728" s="17" t="str">
        <f aca="false">IF(A3728="","",IF(ISNUMBER(A3728),A3728,IFERROR(DATE(VALUE(MID(A3728,7,4)),VALUE(MID(A3728,4,2)),VALUE(MID(A3728,1,2)))+TIME(VALUE(MID(A3728,12,2)),VALUE(MID(A3728,15,2)),VALUE(MID(A3728,18,2))),"")))</f>
        <v/>
      </c>
    </row>
    <row r="3729" customFormat="false" ht="15" hidden="false" customHeight="false" outlineLevel="0" collapsed="false">
      <c r="I3729" s="15" t="str">
        <f aca="false">IF(N3729="","",INT(N3729))</f>
        <v/>
      </c>
      <c r="J3729" s="16" t="str">
        <f aca="false">IF(B3729="","",IF(N3729=_xlfn.MINIFS($N$2:$N$5001,$B$2:$B$5001,B3729),1,0))</f>
        <v/>
      </c>
      <c r="K3729" s="16" t="str">
        <f aca="false">IF(B3729="","",IF(AND(D3729="Formalização",E3729="Concluído"),IF(COUNTIFS($B$2:$B$5001,B3729,$E$2:$E$5001,"Em ajustes",$N$2:$N$5001,"&lt;"&amp;I3729)&gt;0,1,0),0))</f>
        <v/>
      </c>
      <c r="L3729" s="16" t="str">
        <f aca="false">IF(B3729="","",IF(N3729=_xlfn.MAXIFS($N$2:$N$5001,$B$2:$B$5001,B3729,$I$2:$I$5001,I3729),1,0))</f>
        <v/>
      </c>
      <c r="M3729" s="16" t="str">
        <f aca="false">IF(B3729="","",IF(E3729="Em ajustes",IF(N3729=_xlfn.MINIFS($N$2:$N$5001,$B$2:$B$5001,B3729,$E$2:$E$5001,"Em ajustes"),1,0),0))</f>
        <v/>
      </c>
      <c r="N3729" s="17" t="str">
        <f aca="false">IF(A3729="","",IF(ISNUMBER(A3729),A3729,IFERROR(DATE(VALUE(MID(A3729,7,4)),VALUE(MID(A3729,4,2)),VALUE(MID(A3729,1,2)))+TIME(VALUE(MID(A3729,12,2)),VALUE(MID(A3729,15,2)),VALUE(MID(A3729,18,2))),"")))</f>
        <v/>
      </c>
    </row>
    <row r="3730" customFormat="false" ht="15" hidden="false" customHeight="false" outlineLevel="0" collapsed="false">
      <c r="I3730" s="15" t="str">
        <f aca="false">IF(N3730="","",INT(N3730))</f>
        <v/>
      </c>
      <c r="J3730" s="16" t="str">
        <f aca="false">IF(B3730="","",IF(N3730=_xlfn.MINIFS($N$2:$N$5001,$B$2:$B$5001,B3730),1,0))</f>
        <v/>
      </c>
      <c r="K3730" s="16" t="str">
        <f aca="false">IF(B3730="","",IF(AND(D3730="Formalização",E3730="Concluído"),IF(COUNTIFS($B$2:$B$5001,B3730,$E$2:$E$5001,"Em ajustes",$N$2:$N$5001,"&lt;"&amp;I3730)&gt;0,1,0),0))</f>
        <v/>
      </c>
      <c r="L3730" s="16" t="str">
        <f aca="false">IF(B3730="","",IF(N3730=_xlfn.MAXIFS($N$2:$N$5001,$B$2:$B$5001,B3730,$I$2:$I$5001,I3730),1,0))</f>
        <v/>
      </c>
      <c r="M3730" s="16" t="str">
        <f aca="false">IF(B3730="","",IF(E3730="Em ajustes",IF(N3730=_xlfn.MINIFS($N$2:$N$5001,$B$2:$B$5001,B3730,$E$2:$E$5001,"Em ajustes"),1,0),0))</f>
        <v/>
      </c>
      <c r="N3730" s="17" t="str">
        <f aca="false">IF(A3730="","",IF(ISNUMBER(A3730),A3730,IFERROR(DATE(VALUE(MID(A3730,7,4)),VALUE(MID(A3730,4,2)),VALUE(MID(A3730,1,2)))+TIME(VALUE(MID(A3730,12,2)),VALUE(MID(A3730,15,2)),VALUE(MID(A3730,18,2))),"")))</f>
        <v/>
      </c>
    </row>
    <row r="3731" customFormat="false" ht="15" hidden="false" customHeight="false" outlineLevel="0" collapsed="false">
      <c r="I3731" s="15" t="str">
        <f aca="false">IF(N3731="","",INT(N3731))</f>
        <v/>
      </c>
      <c r="J3731" s="16" t="str">
        <f aca="false">IF(B3731="","",IF(N3731=_xlfn.MINIFS($N$2:$N$5001,$B$2:$B$5001,B3731),1,0))</f>
        <v/>
      </c>
      <c r="K3731" s="16" t="str">
        <f aca="false">IF(B3731="","",IF(AND(D3731="Formalização",E3731="Concluído"),IF(COUNTIFS($B$2:$B$5001,B3731,$E$2:$E$5001,"Em ajustes",$N$2:$N$5001,"&lt;"&amp;I3731)&gt;0,1,0),0))</f>
        <v/>
      </c>
      <c r="L3731" s="16" t="str">
        <f aca="false">IF(B3731="","",IF(N3731=_xlfn.MAXIFS($N$2:$N$5001,$B$2:$B$5001,B3731,$I$2:$I$5001,I3731),1,0))</f>
        <v/>
      </c>
      <c r="M3731" s="16" t="str">
        <f aca="false">IF(B3731="","",IF(E3731="Em ajustes",IF(N3731=_xlfn.MINIFS($N$2:$N$5001,$B$2:$B$5001,B3731,$E$2:$E$5001,"Em ajustes"),1,0),0))</f>
        <v/>
      </c>
      <c r="N3731" s="17" t="str">
        <f aca="false">IF(A3731="","",IF(ISNUMBER(A3731),A3731,IFERROR(DATE(VALUE(MID(A3731,7,4)),VALUE(MID(A3731,4,2)),VALUE(MID(A3731,1,2)))+TIME(VALUE(MID(A3731,12,2)),VALUE(MID(A3731,15,2)),VALUE(MID(A3731,18,2))),"")))</f>
        <v/>
      </c>
    </row>
    <row r="3732" customFormat="false" ht="15" hidden="false" customHeight="false" outlineLevel="0" collapsed="false">
      <c r="I3732" s="15" t="str">
        <f aca="false">IF(N3732="","",INT(N3732))</f>
        <v/>
      </c>
      <c r="J3732" s="16" t="str">
        <f aca="false">IF(B3732="","",IF(N3732=_xlfn.MINIFS($N$2:$N$5001,$B$2:$B$5001,B3732),1,0))</f>
        <v/>
      </c>
      <c r="K3732" s="16" t="str">
        <f aca="false">IF(B3732="","",IF(AND(D3732="Formalização",E3732="Concluído"),IF(COUNTIFS($B$2:$B$5001,B3732,$E$2:$E$5001,"Em ajustes",$N$2:$N$5001,"&lt;"&amp;I3732)&gt;0,1,0),0))</f>
        <v/>
      </c>
      <c r="L3732" s="16" t="str">
        <f aca="false">IF(B3732="","",IF(N3732=_xlfn.MAXIFS($N$2:$N$5001,$B$2:$B$5001,B3732,$I$2:$I$5001,I3732),1,0))</f>
        <v/>
      </c>
      <c r="M3732" s="16" t="str">
        <f aca="false">IF(B3732="","",IF(E3732="Em ajustes",IF(N3732=_xlfn.MINIFS($N$2:$N$5001,$B$2:$B$5001,B3732,$E$2:$E$5001,"Em ajustes"),1,0),0))</f>
        <v/>
      </c>
      <c r="N3732" s="17" t="str">
        <f aca="false">IF(A3732="","",IF(ISNUMBER(A3732),A3732,IFERROR(DATE(VALUE(MID(A3732,7,4)),VALUE(MID(A3732,4,2)),VALUE(MID(A3732,1,2)))+TIME(VALUE(MID(A3732,12,2)),VALUE(MID(A3732,15,2)),VALUE(MID(A3732,18,2))),"")))</f>
        <v/>
      </c>
    </row>
    <row r="3733" customFormat="false" ht="15" hidden="false" customHeight="false" outlineLevel="0" collapsed="false">
      <c r="I3733" s="15" t="str">
        <f aca="false">IF(N3733="","",INT(N3733))</f>
        <v/>
      </c>
      <c r="J3733" s="16" t="str">
        <f aca="false">IF(B3733="","",IF(N3733=_xlfn.MINIFS($N$2:$N$5001,$B$2:$B$5001,B3733),1,0))</f>
        <v/>
      </c>
      <c r="K3733" s="16" t="str">
        <f aca="false">IF(B3733="","",IF(AND(D3733="Formalização",E3733="Concluído"),IF(COUNTIFS($B$2:$B$5001,B3733,$E$2:$E$5001,"Em ajustes",$N$2:$N$5001,"&lt;"&amp;I3733)&gt;0,1,0),0))</f>
        <v/>
      </c>
      <c r="L3733" s="16" t="str">
        <f aca="false">IF(B3733="","",IF(N3733=_xlfn.MAXIFS($N$2:$N$5001,$B$2:$B$5001,B3733,$I$2:$I$5001,I3733),1,0))</f>
        <v/>
      </c>
      <c r="M3733" s="16" t="str">
        <f aca="false">IF(B3733="","",IF(E3733="Em ajustes",IF(N3733=_xlfn.MINIFS($N$2:$N$5001,$B$2:$B$5001,B3733,$E$2:$E$5001,"Em ajustes"),1,0),0))</f>
        <v/>
      </c>
      <c r="N3733" s="17" t="str">
        <f aca="false">IF(A3733="","",IF(ISNUMBER(A3733),A3733,IFERROR(DATE(VALUE(MID(A3733,7,4)),VALUE(MID(A3733,4,2)),VALUE(MID(A3733,1,2)))+TIME(VALUE(MID(A3733,12,2)),VALUE(MID(A3733,15,2)),VALUE(MID(A3733,18,2))),"")))</f>
        <v/>
      </c>
    </row>
    <row r="3734" customFormat="false" ht="15" hidden="false" customHeight="false" outlineLevel="0" collapsed="false">
      <c r="I3734" s="15" t="str">
        <f aca="false">IF(N3734="","",INT(N3734))</f>
        <v/>
      </c>
      <c r="J3734" s="16" t="str">
        <f aca="false">IF(B3734="","",IF(N3734=_xlfn.MINIFS($N$2:$N$5001,$B$2:$B$5001,B3734),1,0))</f>
        <v/>
      </c>
      <c r="K3734" s="16" t="str">
        <f aca="false">IF(B3734="","",IF(AND(D3734="Formalização",E3734="Concluído"),IF(COUNTIFS($B$2:$B$5001,B3734,$E$2:$E$5001,"Em ajustes",$N$2:$N$5001,"&lt;"&amp;I3734)&gt;0,1,0),0))</f>
        <v/>
      </c>
      <c r="L3734" s="16" t="str">
        <f aca="false">IF(B3734="","",IF(N3734=_xlfn.MAXIFS($N$2:$N$5001,$B$2:$B$5001,B3734,$I$2:$I$5001,I3734),1,0))</f>
        <v/>
      </c>
      <c r="M3734" s="16" t="str">
        <f aca="false">IF(B3734="","",IF(E3734="Em ajustes",IF(N3734=_xlfn.MINIFS($N$2:$N$5001,$B$2:$B$5001,B3734,$E$2:$E$5001,"Em ajustes"),1,0),0))</f>
        <v/>
      </c>
      <c r="N3734" s="17" t="str">
        <f aca="false">IF(A3734="","",IF(ISNUMBER(A3734),A3734,IFERROR(DATE(VALUE(MID(A3734,7,4)),VALUE(MID(A3734,4,2)),VALUE(MID(A3734,1,2)))+TIME(VALUE(MID(A3734,12,2)),VALUE(MID(A3734,15,2)),VALUE(MID(A3734,18,2))),"")))</f>
        <v/>
      </c>
    </row>
    <row r="3735" customFormat="false" ht="15" hidden="false" customHeight="false" outlineLevel="0" collapsed="false">
      <c r="I3735" s="15" t="str">
        <f aca="false">IF(N3735="","",INT(N3735))</f>
        <v/>
      </c>
      <c r="J3735" s="16" t="str">
        <f aca="false">IF(B3735="","",IF(N3735=_xlfn.MINIFS($N$2:$N$5001,$B$2:$B$5001,B3735),1,0))</f>
        <v/>
      </c>
      <c r="K3735" s="16" t="str">
        <f aca="false">IF(B3735="","",IF(AND(D3735="Formalização",E3735="Concluído"),IF(COUNTIFS($B$2:$B$5001,B3735,$E$2:$E$5001,"Em ajustes",$N$2:$N$5001,"&lt;"&amp;I3735)&gt;0,1,0),0))</f>
        <v/>
      </c>
      <c r="L3735" s="16" t="str">
        <f aca="false">IF(B3735="","",IF(N3735=_xlfn.MAXIFS($N$2:$N$5001,$B$2:$B$5001,B3735,$I$2:$I$5001,I3735),1,0))</f>
        <v/>
      </c>
      <c r="M3735" s="16" t="str">
        <f aca="false">IF(B3735="","",IF(E3735="Em ajustes",IF(N3735=_xlfn.MINIFS($N$2:$N$5001,$B$2:$B$5001,B3735,$E$2:$E$5001,"Em ajustes"),1,0),0))</f>
        <v/>
      </c>
      <c r="N3735" s="17" t="str">
        <f aca="false">IF(A3735="","",IF(ISNUMBER(A3735),A3735,IFERROR(DATE(VALUE(MID(A3735,7,4)),VALUE(MID(A3735,4,2)),VALUE(MID(A3735,1,2)))+TIME(VALUE(MID(A3735,12,2)),VALUE(MID(A3735,15,2)),VALUE(MID(A3735,18,2))),"")))</f>
        <v/>
      </c>
    </row>
    <row r="3736" customFormat="false" ht="15" hidden="false" customHeight="false" outlineLevel="0" collapsed="false">
      <c r="I3736" s="15" t="str">
        <f aca="false">IF(N3736="","",INT(N3736))</f>
        <v/>
      </c>
      <c r="J3736" s="16" t="str">
        <f aca="false">IF(B3736="","",IF(N3736=_xlfn.MINIFS($N$2:$N$5001,$B$2:$B$5001,B3736),1,0))</f>
        <v/>
      </c>
      <c r="K3736" s="16" t="str">
        <f aca="false">IF(B3736="","",IF(AND(D3736="Formalização",E3736="Concluído"),IF(COUNTIFS($B$2:$B$5001,B3736,$E$2:$E$5001,"Em ajustes",$N$2:$N$5001,"&lt;"&amp;I3736)&gt;0,1,0),0))</f>
        <v/>
      </c>
      <c r="L3736" s="16" t="str">
        <f aca="false">IF(B3736="","",IF(N3736=_xlfn.MAXIFS($N$2:$N$5001,$B$2:$B$5001,B3736,$I$2:$I$5001,I3736),1,0))</f>
        <v/>
      </c>
      <c r="M3736" s="16" t="str">
        <f aca="false">IF(B3736="","",IF(E3736="Em ajustes",IF(N3736=_xlfn.MINIFS($N$2:$N$5001,$B$2:$B$5001,B3736,$E$2:$E$5001,"Em ajustes"),1,0),0))</f>
        <v/>
      </c>
      <c r="N3736" s="17" t="str">
        <f aca="false">IF(A3736="","",IF(ISNUMBER(A3736),A3736,IFERROR(DATE(VALUE(MID(A3736,7,4)),VALUE(MID(A3736,4,2)),VALUE(MID(A3736,1,2)))+TIME(VALUE(MID(A3736,12,2)),VALUE(MID(A3736,15,2)),VALUE(MID(A3736,18,2))),"")))</f>
        <v/>
      </c>
    </row>
    <row r="3737" customFormat="false" ht="15" hidden="false" customHeight="false" outlineLevel="0" collapsed="false">
      <c r="I3737" s="15" t="str">
        <f aca="false">IF(N3737="","",INT(N3737))</f>
        <v/>
      </c>
      <c r="J3737" s="16" t="str">
        <f aca="false">IF(B3737="","",IF(N3737=_xlfn.MINIFS($N$2:$N$5001,$B$2:$B$5001,B3737),1,0))</f>
        <v/>
      </c>
      <c r="K3737" s="16" t="str">
        <f aca="false">IF(B3737="","",IF(AND(D3737="Formalização",E3737="Concluído"),IF(COUNTIFS($B$2:$B$5001,B3737,$E$2:$E$5001,"Em ajustes",$N$2:$N$5001,"&lt;"&amp;I3737)&gt;0,1,0),0))</f>
        <v/>
      </c>
      <c r="L3737" s="16" t="str">
        <f aca="false">IF(B3737="","",IF(N3737=_xlfn.MAXIFS($N$2:$N$5001,$B$2:$B$5001,B3737,$I$2:$I$5001,I3737),1,0))</f>
        <v/>
      </c>
      <c r="M3737" s="16" t="str">
        <f aca="false">IF(B3737="","",IF(E3737="Em ajustes",IF(N3737=_xlfn.MINIFS($N$2:$N$5001,$B$2:$B$5001,B3737,$E$2:$E$5001,"Em ajustes"),1,0),0))</f>
        <v/>
      </c>
      <c r="N3737" s="17" t="str">
        <f aca="false">IF(A3737="","",IF(ISNUMBER(A3737),A3737,IFERROR(DATE(VALUE(MID(A3737,7,4)),VALUE(MID(A3737,4,2)),VALUE(MID(A3737,1,2)))+TIME(VALUE(MID(A3737,12,2)),VALUE(MID(A3737,15,2)),VALUE(MID(A3737,18,2))),"")))</f>
        <v/>
      </c>
    </row>
    <row r="3738" customFormat="false" ht="15" hidden="false" customHeight="false" outlineLevel="0" collapsed="false">
      <c r="I3738" s="15" t="str">
        <f aca="false">IF(N3738="","",INT(N3738))</f>
        <v/>
      </c>
      <c r="J3738" s="16" t="str">
        <f aca="false">IF(B3738="","",IF(N3738=_xlfn.MINIFS($N$2:$N$5001,$B$2:$B$5001,B3738),1,0))</f>
        <v/>
      </c>
      <c r="K3738" s="16" t="str">
        <f aca="false">IF(B3738="","",IF(AND(D3738="Formalização",E3738="Concluído"),IF(COUNTIFS($B$2:$B$5001,B3738,$E$2:$E$5001,"Em ajustes",$N$2:$N$5001,"&lt;"&amp;I3738)&gt;0,1,0),0))</f>
        <v/>
      </c>
      <c r="L3738" s="16" t="str">
        <f aca="false">IF(B3738="","",IF(N3738=_xlfn.MAXIFS($N$2:$N$5001,$B$2:$B$5001,B3738,$I$2:$I$5001,I3738),1,0))</f>
        <v/>
      </c>
      <c r="M3738" s="16" t="str">
        <f aca="false">IF(B3738="","",IF(E3738="Em ajustes",IF(N3738=_xlfn.MINIFS($N$2:$N$5001,$B$2:$B$5001,B3738,$E$2:$E$5001,"Em ajustes"),1,0),0))</f>
        <v/>
      </c>
      <c r="N3738" s="17" t="str">
        <f aca="false">IF(A3738="","",IF(ISNUMBER(A3738),A3738,IFERROR(DATE(VALUE(MID(A3738,7,4)),VALUE(MID(A3738,4,2)),VALUE(MID(A3738,1,2)))+TIME(VALUE(MID(A3738,12,2)),VALUE(MID(A3738,15,2)),VALUE(MID(A3738,18,2))),"")))</f>
        <v/>
      </c>
    </row>
    <row r="3739" customFormat="false" ht="15" hidden="false" customHeight="false" outlineLevel="0" collapsed="false">
      <c r="I3739" s="15" t="str">
        <f aca="false">IF(N3739="","",INT(N3739))</f>
        <v/>
      </c>
      <c r="J3739" s="16" t="str">
        <f aca="false">IF(B3739="","",IF(N3739=_xlfn.MINIFS($N$2:$N$5001,$B$2:$B$5001,B3739),1,0))</f>
        <v/>
      </c>
      <c r="K3739" s="16" t="str">
        <f aca="false">IF(B3739="","",IF(AND(D3739="Formalização",E3739="Concluído"),IF(COUNTIFS($B$2:$B$5001,B3739,$E$2:$E$5001,"Em ajustes",$N$2:$N$5001,"&lt;"&amp;I3739)&gt;0,1,0),0))</f>
        <v/>
      </c>
      <c r="L3739" s="16" t="str">
        <f aca="false">IF(B3739="","",IF(N3739=_xlfn.MAXIFS($N$2:$N$5001,$B$2:$B$5001,B3739,$I$2:$I$5001,I3739),1,0))</f>
        <v/>
      </c>
      <c r="M3739" s="16" t="str">
        <f aca="false">IF(B3739="","",IF(E3739="Em ajustes",IF(N3739=_xlfn.MINIFS($N$2:$N$5001,$B$2:$B$5001,B3739,$E$2:$E$5001,"Em ajustes"),1,0),0))</f>
        <v/>
      </c>
      <c r="N3739" s="17" t="str">
        <f aca="false">IF(A3739="","",IF(ISNUMBER(A3739),A3739,IFERROR(DATE(VALUE(MID(A3739,7,4)),VALUE(MID(A3739,4,2)),VALUE(MID(A3739,1,2)))+TIME(VALUE(MID(A3739,12,2)),VALUE(MID(A3739,15,2)),VALUE(MID(A3739,18,2))),"")))</f>
        <v/>
      </c>
    </row>
    <row r="3740" customFormat="false" ht="15" hidden="false" customHeight="false" outlineLevel="0" collapsed="false">
      <c r="I3740" s="15" t="str">
        <f aca="false">IF(N3740="","",INT(N3740))</f>
        <v/>
      </c>
      <c r="J3740" s="16" t="str">
        <f aca="false">IF(B3740="","",IF(N3740=_xlfn.MINIFS($N$2:$N$5001,$B$2:$B$5001,B3740),1,0))</f>
        <v/>
      </c>
      <c r="K3740" s="16" t="str">
        <f aca="false">IF(B3740="","",IF(AND(D3740="Formalização",E3740="Concluído"),IF(COUNTIFS($B$2:$B$5001,B3740,$E$2:$E$5001,"Em ajustes",$N$2:$N$5001,"&lt;"&amp;I3740)&gt;0,1,0),0))</f>
        <v/>
      </c>
      <c r="L3740" s="16" t="str">
        <f aca="false">IF(B3740="","",IF(N3740=_xlfn.MAXIFS($N$2:$N$5001,$B$2:$B$5001,B3740,$I$2:$I$5001,I3740),1,0))</f>
        <v/>
      </c>
      <c r="M3740" s="16" t="str">
        <f aca="false">IF(B3740="","",IF(E3740="Em ajustes",IF(N3740=_xlfn.MINIFS($N$2:$N$5001,$B$2:$B$5001,B3740,$E$2:$E$5001,"Em ajustes"),1,0),0))</f>
        <v/>
      </c>
      <c r="N3740" s="17" t="str">
        <f aca="false">IF(A3740="","",IF(ISNUMBER(A3740),A3740,IFERROR(DATE(VALUE(MID(A3740,7,4)),VALUE(MID(A3740,4,2)),VALUE(MID(A3740,1,2)))+TIME(VALUE(MID(A3740,12,2)),VALUE(MID(A3740,15,2)),VALUE(MID(A3740,18,2))),"")))</f>
        <v/>
      </c>
    </row>
    <row r="3741" customFormat="false" ht="15" hidden="false" customHeight="false" outlineLevel="0" collapsed="false">
      <c r="I3741" s="15" t="str">
        <f aca="false">IF(N3741="","",INT(N3741))</f>
        <v/>
      </c>
      <c r="J3741" s="16" t="str">
        <f aca="false">IF(B3741="","",IF(N3741=_xlfn.MINIFS($N$2:$N$5001,$B$2:$B$5001,B3741),1,0))</f>
        <v/>
      </c>
      <c r="K3741" s="16" t="str">
        <f aca="false">IF(B3741="","",IF(AND(D3741="Formalização",E3741="Concluído"),IF(COUNTIFS($B$2:$B$5001,B3741,$E$2:$E$5001,"Em ajustes",$N$2:$N$5001,"&lt;"&amp;I3741)&gt;0,1,0),0))</f>
        <v/>
      </c>
      <c r="L3741" s="16" t="str">
        <f aca="false">IF(B3741="","",IF(N3741=_xlfn.MAXIFS($N$2:$N$5001,$B$2:$B$5001,B3741,$I$2:$I$5001,I3741),1,0))</f>
        <v/>
      </c>
      <c r="M3741" s="16" t="str">
        <f aca="false">IF(B3741="","",IF(E3741="Em ajustes",IF(N3741=_xlfn.MINIFS($N$2:$N$5001,$B$2:$B$5001,B3741,$E$2:$E$5001,"Em ajustes"),1,0),0))</f>
        <v/>
      </c>
      <c r="N3741" s="17" t="str">
        <f aca="false">IF(A3741="","",IF(ISNUMBER(A3741),A3741,IFERROR(DATE(VALUE(MID(A3741,7,4)),VALUE(MID(A3741,4,2)),VALUE(MID(A3741,1,2)))+TIME(VALUE(MID(A3741,12,2)),VALUE(MID(A3741,15,2)),VALUE(MID(A3741,18,2))),"")))</f>
        <v/>
      </c>
    </row>
    <row r="3742" customFormat="false" ht="15" hidden="false" customHeight="false" outlineLevel="0" collapsed="false">
      <c r="I3742" s="15" t="str">
        <f aca="false">IF(N3742="","",INT(N3742))</f>
        <v/>
      </c>
      <c r="J3742" s="16" t="str">
        <f aca="false">IF(B3742="","",IF(N3742=_xlfn.MINIFS($N$2:$N$5001,$B$2:$B$5001,B3742),1,0))</f>
        <v/>
      </c>
      <c r="K3742" s="16" t="str">
        <f aca="false">IF(B3742="","",IF(AND(D3742="Formalização",E3742="Concluído"),IF(COUNTIFS($B$2:$B$5001,B3742,$E$2:$E$5001,"Em ajustes",$N$2:$N$5001,"&lt;"&amp;I3742)&gt;0,1,0),0))</f>
        <v/>
      </c>
      <c r="L3742" s="16" t="str">
        <f aca="false">IF(B3742="","",IF(N3742=_xlfn.MAXIFS($N$2:$N$5001,$B$2:$B$5001,B3742,$I$2:$I$5001,I3742),1,0))</f>
        <v/>
      </c>
      <c r="M3742" s="16" t="str">
        <f aca="false">IF(B3742="","",IF(E3742="Em ajustes",IF(N3742=_xlfn.MINIFS($N$2:$N$5001,$B$2:$B$5001,B3742,$E$2:$E$5001,"Em ajustes"),1,0),0))</f>
        <v/>
      </c>
      <c r="N3742" s="17" t="str">
        <f aca="false">IF(A3742="","",IF(ISNUMBER(A3742),A3742,IFERROR(DATE(VALUE(MID(A3742,7,4)),VALUE(MID(A3742,4,2)),VALUE(MID(A3742,1,2)))+TIME(VALUE(MID(A3742,12,2)),VALUE(MID(A3742,15,2)),VALUE(MID(A3742,18,2))),"")))</f>
        <v/>
      </c>
    </row>
    <row r="3743" customFormat="false" ht="15" hidden="false" customHeight="false" outlineLevel="0" collapsed="false">
      <c r="I3743" s="15" t="str">
        <f aca="false">IF(N3743="","",INT(N3743))</f>
        <v/>
      </c>
      <c r="J3743" s="16" t="str">
        <f aca="false">IF(B3743="","",IF(N3743=_xlfn.MINIFS($N$2:$N$5001,$B$2:$B$5001,B3743),1,0))</f>
        <v/>
      </c>
      <c r="K3743" s="16" t="str">
        <f aca="false">IF(B3743="","",IF(AND(D3743="Formalização",E3743="Concluído"),IF(COUNTIFS($B$2:$B$5001,B3743,$E$2:$E$5001,"Em ajustes",$N$2:$N$5001,"&lt;"&amp;I3743)&gt;0,1,0),0))</f>
        <v/>
      </c>
      <c r="L3743" s="16" t="str">
        <f aca="false">IF(B3743="","",IF(N3743=_xlfn.MAXIFS($N$2:$N$5001,$B$2:$B$5001,B3743,$I$2:$I$5001,I3743),1,0))</f>
        <v/>
      </c>
      <c r="M3743" s="16" t="str">
        <f aca="false">IF(B3743="","",IF(E3743="Em ajustes",IF(N3743=_xlfn.MINIFS($N$2:$N$5001,$B$2:$B$5001,B3743,$E$2:$E$5001,"Em ajustes"),1,0),0))</f>
        <v/>
      </c>
      <c r="N3743" s="17" t="str">
        <f aca="false">IF(A3743="","",IF(ISNUMBER(A3743),A3743,IFERROR(DATE(VALUE(MID(A3743,7,4)),VALUE(MID(A3743,4,2)),VALUE(MID(A3743,1,2)))+TIME(VALUE(MID(A3743,12,2)),VALUE(MID(A3743,15,2)),VALUE(MID(A3743,18,2))),"")))</f>
        <v/>
      </c>
    </row>
    <row r="3744" customFormat="false" ht="15" hidden="false" customHeight="false" outlineLevel="0" collapsed="false">
      <c r="I3744" s="15" t="str">
        <f aca="false">IF(N3744="","",INT(N3744))</f>
        <v/>
      </c>
      <c r="J3744" s="16" t="str">
        <f aca="false">IF(B3744="","",IF(N3744=_xlfn.MINIFS($N$2:$N$5001,$B$2:$B$5001,B3744),1,0))</f>
        <v/>
      </c>
      <c r="K3744" s="16" t="str">
        <f aca="false">IF(B3744="","",IF(AND(D3744="Formalização",E3744="Concluído"),IF(COUNTIFS($B$2:$B$5001,B3744,$E$2:$E$5001,"Em ajustes",$N$2:$N$5001,"&lt;"&amp;I3744)&gt;0,1,0),0))</f>
        <v/>
      </c>
      <c r="L3744" s="16" t="str">
        <f aca="false">IF(B3744="","",IF(N3744=_xlfn.MAXIFS($N$2:$N$5001,$B$2:$B$5001,B3744,$I$2:$I$5001,I3744),1,0))</f>
        <v/>
      </c>
      <c r="M3744" s="16" t="str">
        <f aca="false">IF(B3744="","",IF(E3744="Em ajustes",IF(N3744=_xlfn.MINIFS($N$2:$N$5001,$B$2:$B$5001,B3744,$E$2:$E$5001,"Em ajustes"),1,0),0))</f>
        <v/>
      </c>
      <c r="N3744" s="17" t="str">
        <f aca="false">IF(A3744="","",IF(ISNUMBER(A3744),A3744,IFERROR(DATE(VALUE(MID(A3744,7,4)),VALUE(MID(A3744,4,2)),VALUE(MID(A3744,1,2)))+TIME(VALUE(MID(A3744,12,2)),VALUE(MID(A3744,15,2)),VALUE(MID(A3744,18,2))),"")))</f>
        <v/>
      </c>
    </row>
    <row r="3745" customFormat="false" ht="15" hidden="false" customHeight="false" outlineLevel="0" collapsed="false">
      <c r="I3745" s="15" t="str">
        <f aca="false">IF(N3745="","",INT(N3745))</f>
        <v/>
      </c>
      <c r="J3745" s="16" t="str">
        <f aca="false">IF(B3745="","",IF(N3745=_xlfn.MINIFS($N$2:$N$5001,$B$2:$B$5001,B3745),1,0))</f>
        <v/>
      </c>
      <c r="K3745" s="16" t="str">
        <f aca="false">IF(B3745="","",IF(AND(D3745="Formalização",E3745="Concluído"),IF(COUNTIFS($B$2:$B$5001,B3745,$E$2:$E$5001,"Em ajustes",$N$2:$N$5001,"&lt;"&amp;I3745)&gt;0,1,0),0))</f>
        <v/>
      </c>
      <c r="L3745" s="16" t="str">
        <f aca="false">IF(B3745="","",IF(N3745=_xlfn.MAXIFS($N$2:$N$5001,$B$2:$B$5001,B3745,$I$2:$I$5001,I3745),1,0))</f>
        <v/>
      </c>
      <c r="M3745" s="16" t="str">
        <f aca="false">IF(B3745="","",IF(E3745="Em ajustes",IF(N3745=_xlfn.MINIFS($N$2:$N$5001,$B$2:$B$5001,B3745,$E$2:$E$5001,"Em ajustes"),1,0),0))</f>
        <v/>
      </c>
      <c r="N3745" s="17" t="str">
        <f aca="false">IF(A3745="","",IF(ISNUMBER(A3745),A3745,IFERROR(DATE(VALUE(MID(A3745,7,4)),VALUE(MID(A3745,4,2)),VALUE(MID(A3745,1,2)))+TIME(VALUE(MID(A3745,12,2)),VALUE(MID(A3745,15,2)),VALUE(MID(A3745,18,2))),"")))</f>
        <v/>
      </c>
    </row>
    <row r="3746" customFormat="false" ht="15" hidden="false" customHeight="false" outlineLevel="0" collapsed="false">
      <c r="I3746" s="15" t="str">
        <f aca="false">IF(N3746="","",INT(N3746))</f>
        <v/>
      </c>
      <c r="J3746" s="16" t="str">
        <f aca="false">IF(B3746="","",IF(N3746=_xlfn.MINIFS($N$2:$N$5001,$B$2:$B$5001,B3746),1,0))</f>
        <v/>
      </c>
      <c r="K3746" s="16" t="str">
        <f aca="false">IF(B3746="","",IF(AND(D3746="Formalização",E3746="Concluído"),IF(COUNTIFS($B$2:$B$5001,B3746,$E$2:$E$5001,"Em ajustes",$N$2:$N$5001,"&lt;"&amp;I3746)&gt;0,1,0),0))</f>
        <v/>
      </c>
      <c r="L3746" s="16" t="str">
        <f aca="false">IF(B3746="","",IF(N3746=_xlfn.MAXIFS($N$2:$N$5001,$B$2:$B$5001,B3746,$I$2:$I$5001,I3746),1,0))</f>
        <v/>
      </c>
      <c r="M3746" s="16" t="str">
        <f aca="false">IF(B3746="","",IF(E3746="Em ajustes",IF(N3746=_xlfn.MINIFS($N$2:$N$5001,$B$2:$B$5001,B3746,$E$2:$E$5001,"Em ajustes"),1,0),0))</f>
        <v/>
      </c>
      <c r="N3746" s="17" t="str">
        <f aca="false">IF(A3746="","",IF(ISNUMBER(A3746),A3746,IFERROR(DATE(VALUE(MID(A3746,7,4)),VALUE(MID(A3746,4,2)),VALUE(MID(A3746,1,2)))+TIME(VALUE(MID(A3746,12,2)),VALUE(MID(A3746,15,2)),VALUE(MID(A3746,18,2))),"")))</f>
        <v/>
      </c>
    </row>
    <row r="3747" customFormat="false" ht="15" hidden="false" customHeight="false" outlineLevel="0" collapsed="false">
      <c r="I3747" s="15" t="str">
        <f aca="false">IF(N3747="","",INT(N3747))</f>
        <v/>
      </c>
      <c r="J3747" s="16" t="str">
        <f aca="false">IF(B3747="","",IF(N3747=_xlfn.MINIFS($N$2:$N$5001,$B$2:$B$5001,B3747),1,0))</f>
        <v/>
      </c>
      <c r="K3747" s="16" t="str">
        <f aca="false">IF(B3747="","",IF(AND(D3747="Formalização",E3747="Concluído"),IF(COUNTIFS($B$2:$B$5001,B3747,$E$2:$E$5001,"Em ajustes",$N$2:$N$5001,"&lt;"&amp;I3747)&gt;0,1,0),0))</f>
        <v/>
      </c>
      <c r="L3747" s="16" t="str">
        <f aca="false">IF(B3747="","",IF(N3747=_xlfn.MAXIFS($N$2:$N$5001,$B$2:$B$5001,B3747,$I$2:$I$5001,I3747),1,0))</f>
        <v/>
      </c>
      <c r="M3747" s="16" t="str">
        <f aca="false">IF(B3747="","",IF(E3747="Em ajustes",IF(N3747=_xlfn.MINIFS($N$2:$N$5001,$B$2:$B$5001,B3747,$E$2:$E$5001,"Em ajustes"),1,0),0))</f>
        <v/>
      </c>
      <c r="N3747" s="17" t="str">
        <f aca="false">IF(A3747="","",IF(ISNUMBER(A3747),A3747,IFERROR(DATE(VALUE(MID(A3747,7,4)),VALUE(MID(A3747,4,2)),VALUE(MID(A3747,1,2)))+TIME(VALUE(MID(A3747,12,2)),VALUE(MID(A3747,15,2)),VALUE(MID(A3747,18,2))),"")))</f>
        <v/>
      </c>
    </row>
    <row r="3748" customFormat="false" ht="15" hidden="false" customHeight="false" outlineLevel="0" collapsed="false">
      <c r="I3748" s="15" t="str">
        <f aca="false">IF(N3748="","",INT(N3748))</f>
        <v/>
      </c>
      <c r="J3748" s="16" t="str">
        <f aca="false">IF(B3748="","",IF(N3748=_xlfn.MINIFS($N$2:$N$5001,$B$2:$B$5001,B3748),1,0))</f>
        <v/>
      </c>
      <c r="K3748" s="16" t="str">
        <f aca="false">IF(B3748="","",IF(AND(D3748="Formalização",E3748="Concluído"),IF(COUNTIFS($B$2:$B$5001,B3748,$E$2:$E$5001,"Em ajustes",$N$2:$N$5001,"&lt;"&amp;I3748)&gt;0,1,0),0))</f>
        <v/>
      </c>
      <c r="L3748" s="16" t="str">
        <f aca="false">IF(B3748="","",IF(N3748=_xlfn.MAXIFS($N$2:$N$5001,$B$2:$B$5001,B3748,$I$2:$I$5001,I3748),1,0))</f>
        <v/>
      </c>
      <c r="M3748" s="16" t="str">
        <f aca="false">IF(B3748="","",IF(E3748="Em ajustes",IF(N3748=_xlfn.MINIFS($N$2:$N$5001,$B$2:$B$5001,B3748,$E$2:$E$5001,"Em ajustes"),1,0),0))</f>
        <v/>
      </c>
      <c r="N3748" s="17" t="str">
        <f aca="false">IF(A3748="","",IF(ISNUMBER(A3748),A3748,IFERROR(DATE(VALUE(MID(A3748,7,4)),VALUE(MID(A3748,4,2)),VALUE(MID(A3748,1,2)))+TIME(VALUE(MID(A3748,12,2)),VALUE(MID(A3748,15,2)),VALUE(MID(A3748,18,2))),"")))</f>
        <v/>
      </c>
    </row>
    <row r="3749" customFormat="false" ht="15" hidden="false" customHeight="false" outlineLevel="0" collapsed="false">
      <c r="I3749" s="15" t="str">
        <f aca="false">IF(N3749="","",INT(N3749))</f>
        <v/>
      </c>
      <c r="J3749" s="16" t="str">
        <f aca="false">IF(B3749="","",IF(N3749=_xlfn.MINIFS($N$2:$N$5001,$B$2:$B$5001,B3749),1,0))</f>
        <v/>
      </c>
      <c r="K3749" s="16" t="str">
        <f aca="false">IF(B3749="","",IF(AND(D3749="Formalização",E3749="Concluído"),IF(COUNTIFS($B$2:$B$5001,B3749,$E$2:$E$5001,"Em ajustes",$N$2:$N$5001,"&lt;"&amp;I3749)&gt;0,1,0),0))</f>
        <v/>
      </c>
      <c r="L3749" s="16" t="str">
        <f aca="false">IF(B3749="","",IF(N3749=_xlfn.MAXIFS($N$2:$N$5001,$B$2:$B$5001,B3749,$I$2:$I$5001,I3749),1,0))</f>
        <v/>
      </c>
      <c r="M3749" s="16" t="str">
        <f aca="false">IF(B3749="","",IF(E3749="Em ajustes",IF(N3749=_xlfn.MINIFS($N$2:$N$5001,$B$2:$B$5001,B3749,$E$2:$E$5001,"Em ajustes"),1,0),0))</f>
        <v/>
      </c>
      <c r="N3749" s="17" t="str">
        <f aca="false">IF(A3749="","",IF(ISNUMBER(A3749),A3749,IFERROR(DATE(VALUE(MID(A3749,7,4)),VALUE(MID(A3749,4,2)),VALUE(MID(A3749,1,2)))+TIME(VALUE(MID(A3749,12,2)),VALUE(MID(A3749,15,2)),VALUE(MID(A3749,18,2))),"")))</f>
        <v/>
      </c>
    </row>
    <row r="3750" customFormat="false" ht="15" hidden="false" customHeight="false" outlineLevel="0" collapsed="false">
      <c r="I3750" s="15" t="str">
        <f aca="false">IF(N3750="","",INT(N3750))</f>
        <v/>
      </c>
      <c r="J3750" s="16" t="str">
        <f aca="false">IF(B3750="","",IF(N3750=_xlfn.MINIFS($N$2:$N$5001,$B$2:$B$5001,B3750),1,0))</f>
        <v/>
      </c>
      <c r="K3750" s="16" t="str">
        <f aca="false">IF(B3750="","",IF(AND(D3750="Formalização",E3750="Concluído"),IF(COUNTIFS($B$2:$B$5001,B3750,$E$2:$E$5001,"Em ajustes",$N$2:$N$5001,"&lt;"&amp;I3750)&gt;0,1,0),0))</f>
        <v/>
      </c>
      <c r="L3750" s="16" t="str">
        <f aca="false">IF(B3750="","",IF(N3750=_xlfn.MAXIFS($N$2:$N$5001,$B$2:$B$5001,B3750,$I$2:$I$5001,I3750),1,0))</f>
        <v/>
      </c>
      <c r="M3750" s="16" t="str">
        <f aca="false">IF(B3750="","",IF(E3750="Em ajustes",IF(N3750=_xlfn.MINIFS($N$2:$N$5001,$B$2:$B$5001,B3750,$E$2:$E$5001,"Em ajustes"),1,0),0))</f>
        <v/>
      </c>
      <c r="N3750" s="17" t="str">
        <f aca="false">IF(A3750="","",IF(ISNUMBER(A3750),A3750,IFERROR(DATE(VALUE(MID(A3750,7,4)),VALUE(MID(A3750,4,2)),VALUE(MID(A3750,1,2)))+TIME(VALUE(MID(A3750,12,2)),VALUE(MID(A3750,15,2)),VALUE(MID(A3750,18,2))),"")))</f>
        <v/>
      </c>
    </row>
    <row r="3751" customFormat="false" ht="15" hidden="false" customHeight="false" outlineLevel="0" collapsed="false">
      <c r="I3751" s="15" t="str">
        <f aca="false">IF(N3751="","",INT(N3751))</f>
        <v/>
      </c>
      <c r="J3751" s="16" t="str">
        <f aca="false">IF(B3751="","",IF(N3751=_xlfn.MINIFS($N$2:$N$5001,$B$2:$B$5001,B3751),1,0))</f>
        <v/>
      </c>
      <c r="K3751" s="16" t="str">
        <f aca="false">IF(B3751="","",IF(AND(D3751="Formalização",E3751="Concluído"),IF(COUNTIFS($B$2:$B$5001,B3751,$E$2:$E$5001,"Em ajustes",$N$2:$N$5001,"&lt;"&amp;I3751)&gt;0,1,0),0))</f>
        <v/>
      </c>
      <c r="L3751" s="16" t="str">
        <f aca="false">IF(B3751="","",IF(N3751=_xlfn.MAXIFS($N$2:$N$5001,$B$2:$B$5001,B3751,$I$2:$I$5001,I3751),1,0))</f>
        <v/>
      </c>
      <c r="M3751" s="16" t="str">
        <f aca="false">IF(B3751="","",IF(E3751="Em ajustes",IF(N3751=_xlfn.MINIFS($N$2:$N$5001,$B$2:$B$5001,B3751,$E$2:$E$5001,"Em ajustes"),1,0),0))</f>
        <v/>
      </c>
      <c r="N3751" s="17" t="str">
        <f aca="false">IF(A3751="","",IF(ISNUMBER(A3751),A3751,IFERROR(DATE(VALUE(MID(A3751,7,4)),VALUE(MID(A3751,4,2)),VALUE(MID(A3751,1,2)))+TIME(VALUE(MID(A3751,12,2)),VALUE(MID(A3751,15,2)),VALUE(MID(A3751,18,2))),"")))</f>
        <v/>
      </c>
    </row>
    <row r="3752" customFormat="false" ht="15" hidden="false" customHeight="false" outlineLevel="0" collapsed="false">
      <c r="I3752" s="15" t="str">
        <f aca="false">IF(N3752="","",INT(N3752))</f>
        <v/>
      </c>
      <c r="J3752" s="16" t="str">
        <f aca="false">IF(B3752="","",IF(N3752=_xlfn.MINIFS($N$2:$N$5001,$B$2:$B$5001,B3752),1,0))</f>
        <v/>
      </c>
      <c r="K3752" s="16" t="str">
        <f aca="false">IF(B3752="","",IF(AND(D3752="Formalização",E3752="Concluído"),IF(COUNTIFS($B$2:$B$5001,B3752,$E$2:$E$5001,"Em ajustes",$N$2:$N$5001,"&lt;"&amp;I3752)&gt;0,1,0),0))</f>
        <v/>
      </c>
      <c r="L3752" s="16" t="str">
        <f aca="false">IF(B3752="","",IF(N3752=_xlfn.MAXIFS($N$2:$N$5001,$B$2:$B$5001,B3752,$I$2:$I$5001,I3752),1,0))</f>
        <v/>
      </c>
      <c r="M3752" s="16" t="str">
        <f aca="false">IF(B3752="","",IF(E3752="Em ajustes",IF(N3752=_xlfn.MINIFS($N$2:$N$5001,$B$2:$B$5001,B3752,$E$2:$E$5001,"Em ajustes"),1,0),0))</f>
        <v/>
      </c>
      <c r="N3752" s="17" t="str">
        <f aca="false">IF(A3752="","",IF(ISNUMBER(A3752),A3752,IFERROR(DATE(VALUE(MID(A3752,7,4)),VALUE(MID(A3752,4,2)),VALUE(MID(A3752,1,2)))+TIME(VALUE(MID(A3752,12,2)),VALUE(MID(A3752,15,2)),VALUE(MID(A3752,18,2))),"")))</f>
        <v/>
      </c>
    </row>
    <row r="3753" customFormat="false" ht="15" hidden="false" customHeight="false" outlineLevel="0" collapsed="false">
      <c r="I3753" s="15" t="str">
        <f aca="false">IF(N3753="","",INT(N3753))</f>
        <v/>
      </c>
      <c r="J3753" s="16" t="str">
        <f aca="false">IF(B3753="","",IF(N3753=_xlfn.MINIFS($N$2:$N$5001,$B$2:$B$5001,B3753),1,0))</f>
        <v/>
      </c>
      <c r="K3753" s="16" t="str">
        <f aca="false">IF(B3753="","",IF(AND(D3753="Formalização",E3753="Concluído"),IF(COUNTIFS($B$2:$B$5001,B3753,$E$2:$E$5001,"Em ajustes",$N$2:$N$5001,"&lt;"&amp;I3753)&gt;0,1,0),0))</f>
        <v/>
      </c>
      <c r="L3753" s="16" t="str">
        <f aca="false">IF(B3753="","",IF(N3753=_xlfn.MAXIFS($N$2:$N$5001,$B$2:$B$5001,B3753,$I$2:$I$5001,I3753),1,0))</f>
        <v/>
      </c>
      <c r="M3753" s="16" t="str">
        <f aca="false">IF(B3753="","",IF(E3753="Em ajustes",IF(N3753=_xlfn.MINIFS($N$2:$N$5001,$B$2:$B$5001,B3753,$E$2:$E$5001,"Em ajustes"),1,0),0))</f>
        <v/>
      </c>
      <c r="N3753" s="17" t="str">
        <f aca="false">IF(A3753="","",IF(ISNUMBER(A3753),A3753,IFERROR(DATE(VALUE(MID(A3753,7,4)),VALUE(MID(A3753,4,2)),VALUE(MID(A3753,1,2)))+TIME(VALUE(MID(A3753,12,2)),VALUE(MID(A3753,15,2)),VALUE(MID(A3753,18,2))),"")))</f>
        <v/>
      </c>
    </row>
    <row r="3754" customFormat="false" ht="15" hidden="false" customHeight="false" outlineLevel="0" collapsed="false">
      <c r="I3754" s="15" t="str">
        <f aca="false">IF(N3754="","",INT(N3754))</f>
        <v/>
      </c>
      <c r="J3754" s="16" t="str">
        <f aca="false">IF(B3754="","",IF(N3754=_xlfn.MINIFS($N$2:$N$5001,$B$2:$B$5001,B3754),1,0))</f>
        <v/>
      </c>
      <c r="K3754" s="16" t="str">
        <f aca="false">IF(B3754="","",IF(AND(D3754="Formalização",E3754="Concluído"),IF(COUNTIFS($B$2:$B$5001,B3754,$E$2:$E$5001,"Em ajustes",$N$2:$N$5001,"&lt;"&amp;I3754)&gt;0,1,0),0))</f>
        <v/>
      </c>
      <c r="L3754" s="16" t="str">
        <f aca="false">IF(B3754="","",IF(N3754=_xlfn.MAXIFS($N$2:$N$5001,$B$2:$B$5001,B3754,$I$2:$I$5001,I3754),1,0))</f>
        <v/>
      </c>
      <c r="M3754" s="16" t="str">
        <f aca="false">IF(B3754="","",IF(E3754="Em ajustes",IF(N3754=_xlfn.MINIFS($N$2:$N$5001,$B$2:$B$5001,B3754,$E$2:$E$5001,"Em ajustes"),1,0),0))</f>
        <v/>
      </c>
      <c r="N3754" s="17" t="str">
        <f aca="false">IF(A3754="","",IF(ISNUMBER(A3754),A3754,IFERROR(DATE(VALUE(MID(A3754,7,4)),VALUE(MID(A3754,4,2)),VALUE(MID(A3754,1,2)))+TIME(VALUE(MID(A3754,12,2)),VALUE(MID(A3754,15,2)),VALUE(MID(A3754,18,2))),"")))</f>
        <v/>
      </c>
    </row>
    <row r="3755" customFormat="false" ht="15" hidden="false" customHeight="false" outlineLevel="0" collapsed="false">
      <c r="I3755" s="15" t="str">
        <f aca="false">IF(N3755="","",INT(N3755))</f>
        <v/>
      </c>
      <c r="J3755" s="16" t="str">
        <f aca="false">IF(B3755="","",IF(N3755=_xlfn.MINIFS($N$2:$N$5001,$B$2:$B$5001,B3755),1,0))</f>
        <v/>
      </c>
      <c r="K3755" s="16" t="str">
        <f aca="false">IF(B3755="","",IF(AND(D3755="Formalização",E3755="Concluído"),IF(COUNTIFS($B$2:$B$5001,B3755,$E$2:$E$5001,"Em ajustes",$N$2:$N$5001,"&lt;"&amp;I3755)&gt;0,1,0),0))</f>
        <v/>
      </c>
      <c r="L3755" s="16" t="str">
        <f aca="false">IF(B3755="","",IF(N3755=_xlfn.MAXIFS($N$2:$N$5001,$B$2:$B$5001,B3755,$I$2:$I$5001,I3755),1,0))</f>
        <v/>
      </c>
      <c r="M3755" s="16" t="str">
        <f aca="false">IF(B3755="","",IF(E3755="Em ajustes",IF(N3755=_xlfn.MINIFS($N$2:$N$5001,$B$2:$B$5001,B3755,$E$2:$E$5001,"Em ajustes"),1,0),0))</f>
        <v/>
      </c>
      <c r="N3755" s="17" t="str">
        <f aca="false">IF(A3755="","",IF(ISNUMBER(A3755),A3755,IFERROR(DATE(VALUE(MID(A3755,7,4)),VALUE(MID(A3755,4,2)),VALUE(MID(A3755,1,2)))+TIME(VALUE(MID(A3755,12,2)),VALUE(MID(A3755,15,2)),VALUE(MID(A3755,18,2))),"")))</f>
        <v/>
      </c>
    </row>
    <row r="3756" customFormat="false" ht="15" hidden="false" customHeight="false" outlineLevel="0" collapsed="false">
      <c r="I3756" s="15" t="str">
        <f aca="false">IF(N3756="","",INT(N3756))</f>
        <v/>
      </c>
      <c r="J3756" s="16" t="str">
        <f aca="false">IF(B3756="","",IF(N3756=_xlfn.MINIFS($N$2:$N$5001,$B$2:$B$5001,B3756),1,0))</f>
        <v/>
      </c>
      <c r="K3756" s="16" t="str">
        <f aca="false">IF(B3756="","",IF(AND(D3756="Formalização",E3756="Concluído"),IF(COUNTIFS($B$2:$B$5001,B3756,$E$2:$E$5001,"Em ajustes",$N$2:$N$5001,"&lt;"&amp;I3756)&gt;0,1,0),0))</f>
        <v/>
      </c>
      <c r="L3756" s="16" t="str">
        <f aca="false">IF(B3756="","",IF(N3756=_xlfn.MAXIFS($N$2:$N$5001,$B$2:$B$5001,B3756,$I$2:$I$5001,I3756),1,0))</f>
        <v/>
      </c>
      <c r="M3756" s="16" t="str">
        <f aca="false">IF(B3756="","",IF(E3756="Em ajustes",IF(N3756=_xlfn.MINIFS($N$2:$N$5001,$B$2:$B$5001,B3756,$E$2:$E$5001,"Em ajustes"),1,0),0))</f>
        <v/>
      </c>
      <c r="N3756" s="17" t="str">
        <f aca="false">IF(A3756="","",IF(ISNUMBER(A3756),A3756,IFERROR(DATE(VALUE(MID(A3756,7,4)),VALUE(MID(A3756,4,2)),VALUE(MID(A3756,1,2)))+TIME(VALUE(MID(A3756,12,2)),VALUE(MID(A3756,15,2)),VALUE(MID(A3756,18,2))),"")))</f>
        <v/>
      </c>
    </row>
    <row r="3757" customFormat="false" ht="15" hidden="false" customHeight="false" outlineLevel="0" collapsed="false">
      <c r="I3757" s="15" t="str">
        <f aca="false">IF(N3757="","",INT(N3757))</f>
        <v/>
      </c>
      <c r="J3757" s="16" t="str">
        <f aca="false">IF(B3757="","",IF(N3757=_xlfn.MINIFS($N$2:$N$5001,$B$2:$B$5001,B3757),1,0))</f>
        <v/>
      </c>
      <c r="K3757" s="16" t="str">
        <f aca="false">IF(B3757="","",IF(AND(D3757="Formalização",E3757="Concluído"),IF(COUNTIFS($B$2:$B$5001,B3757,$E$2:$E$5001,"Em ajustes",$N$2:$N$5001,"&lt;"&amp;I3757)&gt;0,1,0),0))</f>
        <v/>
      </c>
      <c r="L3757" s="16" t="str">
        <f aca="false">IF(B3757="","",IF(N3757=_xlfn.MAXIFS($N$2:$N$5001,$B$2:$B$5001,B3757,$I$2:$I$5001,I3757),1,0))</f>
        <v/>
      </c>
      <c r="M3757" s="16" t="str">
        <f aca="false">IF(B3757="","",IF(E3757="Em ajustes",IF(N3757=_xlfn.MINIFS($N$2:$N$5001,$B$2:$B$5001,B3757,$E$2:$E$5001,"Em ajustes"),1,0),0))</f>
        <v/>
      </c>
      <c r="N3757" s="17" t="str">
        <f aca="false">IF(A3757="","",IF(ISNUMBER(A3757),A3757,IFERROR(DATE(VALUE(MID(A3757,7,4)),VALUE(MID(A3757,4,2)),VALUE(MID(A3757,1,2)))+TIME(VALUE(MID(A3757,12,2)),VALUE(MID(A3757,15,2)),VALUE(MID(A3757,18,2))),"")))</f>
        <v/>
      </c>
    </row>
    <row r="3758" customFormat="false" ht="15" hidden="false" customHeight="false" outlineLevel="0" collapsed="false">
      <c r="I3758" s="15" t="str">
        <f aca="false">IF(N3758="","",INT(N3758))</f>
        <v/>
      </c>
      <c r="J3758" s="16" t="str">
        <f aca="false">IF(B3758="","",IF(N3758=_xlfn.MINIFS($N$2:$N$5001,$B$2:$B$5001,B3758),1,0))</f>
        <v/>
      </c>
      <c r="K3758" s="16" t="str">
        <f aca="false">IF(B3758="","",IF(AND(D3758="Formalização",E3758="Concluído"),IF(COUNTIFS($B$2:$B$5001,B3758,$E$2:$E$5001,"Em ajustes",$N$2:$N$5001,"&lt;"&amp;I3758)&gt;0,1,0),0))</f>
        <v/>
      </c>
      <c r="L3758" s="16" t="str">
        <f aca="false">IF(B3758="","",IF(N3758=_xlfn.MAXIFS($N$2:$N$5001,$B$2:$B$5001,B3758,$I$2:$I$5001,I3758),1,0))</f>
        <v/>
      </c>
      <c r="M3758" s="16" t="str">
        <f aca="false">IF(B3758="","",IF(E3758="Em ajustes",IF(N3758=_xlfn.MINIFS($N$2:$N$5001,$B$2:$B$5001,B3758,$E$2:$E$5001,"Em ajustes"),1,0),0))</f>
        <v/>
      </c>
      <c r="N3758" s="17" t="str">
        <f aca="false">IF(A3758="","",IF(ISNUMBER(A3758),A3758,IFERROR(DATE(VALUE(MID(A3758,7,4)),VALUE(MID(A3758,4,2)),VALUE(MID(A3758,1,2)))+TIME(VALUE(MID(A3758,12,2)),VALUE(MID(A3758,15,2)),VALUE(MID(A3758,18,2))),"")))</f>
        <v/>
      </c>
    </row>
    <row r="3759" customFormat="false" ht="15" hidden="false" customHeight="false" outlineLevel="0" collapsed="false">
      <c r="I3759" s="15" t="str">
        <f aca="false">IF(N3759="","",INT(N3759))</f>
        <v/>
      </c>
      <c r="J3759" s="16" t="str">
        <f aca="false">IF(B3759="","",IF(N3759=_xlfn.MINIFS($N$2:$N$5001,$B$2:$B$5001,B3759),1,0))</f>
        <v/>
      </c>
      <c r="K3759" s="16" t="str">
        <f aca="false">IF(B3759="","",IF(AND(D3759="Formalização",E3759="Concluído"),IF(COUNTIFS($B$2:$B$5001,B3759,$E$2:$E$5001,"Em ajustes",$N$2:$N$5001,"&lt;"&amp;I3759)&gt;0,1,0),0))</f>
        <v/>
      </c>
      <c r="L3759" s="16" t="str">
        <f aca="false">IF(B3759="","",IF(N3759=_xlfn.MAXIFS($N$2:$N$5001,$B$2:$B$5001,B3759,$I$2:$I$5001,I3759),1,0))</f>
        <v/>
      </c>
      <c r="M3759" s="16" t="str">
        <f aca="false">IF(B3759="","",IF(E3759="Em ajustes",IF(N3759=_xlfn.MINIFS($N$2:$N$5001,$B$2:$B$5001,B3759,$E$2:$E$5001,"Em ajustes"),1,0),0))</f>
        <v/>
      </c>
      <c r="N3759" s="17" t="str">
        <f aca="false">IF(A3759="","",IF(ISNUMBER(A3759),A3759,IFERROR(DATE(VALUE(MID(A3759,7,4)),VALUE(MID(A3759,4,2)),VALUE(MID(A3759,1,2)))+TIME(VALUE(MID(A3759,12,2)),VALUE(MID(A3759,15,2)),VALUE(MID(A3759,18,2))),"")))</f>
        <v/>
      </c>
    </row>
    <row r="3760" customFormat="false" ht="15" hidden="false" customHeight="false" outlineLevel="0" collapsed="false">
      <c r="I3760" s="15" t="str">
        <f aca="false">IF(N3760="","",INT(N3760))</f>
        <v/>
      </c>
      <c r="J3760" s="16" t="str">
        <f aca="false">IF(B3760="","",IF(N3760=_xlfn.MINIFS($N$2:$N$5001,$B$2:$B$5001,B3760),1,0))</f>
        <v/>
      </c>
      <c r="K3760" s="16" t="str">
        <f aca="false">IF(B3760="","",IF(AND(D3760="Formalização",E3760="Concluído"),IF(COUNTIFS($B$2:$B$5001,B3760,$E$2:$E$5001,"Em ajustes",$N$2:$N$5001,"&lt;"&amp;I3760)&gt;0,1,0),0))</f>
        <v/>
      </c>
      <c r="L3760" s="16" t="str">
        <f aca="false">IF(B3760="","",IF(N3760=_xlfn.MAXIFS($N$2:$N$5001,$B$2:$B$5001,B3760,$I$2:$I$5001,I3760),1,0))</f>
        <v/>
      </c>
      <c r="M3760" s="16" t="str">
        <f aca="false">IF(B3760="","",IF(E3760="Em ajustes",IF(N3760=_xlfn.MINIFS($N$2:$N$5001,$B$2:$B$5001,B3760,$E$2:$E$5001,"Em ajustes"),1,0),0))</f>
        <v/>
      </c>
      <c r="N3760" s="17" t="str">
        <f aca="false">IF(A3760="","",IF(ISNUMBER(A3760),A3760,IFERROR(DATE(VALUE(MID(A3760,7,4)),VALUE(MID(A3760,4,2)),VALUE(MID(A3760,1,2)))+TIME(VALUE(MID(A3760,12,2)),VALUE(MID(A3760,15,2)),VALUE(MID(A3760,18,2))),"")))</f>
        <v/>
      </c>
    </row>
    <row r="3761" customFormat="false" ht="15" hidden="false" customHeight="false" outlineLevel="0" collapsed="false">
      <c r="I3761" s="15" t="str">
        <f aca="false">IF(N3761="","",INT(N3761))</f>
        <v/>
      </c>
      <c r="J3761" s="16" t="str">
        <f aca="false">IF(B3761="","",IF(N3761=_xlfn.MINIFS($N$2:$N$5001,$B$2:$B$5001,B3761),1,0))</f>
        <v/>
      </c>
      <c r="K3761" s="16" t="str">
        <f aca="false">IF(B3761="","",IF(AND(D3761="Formalização",E3761="Concluído"),IF(COUNTIFS($B$2:$B$5001,B3761,$E$2:$E$5001,"Em ajustes",$N$2:$N$5001,"&lt;"&amp;I3761)&gt;0,1,0),0))</f>
        <v/>
      </c>
      <c r="L3761" s="16" t="str">
        <f aca="false">IF(B3761="","",IF(N3761=_xlfn.MAXIFS($N$2:$N$5001,$B$2:$B$5001,B3761,$I$2:$I$5001,I3761),1,0))</f>
        <v/>
      </c>
      <c r="M3761" s="16" t="str">
        <f aca="false">IF(B3761="","",IF(E3761="Em ajustes",IF(N3761=_xlfn.MINIFS($N$2:$N$5001,$B$2:$B$5001,B3761,$E$2:$E$5001,"Em ajustes"),1,0),0))</f>
        <v/>
      </c>
      <c r="N3761" s="17" t="str">
        <f aca="false">IF(A3761="","",IF(ISNUMBER(A3761),A3761,IFERROR(DATE(VALUE(MID(A3761,7,4)),VALUE(MID(A3761,4,2)),VALUE(MID(A3761,1,2)))+TIME(VALUE(MID(A3761,12,2)),VALUE(MID(A3761,15,2)),VALUE(MID(A3761,18,2))),"")))</f>
        <v/>
      </c>
    </row>
    <row r="3762" customFormat="false" ht="15" hidden="false" customHeight="false" outlineLevel="0" collapsed="false">
      <c r="I3762" s="15" t="str">
        <f aca="false">IF(N3762="","",INT(N3762))</f>
        <v/>
      </c>
      <c r="J3762" s="16" t="str">
        <f aca="false">IF(B3762="","",IF(N3762=_xlfn.MINIFS($N$2:$N$5001,$B$2:$B$5001,B3762),1,0))</f>
        <v/>
      </c>
      <c r="K3762" s="16" t="str">
        <f aca="false">IF(B3762="","",IF(AND(D3762="Formalização",E3762="Concluído"),IF(COUNTIFS($B$2:$B$5001,B3762,$E$2:$E$5001,"Em ajustes",$N$2:$N$5001,"&lt;"&amp;I3762)&gt;0,1,0),0))</f>
        <v/>
      </c>
      <c r="L3762" s="16" t="str">
        <f aca="false">IF(B3762="","",IF(N3762=_xlfn.MAXIFS($N$2:$N$5001,$B$2:$B$5001,B3762,$I$2:$I$5001,I3762),1,0))</f>
        <v/>
      </c>
      <c r="M3762" s="16" t="str">
        <f aca="false">IF(B3762="","",IF(E3762="Em ajustes",IF(N3762=_xlfn.MINIFS($N$2:$N$5001,$B$2:$B$5001,B3762,$E$2:$E$5001,"Em ajustes"),1,0),0))</f>
        <v/>
      </c>
      <c r="N3762" s="17" t="str">
        <f aca="false">IF(A3762="","",IF(ISNUMBER(A3762),A3762,IFERROR(DATE(VALUE(MID(A3762,7,4)),VALUE(MID(A3762,4,2)),VALUE(MID(A3762,1,2)))+TIME(VALUE(MID(A3762,12,2)),VALUE(MID(A3762,15,2)),VALUE(MID(A3762,18,2))),"")))</f>
        <v/>
      </c>
    </row>
    <row r="3763" customFormat="false" ht="15" hidden="false" customHeight="false" outlineLevel="0" collapsed="false">
      <c r="I3763" s="15" t="str">
        <f aca="false">IF(N3763="","",INT(N3763))</f>
        <v/>
      </c>
      <c r="J3763" s="16" t="str">
        <f aca="false">IF(B3763="","",IF(N3763=_xlfn.MINIFS($N$2:$N$5001,$B$2:$B$5001,B3763),1,0))</f>
        <v/>
      </c>
      <c r="K3763" s="16" t="str">
        <f aca="false">IF(B3763="","",IF(AND(D3763="Formalização",E3763="Concluído"),IF(COUNTIFS($B$2:$B$5001,B3763,$E$2:$E$5001,"Em ajustes",$N$2:$N$5001,"&lt;"&amp;I3763)&gt;0,1,0),0))</f>
        <v/>
      </c>
      <c r="L3763" s="16" t="str">
        <f aca="false">IF(B3763="","",IF(N3763=_xlfn.MAXIFS($N$2:$N$5001,$B$2:$B$5001,B3763,$I$2:$I$5001,I3763),1,0))</f>
        <v/>
      </c>
      <c r="M3763" s="16" t="str">
        <f aca="false">IF(B3763="","",IF(E3763="Em ajustes",IF(N3763=_xlfn.MINIFS($N$2:$N$5001,$B$2:$B$5001,B3763,$E$2:$E$5001,"Em ajustes"),1,0),0))</f>
        <v/>
      </c>
      <c r="N3763" s="17" t="str">
        <f aca="false">IF(A3763="","",IF(ISNUMBER(A3763),A3763,IFERROR(DATE(VALUE(MID(A3763,7,4)),VALUE(MID(A3763,4,2)),VALUE(MID(A3763,1,2)))+TIME(VALUE(MID(A3763,12,2)),VALUE(MID(A3763,15,2)),VALUE(MID(A3763,18,2))),"")))</f>
        <v/>
      </c>
    </row>
    <row r="3764" customFormat="false" ht="15" hidden="false" customHeight="false" outlineLevel="0" collapsed="false">
      <c r="I3764" s="15" t="str">
        <f aca="false">IF(N3764="","",INT(N3764))</f>
        <v/>
      </c>
      <c r="J3764" s="16" t="str">
        <f aca="false">IF(B3764="","",IF(N3764=_xlfn.MINIFS($N$2:$N$5001,$B$2:$B$5001,B3764),1,0))</f>
        <v/>
      </c>
      <c r="K3764" s="16" t="str">
        <f aca="false">IF(B3764="","",IF(AND(D3764="Formalização",E3764="Concluído"),IF(COUNTIFS($B$2:$B$5001,B3764,$E$2:$E$5001,"Em ajustes",$N$2:$N$5001,"&lt;"&amp;I3764)&gt;0,1,0),0))</f>
        <v/>
      </c>
      <c r="L3764" s="16" t="str">
        <f aca="false">IF(B3764="","",IF(N3764=_xlfn.MAXIFS($N$2:$N$5001,$B$2:$B$5001,B3764,$I$2:$I$5001,I3764),1,0))</f>
        <v/>
      </c>
      <c r="M3764" s="16" t="str">
        <f aca="false">IF(B3764="","",IF(E3764="Em ajustes",IF(N3764=_xlfn.MINIFS($N$2:$N$5001,$B$2:$B$5001,B3764,$E$2:$E$5001,"Em ajustes"),1,0),0))</f>
        <v/>
      </c>
      <c r="N3764" s="17" t="str">
        <f aca="false">IF(A3764="","",IF(ISNUMBER(A3764),A3764,IFERROR(DATE(VALUE(MID(A3764,7,4)),VALUE(MID(A3764,4,2)),VALUE(MID(A3764,1,2)))+TIME(VALUE(MID(A3764,12,2)),VALUE(MID(A3764,15,2)),VALUE(MID(A3764,18,2))),"")))</f>
        <v/>
      </c>
    </row>
    <row r="3765" customFormat="false" ht="15" hidden="false" customHeight="false" outlineLevel="0" collapsed="false">
      <c r="I3765" s="15" t="str">
        <f aca="false">IF(N3765="","",INT(N3765))</f>
        <v/>
      </c>
      <c r="J3765" s="16" t="str">
        <f aca="false">IF(B3765="","",IF(N3765=_xlfn.MINIFS($N$2:$N$5001,$B$2:$B$5001,B3765),1,0))</f>
        <v/>
      </c>
      <c r="K3765" s="16" t="str">
        <f aca="false">IF(B3765="","",IF(AND(D3765="Formalização",E3765="Concluído"),IF(COUNTIFS($B$2:$B$5001,B3765,$E$2:$E$5001,"Em ajustes",$N$2:$N$5001,"&lt;"&amp;I3765)&gt;0,1,0),0))</f>
        <v/>
      </c>
      <c r="L3765" s="16" t="str">
        <f aca="false">IF(B3765="","",IF(N3765=_xlfn.MAXIFS($N$2:$N$5001,$B$2:$B$5001,B3765,$I$2:$I$5001,I3765),1,0))</f>
        <v/>
      </c>
      <c r="M3765" s="16" t="str">
        <f aca="false">IF(B3765="","",IF(E3765="Em ajustes",IF(N3765=_xlfn.MINIFS($N$2:$N$5001,$B$2:$B$5001,B3765,$E$2:$E$5001,"Em ajustes"),1,0),0))</f>
        <v/>
      </c>
      <c r="N3765" s="17" t="str">
        <f aca="false">IF(A3765="","",IF(ISNUMBER(A3765),A3765,IFERROR(DATE(VALUE(MID(A3765,7,4)),VALUE(MID(A3765,4,2)),VALUE(MID(A3765,1,2)))+TIME(VALUE(MID(A3765,12,2)),VALUE(MID(A3765,15,2)),VALUE(MID(A3765,18,2))),"")))</f>
        <v/>
      </c>
    </row>
    <row r="3766" customFormat="false" ht="15" hidden="false" customHeight="false" outlineLevel="0" collapsed="false">
      <c r="I3766" s="15" t="str">
        <f aca="false">IF(N3766="","",INT(N3766))</f>
        <v/>
      </c>
      <c r="J3766" s="16" t="str">
        <f aca="false">IF(B3766="","",IF(N3766=_xlfn.MINIFS($N$2:$N$5001,$B$2:$B$5001,B3766),1,0))</f>
        <v/>
      </c>
      <c r="K3766" s="16" t="str">
        <f aca="false">IF(B3766="","",IF(AND(D3766="Formalização",E3766="Concluído"),IF(COUNTIFS($B$2:$B$5001,B3766,$E$2:$E$5001,"Em ajustes",$N$2:$N$5001,"&lt;"&amp;I3766)&gt;0,1,0),0))</f>
        <v/>
      </c>
      <c r="L3766" s="16" t="str">
        <f aca="false">IF(B3766="","",IF(N3766=_xlfn.MAXIFS($N$2:$N$5001,$B$2:$B$5001,B3766,$I$2:$I$5001,I3766),1,0))</f>
        <v/>
      </c>
      <c r="M3766" s="16" t="str">
        <f aca="false">IF(B3766="","",IF(E3766="Em ajustes",IF(N3766=_xlfn.MINIFS($N$2:$N$5001,$B$2:$B$5001,B3766,$E$2:$E$5001,"Em ajustes"),1,0),0))</f>
        <v/>
      </c>
      <c r="N3766" s="17" t="str">
        <f aca="false">IF(A3766="","",IF(ISNUMBER(A3766),A3766,IFERROR(DATE(VALUE(MID(A3766,7,4)),VALUE(MID(A3766,4,2)),VALUE(MID(A3766,1,2)))+TIME(VALUE(MID(A3766,12,2)),VALUE(MID(A3766,15,2)),VALUE(MID(A3766,18,2))),"")))</f>
        <v/>
      </c>
    </row>
    <row r="3767" customFormat="false" ht="15" hidden="false" customHeight="false" outlineLevel="0" collapsed="false">
      <c r="I3767" s="15" t="str">
        <f aca="false">IF(N3767="","",INT(N3767))</f>
        <v/>
      </c>
      <c r="J3767" s="16" t="str">
        <f aca="false">IF(B3767="","",IF(N3767=_xlfn.MINIFS($N$2:$N$5001,$B$2:$B$5001,B3767),1,0))</f>
        <v/>
      </c>
      <c r="K3767" s="16" t="str">
        <f aca="false">IF(B3767="","",IF(AND(D3767="Formalização",E3767="Concluído"),IF(COUNTIFS($B$2:$B$5001,B3767,$E$2:$E$5001,"Em ajustes",$N$2:$N$5001,"&lt;"&amp;I3767)&gt;0,1,0),0))</f>
        <v/>
      </c>
      <c r="L3767" s="16" t="str">
        <f aca="false">IF(B3767="","",IF(N3767=_xlfn.MAXIFS($N$2:$N$5001,$B$2:$B$5001,B3767,$I$2:$I$5001,I3767),1,0))</f>
        <v/>
      </c>
      <c r="M3767" s="16" t="str">
        <f aca="false">IF(B3767="","",IF(E3767="Em ajustes",IF(N3767=_xlfn.MINIFS($N$2:$N$5001,$B$2:$B$5001,B3767,$E$2:$E$5001,"Em ajustes"),1,0),0))</f>
        <v/>
      </c>
      <c r="N3767" s="17" t="str">
        <f aca="false">IF(A3767="","",IF(ISNUMBER(A3767),A3767,IFERROR(DATE(VALUE(MID(A3767,7,4)),VALUE(MID(A3767,4,2)),VALUE(MID(A3767,1,2)))+TIME(VALUE(MID(A3767,12,2)),VALUE(MID(A3767,15,2)),VALUE(MID(A3767,18,2))),"")))</f>
        <v/>
      </c>
    </row>
    <row r="3768" customFormat="false" ht="15" hidden="false" customHeight="false" outlineLevel="0" collapsed="false">
      <c r="I3768" s="15" t="str">
        <f aca="false">IF(N3768="","",INT(N3768))</f>
        <v/>
      </c>
      <c r="J3768" s="16" t="str">
        <f aca="false">IF(B3768="","",IF(N3768=_xlfn.MINIFS($N$2:$N$5001,$B$2:$B$5001,B3768),1,0))</f>
        <v/>
      </c>
      <c r="K3768" s="16" t="str">
        <f aca="false">IF(B3768="","",IF(AND(D3768="Formalização",E3768="Concluído"),IF(COUNTIFS($B$2:$B$5001,B3768,$E$2:$E$5001,"Em ajustes",$N$2:$N$5001,"&lt;"&amp;I3768)&gt;0,1,0),0))</f>
        <v/>
      </c>
      <c r="L3768" s="16" t="str">
        <f aca="false">IF(B3768="","",IF(N3768=_xlfn.MAXIFS($N$2:$N$5001,$B$2:$B$5001,B3768,$I$2:$I$5001,I3768),1,0))</f>
        <v/>
      </c>
      <c r="M3768" s="16" t="str">
        <f aca="false">IF(B3768="","",IF(E3768="Em ajustes",IF(N3768=_xlfn.MINIFS($N$2:$N$5001,$B$2:$B$5001,B3768,$E$2:$E$5001,"Em ajustes"),1,0),0))</f>
        <v/>
      </c>
      <c r="N3768" s="17" t="str">
        <f aca="false">IF(A3768="","",IF(ISNUMBER(A3768),A3768,IFERROR(DATE(VALUE(MID(A3768,7,4)),VALUE(MID(A3768,4,2)),VALUE(MID(A3768,1,2)))+TIME(VALUE(MID(A3768,12,2)),VALUE(MID(A3768,15,2)),VALUE(MID(A3768,18,2))),"")))</f>
        <v/>
      </c>
    </row>
    <row r="3769" customFormat="false" ht="15" hidden="false" customHeight="false" outlineLevel="0" collapsed="false">
      <c r="I3769" s="15" t="str">
        <f aca="false">IF(N3769="","",INT(N3769))</f>
        <v/>
      </c>
      <c r="J3769" s="16" t="str">
        <f aca="false">IF(B3769="","",IF(N3769=_xlfn.MINIFS($N$2:$N$5001,$B$2:$B$5001,B3769),1,0))</f>
        <v/>
      </c>
      <c r="K3769" s="16" t="str">
        <f aca="false">IF(B3769="","",IF(AND(D3769="Formalização",E3769="Concluído"),IF(COUNTIFS($B$2:$B$5001,B3769,$E$2:$E$5001,"Em ajustes",$N$2:$N$5001,"&lt;"&amp;I3769)&gt;0,1,0),0))</f>
        <v/>
      </c>
      <c r="L3769" s="16" t="str">
        <f aca="false">IF(B3769="","",IF(N3769=_xlfn.MAXIFS($N$2:$N$5001,$B$2:$B$5001,B3769,$I$2:$I$5001,I3769),1,0))</f>
        <v/>
      </c>
      <c r="M3769" s="16" t="str">
        <f aca="false">IF(B3769="","",IF(E3769="Em ajustes",IF(N3769=_xlfn.MINIFS($N$2:$N$5001,$B$2:$B$5001,B3769,$E$2:$E$5001,"Em ajustes"),1,0),0))</f>
        <v/>
      </c>
      <c r="N3769" s="17" t="str">
        <f aca="false">IF(A3769="","",IF(ISNUMBER(A3769),A3769,IFERROR(DATE(VALUE(MID(A3769,7,4)),VALUE(MID(A3769,4,2)),VALUE(MID(A3769,1,2)))+TIME(VALUE(MID(A3769,12,2)),VALUE(MID(A3769,15,2)),VALUE(MID(A3769,18,2))),"")))</f>
        <v/>
      </c>
    </row>
    <row r="3770" customFormat="false" ht="15" hidden="false" customHeight="false" outlineLevel="0" collapsed="false">
      <c r="I3770" s="15" t="str">
        <f aca="false">IF(N3770="","",INT(N3770))</f>
        <v/>
      </c>
      <c r="J3770" s="16" t="str">
        <f aca="false">IF(B3770="","",IF(N3770=_xlfn.MINIFS($N$2:$N$5001,$B$2:$B$5001,B3770),1,0))</f>
        <v/>
      </c>
      <c r="K3770" s="16" t="str">
        <f aca="false">IF(B3770="","",IF(AND(D3770="Formalização",E3770="Concluído"),IF(COUNTIFS($B$2:$B$5001,B3770,$E$2:$E$5001,"Em ajustes",$N$2:$N$5001,"&lt;"&amp;I3770)&gt;0,1,0),0))</f>
        <v/>
      </c>
      <c r="L3770" s="16" t="str">
        <f aca="false">IF(B3770="","",IF(N3770=_xlfn.MAXIFS($N$2:$N$5001,$B$2:$B$5001,B3770,$I$2:$I$5001,I3770),1,0))</f>
        <v/>
      </c>
      <c r="M3770" s="16" t="str">
        <f aca="false">IF(B3770="","",IF(E3770="Em ajustes",IF(N3770=_xlfn.MINIFS($N$2:$N$5001,$B$2:$B$5001,B3770,$E$2:$E$5001,"Em ajustes"),1,0),0))</f>
        <v/>
      </c>
      <c r="N3770" s="17" t="str">
        <f aca="false">IF(A3770="","",IF(ISNUMBER(A3770),A3770,IFERROR(DATE(VALUE(MID(A3770,7,4)),VALUE(MID(A3770,4,2)),VALUE(MID(A3770,1,2)))+TIME(VALUE(MID(A3770,12,2)),VALUE(MID(A3770,15,2)),VALUE(MID(A3770,18,2))),"")))</f>
        <v/>
      </c>
    </row>
    <row r="3771" customFormat="false" ht="15" hidden="false" customHeight="false" outlineLevel="0" collapsed="false">
      <c r="I3771" s="15" t="str">
        <f aca="false">IF(N3771="","",INT(N3771))</f>
        <v/>
      </c>
      <c r="J3771" s="16" t="str">
        <f aca="false">IF(B3771="","",IF(N3771=_xlfn.MINIFS($N$2:$N$5001,$B$2:$B$5001,B3771),1,0))</f>
        <v/>
      </c>
      <c r="K3771" s="16" t="str">
        <f aca="false">IF(B3771="","",IF(AND(D3771="Formalização",E3771="Concluído"),IF(COUNTIFS($B$2:$B$5001,B3771,$E$2:$E$5001,"Em ajustes",$N$2:$N$5001,"&lt;"&amp;I3771)&gt;0,1,0),0))</f>
        <v/>
      </c>
      <c r="L3771" s="16" t="str">
        <f aca="false">IF(B3771="","",IF(N3771=_xlfn.MAXIFS($N$2:$N$5001,$B$2:$B$5001,B3771,$I$2:$I$5001,I3771),1,0))</f>
        <v/>
      </c>
      <c r="M3771" s="16" t="str">
        <f aca="false">IF(B3771="","",IF(E3771="Em ajustes",IF(N3771=_xlfn.MINIFS($N$2:$N$5001,$B$2:$B$5001,B3771,$E$2:$E$5001,"Em ajustes"),1,0),0))</f>
        <v/>
      </c>
      <c r="N3771" s="17" t="str">
        <f aca="false">IF(A3771="","",IF(ISNUMBER(A3771),A3771,IFERROR(DATE(VALUE(MID(A3771,7,4)),VALUE(MID(A3771,4,2)),VALUE(MID(A3771,1,2)))+TIME(VALUE(MID(A3771,12,2)),VALUE(MID(A3771,15,2)),VALUE(MID(A3771,18,2))),"")))</f>
        <v/>
      </c>
    </row>
    <row r="3772" customFormat="false" ht="15" hidden="false" customHeight="false" outlineLevel="0" collapsed="false">
      <c r="I3772" s="15" t="str">
        <f aca="false">IF(N3772="","",INT(N3772))</f>
        <v/>
      </c>
      <c r="J3772" s="16" t="str">
        <f aca="false">IF(B3772="","",IF(N3772=_xlfn.MINIFS($N$2:$N$5001,$B$2:$B$5001,B3772),1,0))</f>
        <v/>
      </c>
      <c r="K3772" s="16" t="str">
        <f aca="false">IF(B3772="","",IF(AND(D3772="Formalização",E3772="Concluído"),IF(COUNTIFS($B$2:$B$5001,B3772,$E$2:$E$5001,"Em ajustes",$N$2:$N$5001,"&lt;"&amp;I3772)&gt;0,1,0),0))</f>
        <v/>
      </c>
      <c r="L3772" s="16" t="str">
        <f aca="false">IF(B3772="","",IF(N3772=_xlfn.MAXIFS($N$2:$N$5001,$B$2:$B$5001,B3772,$I$2:$I$5001,I3772),1,0))</f>
        <v/>
      </c>
      <c r="M3772" s="16" t="str">
        <f aca="false">IF(B3772="","",IF(E3772="Em ajustes",IF(N3772=_xlfn.MINIFS($N$2:$N$5001,$B$2:$B$5001,B3772,$E$2:$E$5001,"Em ajustes"),1,0),0))</f>
        <v/>
      </c>
      <c r="N3772" s="17" t="str">
        <f aca="false">IF(A3772="","",IF(ISNUMBER(A3772),A3772,IFERROR(DATE(VALUE(MID(A3772,7,4)),VALUE(MID(A3772,4,2)),VALUE(MID(A3772,1,2)))+TIME(VALUE(MID(A3772,12,2)),VALUE(MID(A3772,15,2)),VALUE(MID(A3772,18,2))),"")))</f>
        <v/>
      </c>
    </row>
    <row r="3773" customFormat="false" ht="15" hidden="false" customHeight="false" outlineLevel="0" collapsed="false">
      <c r="I3773" s="15" t="str">
        <f aca="false">IF(N3773="","",INT(N3773))</f>
        <v/>
      </c>
      <c r="J3773" s="16" t="str">
        <f aca="false">IF(B3773="","",IF(N3773=_xlfn.MINIFS($N$2:$N$5001,$B$2:$B$5001,B3773),1,0))</f>
        <v/>
      </c>
      <c r="K3773" s="16" t="str">
        <f aca="false">IF(B3773="","",IF(AND(D3773="Formalização",E3773="Concluído"),IF(COUNTIFS($B$2:$B$5001,B3773,$E$2:$E$5001,"Em ajustes",$N$2:$N$5001,"&lt;"&amp;I3773)&gt;0,1,0),0))</f>
        <v/>
      </c>
      <c r="L3773" s="16" t="str">
        <f aca="false">IF(B3773="","",IF(N3773=_xlfn.MAXIFS($N$2:$N$5001,$B$2:$B$5001,B3773,$I$2:$I$5001,I3773),1,0))</f>
        <v/>
      </c>
      <c r="M3773" s="16" t="str">
        <f aca="false">IF(B3773="","",IF(E3773="Em ajustes",IF(N3773=_xlfn.MINIFS($N$2:$N$5001,$B$2:$B$5001,B3773,$E$2:$E$5001,"Em ajustes"),1,0),0))</f>
        <v/>
      </c>
      <c r="N3773" s="17" t="str">
        <f aca="false">IF(A3773="","",IF(ISNUMBER(A3773),A3773,IFERROR(DATE(VALUE(MID(A3773,7,4)),VALUE(MID(A3773,4,2)),VALUE(MID(A3773,1,2)))+TIME(VALUE(MID(A3773,12,2)),VALUE(MID(A3773,15,2)),VALUE(MID(A3773,18,2))),"")))</f>
        <v/>
      </c>
    </row>
    <row r="3774" customFormat="false" ht="15" hidden="false" customHeight="false" outlineLevel="0" collapsed="false">
      <c r="I3774" s="15" t="str">
        <f aca="false">IF(N3774="","",INT(N3774))</f>
        <v/>
      </c>
      <c r="J3774" s="16" t="str">
        <f aca="false">IF(B3774="","",IF(N3774=_xlfn.MINIFS($N$2:$N$5001,$B$2:$B$5001,B3774),1,0))</f>
        <v/>
      </c>
      <c r="K3774" s="16" t="str">
        <f aca="false">IF(B3774="","",IF(AND(D3774="Formalização",E3774="Concluído"),IF(COUNTIFS($B$2:$B$5001,B3774,$E$2:$E$5001,"Em ajustes",$N$2:$N$5001,"&lt;"&amp;I3774)&gt;0,1,0),0))</f>
        <v/>
      </c>
      <c r="L3774" s="16" t="str">
        <f aca="false">IF(B3774="","",IF(N3774=_xlfn.MAXIFS($N$2:$N$5001,$B$2:$B$5001,B3774,$I$2:$I$5001,I3774),1,0))</f>
        <v/>
      </c>
      <c r="M3774" s="16" t="str">
        <f aca="false">IF(B3774="","",IF(E3774="Em ajustes",IF(N3774=_xlfn.MINIFS($N$2:$N$5001,$B$2:$B$5001,B3774,$E$2:$E$5001,"Em ajustes"),1,0),0))</f>
        <v/>
      </c>
      <c r="N3774" s="17" t="str">
        <f aca="false">IF(A3774="","",IF(ISNUMBER(A3774),A3774,IFERROR(DATE(VALUE(MID(A3774,7,4)),VALUE(MID(A3774,4,2)),VALUE(MID(A3774,1,2)))+TIME(VALUE(MID(A3774,12,2)),VALUE(MID(A3774,15,2)),VALUE(MID(A3774,18,2))),"")))</f>
        <v/>
      </c>
    </row>
    <row r="3775" customFormat="false" ht="15" hidden="false" customHeight="false" outlineLevel="0" collapsed="false">
      <c r="I3775" s="15" t="str">
        <f aca="false">IF(N3775="","",INT(N3775))</f>
        <v/>
      </c>
      <c r="J3775" s="16" t="str">
        <f aca="false">IF(B3775="","",IF(N3775=_xlfn.MINIFS($N$2:$N$5001,$B$2:$B$5001,B3775),1,0))</f>
        <v/>
      </c>
      <c r="K3775" s="16" t="str">
        <f aca="false">IF(B3775="","",IF(AND(D3775="Formalização",E3775="Concluído"),IF(COUNTIFS($B$2:$B$5001,B3775,$E$2:$E$5001,"Em ajustes",$N$2:$N$5001,"&lt;"&amp;I3775)&gt;0,1,0),0))</f>
        <v/>
      </c>
      <c r="L3775" s="16" t="str">
        <f aca="false">IF(B3775="","",IF(N3775=_xlfn.MAXIFS($N$2:$N$5001,$B$2:$B$5001,B3775,$I$2:$I$5001,I3775),1,0))</f>
        <v/>
      </c>
      <c r="M3775" s="16" t="str">
        <f aca="false">IF(B3775="","",IF(E3775="Em ajustes",IF(N3775=_xlfn.MINIFS($N$2:$N$5001,$B$2:$B$5001,B3775,$E$2:$E$5001,"Em ajustes"),1,0),0))</f>
        <v/>
      </c>
      <c r="N3775" s="17" t="str">
        <f aca="false">IF(A3775="","",IF(ISNUMBER(A3775),A3775,IFERROR(DATE(VALUE(MID(A3775,7,4)),VALUE(MID(A3775,4,2)),VALUE(MID(A3775,1,2)))+TIME(VALUE(MID(A3775,12,2)),VALUE(MID(A3775,15,2)),VALUE(MID(A3775,18,2))),"")))</f>
        <v/>
      </c>
    </row>
    <row r="3776" customFormat="false" ht="15" hidden="false" customHeight="false" outlineLevel="0" collapsed="false">
      <c r="I3776" s="15" t="str">
        <f aca="false">IF(N3776="","",INT(N3776))</f>
        <v/>
      </c>
      <c r="J3776" s="16" t="str">
        <f aca="false">IF(B3776="","",IF(N3776=_xlfn.MINIFS($N$2:$N$5001,$B$2:$B$5001,B3776),1,0))</f>
        <v/>
      </c>
      <c r="K3776" s="16" t="str">
        <f aca="false">IF(B3776="","",IF(AND(D3776="Formalização",E3776="Concluído"),IF(COUNTIFS($B$2:$B$5001,B3776,$E$2:$E$5001,"Em ajustes",$N$2:$N$5001,"&lt;"&amp;I3776)&gt;0,1,0),0))</f>
        <v/>
      </c>
      <c r="L3776" s="16" t="str">
        <f aca="false">IF(B3776="","",IF(N3776=_xlfn.MAXIFS($N$2:$N$5001,$B$2:$B$5001,B3776,$I$2:$I$5001,I3776),1,0))</f>
        <v/>
      </c>
      <c r="M3776" s="16" t="str">
        <f aca="false">IF(B3776="","",IF(E3776="Em ajustes",IF(N3776=_xlfn.MINIFS($N$2:$N$5001,$B$2:$B$5001,B3776,$E$2:$E$5001,"Em ajustes"),1,0),0))</f>
        <v/>
      </c>
      <c r="N3776" s="17" t="str">
        <f aca="false">IF(A3776="","",IF(ISNUMBER(A3776),A3776,IFERROR(DATE(VALUE(MID(A3776,7,4)),VALUE(MID(A3776,4,2)),VALUE(MID(A3776,1,2)))+TIME(VALUE(MID(A3776,12,2)),VALUE(MID(A3776,15,2)),VALUE(MID(A3776,18,2))),"")))</f>
        <v/>
      </c>
    </row>
    <row r="3777" customFormat="false" ht="15" hidden="false" customHeight="false" outlineLevel="0" collapsed="false">
      <c r="I3777" s="15" t="str">
        <f aca="false">IF(N3777="","",INT(N3777))</f>
        <v/>
      </c>
      <c r="J3777" s="16" t="str">
        <f aca="false">IF(B3777="","",IF(N3777=_xlfn.MINIFS($N$2:$N$5001,$B$2:$B$5001,B3777),1,0))</f>
        <v/>
      </c>
      <c r="K3777" s="16" t="str">
        <f aca="false">IF(B3777="","",IF(AND(D3777="Formalização",E3777="Concluído"),IF(COUNTIFS($B$2:$B$5001,B3777,$E$2:$E$5001,"Em ajustes",$N$2:$N$5001,"&lt;"&amp;I3777)&gt;0,1,0),0))</f>
        <v/>
      </c>
      <c r="L3777" s="16" t="str">
        <f aca="false">IF(B3777="","",IF(N3777=_xlfn.MAXIFS($N$2:$N$5001,$B$2:$B$5001,B3777,$I$2:$I$5001,I3777),1,0))</f>
        <v/>
      </c>
      <c r="M3777" s="16" t="str">
        <f aca="false">IF(B3777="","",IF(E3777="Em ajustes",IF(N3777=_xlfn.MINIFS($N$2:$N$5001,$B$2:$B$5001,B3777,$E$2:$E$5001,"Em ajustes"),1,0),0))</f>
        <v/>
      </c>
      <c r="N3777" s="17" t="str">
        <f aca="false">IF(A3777="","",IF(ISNUMBER(A3777),A3777,IFERROR(DATE(VALUE(MID(A3777,7,4)),VALUE(MID(A3777,4,2)),VALUE(MID(A3777,1,2)))+TIME(VALUE(MID(A3777,12,2)),VALUE(MID(A3777,15,2)),VALUE(MID(A3777,18,2))),"")))</f>
        <v/>
      </c>
    </row>
    <row r="3778" customFormat="false" ht="15" hidden="false" customHeight="false" outlineLevel="0" collapsed="false">
      <c r="I3778" s="15" t="str">
        <f aca="false">IF(N3778="","",INT(N3778))</f>
        <v/>
      </c>
      <c r="J3778" s="16" t="str">
        <f aca="false">IF(B3778="","",IF(N3778=_xlfn.MINIFS($N$2:$N$5001,$B$2:$B$5001,B3778),1,0))</f>
        <v/>
      </c>
      <c r="K3778" s="16" t="str">
        <f aca="false">IF(B3778="","",IF(AND(D3778="Formalização",E3778="Concluído"),IF(COUNTIFS($B$2:$B$5001,B3778,$E$2:$E$5001,"Em ajustes",$N$2:$N$5001,"&lt;"&amp;I3778)&gt;0,1,0),0))</f>
        <v/>
      </c>
      <c r="L3778" s="16" t="str">
        <f aca="false">IF(B3778="","",IF(N3778=_xlfn.MAXIFS($N$2:$N$5001,$B$2:$B$5001,B3778,$I$2:$I$5001,I3778),1,0))</f>
        <v/>
      </c>
      <c r="M3778" s="16" t="str">
        <f aca="false">IF(B3778="","",IF(E3778="Em ajustes",IF(N3778=_xlfn.MINIFS($N$2:$N$5001,$B$2:$B$5001,B3778,$E$2:$E$5001,"Em ajustes"),1,0),0))</f>
        <v/>
      </c>
      <c r="N3778" s="17" t="str">
        <f aca="false">IF(A3778="","",IF(ISNUMBER(A3778),A3778,IFERROR(DATE(VALUE(MID(A3778,7,4)),VALUE(MID(A3778,4,2)),VALUE(MID(A3778,1,2)))+TIME(VALUE(MID(A3778,12,2)),VALUE(MID(A3778,15,2)),VALUE(MID(A3778,18,2))),"")))</f>
        <v/>
      </c>
    </row>
    <row r="3779" customFormat="false" ht="15" hidden="false" customHeight="false" outlineLevel="0" collapsed="false">
      <c r="I3779" s="15" t="str">
        <f aca="false">IF(N3779="","",INT(N3779))</f>
        <v/>
      </c>
      <c r="J3779" s="16" t="str">
        <f aca="false">IF(B3779="","",IF(N3779=_xlfn.MINIFS($N$2:$N$5001,$B$2:$B$5001,B3779),1,0))</f>
        <v/>
      </c>
      <c r="K3779" s="16" t="str">
        <f aca="false">IF(B3779="","",IF(AND(D3779="Formalização",E3779="Concluído"),IF(COUNTIFS($B$2:$B$5001,B3779,$E$2:$E$5001,"Em ajustes",$N$2:$N$5001,"&lt;"&amp;I3779)&gt;0,1,0),0))</f>
        <v/>
      </c>
      <c r="L3779" s="16" t="str">
        <f aca="false">IF(B3779="","",IF(N3779=_xlfn.MAXIFS($N$2:$N$5001,$B$2:$B$5001,B3779,$I$2:$I$5001,I3779),1,0))</f>
        <v/>
      </c>
      <c r="M3779" s="16" t="str">
        <f aca="false">IF(B3779="","",IF(E3779="Em ajustes",IF(N3779=_xlfn.MINIFS($N$2:$N$5001,$B$2:$B$5001,B3779,$E$2:$E$5001,"Em ajustes"),1,0),0))</f>
        <v/>
      </c>
      <c r="N3779" s="17" t="str">
        <f aca="false">IF(A3779="","",IF(ISNUMBER(A3779),A3779,IFERROR(DATE(VALUE(MID(A3779,7,4)),VALUE(MID(A3779,4,2)),VALUE(MID(A3779,1,2)))+TIME(VALUE(MID(A3779,12,2)),VALUE(MID(A3779,15,2)),VALUE(MID(A3779,18,2))),"")))</f>
        <v/>
      </c>
    </row>
    <row r="3780" customFormat="false" ht="15" hidden="false" customHeight="false" outlineLevel="0" collapsed="false">
      <c r="I3780" s="15" t="str">
        <f aca="false">IF(N3780="","",INT(N3780))</f>
        <v/>
      </c>
      <c r="J3780" s="16" t="str">
        <f aca="false">IF(B3780="","",IF(N3780=_xlfn.MINIFS($N$2:$N$5001,$B$2:$B$5001,B3780),1,0))</f>
        <v/>
      </c>
      <c r="K3780" s="16" t="str">
        <f aca="false">IF(B3780="","",IF(AND(D3780="Formalização",E3780="Concluído"),IF(COUNTIFS($B$2:$B$5001,B3780,$E$2:$E$5001,"Em ajustes",$N$2:$N$5001,"&lt;"&amp;I3780)&gt;0,1,0),0))</f>
        <v/>
      </c>
      <c r="L3780" s="16" t="str">
        <f aca="false">IF(B3780="","",IF(N3780=_xlfn.MAXIFS($N$2:$N$5001,$B$2:$B$5001,B3780,$I$2:$I$5001,I3780),1,0))</f>
        <v/>
      </c>
      <c r="M3780" s="16" t="str">
        <f aca="false">IF(B3780="","",IF(E3780="Em ajustes",IF(N3780=_xlfn.MINIFS($N$2:$N$5001,$B$2:$B$5001,B3780,$E$2:$E$5001,"Em ajustes"),1,0),0))</f>
        <v/>
      </c>
      <c r="N3780" s="17" t="str">
        <f aca="false">IF(A3780="","",IF(ISNUMBER(A3780),A3780,IFERROR(DATE(VALUE(MID(A3780,7,4)),VALUE(MID(A3780,4,2)),VALUE(MID(A3780,1,2)))+TIME(VALUE(MID(A3780,12,2)),VALUE(MID(A3780,15,2)),VALUE(MID(A3780,18,2))),"")))</f>
        <v/>
      </c>
    </row>
    <row r="3781" customFormat="false" ht="15" hidden="false" customHeight="false" outlineLevel="0" collapsed="false">
      <c r="I3781" s="15" t="str">
        <f aca="false">IF(N3781="","",INT(N3781))</f>
        <v/>
      </c>
      <c r="J3781" s="16" t="str">
        <f aca="false">IF(B3781="","",IF(N3781=_xlfn.MINIFS($N$2:$N$5001,$B$2:$B$5001,B3781),1,0))</f>
        <v/>
      </c>
      <c r="K3781" s="16" t="str">
        <f aca="false">IF(B3781="","",IF(AND(D3781="Formalização",E3781="Concluído"),IF(COUNTIFS($B$2:$B$5001,B3781,$E$2:$E$5001,"Em ajustes",$N$2:$N$5001,"&lt;"&amp;I3781)&gt;0,1,0),0))</f>
        <v/>
      </c>
      <c r="L3781" s="16" t="str">
        <f aca="false">IF(B3781="","",IF(N3781=_xlfn.MAXIFS($N$2:$N$5001,$B$2:$B$5001,B3781,$I$2:$I$5001,I3781),1,0))</f>
        <v/>
      </c>
      <c r="M3781" s="16" t="str">
        <f aca="false">IF(B3781="","",IF(E3781="Em ajustes",IF(N3781=_xlfn.MINIFS($N$2:$N$5001,$B$2:$B$5001,B3781,$E$2:$E$5001,"Em ajustes"),1,0),0))</f>
        <v/>
      </c>
      <c r="N3781" s="17" t="str">
        <f aca="false">IF(A3781="","",IF(ISNUMBER(A3781),A3781,IFERROR(DATE(VALUE(MID(A3781,7,4)),VALUE(MID(A3781,4,2)),VALUE(MID(A3781,1,2)))+TIME(VALUE(MID(A3781,12,2)),VALUE(MID(A3781,15,2)),VALUE(MID(A3781,18,2))),"")))</f>
        <v/>
      </c>
    </row>
    <row r="3782" customFormat="false" ht="15" hidden="false" customHeight="false" outlineLevel="0" collapsed="false">
      <c r="I3782" s="15" t="str">
        <f aca="false">IF(N3782="","",INT(N3782))</f>
        <v/>
      </c>
      <c r="J3782" s="16" t="str">
        <f aca="false">IF(B3782="","",IF(N3782=_xlfn.MINIFS($N$2:$N$5001,$B$2:$B$5001,B3782),1,0))</f>
        <v/>
      </c>
      <c r="K3782" s="16" t="str">
        <f aca="false">IF(B3782="","",IF(AND(D3782="Formalização",E3782="Concluído"),IF(COUNTIFS($B$2:$B$5001,B3782,$E$2:$E$5001,"Em ajustes",$N$2:$N$5001,"&lt;"&amp;I3782)&gt;0,1,0),0))</f>
        <v/>
      </c>
      <c r="L3782" s="16" t="str">
        <f aca="false">IF(B3782="","",IF(N3782=_xlfn.MAXIFS($N$2:$N$5001,$B$2:$B$5001,B3782,$I$2:$I$5001,I3782),1,0))</f>
        <v/>
      </c>
      <c r="M3782" s="16" t="str">
        <f aca="false">IF(B3782="","",IF(E3782="Em ajustes",IF(N3782=_xlfn.MINIFS($N$2:$N$5001,$B$2:$B$5001,B3782,$E$2:$E$5001,"Em ajustes"),1,0),0))</f>
        <v/>
      </c>
      <c r="N3782" s="17" t="str">
        <f aca="false">IF(A3782="","",IF(ISNUMBER(A3782),A3782,IFERROR(DATE(VALUE(MID(A3782,7,4)),VALUE(MID(A3782,4,2)),VALUE(MID(A3782,1,2)))+TIME(VALUE(MID(A3782,12,2)),VALUE(MID(A3782,15,2)),VALUE(MID(A3782,18,2))),"")))</f>
        <v/>
      </c>
    </row>
    <row r="3783" customFormat="false" ht="15" hidden="false" customHeight="false" outlineLevel="0" collapsed="false">
      <c r="I3783" s="15" t="str">
        <f aca="false">IF(N3783="","",INT(N3783))</f>
        <v/>
      </c>
      <c r="J3783" s="16" t="str">
        <f aca="false">IF(B3783="","",IF(N3783=_xlfn.MINIFS($N$2:$N$5001,$B$2:$B$5001,B3783),1,0))</f>
        <v/>
      </c>
      <c r="K3783" s="16" t="str">
        <f aca="false">IF(B3783="","",IF(AND(D3783="Formalização",E3783="Concluído"),IF(COUNTIFS($B$2:$B$5001,B3783,$E$2:$E$5001,"Em ajustes",$N$2:$N$5001,"&lt;"&amp;I3783)&gt;0,1,0),0))</f>
        <v/>
      </c>
      <c r="L3783" s="16" t="str">
        <f aca="false">IF(B3783="","",IF(N3783=_xlfn.MAXIFS($N$2:$N$5001,$B$2:$B$5001,B3783,$I$2:$I$5001,I3783),1,0))</f>
        <v/>
      </c>
      <c r="M3783" s="16" t="str">
        <f aca="false">IF(B3783="","",IF(E3783="Em ajustes",IF(N3783=_xlfn.MINIFS($N$2:$N$5001,$B$2:$B$5001,B3783,$E$2:$E$5001,"Em ajustes"),1,0),0))</f>
        <v/>
      </c>
      <c r="N3783" s="17" t="str">
        <f aca="false">IF(A3783="","",IF(ISNUMBER(A3783),A3783,IFERROR(DATE(VALUE(MID(A3783,7,4)),VALUE(MID(A3783,4,2)),VALUE(MID(A3783,1,2)))+TIME(VALUE(MID(A3783,12,2)),VALUE(MID(A3783,15,2)),VALUE(MID(A3783,18,2))),"")))</f>
        <v/>
      </c>
    </row>
    <row r="3784" customFormat="false" ht="15" hidden="false" customHeight="false" outlineLevel="0" collapsed="false">
      <c r="I3784" s="15" t="str">
        <f aca="false">IF(N3784="","",INT(N3784))</f>
        <v/>
      </c>
      <c r="J3784" s="16" t="str">
        <f aca="false">IF(B3784="","",IF(N3784=_xlfn.MINIFS($N$2:$N$5001,$B$2:$B$5001,B3784),1,0))</f>
        <v/>
      </c>
      <c r="K3784" s="16" t="str">
        <f aca="false">IF(B3784="","",IF(AND(D3784="Formalização",E3784="Concluído"),IF(COUNTIFS($B$2:$B$5001,B3784,$E$2:$E$5001,"Em ajustes",$N$2:$N$5001,"&lt;"&amp;I3784)&gt;0,1,0),0))</f>
        <v/>
      </c>
      <c r="L3784" s="16" t="str">
        <f aca="false">IF(B3784="","",IF(N3784=_xlfn.MAXIFS($N$2:$N$5001,$B$2:$B$5001,B3784,$I$2:$I$5001,I3784),1,0))</f>
        <v/>
      </c>
      <c r="M3784" s="16" t="str">
        <f aca="false">IF(B3784="","",IF(E3784="Em ajustes",IF(N3784=_xlfn.MINIFS($N$2:$N$5001,$B$2:$B$5001,B3784,$E$2:$E$5001,"Em ajustes"),1,0),0))</f>
        <v/>
      </c>
      <c r="N3784" s="17" t="str">
        <f aca="false">IF(A3784="","",IF(ISNUMBER(A3784),A3784,IFERROR(DATE(VALUE(MID(A3784,7,4)),VALUE(MID(A3784,4,2)),VALUE(MID(A3784,1,2)))+TIME(VALUE(MID(A3784,12,2)),VALUE(MID(A3784,15,2)),VALUE(MID(A3784,18,2))),"")))</f>
        <v/>
      </c>
    </row>
    <row r="3785" customFormat="false" ht="15" hidden="false" customHeight="false" outlineLevel="0" collapsed="false">
      <c r="I3785" s="15" t="str">
        <f aca="false">IF(N3785="","",INT(N3785))</f>
        <v/>
      </c>
      <c r="J3785" s="16" t="str">
        <f aca="false">IF(B3785="","",IF(N3785=_xlfn.MINIFS($N$2:$N$5001,$B$2:$B$5001,B3785),1,0))</f>
        <v/>
      </c>
      <c r="K3785" s="16" t="str">
        <f aca="false">IF(B3785="","",IF(AND(D3785="Formalização",E3785="Concluído"),IF(COUNTIFS($B$2:$B$5001,B3785,$E$2:$E$5001,"Em ajustes",$N$2:$N$5001,"&lt;"&amp;I3785)&gt;0,1,0),0))</f>
        <v/>
      </c>
      <c r="L3785" s="16" t="str">
        <f aca="false">IF(B3785="","",IF(N3785=_xlfn.MAXIFS($N$2:$N$5001,$B$2:$B$5001,B3785,$I$2:$I$5001,I3785),1,0))</f>
        <v/>
      </c>
      <c r="M3785" s="16" t="str">
        <f aca="false">IF(B3785="","",IF(E3785="Em ajustes",IF(N3785=_xlfn.MINIFS($N$2:$N$5001,$B$2:$B$5001,B3785,$E$2:$E$5001,"Em ajustes"),1,0),0))</f>
        <v/>
      </c>
      <c r="N3785" s="17" t="str">
        <f aca="false">IF(A3785="","",IF(ISNUMBER(A3785),A3785,IFERROR(DATE(VALUE(MID(A3785,7,4)),VALUE(MID(A3785,4,2)),VALUE(MID(A3785,1,2)))+TIME(VALUE(MID(A3785,12,2)),VALUE(MID(A3785,15,2)),VALUE(MID(A3785,18,2))),"")))</f>
        <v/>
      </c>
    </row>
    <row r="3786" customFormat="false" ht="15" hidden="false" customHeight="false" outlineLevel="0" collapsed="false">
      <c r="I3786" s="15" t="str">
        <f aca="false">IF(N3786="","",INT(N3786))</f>
        <v/>
      </c>
      <c r="J3786" s="16" t="str">
        <f aca="false">IF(B3786="","",IF(N3786=_xlfn.MINIFS($N$2:$N$5001,$B$2:$B$5001,B3786),1,0))</f>
        <v/>
      </c>
      <c r="K3786" s="16" t="str">
        <f aca="false">IF(B3786="","",IF(AND(D3786="Formalização",E3786="Concluído"),IF(COUNTIFS($B$2:$B$5001,B3786,$E$2:$E$5001,"Em ajustes",$N$2:$N$5001,"&lt;"&amp;I3786)&gt;0,1,0),0))</f>
        <v/>
      </c>
      <c r="L3786" s="16" t="str">
        <f aca="false">IF(B3786="","",IF(N3786=_xlfn.MAXIFS($N$2:$N$5001,$B$2:$B$5001,B3786,$I$2:$I$5001,I3786),1,0))</f>
        <v/>
      </c>
      <c r="M3786" s="16" t="str">
        <f aca="false">IF(B3786="","",IF(E3786="Em ajustes",IF(N3786=_xlfn.MINIFS($N$2:$N$5001,$B$2:$B$5001,B3786,$E$2:$E$5001,"Em ajustes"),1,0),0))</f>
        <v/>
      </c>
      <c r="N3786" s="17" t="str">
        <f aca="false">IF(A3786="","",IF(ISNUMBER(A3786),A3786,IFERROR(DATE(VALUE(MID(A3786,7,4)),VALUE(MID(A3786,4,2)),VALUE(MID(A3786,1,2)))+TIME(VALUE(MID(A3786,12,2)),VALUE(MID(A3786,15,2)),VALUE(MID(A3786,18,2))),"")))</f>
        <v/>
      </c>
    </row>
    <row r="3787" customFormat="false" ht="15" hidden="false" customHeight="false" outlineLevel="0" collapsed="false">
      <c r="I3787" s="15" t="str">
        <f aca="false">IF(N3787="","",INT(N3787))</f>
        <v/>
      </c>
      <c r="J3787" s="16" t="str">
        <f aca="false">IF(B3787="","",IF(N3787=_xlfn.MINIFS($N$2:$N$5001,$B$2:$B$5001,B3787),1,0))</f>
        <v/>
      </c>
      <c r="K3787" s="16" t="str">
        <f aca="false">IF(B3787="","",IF(AND(D3787="Formalização",E3787="Concluído"),IF(COUNTIFS($B$2:$B$5001,B3787,$E$2:$E$5001,"Em ajustes",$N$2:$N$5001,"&lt;"&amp;I3787)&gt;0,1,0),0))</f>
        <v/>
      </c>
      <c r="L3787" s="16" t="str">
        <f aca="false">IF(B3787="","",IF(N3787=_xlfn.MAXIFS($N$2:$N$5001,$B$2:$B$5001,B3787,$I$2:$I$5001,I3787),1,0))</f>
        <v/>
      </c>
      <c r="M3787" s="16" t="str">
        <f aca="false">IF(B3787="","",IF(E3787="Em ajustes",IF(N3787=_xlfn.MINIFS($N$2:$N$5001,$B$2:$B$5001,B3787,$E$2:$E$5001,"Em ajustes"),1,0),0))</f>
        <v/>
      </c>
      <c r="N3787" s="17" t="str">
        <f aca="false">IF(A3787="","",IF(ISNUMBER(A3787),A3787,IFERROR(DATE(VALUE(MID(A3787,7,4)),VALUE(MID(A3787,4,2)),VALUE(MID(A3787,1,2)))+TIME(VALUE(MID(A3787,12,2)),VALUE(MID(A3787,15,2)),VALUE(MID(A3787,18,2))),"")))</f>
        <v/>
      </c>
    </row>
    <row r="3788" customFormat="false" ht="15" hidden="false" customHeight="false" outlineLevel="0" collapsed="false">
      <c r="I3788" s="15" t="str">
        <f aca="false">IF(N3788="","",INT(N3788))</f>
        <v/>
      </c>
      <c r="J3788" s="16" t="str">
        <f aca="false">IF(B3788="","",IF(N3788=_xlfn.MINIFS($N$2:$N$5001,$B$2:$B$5001,B3788),1,0))</f>
        <v/>
      </c>
      <c r="K3788" s="16" t="str">
        <f aca="false">IF(B3788="","",IF(AND(D3788="Formalização",E3788="Concluído"),IF(COUNTIFS($B$2:$B$5001,B3788,$E$2:$E$5001,"Em ajustes",$N$2:$N$5001,"&lt;"&amp;I3788)&gt;0,1,0),0))</f>
        <v/>
      </c>
      <c r="L3788" s="16" t="str">
        <f aca="false">IF(B3788="","",IF(N3788=_xlfn.MAXIFS($N$2:$N$5001,$B$2:$B$5001,B3788,$I$2:$I$5001,I3788),1,0))</f>
        <v/>
      </c>
      <c r="M3788" s="16" t="str">
        <f aca="false">IF(B3788="","",IF(E3788="Em ajustes",IF(N3788=_xlfn.MINIFS($N$2:$N$5001,$B$2:$B$5001,B3788,$E$2:$E$5001,"Em ajustes"),1,0),0))</f>
        <v/>
      </c>
      <c r="N3788" s="17" t="str">
        <f aca="false">IF(A3788="","",IF(ISNUMBER(A3788),A3788,IFERROR(DATE(VALUE(MID(A3788,7,4)),VALUE(MID(A3788,4,2)),VALUE(MID(A3788,1,2)))+TIME(VALUE(MID(A3788,12,2)),VALUE(MID(A3788,15,2)),VALUE(MID(A3788,18,2))),"")))</f>
        <v/>
      </c>
    </row>
    <row r="3789" customFormat="false" ht="15" hidden="false" customHeight="false" outlineLevel="0" collapsed="false">
      <c r="I3789" s="15" t="str">
        <f aca="false">IF(N3789="","",INT(N3789))</f>
        <v/>
      </c>
      <c r="J3789" s="16" t="str">
        <f aca="false">IF(B3789="","",IF(N3789=_xlfn.MINIFS($N$2:$N$5001,$B$2:$B$5001,B3789),1,0))</f>
        <v/>
      </c>
      <c r="K3789" s="16" t="str">
        <f aca="false">IF(B3789="","",IF(AND(D3789="Formalização",E3789="Concluído"),IF(COUNTIFS($B$2:$B$5001,B3789,$E$2:$E$5001,"Em ajustes",$N$2:$N$5001,"&lt;"&amp;I3789)&gt;0,1,0),0))</f>
        <v/>
      </c>
      <c r="L3789" s="16" t="str">
        <f aca="false">IF(B3789="","",IF(N3789=_xlfn.MAXIFS($N$2:$N$5001,$B$2:$B$5001,B3789,$I$2:$I$5001,I3789),1,0))</f>
        <v/>
      </c>
      <c r="M3789" s="16" t="str">
        <f aca="false">IF(B3789="","",IF(E3789="Em ajustes",IF(N3789=_xlfn.MINIFS($N$2:$N$5001,$B$2:$B$5001,B3789,$E$2:$E$5001,"Em ajustes"),1,0),0))</f>
        <v/>
      </c>
      <c r="N3789" s="17" t="str">
        <f aca="false">IF(A3789="","",IF(ISNUMBER(A3789),A3789,IFERROR(DATE(VALUE(MID(A3789,7,4)),VALUE(MID(A3789,4,2)),VALUE(MID(A3789,1,2)))+TIME(VALUE(MID(A3789,12,2)),VALUE(MID(A3789,15,2)),VALUE(MID(A3789,18,2))),"")))</f>
        <v/>
      </c>
    </row>
    <row r="3790" customFormat="false" ht="15" hidden="false" customHeight="false" outlineLevel="0" collapsed="false">
      <c r="I3790" s="15" t="str">
        <f aca="false">IF(N3790="","",INT(N3790))</f>
        <v/>
      </c>
      <c r="J3790" s="16" t="str">
        <f aca="false">IF(B3790="","",IF(N3790=_xlfn.MINIFS($N$2:$N$5001,$B$2:$B$5001,B3790),1,0))</f>
        <v/>
      </c>
      <c r="K3790" s="16" t="str">
        <f aca="false">IF(B3790="","",IF(AND(D3790="Formalização",E3790="Concluído"),IF(COUNTIFS($B$2:$B$5001,B3790,$E$2:$E$5001,"Em ajustes",$N$2:$N$5001,"&lt;"&amp;I3790)&gt;0,1,0),0))</f>
        <v/>
      </c>
      <c r="L3790" s="16" t="str">
        <f aca="false">IF(B3790="","",IF(N3790=_xlfn.MAXIFS($N$2:$N$5001,$B$2:$B$5001,B3790,$I$2:$I$5001,I3790),1,0))</f>
        <v/>
      </c>
      <c r="M3790" s="16" t="str">
        <f aca="false">IF(B3790="","",IF(E3790="Em ajustes",IF(N3790=_xlfn.MINIFS($N$2:$N$5001,$B$2:$B$5001,B3790,$E$2:$E$5001,"Em ajustes"),1,0),0))</f>
        <v/>
      </c>
      <c r="N3790" s="17" t="str">
        <f aca="false">IF(A3790="","",IF(ISNUMBER(A3790),A3790,IFERROR(DATE(VALUE(MID(A3790,7,4)),VALUE(MID(A3790,4,2)),VALUE(MID(A3790,1,2)))+TIME(VALUE(MID(A3790,12,2)),VALUE(MID(A3790,15,2)),VALUE(MID(A3790,18,2))),"")))</f>
        <v/>
      </c>
    </row>
    <row r="3791" customFormat="false" ht="15" hidden="false" customHeight="false" outlineLevel="0" collapsed="false">
      <c r="I3791" s="15" t="str">
        <f aca="false">IF(N3791="","",INT(N3791))</f>
        <v/>
      </c>
      <c r="J3791" s="16" t="str">
        <f aca="false">IF(B3791="","",IF(N3791=_xlfn.MINIFS($N$2:$N$5001,$B$2:$B$5001,B3791),1,0))</f>
        <v/>
      </c>
      <c r="K3791" s="16" t="str">
        <f aca="false">IF(B3791="","",IF(AND(D3791="Formalização",E3791="Concluído"),IF(COUNTIFS($B$2:$B$5001,B3791,$E$2:$E$5001,"Em ajustes",$N$2:$N$5001,"&lt;"&amp;I3791)&gt;0,1,0),0))</f>
        <v/>
      </c>
      <c r="L3791" s="16" t="str">
        <f aca="false">IF(B3791="","",IF(N3791=_xlfn.MAXIFS($N$2:$N$5001,$B$2:$B$5001,B3791,$I$2:$I$5001,I3791),1,0))</f>
        <v/>
      </c>
      <c r="M3791" s="16" t="str">
        <f aca="false">IF(B3791="","",IF(E3791="Em ajustes",IF(N3791=_xlfn.MINIFS($N$2:$N$5001,$B$2:$B$5001,B3791,$E$2:$E$5001,"Em ajustes"),1,0),0))</f>
        <v/>
      </c>
      <c r="N3791" s="17" t="str">
        <f aca="false">IF(A3791="","",IF(ISNUMBER(A3791),A3791,IFERROR(DATE(VALUE(MID(A3791,7,4)),VALUE(MID(A3791,4,2)),VALUE(MID(A3791,1,2)))+TIME(VALUE(MID(A3791,12,2)),VALUE(MID(A3791,15,2)),VALUE(MID(A3791,18,2))),"")))</f>
        <v/>
      </c>
    </row>
    <row r="3792" customFormat="false" ht="15" hidden="false" customHeight="false" outlineLevel="0" collapsed="false">
      <c r="I3792" s="15" t="str">
        <f aca="false">IF(N3792="","",INT(N3792))</f>
        <v/>
      </c>
      <c r="J3792" s="16" t="str">
        <f aca="false">IF(B3792="","",IF(N3792=_xlfn.MINIFS($N$2:$N$5001,$B$2:$B$5001,B3792),1,0))</f>
        <v/>
      </c>
      <c r="K3792" s="16" t="str">
        <f aca="false">IF(B3792="","",IF(AND(D3792="Formalização",E3792="Concluído"),IF(COUNTIFS($B$2:$B$5001,B3792,$E$2:$E$5001,"Em ajustes",$N$2:$N$5001,"&lt;"&amp;I3792)&gt;0,1,0),0))</f>
        <v/>
      </c>
      <c r="L3792" s="16" t="str">
        <f aca="false">IF(B3792="","",IF(N3792=_xlfn.MAXIFS($N$2:$N$5001,$B$2:$B$5001,B3792,$I$2:$I$5001,I3792),1,0))</f>
        <v/>
      </c>
      <c r="M3792" s="16" t="str">
        <f aca="false">IF(B3792="","",IF(E3792="Em ajustes",IF(N3792=_xlfn.MINIFS($N$2:$N$5001,$B$2:$B$5001,B3792,$E$2:$E$5001,"Em ajustes"),1,0),0))</f>
        <v/>
      </c>
      <c r="N3792" s="17" t="str">
        <f aca="false">IF(A3792="","",IF(ISNUMBER(A3792),A3792,IFERROR(DATE(VALUE(MID(A3792,7,4)),VALUE(MID(A3792,4,2)),VALUE(MID(A3792,1,2)))+TIME(VALUE(MID(A3792,12,2)),VALUE(MID(A3792,15,2)),VALUE(MID(A3792,18,2))),"")))</f>
        <v/>
      </c>
    </row>
    <row r="3793" customFormat="false" ht="15" hidden="false" customHeight="false" outlineLevel="0" collapsed="false">
      <c r="I3793" s="15" t="str">
        <f aca="false">IF(N3793="","",INT(N3793))</f>
        <v/>
      </c>
      <c r="J3793" s="16" t="str">
        <f aca="false">IF(B3793="","",IF(N3793=_xlfn.MINIFS($N$2:$N$5001,$B$2:$B$5001,B3793),1,0))</f>
        <v/>
      </c>
      <c r="K3793" s="16" t="str">
        <f aca="false">IF(B3793="","",IF(AND(D3793="Formalização",E3793="Concluído"),IF(COUNTIFS($B$2:$B$5001,B3793,$E$2:$E$5001,"Em ajustes",$N$2:$N$5001,"&lt;"&amp;I3793)&gt;0,1,0),0))</f>
        <v/>
      </c>
      <c r="L3793" s="16" t="str">
        <f aca="false">IF(B3793="","",IF(N3793=_xlfn.MAXIFS($N$2:$N$5001,$B$2:$B$5001,B3793,$I$2:$I$5001,I3793),1,0))</f>
        <v/>
      </c>
      <c r="M3793" s="16" t="str">
        <f aca="false">IF(B3793="","",IF(E3793="Em ajustes",IF(N3793=_xlfn.MINIFS($N$2:$N$5001,$B$2:$B$5001,B3793,$E$2:$E$5001,"Em ajustes"),1,0),0))</f>
        <v/>
      </c>
      <c r="N3793" s="17" t="str">
        <f aca="false">IF(A3793="","",IF(ISNUMBER(A3793),A3793,IFERROR(DATE(VALUE(MID(A3793,7,4)),VALUE(MID(A3793,4,2)),VALUE(MID(A3793,1,2)))+TIME(VALUE(MID(A3793,12,2)),VALUE(MID(A3793,15,2)),VALUE(MID(A3793,18,2))),"")))</f>
        <v/>
      </c>
    </row>
    <row r="3794" customFormat="false" ht="15" hidden="false" customHeight="false" outlineLevel="0" collapsed="false">
      <c r="I3794" s="15" t="str">
        <f aca="false">IF(N3794="","",INT(N3794))</f>
        <v/>
      </c>
      <c r="J3794" s="16" t="str">
        <f aca="false">IF(B3794="","",IF(N3794=_xlfn.MINIFS($N$2:$N$5001,$B$2:$B$5001,B3794),1,0))</f>
        <v/>
      </c>
      <c r="K3794" s="16" t="str">
        <f aca="false">IF(B3794="","",IF(AND(D3794="Formalização",E3794="Concluído"),IF(COUNTIFS($B$2:$B$5001,B3794,$E$2:$E$5001,"Em ajustes",$N$2:$N$5001,"&lt;"&amp;I3794)&gt;0,1,0),0))</f>
        <v/>
      </c>
      <c r="L3794" s="16" t="str">
        <f aca="false">IF(B3794="","",IF(N3794=_xlfn.MAXIFS($N$2:$N$5001,$B$2:$B$5001,B3794,$I$2:$I$5001,I3794),1,0))</f>
        <v/>
      </c>
      <c r="M3794" s="16" t="str">
        <f aca="false">IF(B3794="","",IF(E3794="Em ajustes",IF(N3794=_xlfn.MINIFS($N$2:$N$5001,$B$2:$B$5001,B3794,$E$2:$E$5001,"Em ajustes"),1,0),0))</f>
        <v/>
      </c>
      <c r="N3794" s="17" t="str">
        <f aca="false">IF(A3794="","",IF(ISNUMBER(A3794),A3794,IFERROR(DATE(VALUE(MID(A3794,7,4)),VALUE(MID(A3794,4,2)),VALUE(MID(A3794,1,2)))+TIME(VALUE(MID(A3794,12,2)),VALUE(MID(A3794,15,2)),VALUE(MID(A3794,18,2))),"")))</f>
        <v/>
      </c>
    </row>
    <row r="3795" customFormat="false" ht="15" hidden="false" customHeight="false" outlineLevel="0" collapsed="false">
      <c r="I3795" s="15" t="str">
        <f aca="false">IF(N3795="","",INT(N3795))</f>
        <v/>
      </c>
      <c r="J3795" s="16" t="str">
        <f aca="false">IF(B3795="","",IF(N3795=_xlfn.MINIFS($N$2:$N$5001,$B$2:$B$5001,B3795),1,0))</f>
        <v/>
      </c>
      <c r="K3795" s="16" t="str">
        <f aca="false">IF(B3795="","",IF(AND(D3795="Formalização",E3795="Concluído"),IF(COUNTIFS($B$2:$B$5001,B3795,$E$2:$E$5001,"Em ajustes",$N$2:$N$5001,"&lt;"&amp;I3795)&gt;0,1,0),0))</f>
        <v/>
      </c>
      <c r="L3795" s="16" t="str">
        <f aca="false">IF(B3795="","",IF(N3795=_xlfn.MAXIFS($N$2:$N$5001,$B$2:$B$5001,B3795,$I$2:$I$5001,I3795),1,0))</f>
        <v/>
      </c>
      <c r="M3795" s="16" t="str">
        <f aca="false">IF(B3795="","",IF(E3795="Em ajustes",IF(N3795=_xlfn.MINIFS($N$2:$N$5001,$B$2:$B$5001,B3795,$E$2:$E$5001,"Em ajustes"),1,0),0))</f>
        <v/>
      </c>
      <c r="N3795" s="17" t="str">
        <f aca="false">IF(A3795="","",IF(ISNUMBER(A3795),A3795,IFERROR(DATE(VALUE(MID(A3795,7,4)),VALUE(MID(A3795,4,2)),VALUE(MID(A3795,1,2)))+TIME(VALUE(MID(A3795,12,2)),VALUE(MID(A3795,15,2)),VALUE(MID(A3795,18,2))),"")))</f>
        <v/>
      </c>
    </row>
    <row r="3796" customFormat="false" ht="15" hidden="false" customHeight="false" outlineLevel="0" collapsed="false">
      <c r="I3796" s="15" t="str">
        <f aca="false">IF(N3796="","",INT(N3796))</f>
        <v/>
      </c>
      <c r="J3796" s="16" t="str">
        <f aca="false">IF(B3796="","",IF(N3796=_xlfn.MINIFS($N$2:$N$5001,$B$2:$B$5001,B3796),1,0))</f>
        <v/>
      </c>
      <c r="K3796" s="16" t="str">
        <f aca="false">IF(B3796="","",IF(AND(D3796="Formalização",E3796="Concluído"),IF(COUNTIFS($B$2:$B$5001,B3796,$E$2:$E$5001,"Em ajustes",$N$2:$N$5001,"&lt;"&amp;I3796)&gt;0,1,0),0))</f>
        <v/>
      </c>
      <c r="L3796" s="16" t="str">
        <f aca="false">IF(B3796="","",IF(N3796=_xlfn.MAXIFS($N$2:$N$5001,$B$2:$B$5001,B3796,$I$2:$I$5001,I3796),1,0))</f>
        <v/>
      </c>
      <c r="M3796" s="16" t="str">
        <f aca="false">IF(B3796="","",IF(E3796="Em ajustes",IF(N3796=_xlfn.MINIFS($N$2:$N$5001,$B$2:$B$5001,B3796,$E$2:$E$5001,"Em ajustes"),1,0),0))</f>
        <v/>
      </c>
      <c r="N3796" s="17" t="str">
        <f aca="false">IF(A3796="","",IF(ISNUMBER(A3796),A3796,IFERROR(DATE(VALUE(MID(A3796,7,4)),VALUE(MID(A3796,4,2)),VALUE(MID(A3796,1,2)))+TIME(VALUE(MID(A3796,12,2)),VALUE(MID(A3796,15,2)),VALUE(MID(A3796,18,2))),"")))</f>
        <v/>
      </c>
    </row>
    <row r="3797" customFormat="false" ht="15" hidden="false" customHeight="false" outlineLevel="0" collapsed="false">
      <c r="I3797" s="15" t="str">
        <f aca="false">IF(N3797="","",INT(N3797))</f>
        <v/>
      </c>
      <c r="J3797" s="16" t="str">
        <f aca="false">IF(B3797="","",IF(N3797=_xlfn.MINIFS($N$2:$N$5001,$B$2:$B$5001,B3797),1,0))</f>
        <v/>
      </c>
      <c r="K3797" s="16" t="str">
        <f aca="false">IF(B3797="","",IF(AND(D3797="Formalização",E3797="Concluído"),IF(COUNTIFS($B$2:$B$5001,B3797,$E$2:$E$5001,"Em ajustes",$N$2:$N$5001,"&lt;"&amp;I3797)&gt;0,1,0),0))</f>
        <v/>
      </c>
      <c r="L3797" s="16" t="str">
        <f aca="false">IF(B3797="","",IF(N3797=_xlfn.MAXIFS($N$2:$N$5001,$B$2:$B$5001,B3797,$I$2:$I$5001,I3797),1,0))</f>
        <v/>
      </c>
      <c r="M3797" s="16" t="str">
        <f aca="false">IF(B3797="","",IF(E3797="Em ajustes",IF(N3797=_xlfn.MINIFS($N$2:$N$5001,$B$2:$B$5001,B3797,$E$2:$E$5001,"Em ajustes"),1,0),0))</f>
        <v/>
      </c>
      <c r="N3797" s="17" t="str">
        <f aca="false">IF(A3797="","",IF(ISNUMBER(A3797),A3797,IFERROR(DATE(VALUE(MID(A3797,7,4)),VALUE(MID(A3797,4,2)),VALUE(MID(A3797,1,2)))+TIME(VALUE(MID(A3797,12,2)),VALUE(MID(A3797,15,2)),VALUE(MID(A3797,18,2))),"")))</f>
        <v/>
      </c>
    </row>
    <row r="3798" customFormat="false" ht="15" hidden="false" customHeight="false" outlineLevel="0" collapsed="false">
      <c r="I3798" s="15" t="str">
        <f aca="false">IF(N3798="","",INT(N3798))</f>
        <v/>
      </c>
      <c r="J3798" s="16" t="str">
        <f aca="false">IF(B3798="","",IF(N3798=_xlfn.MINIFS($N$2:$N$5001,$B$2:$B$5001,B3798),1,0))</f>
        <v/>
      </c>
      <c r="K3798" s="16" t="str">
        <f aca="false">IF(B3798="","",IF(AND(D3798="Formalização",E3798="Concluído"),IF(COUNTIFS($B$2:$B$5001,B3798,$E$2:$E$5001,"Em ajustes",$N$2:$N$5001,"&lt;"&amp;I3798)&gt;0,1,0),0))</f>
        <v/>
      </c>
      <c r="L3798" s="16" t="str">
        <f aca="false">IF(B3798="","",IF(N3798=_xlfn.MAXIFS($N$2:$N$5001,$B$2:$B$5001,B3798,$I$2:$I$5001,I3798),1,0))</f>
        <v/>
      </c>
      <c r="M3798" s="16" t="str">
        <f aca="false">IF(B3798="","",IF(E3798="Em ajustes",IF(N3798=_xlfn.MINIFS($N$2:$N$5001,$B$2:$B$5001,B3798,$E$2:$E$5001,"Em ajustes"),1,0),0))</f>
        <v/>
      </c>
      <c r="N3798" s="17" t="str">
        <f aca="false">IF(A3798="","",IF(ISNUMBER(A3798),A3798,IFERROR(DATE(VALUE(MID(A3798,7,4)),VALUE(MID(A3798,4,2)),VALUE(MID(A3798,1,2)))+TIME(VALUE(MID(A3798,12,2)),VALUE(MID(A3798,15,2)),VALUE(MID(A3798,18,2))),"")))</f>
        <v/>
      </c>
    </row>
    <row r="3799" customFormat="false" ht="15" hidden="false" customHeight="false" outlineLevel="0" collapsed="false">
      <c r="I3799" s="15" t="str">
        <f aca="false">IF(N3799="","",INT(N3799))</f>
        <v/>
      </c>
      <c r="J3799" s="16" t="str">
        <f aca="false">IF(B3799="","",IF(N3799=_xlfn.MINIFS($N$2:$N$5001,$B$2:$B$5001,B3799),1,0))</f>
        <v/>
      </c>
      <c r="K3799" s="16" t="str">
        <f aca="false">IF(B3799="","",IF(AND(D3799="Formalização",E3799="Concluído"),IF(COUNTIFS($B$2:$B$5001,B3799,$E$2:$E$5001,"Em ajustes",$N$2:$N$5001,"&lt;"&amp;I3799)&gt;0,1,0),0))</f>
        <v/>
      </c>
      <c r="L3799" s="16" t="str">
        <f aca="false">IF(B3799="","",IF(N3799=_xlfn.MAXIFS($N$2:$N$5001,$B$2:$B$5001,B3799,$I$2:$I$5001,I3799),1,0))</f>
        <v/>
      </c>
      <c r="M3799" s="16" t="str">
        <f aca="false">IF(B3799="","",IF(E3799="Em ajustes",IF(N3799=_xlfn.MINIFS($N$2:$N$5001,$B$2:$B$5001,B3799,$E$2:$E$5001,"Em ajustes"),1,0),0))</f>
        <v/>
      </c>
      <c r="N3799" s="17" t="str">
        <f aca="false">IF(A3799="","",IF(ISNUMBER(A3799),A3799,IFERROR(DATE(VALUE(MID(A3799,7,4)),VALUE(MID(A3799,4,2)),VALUE(MID(A3799,1,2)))+TIME(VALUE(MID(A3799,12,2)),VALUE(MID(A3799,15,2)),VALUE(MID(A3799,18,2))),"")))</f>
        <v/>
      </c>
    </row>
    <row r="3800" customFormat="false" ht="15" hidden="false" customHeight="false" outlineLevel="0" collapsed="false">
      <c r="I3800" s="15" t="str">
        <f aca="false">IF(N3800="","",INT(N3800))</f>
        <v/>
      </c>
      <c r="J3800" s="16" t="str">
        <f aca="false">IF(B3800="","",IF(N3800=_xlfn.MINIFS($N$2:$N$5001,$B$2:$B$5001,B3800),1,0))</f>
        <v/>
      </c>
      <c r="K3800" s="16" t="str">
        <f aca="false">IF(B3800="","",IF(AND(D3800="Formalização",E3800="Concluído"),IF(COUNTIFS($B$2:$B$5001,B3800,$E$2:$E$5001,"Em ajustes",$N$2:$N$5001,"&lt;"&amp;I3800)&gt;0,1,0),0))</f>
        <v/>
      </c>
      <c r="L3800" s="16" t="str">
        <f aca="false">IF(B3800="","",IF(N3800=_xlfn.MAXIFS($N$2:$N$5001,$B$2:$B$5001,B3800,$I$2:$I$5001,I3800),1,0))</f>
        <v/>
      </c>
      <c r="M3800" s="16" t="str">
        <f aca="false">IF(B3800="","",IF(E3800="Em ajustes",IF(N3800=_xlfn.MINIFS($N$2:$N$5001,$B$2:$B$5001,B3800,$E$2:$E$5001,"Em ajustes"),1,0),0))</f>
        <v/>
      </c>
      <c r="N3800" s="17" t="str">
        <f aca="false">IF(A3800="","",IF(ISNUMBER(A3800),A3800,IFERROR(DATE(VALUE(MID(A3800,7,4)),VALUE(MID(A3800,4,2)),VALUE(MID(A3800,1,2)))+TIME(VALUE(MID(A3800,12,2)),VALUE(MID(A3800,15,2)),VALUE(MID(A3800,18,2))),"")))</f>
        <v/>
      </c>
    </row>
    <row r="3801" customFormat="false" ht="15" hidden="false" customHeight="false" outlineLevel="0" collapsed="false">
      <c r="I3801" s="15" t="str">
        <f aca="false">IF(N3801="","",INT(N3801))</f>
        <v/>
      </c>
      <c r="J3801" s="16" t="str">
        <f aca="false">IF(B3801="","",IF(N3801=_xlfn.MINIFS($N$2:$N$5001,$B$2:$B$5001,B3801),1,0))</f>
        <v/>
      </c>
      <c r="K3801" s="16" t="str">
        <f aca="false">IF(B3801="","",IF(AND(D3801="Formalização",E3801="Concluído"),IF(COUNTIFS($B$2:$B$5001,B3801,$E$2:$E$5001,"Em ajustes",$N$2:$N$5001,"&lt;"&amp;I3801)&gt;0,1,0),0))</f>
        <v/>
      </c>
      <c r="L3801" s="16" t="str">
        <f aca="false">IF(B3801="","",IF(N3801=_xlfn.MAXIFS($N$2:$N$5001,$B$2:$B$5001,B3801,$I$2:$I$5001,I3801),1,0))</f>
        <v/>
      </c>
      <c r="M3801" s="16" t="str">
        <f aca="false">IF(B3801="","",IF(E3801="Em ajustes",IF(N3801=_xlfn.MINIFS($N$2:$N$5001,$B$2:$B$5001,B3801,$E$2:$E$5001,"Em ajustes"),1,0),0))</f>
        <v/>
      </c>
      <c r="N3801" s="17" t="str">
        <f aca="false">IF(A3801="","",IF(ISNUMBER(A3801),A3801,IFERROR(DATE(VALUE(MID(A3801,7,4)),VALUE(MID(A3801,4,2)),VALUE(MID(A3801,1,2)))+TIME(VALUE(MID(A3801,12,2)),VALUE(MID(A3801,15,2)),VALUE(MID(A3801,18,2))),"")))</f>
        <v/>
      </c>
    </row>
    <row r="3802" customFormat="false" ht="15" hidden="false" customHeight="false" outlineLevel="0" collapsed="false">
      <c r="I3802" s="15" t="str">
        <f aca="false">IF(N3802="","",INT(N3802))</f>
        <v/>
      </c>
      <c r="J3802" s="16" t="str">
        <f aca="false">IF(B3802="","",IF(N3802=_xlfn.MINIFS($N$2:$N$5001,$B$2:$B$5001,B3802),1,0))</f>
        <v/>
      </c>
      <c r="K3802" s="16" t="str">
        <f aca="false">IF(B3802="","",IF(AND(D3802="Formalização",E3802="Concluído"),IF(COUNTIFS($B$2:$B$5001,B3802,$E$2:$E$5001,"Em ajustes",$N$2:$N$5001,"&lt;"&amp;I3802)&gt;0,1,0),0))</f>
        <v/>
      </c>
      <c r="L3802" s="16" t="str">
        <f aca="false">IF(B3802="","",IF(N3802=_xlfn.MAXIFS($N$2:$N$5001,$B$2:$B$5001,B3802,$I$2:$I$5001,I3802),1,0))</f>
        <v/>
      </c>
      <c r="M3802" s="16" t="str">
        <f aca="false">IF(B3802="","",IF(E3802="Em ajustes",IF(N3802=_xlfn.MINIFS($N$2:$N$5001,$B$2:$B$5001,B3802,$E$2:$E$5001,"Em ajustes"),1,0),0))</f>
        <v/>
      </c>
      <c r="N3802" s="17" t="str">
        <f aca="false">IF(A3802="","",IF(ISNUMBER(A3802),A3802,IFERROR(DATE(VALUE(MID(A3802,7,4)),VALUE(MID(A3802,4,2)),VALUE(MID(A3802,1,2)))+TIME(VALUE(MID(A3802,12,2)),VALUE(MID(A3802,15,2)),VALUE(MID(A3802,18,2))),"")))</f>
        <v/>
      </c>
    </row>
    <row r="3803" customFormat="false" ht="15" hidden="false" customHeight="false" outlineLevel="0" collapsed="false">
      <c r="I3803" s="15" t="str">
        <f aca="false">IF(N3803="","",INT(N3803))</f>
        <v/>
      </c>
      <c r="J3803" s="16" t="str">
        <f aca="false">IF(B3803="","",IF(N3803=_xlfn.MINIFS($N$2:$N$5001,$B$2:$B$5001,B3803),1,0))</f>
        <v/>
      </c>
      <c r="K3803" s="16" t="str">
        <f aca="false">IF(B3803="","",IF(AND(D3803="Formalização",E3803="Concluído"),IF(COUNTIFS($B$2:$B$5001,B3803,$E$2:$E$5001,"Em ajustes",$N$2:$N$5001,"&lt;"&amp;I3803)&gt;0,1,0),0))</f>
        <v/>
      </c>
      <c r="L3803" s="16" t="str">
        <f aca="false">IF(B3803="","",IF(N3803=_xlfn.MAXIFS($N$2:$N$5001,$B$2:$B$5001,B3803,$I$2:$I$5001,I3803),1,0))</f>
        <v/>
      </c>
      <c r="M3803" s="16" t="str">
        <f aca="false">IF(B3803="","",IF(E3803="Em ajustes",IF(N3803=_xlfn.MINIFS($N$2:$N$5001,$B$2:$B$5001,B3803,$E$2:$E$5001,"Em ajustes"),1,0),0))</f>
        <v/>
      </c>
      <c r="N3803" s="17" t="str">
        <f aca="false">IF(A3803="","",IF(ISNUMBER(A3803),A3803,IFERROR(DATE(VALUE(MID(A3803,7,4)),VALUE(MID(A3803,4,2)),VALUE(MID(A3803,1,2)))+TIME(VALUE(MID(A3803,12,2)),VALUE(MID(A3803,15,2)),VALUE(MID(A3803,18,2))),"")))</f>
        <v/>
      </c>
    </row>
    <row r="3804" customFormat="false" ht="15" hidden="false" customHeight="false" outlineLevel="0" collapsed="false">
      <c r="I3804" s="15" t="str">
        <f aca="false">IF(N3804="","",INT(N3804))</f>
        <v/>
      </c>
      <c r="J3804" s="16" t="str">
        <f aca="false">IF(B3804="","",IF(N3804=_xlfn.MINIFS($N$2:$N$5001,$B$2:$B$5001,B3804),1,0))</f>
        <v/>
      </c>
      <c r="K3804" s="16" t="str">
        <f aca="false">IF(B3804="","",IF(AND(D3804="Formalização",E3804="Concluído"),IF(COUNTIFS($B$2:$B$5001,B3804,$E$2:$E$5001,"Em ajustes",$N$2:$N$5001,"&lt;"&amp;I3804)&gt;0,1,0),0))</f>
        <v/>
      </c>
      <c r="L3804" s="16" t="str">
        <f aca="false">IF(B3804="","",IF(N3804=_xlfn.MAXIFS($N$2:$N$5001,$B$2:$B$5001,B3804,$I$2:$I$5001,I3804),1,0))</f>
        <v/>
      </c>
      <c r="M3804" s="16" t="str">
        <f aca="false">IF(B3804="","",IF(E3804="Em ajustes",IF(N3804=_xlfn.MINIFS($N$2:$N$5001,$B$2:$B$5001,B3804,$E$2:$E$5001,"Em ajustes"),1,0),0))</f>
        <v/>
      </c>
      <c r="N3804" s="17" t="str">
        <f aca="false">IF(A3804="","",IF(ISNUMBER(A3804),A3804,IFERROR(DATE(VALUE(MID(A3804,7,4)),VALUE(MID(A3804,4,2)),VALUE(MID(A3804,1,2)))+TIME(VALUE(MID(A3804,12,2)),VALUE(MID(A3804,15,2)),VALUE(MID(A3804,18,2))),"")))</f>
        <v/>
      </c>
    </row>
    <row r="3805" customFormat="false" ht="15" hidden="false" customHeight="false" outlineLevel="0" collapsed="false">
      <c r="I3805" s="15" t="str">
        <f aca="false">IF(N3805="","",INT(N3805))</f>
        <v/>
      </c>
      <c r="J3805" s="16" t="str">
        <f aca="false">IF(B3805="","",IF(N3805=_xlfn.MINIFS($N$2:$N$5001,$B$2:$B$5001,B3805),1,0))</f>
        <v/>
      </c>
      <c r="K3805" s="16" t="str">
        <f aca="false">IF(B3805="","",IF(AND(D3805="Formalização",E3805="Concluído"),IF(COUNTIFS($B$2:$B$5001,B3805,$E$2:$E$5001,"Em ajustes",$N$2:$N$5001,"&lt;"&amp;I3805)&gt;0,1,0),0))</f>
        <v/>
      </c>
      <c r="L3805" s="16" t="str">
        <f aca="false">IF(B3805="","",IF(N3805=_xlfn.MAXIFS($N$2:$N$5001,$B$2:$B$5001,B3805,$I$2:$I$5001,I3805),1,0))</f>
        <v/>
      </c>
      <c r="M3805" s="16" t="str">
        <f aca="false">IF(B3805="","",IF(E3805="Em ajustes",IF(N3805=_xlfn.MINIFS($N$2:$N$5001,$B$2:$B$5001,B3805,$E$2:$E$5001,"Em ajustes"),1,0),0))</f>
        <v/>
      </c>
      <c r="N3805" s="17" t="str">
        <f aca="false">IF(A3805="","",IF(ISNUMBER(A3805),A3805,IFERROR(DATE(VALUE(MID(A3805,7,4)),VALUE(MID(A3805,4,2)),VALUE(MID(A3805,1,2)))+TIME(VALUE(MID(A3805,12,2)),VALUE(MID(A3805,15,2)),VALUE(MID(A3805,18,2))),"")))</f>
        <v/>
      </c>
    </row>
    <row r="3806" customFormat="false" ht="15" hidden="false" customHeight="false" outlineLevel="0" collapsed="false">
      <c r="I3806" s="15" t="str">
        <f aca="false">IF(N3806="","",INT(N3806))</f>
        <v/>
      </c>
      <c r="J3806" s="16" t="str">
        <f aca="false">IF(B3806="","",IF(N3806=_xlfn.MINIFS($N$2:$N$5001,$B$2:$B$5001,B3806),1,0))</f>
        <v/>
      </c>
      <c r="K3806" s="16" t="str">
        <f aca="false">IF(B3806="","",IF(AND(D3806="Formalização",E3806="Concluído"),IF(COUNTIFS($B$2:$B$5001,B3806,$E$2:$E$5001,"Em ajustes",$N$2:$N$5001,"&lt;"&amp;I3806)&gt;0,1,0),0))</f>
        <v/>
      </c>
      <c r="L3806" s="16" t="str">
        <f aca="false">IF(B3806="","",IF(N3806=_xlfn.MAXIFS($N$2:$N$5001,$B$2:$B$5001,B3806,$I$2:$I$5001,I3806),1,0))</f>
        <v/>
      </c>
      <c r="M3806" s="16" t="str">
        <f aca="false">IF(B3806="","",IF(E3806="Em ajustes",IF(N3806=_xlfn.MINIFS($N$2:$N$5001,$B$2:$B$5001,B3806,$E$2:$E$5001,"Em ajustes"),1,0),0))</f>
        <v/>
      </c>
      <c r="N3806" s="17" t="str">
        <f aca="false">IF(A3806="","",IF(ISNUMBER(A3806),A3806,IFERROR(DATE(VALUE(MID(A3806,7,4)),VALUE(MID(A3806,4,2)),VALUE(MID(A3806,1,2)))+TIME(VALUE(MID(A3806,12,2)),VALUE(MID(A3806,15,2)),VALUE(MID(A3806,18,2))),"")))</f>
        <v/>
      </c>
    </row>
    <row r="3807" customFormat="false" ht="15" hidden="false" customHeight="false" outlineLevel="0" collapsed="false">
      <c r="I3807" s="15" t="str">
        <f aca="false">IF(N3807="","",INT(N3807))</f>
        <v/>
      </c>
      <c r="J3807" s="16" t="str">
        <f aca="false">IF(B3807="","",IF(N3807=_xlfn.MINIFS($N$2:$N$5001,$B$2:$B$5001,B3807),1,0))</f>
        <v/>
      </c>
      <c r="K3807" s="16" t="str">
        <f aca="false">IF(B3807="","",IF(AND(D3807="Formalização",E3807="Concluído"),IF(COUNTIFS($B$2:$B$5001,B3807,$E$2:$E$5001,"Em ajustes",$N$2:$N$5001,"&lt;"&amp;I3807)&gt;0,1,0),0))</f>
        <v/>
      </c>
      <c r="L3807" s="16" t="str">
        <f aca="false">IF(B3807="","",IF(N3807=_xlfn.MAXIFS($N$2:$N$5001,$B$2:$B$5001,B3807,$I$2:$I$5001,I3807),1,0))</f>
        <v/>
      </c>
      <c r="M3807" s="16" t="str">
        <f aca="false">IF(B3807="","",IF(E3807="Em ajustes",IF(N3807=_xlfn.MINIFS($N$2:$N$5001,$B$2:$B$5001,B3807,$E$2:$E$5001,"Em ajustes"),1,0),0))</f>
        <v/>
      </c>
      <c r="N3807" s="17" t="str">
        <f aca="false">IF(A3807="","",IF(ISNUMBER(A3807),A3807,IFERROR(DATE(VALUE(MID(A3807,7,4)),VALUE(MID(A3807,4,2)),VALUE(MID(A3807,1,2)))+TIME(VALUE(MID(A3807,12,2)),VALUE(MID(A3807,15,2)),VALUE(MID(A3807,18,2))),"")))</f>
        <v/>
      </c>
    </row>
    <row r="3808" customFormat="false" ht="15" hidden="false" customHeight="false" outlineLevel="0" collapsed="false">
      <c r="I3808" s="15" t="str">
        <f aca="false">IF(N3808="","",INT(N3808))</f>
        <v/>
      </c>
      <c r="J3808" s="16" t="str">
        <f aca="false">IF(B3808="","",IF(N3808=_xlfn.MINIFS($N$2:$N$5001,$B$2:$B$5001,B3808),1,0))</f>
        <v/>
      </c>
      <c r="K3808" s="16" t="str">
        <f aca="false">IF(B3808="","",IF(AND(D3808="Formalização",E3808="Concluído"),IF(COUNTIFS($B$2:$B$5001,B3808,$E$2:$E$5001,"Em ajustes",$N$2:$N$5001,"&lt;"&amp;I3808)&gt;0,1,0),0))</f>
        <v/>
      </c>
      <c r="L3808" s="16" t="str">
        <f aca="false">IF(B3808="","",IF(N3808=_xlfn.MAXIFS($N$2:$N$5001,$B$2:$B$5001,B3808,$I$2:$I$5001,I3808),1,0))</f>
        <v/>
      </c>
      <c r="M3808" s="16" t="str">
        <f aca="false">IF(B3808="","",IF(E3808="Em ajustes",IF(N3808=_xlfn.MINIFS($N$2:$N$5001,$B$2:$B$5001,B3808,$E$2:$E$5001,"Em ajustes"),1,0),0))</f>
        <v/>
      </c>
      <c r="N3808" s="17" t="str">
        <f aca="false">IF(A3808="","",IF(ISNUMBER(A3808),A3808,IFERROR(DATE(VALUE(MID(A3808,7,4)),VALUE(MID(A3808,4,2)),VALUE(MID(A3808,1,2)))+TIME(VALUE(MID(A3808,12,2)),VALUE(MID(A3808,15,2)),VALUE(MID(A3808,18,2))),"")))</f>
        <v/>
      </c>
    </row>
    <row r="3809" customFormat="false" ht="15" hidden="false" customHeight="false" outlineLevel="0" collapsed="false">
      <c r="I3809" s="15" t="str">
        <f aca="false">IF(N3809="","",INT(N3809))</f>
        <v/>
      </c>
      <c r="J3809" s="16" t="str">
        <f aca="false">IF(B3809="","",IF(N3809=_xlfn.MINIFS($N$2:$N$5001,$B$2:$B$5001,B3809),1,0))</f>
        <v/>
      </c>
      <c r="K3809" s="16" t="str">
        <f aca="false">IF(B3809="","",IF(AND(D3809="Formalização",E3809="Concluído"),IF(COUNTIFS($B$2:$B$5001,B3809,$E$2:$E$5001,"Em ajustes",$N$2:$N$5001,"&lt;"&amp;I3809)&gt;0,1,0),0))</f>
        <v/>
      </c>
      <c r="L3809" s="16" t="str">
        <f aca="false">IF(B3809="","",IF(N3809=_xlfn.MAXIFS($N$2:$N$5001,$B$2:$B$5001,B3809,$I$2:$I$5001,I3809),1,0))</f>
        <v/>
      </c>
      <c r="M3809" s="16" t="str">
        <f aca="false">IF(B3809="","",IF(E3809="Em ajustes",IF(N3809=_xlfn.MINIFS($N$2:$N$5001,$B$2:$B$5001,B3809,$E$2:$E$5001,"Em ajustes"),1,0),0))</f>
        <v/>
      </c>
      <c r="N3809" s="17" t="str">
        <f aca="false">IF(A3809="","",IF(ISNUMBER(A3809),A3809,IFERROR(DATE(VALUE(MID(A3809,7,4)),VALUE(MID(A3809,4,2)),VALUE(MID(A3809,1,2)))+TIME(VALUE(MID(A3809,12,2)),VALUE(MID(A3809,15,2)),VALUE(MID(A3809,18,2))),"")))</f>
        <v/>
      </c>
    </row>
    <row r="3810" customFormat="false" ht="15" hidden="false" customHeight="false" outlineLevel="0" collapsed="false">
      <c r="I3810" s="15" t="str">
        <f aca="false">IF(N3810="","",INT(N3810))</f>
        <v/>
      </c>
      <c r="J3810" s="16" t="str">
        <f aca="false">IF(B3810="","",IF(N3810=_xlfn.MINIFS($N$2:$N$5001,$B$2:$B$5001,B3810),1,0))</f>
        <v/>
      </c>
      <c r="K3810" s="16" t="str">
        <f aca="false">IF(B3810="","",IF(AND(D3810="Formalização",E3810="Concluído"),IF(COUNTIFS($B$2:$B$5001,B3810,$E$2:$E$5001,"Em ajustes",$N$2:$N$5001,"&lt;"&amp;I3810)&gt;0,1,0),0))</f>
        <v/>
      </c>
      <c r="L3810" s="16" t="str">
        <f aca="false">IF(B3810="","",IF(N3810=_xlfn.MAXIFS($N$2:$N$5001,$B$2:$B$5001,B3810,$I$2:$I$5001,I3810),1,0))</f>
        <v/>
      </c>
      <c r="M3810" s="16" t="str">
        <f aca="false">IF(B3810="","",IF(E3810="Em ajustes",IF(N3810=_xlfn.MINIFS($N$2:$N$5001,$B$2:$B$5001,B3810,$E$2:$E$5001,"Em ajustes"),1,0),0))</f>
        <v/>
      </c>
      <c r="N3810" s="17" t="str">
        <f aca="false">IF(A3810="","",IF(ISNUMBER(A3810),A3810,IFERROR(DATE(VALUE(MID(A3810,7,4)),VALUE(MID(A3810,4,2)),VALUE(MID(A3810,1,2)))+TIME(VALUE(MID(A3810,12,2)),VALUE(MID(A3810,15,2)),VALUE(MID(A3810,18,2))),"")))</f>
        <v/>
      </c>
    </row>
    <row r="3811" customFormat="false" ht="15" hidden="false" customHeight="false" outlineLevel="0" collapsed="false">
      <c r="I3811" s="15" t="str">
        <f aca="false">IF(N3811="","",INT(N3811))</f>
        <v/>
      </c>
      <c r="J3811" s="16" t="str">
        <f aca="false">IF(B3811="","",IF(N3811=_xlfn.MINIFS($N$2:$N$5001,$B$2:$B$5001,B3811),1,0))</f>
        <v/>
      </c>
      <c r="K3811" s="16" t="str">
        <f aca="false">IF(B3811="","",IF(AND(D3811="Formalização",E3811="Concluído"),IF(COUNTIFS($B$2:$B$5001,B3811,$E$2:$E$5001,"Em ajustes",$N$2:$N$5001,"&lt;"&amp;I3811)&gt;0,1,0),0))</f>
        <v/>
      </c>
      <c r="L3811" s="16" t="str">
        <f aca="false">IF(B3811="","",IF(N3811=_xlfn.MAXIFS($N$2:$N$5001,$B$2:$B$5001,B3811,$I$2:$I$5001,I3811),1,0))</f>
        <v/>
      </c>
      <c r="M3811" s="16" t="str">
        <f aca="false">IF(B3811="","",IF(E3811="Em ajustes",IF(N3811=_xlfn.MINIFS($N$2:$N$5001,$B$2:$B$5001,B3811,$E$2:$E$5001,"Em ajustes"),1,0),0))</f>
        <v/>
      </c>
      <c r="N3811" s="17" t="str">
        <f aca="false">IF(A3811="","",IF(ISNUMBER(A3811),A3811,IFERROR(DATE(VALUE(MID(A3811,7,4)),VALUE(MID(A3811,4,2)),VALUE(MID(A3811,1,2)))+TIME(VALUE(MID(A3811,12,2)),VALUE(MID(A3811,15,2)),VALUE(MID(A3811,18,2))),"")))</f>
        <v/>
      </c>
    </row>
    <row r="3812" customFormat="false" ht="15" hidden="false" customHeight="false" outlineLevel="0" collapsed="false">
      <c r="I3812" s="15" t="str">
        <f aca="false">IF(N3812="","",INT(N3812))</f>
        <v/>
      </c>
      <c r="J3812" s="16" t="str">
        <f aca="false">IF(B3812="","",IF(N3812=_xlfn.MINIFS($N$2:$N$5001,$B$2:$B$5001,B3812),1,0))</f>
        <v/>
      </c>
      <c r="K3812" s="16" t="str">
        <f aca="false">IF(B3812="","",IF(AND(D3812="Formalização",E3812="Concluído"),IF(COUNTIFS($B$2:$B$5001,B3812,$E$2:$E$5001,"Em ajustes",$N$2:$N$5001,"&lt;"&amp;I3812)&gt;0,1,0),0))</f>
        <v/>
      </c>
      <c r="L3812" s="16" t="str">
        <f aca="false">IF(B3812="","",IF(N3812=_xlfn.MAXIFS($N$2:$N$5001,$B$2:$B$5001,B3812,$I$2:$I$5001,I3812),1,0))</f>
        <v/>
      </c>
      <c r="M3812" s="16" t="str">
        <f aca="false">IF(B3812="","",IF(E3812="Em ajustes",IF(N3812=_xlfn.MINIFS($N$2:$N$5001,$B$2:$B$5001,B3812,$E$2:$E$5001,"Em ajustes"),1,0),0))</f>
        <v/>
      </c>
      <c r="N3812" s="17" t="str">
        <f aca="false">IF(A3812="","",IF(ISNUMBER(A3812),A3812,IFERROR(DATE(VALUE(MID(A3812,7,4)),VALUE(MID(A3812,4,2)),VALUE(MID(A3812,1,2)))+TIME(VALUE(MID(A3812,12,2)),VALUE(MID(A3812,15,2)),VALUE(MID(A3812,18,2))),"")))</f>
        <v/>
      </c>
    </row>
    <row r="3813" customFormat="false" ht="15" hidden="false" customHeight="false" outlineLevel="0" collapsed="false">
      <c r="I3813" s="15" t="str">
        <f aca="false">IF(N3813="","",INT(N3813))</f>
        <v/>
      </c>
      <c r="J3813" s="16" t="str">
        <f aca="false">IF(B3813="","",IF(N3813=_xlfn.MINIFS($N$2:$N$5001,$B$2:$B$5001,B3813),1,0))</f>
        <v/>
      </c>
      <c r="K3813" s="16" t="str">
        <f aca="false">IF(B3813="","",IF(AND(D3813="Formalização",E3813="Concluído"),IF(COUNTIFS($B$2:$B$5001,B3813,$E$2:$E$5001,"Em ajustes",$N$2:$N$5001,"&lt;"&amp;I3813)&gt;0,1,0),0))</f>
        <v/>
      </c>
      <c r="L3813" s="16" t="str">
        <f aca="false">IF(B3813="","",IF(N3813=_xlfn.MAXIFS($N$2:$N$5001,$B$2:$B$5001,B3813,$I$2:$I$5001,I3813),1,0))</f>
        <v/>
      </c>
      <c r="M3813" s="16" t="str">
        <f aca="false">IF(B3813="","",IF(E3813="Em ajustes",IF(N3813=_xlfn.MINIFS($N$2:$N$5001,$B$2:$B$5001,B3813,$E$2:$E$5001,"Em ajustes"),1,0),0))</f>
        <v/>
      </c>
      <c r="N3813" s="17" t="str">
        <f aca="false">IF(A3813="","",IF(ISNUMBER(A3813),A3813,IFERROR(DATE(VALUE(MID(A3813,7,4)),VALUE(MID(A3813,4,2)),VALUE(MID(A3813,1,2)))+TIME(VALUE(MID(A3813,12,2)),VALUE(MID(A3813,15,2)),VALUE(MID(A3813,18,2))),"")))</f>
        <v/>
      </c>
    </row>
    <row r="3814" customFormat="false" ht="15" hidden="false" customHeight="false" outlineLevel="0" collapsed="false">
      <c r="I3814" s="15" t="str">
        <f aca="false">IF(N3814="","",INT(N3814))</f>
        <v/>
      </c>
      <c r="J3814" s="16" t="str">
        <f aca="false">IF(B3814="","",IF(N3814=_xlfn.MINIFS($N$2:$N$5001,$B$2:$B$5001,B3814),1,0))</f>
        <v/>
      </c>
      <c r="K3814" s="16" t="str">
        <f aca="false">IF(B3814="","",IF(AND(D3814="Formalização",E3814="Concluído"),IF(COUNTIFS($B$2:$B$5001,B3814,$E$2:$E$5001,"Em ajustes",$N$2:$N$5001,"&lt;"&amp;I3814)&gt;0,1,0),0))</f>
        <v/>
      </c>
      <c r="L3814" s="16" t="str">
        <f aca="false">IF(B3814="","",IF(N3814=_xlfn.MAXIFS($N$2:$N$5001,$B$2:$B$5001,B3814,$I$2:$I$5001,I3814),1,0))</f>
        <v/>
      </c>
      <c r="M3814" s="16" t="str">
        <f aca="false">IF(B3814="","",IF(E3814="Em ajustes",IF(N3814=_xlfn.MINIFS($N$2:$N$5001,$B$2:$B$5001,B3814,$E$2:$E$5001,"Em ajustes"),1,0),0))</f>
        <v/>
      </c>
      <c r="N3814" s="17" t="str">
        <f aca="false">IF(A3814="","",IF(ISNUMBER(A3814),A3814,IFERROR(DATE(VALUE(MID(A3814,7,4)),VALUE(MID(A3814,4,2)),VALUE(MID(A3814,1,2)))+TIME(VALUE(MID(A3814,12,2)),VALUE(MID(A3814,15,2)),VALUE(MID(A3814,18,2))),"")))</f>
        <v/>
      </c>
    </row>
    <row r="3815" customFormat="false" ht="15" hidden="false" customHeight="false" outlineLevel="0" collapsed="false">
      <c r="I3815" s="15" t="str">
        <f aca="false">IF(N3815="","",INT(N3815))</f>
        <v/>
      </c>
      <c r="J3815" s="16" t="str">
        <f aca="false">IF(B3815="","",IF(N3815=_xlfn.MINIFS($N$2:$N$5001,$B$2:$B$5001,B3815),1,0))</f>
        <v/>
      </c>
      <c r="K3815" s="16" t="str">
        <f aca="false">IF(B3815="","",IF(AND(D3815="Formalização",E3815="Concluído"),IF(COUNTIFS($B$2:$B$5001,B3815,$E$2:$E$5001,"Em ajustes",$N$2:$N$5001,"&lt;"&amp;I3815)&gt;0,1,0),0))</f>
        <v/>
      </c>
      <c r="L3815" s="16" t="str">
        <f aca="false">IF(B3815="","",IF(N3815=_xlfn.MAXIFS($N$2:$N$5001,$B$2:$B$5001,B3815,$I$2:$I$5001,I3815),1,0))</f>
        <v/>
      </c>
      <c r="M3815" s="16" t="str">
        <f aca="false">IF(B3815="","",IF(E3815="Em ajustes",IF(N3815=_xlfn.MINIFS($N$2:$N$5001,$B$2:$B$5001,B3815,$E$2:$E$5001,"Em ajustes"),1,0),0))</f>
        <v/>
      </c>
      <c r="N3815" s="17" t="str">
        <f aca="false">IF(A3815="","",IF(ISNUMBER(A3815),A3815,IFERROR(DATE(VALUE(MID(A3815,7,4)),VALUE(MID(A3815,4,2)),VALUE(MID(A3815,1,2)))+TIME(VALUE(MID(A3815,12,2)),VALUE(MID(A3815,15,2)),VALUE(MID(A3815,18,2))),"")))</f>
        <v/>
      </c>
    </row>
    <row r="3816" customFormat="false" ht="15" hidden="false" customHeight="false" outlineLevel="0" collapsed="false">
      <c r="I3816" s="15" t="str">
        <f aca="false">IF(N3816="","",INT(N3816))</f>
        <v/>
      </c>
      <c r="J3816" s="16" t="str">
        <f aca="false">IF(B3816="","",IF(N3816=_xlfn.MINIFS($N$2:$N$5001,$B$2:$B$5001,B3816),1,0))</f>
        <v/>
      </c>
      <c r="K3816" s="16" t="str">
        <f aca="false">IF(B3816="","",IF(AND(D3816="Formalização",E3816="Concluído"),IF(COUNTIFS($B$2:$B$5001,B3816,$E$2:$E$5001,"Em ajustes",$N$2:$N$5001,"&lt;"&amp;I3816)&gt;0,1,0),0))</f>
        <v/>
      </c>
      <c r="L3816" s="16" t="str">
        <f aca="false">IF(B3816="","",IF(N3816=_xlfn.MAXIFS($N$2:$N$5001,$B$2:$B$5001,B3816,$I$2:$I$5001,I3816),1,0))</f>
        <v/>
      </c>
      <c r="M3816" s="16" t="str">
        <f aca="false">IF(B3816="","",IF(E3816="Em ajustes",IF(N3816=_xlfn.MINIFS($N$2:$N$5001,$B$2:$B$5001,B3816,$E$2:$E$5001,"Em ajustes"),1,0),0))</f>
        <v/>
      </c>
      <c r="N3816" s="17" t="str">
        <f aca="false">IF(A3816="","",IF(ISNUMBER(A3816),A3816,IFERROR(DATE(VALUE(MID(A3816,7,4)),VALUE(MID(A3816,4,2)),VALUE(MID(A3816,1,2)))+TIME(VALUE(MID(A3816,12,2)),VALUE(MID(A3816,15,2)),VALUE(MID(A3816,18,2))),"")))</f>
        <v/>
      </c>
    </row>
    <row r="3817" customFormat="false" ht="15" hidden="false" customHeight="false" outlineLevel="0" collapsed="false">
      <c r="I3817" s="15" t="str">
        <f aca="false">IF(N3817="","",INT(N3817))</f>
        <v/>
      </c>
      <c r="J3817" s="16" t="str">
        <f aca="false">IF(B3817="","",IF(N3817=_xlfn.MINIFS($N$2:$N$5001,$B$2:$B$5001,B3817),1,0))</f>
        <v/>
      </c>
      <c r="K3817" s="16" t="str">
        <f aca="false">IF(B3817="","",IF(AND(D3817="Formalização",E3817="Concluído"),IF(COUNTIFS($B$2:$B$5001,B3817,$E$2:$E$5001,"Em ajustes",$N$2:$N$5001,"&lt;"&amp;I3817)&gt;0,1,0),0))</f>
        <v/>
      </c>
      <c r="L3817" s="16" t="str">
        <f aca="false">IF(B3817="","",IF(N3817=_xlfn.MAXIFS($N$2:$N$5001,$B$2:$B$5001,B3817,$I$2:$I$5001,I3817),1,0))</f>
        <v/>
      </c>
      <c r="M3817" s="16" t="str">
        <f aca="false">IF(B3817="","",IF(E3817="Em ajustes",IF(N3817=_xlfn.MINIFS($N$2:$N$5001,$B$2:$B$5001,B3817,$E$2:$E$5001,"Em ajustes"),1,0),0))</f>
        <v/>
      </c>
      <c r="N3817" s="17" t="str">
        <f aca="false">IF(A3817="","",IF(ISNUMBER(A3817),A3817,IFERROR(DATE(VALUE(MID(A3817,7,4)),VALUE(MID(A3817,4,2)),VALUE(MID(A3817,1,2)))+TIME(VALUE(MID(A3817,12,2)),VALUE(MID(A3817,15,2)),VALUE(MID(A3817,18,2))),"")))</f>
        <v/>
      </c>
    </row>
    <row r="3818" customFormat="false" ht="15" hidden="false" customHeight="false" outlineLevel="0" collapsed="false">
      <c r="I3818" s="15" t="str">
        <f aca="false">IF(N3818="","",INT(N3818))</f>
        <v/>
      </c>
      <c r="J3818" s="16" t="str">
        <f aca="false">IF(B3818="","",IF(N3818=_xlfn.MINIFS($N$2:$N$5001,$B$2:$B$5001,B3818),1,0))</f>
        <v/>
      </c>
      <c r="K3818" s="16" t="str">
        <f aca="false">IF(B3818="","",IF(AND(D3818="Formalização",E3818="Concluído"),IF(COUNTIFS($B$2:$B$5001,B3818,$E$2:$E$5001,"Em ajustes",$N$2:$N$5001,"&lt;"&amp;I3818)&gt;0,1,0),0))</f>
        <v/>
      </c>
      <c r="L3818" s="16" t="str">
        <f aca="false">IF(B3818="","",IF(N3818=_xlfn.MAXIFS($N$2:$N$5001,$B$2:$B$5001,B3818,$I$2:$I$5001,I3818),1,0))</f>
        <v/>
      </c>
      <c r="M3818" s="16" t="str">
        <f aca="false">IF(B3818="","",IF(E3818="Em ajustes",IF(N3818=_xlfn.MINIFS($N$2:$N$5001,$B$2:$B$5001,B3818,$E$2:$E$5001,"Em ajustes"),1,0),0))</f>
        <v/>
      </c>
      <c r="N3818" s="17" t="str">
        <f aca="false">IF(A3818="","",IF(ISNUMBER(A3818),A3818,IFERROR(DATE(VALUE(MID(A3818,7,4)),VALUE(MID(A3818,4,2)),VALUE(MID(A3818,1,2)))+TIME(VALUE(MID(A3818,12,2)),VALUE(MID(A3818,15,2)),VALUE(MID(A3818,18,2))),"")))</f>
        <v/>
      </c>
    </row>
    <row r="3819" customFormat="false" ht="15" hidden="false" customHeight="false" outlineLevel="0" collapsed="false">
      <c r="I3819" s="15" t="str">
        <f aca="false">IF(N3819="","",INT(N3819))</f>
        <v/>
      </c>
      <c r="J3819" s="16" t="str">
        <f aca="false">IF(B3819="","",IF(N3819=_xlfn.MINIFS($N$2:$N$5001,$B$2:$B$5001,B3819),1,0))</f>
        <v/>
      </c>
      <c r="K3819" s="16" t="str">
        <f aca="false">IF(B3819="","",IF(AND(D3819="Formalização",E3819="Concluído"),IF(COUNTIFS($B$2:$B$5001,B3819,$E$2:$E$5001,"Em ajustes",$N$2:$N$5001,"&lt;"&amp;I3819)&gt;0,1,0),0))</f>
        <v/>
      </c>
      <c r="L3819" s="16" t="str">
        <f aca="false">IF(B3819="","",IF(N3819=_xlfn.MAXIFS($N$2:$N$5001,$B$2:$B$5001,B3819,$I$2:$I$5001,I3819),1,0))</f>
        <v/>
      </c>
      <c r="M3819" s="16" t="str">
        <f aca="false">IF(B3819="","",IF(E3819="Em ajustes",IF(N3819=_xlfn.MINIFS($N$2:$N$5001,$B$2:$B$5001,B3819,$E$2:$E$5001,"Em ajustes"),1,0),0))</f>
        <v/>
      </c>
      <c r="N3819" s="17" t="str">
        <f aca="false">IF(A3819="","",IF(ISNUMBER(A3819),A3819,IFERROR(DATE(VALUE(MID(A3819,7,4)),VALUE(MID(A3819,4,2)),VALUE(MID(A3819,1,2)))+TIME(VALUE(MID(A3819,12,2)),VALUE(MID(A3819,15,2)),VALUE(MID(A3819,18,2))),"")))</f>
        <v/>
      </c>
    </row>
    <row r="3820" customFormat="false" ht="15" hidden="false" customHeight="false" outlineLevel="0" collapsed="false">
      <c r="I3820" s="15" t="str">
        <f aca="false">IF(N3820="","",INT(N3820))</f>
        <v/>
      </c>
      <c r="J3820" s="16" t="str">
        <f aca="false">IF(B3820="","",IF(N3820=_xlfn.MINIFS($N$2:$N$5001,$B$2:$B$5001,B3820),1,0))</f>
        <v/>
      </c>
      <c r="K3820" s="16" t="str">
        <f aca="false">IF(B3820="","",IF(AND(D3820="Formalização",E3820="Concluído"),IF(COUNTIFS($B$2:$B$5001,B3820,$E$2:$E$5001,"Em ajustes",$N$2:$N$5001,"&lt;"&amp;I3820)&gt;0,1,0),0))</f>
        <v/>
      </c>
      <c r="L3820" s="16" t="str">
        <f aca="false">IF(B3820="","",IF(N3820=_xlfn.MAXIFS($N$2:$N$5001,$B$2:$B$5001,B3820,$I$2:$I$5001,I3820),1,0))</f>
        <v/>
      </c>
      <c r="M3820" s="16" t="str">
        <f aca="false">IF(B3820="","",IF(E3820="Em ajustes",IF(N3820=_xlfn.MINIFS($N$2:$N$5001,$B$2:$B$5001,B3820,$E$2:$E$5001,"Em ajustes"),1,0),0))</f>
        <v/>
      </c>
      <c r="N3820" s="17" t="str">
        <f aca="false">IF(A3820="","",IF(ISNUMBER(A3820),A3820,IFERROR(DATE(VALUE(MID(A3820,7,4)),VALUE(MID(A3820,4,2)),VALUE(MID(A3820,1,2)))+TIME(VALUE(MID(A3820,12,2)),VALUE(MID(A3820,15,2)),VALUE(MID(A3820,18,2))),"")))</f>
        <v/>
      </c>
    </row>
    <row r="3821" customFormat="false" ht="15" hidden="false" customHeight="false" outlineLevel="0" collapsed="false">
      <c r="I3821" s="15" t="str">
        <f aca="false">IF(N3821="","",INT(N3821))</f>
        <v/>
      </c>
      <c r="J3821" s="16" t="str">
        <f aca="false">IF(B3821="","",IF(N3821=_xlfn.MINIFS($N$2:$N$5001,$B$2:$B$5001,B3821),1,0))</f>
        <v/>
      </c>
      <c r="K3821" s="16" t="str">
        <f aca="false">IF(B3821="","",IF(AND(D3821="Formalização",E3821="Concluído"),IF(COUNTIFS($B$2:$B$5001,B3821,$E$2:$E$5001,"Em ajustes",$N$2:$N$5001,"&lt;"&amp;I3821)&gt;0,1,0),0))</f>
        <v/>
      </c>
      <c r="L3821" s="16" t="str">
        <f aca="false">IF(B3821="","",IF(N3821=_xlfn.MAXIFS($N$2:$N$5001,$B$2:$B$5001,B3821,$I$2:$I$5001,I3821),1,0))</f>
        <v/>
      </c>
      <c r="M3821" s="16" t="str">
        <f aca="false">IF(B3821="","",IF(E3821="Em ajustes",IF(N3821=_xlfn.MINIFS($N$2:$N$5001,$B$2:$B$5001,B3821,$E$2:$E$5001,"Em ajustes"),1,0),0))</f>
        <v/>
      </c>
      <c r="N3821" s="17" t="str">
        <f aca="false">IF(A3821="","",IF(ISNUMBER(A3821),A3821,IFERROR(DATE(VALUE(MID(A3821,7,4)),VALUE(MID(A3821,4,2)),VALUE(MID(A3821,1,2)))+TIME(VALUE(MID(A3821,12,2)),VALUE(MID(A3821,15,2)),VALUE(MID(A3821,18,2))),"")))</f>
        <v/>
      </c>
    </row>
    <row r="3822" customFormat="false" ht="15" hidden="false" customHeight="false" outlineLevel="0" collapsed="false">
      <c r="I3822" s="15" t="str">
        <f aca="false">IF(N3822="","",INT(N3822))</f>
        <v/>
      </c>
      <c r="J3822" s="16" t="str">
        <f aca="false">IF(B3822="","",IF(N3822=_xlfn.MINIFS($N$2:$N$5001,$B$2:$B$5001,B3822),1,0))</f>
        <v/>
      </c>
      <c r="K3822" s="16" t="str">
        <f aca="false">IF(B3822="","",IF(AND(D3822="Formalização",E3822="Concluído"),IF(COUNTIFS($B$2:$B$5001,B3822,$E$2:$E$5001,"Em ajustes",$N$2:$N$5001,"&lt;"&amp;I3822)&gt;0,1,0),0))</f>
        <v/>
      </c>
      <c r="L3822" s="16" t="str">
        <f aca="false">IF(B3822="","",IF(N3822=_xlfn.MAXIFS($N$2:$N$5001,$B$2:$B$5001,B3822,$I$2:$I$5001,I3822),1,0))</f>
        <v/>
      </c>
      <c r="M3822" s="16" t="str">
        <f aca="false">IF(B3822="","",IF(E3822="Em ajustes",IF(N3822=_xlfn.MINIFS($N$2:$N$5001,$B$2:$B$5001,B3822,$E$2:$E$5001,"Em ajustes"),1,0),0))</f>
        <v/>
      </c>
      <c r="N3822" s="17" t="str">
        <f aca="false">IF(A3822="","",IF(ISNUMBER(A3822),A3822,IFERROR(DATE(VALUE(MID(A3822,7,4)),VALUE(MID(A3822,4,2)),VALUE(MID(A3822,1,2)))+TIME(VALUE(MID(A3822,12,2)),VALUE(MID(A3822,15,2)),VALUE(MID(A3822,18,2))),"")))</f>
        <v/>
      </c>
    </row>
    <row r="3823" customFormat="false" ht="15" hidden="false" customHeight="false" outlineLevel="0" collapsed="false">
      <c r="I3823" s="15" t="str">
        <f aca="false">IF(N3823="","",INT(N3823))</f>
        <v/>
      </c>
      <c r="J3823" s="16" t="str">
        <f aca="false">IF(B3823="","",IF(N3823=_xlfn.MINIFS($N$2:$N$5001,$B$2:$B$5001,B3823),1,0))</f>
        <v/>
      </c>
      <c r="K3823" s="16" t="str">
        <f aca="false">IF(B3823="","",IF(AND(D3823="Formalização",E3823="Concluído"),IF(COUNTIFS($B$2:$B$5001,B3823,$E$2:$E$5001,"Em ajustes",$N$2:$N$5001,"&lt;"&amp;I3823)&gt;0,1,0),0))</f>
        <v/>
      </c>
      <c r="L3823" s="16" t="str">
        <f aca="false">IF(B3823="","",IF(N3823=_xlfn.MAXIFS($N$2:$N$5001,$B$2:$B$5001,B3823,$I$2:$I$5001,I3823),1,0))</f>
        <v/>
      </c>
      <c r="M3823" s="16" t="str">
        <f aca="false">IF(B3823="","",IF(E3823="Em ajustes",IF(N3823=_xlfn.MINIFS($N$2:$N$5001,$B$2:$B$5001,B3823,$E$2:$E$5001,"Em ajustes"),1,0),0))</f>
        <v/>
      </c>
      <c r="N3823" s="17" t="str">
        <f aca="false">IF(A3823="","",IF(ISNUMBER(A3823),A3823,IFERROR(DATE(VALUE(MID(A3823,7,4)),VALUE(MID(A3823,4,2)),VALUE(MID(A3823,1,2)))+TIME(VALUE(MID(A3823,12,2)),VALUE(MID(A3823,15,2)),VALUE(MID(A3823,18,2))),"")))</f>
        <v/>
      </c>
    </row>
    <row r="3824" customFormat="false" ht="15" hidden="false" customHeight="false" outlineLevel="0" collapsed="false">
      <c r="I3824" s="15" t="str">
        <f aca="false">IF(N3824="","",INT(N3824))</f>
        <v/>
      </c>
      <c r="J3824" s="16" t="str">
        <f aca="false">IF(B3824="","",IF(N3824=_xlfn.MINIFS($N$2:$N$5001,$B$2:$B$5001,B3824),1,0))</f>
        <v/>
      </c>
      <c r="K3824" s="16" t="str">
        <f aca="false">IF(B3824="","",IF(AND(D3824="Formalização",E3824="Concluído"),IF(COUNTIFS($B$2:$B$5001,B3824,$E$2:$E$5001,"Em ajustes",$N$2:$N$5001,"&lt;"&amp;I3824)&gt;0,1,0),0))</f>
        <v/>
      </c>
      <c r="L3824" s="16" t="str">
        <f aca="false">IF(B3824="","",IF(N3824=_xlfn.MAXIFS($N$2:$N$5001,$B$2:$B$5001,B3824,$I$2:$I$5001,I3824),1,0))</f>
        <v/>
      </c>
      <c r="M3824" s="16" t="str">
        <f aca="false">IF(B3824="","",IF(E3824="Em ajustes",IF(N3824=_xlfn.MINIFS($N$2:$N$5001,$B$2:$B$5001,B3824,$E$2:$E$5001,"Em ajustes"),1,0),0))</f>
        <v/>
      </c>
      <c r="N3824" s="17" t="str">
        <f aca="false">IF(A3824="","",IF(ISNUMBER(A3824),A3824,IFERROR(DATE(VALUE(MID(A3824,7,4)),VALUE(MID(A3824,4,2)),VALUE(MID(A3824,1,2)))+TIME(VALUE(MID(A3824,12,2)),VALUE(MID(A3824,15,2)),VALUE(MID(A3824,18,2))),"")))</f>
        <v/>
      </c>
    </row>
    <row r="3825" customFormat="false" ht="15" hidden="false" customHeight="false" outlineLevel="0" collapsed="false">
      <c r="I3825" s="15" t="str">
        <f aca="false">IF(N3825="","",INT(N3825))</f>
        <v/>
      </c>
      <c r="J3825" s="16" t="str">
        <f aca="false">IF(B3825="","",IF(N3825=_xlfn.MINIFS($N$2:$N$5001,$B$2:$B$5001,B3825),1,0))</f>
        <v/>
      </c>
      <c r="K3825" s="16" t="str">
        <f aca="false">IF(B3825="","",IF(AND(D3825="Formalização",E3825="Concluído"),IF(COUNTIFS($B$2:$B$5001,B3825,$E$2:$E$5001,"Em ajustes",$N$2:$N$5001,"&lt;"&amp;I3825)&gt;0,1,0),0))</f>
        <v/>
      </c>
      <c r="L3825" s="16" t="str">
        <f aca="false">IF(B3825="","",IF(N3825=_xlfn.MAXIFS($N$2:$N$5001,$B$2:$B$5001,B3825,$I$2:$I$5001,I3825),1,0))</f>
        <v/>
      </c>
      <c r="M3825" s="16" t="str">
        <f aca="false">IF(B3825="","",IF(E3825="Em ajustes",IF(N3825=_xlfn.MINIFS($N$2:$N$5001,$B$2:$B$5001,B3825,$E$2:$E$5001,"Em ajustes"),1,0),0))</f>
        <v/>
      </c>
      <c r="N3825" s="17" t="str">
        <f aca="false">IF(A3825="","",IF(ISNUMBER(A3825),A3825,IFERROR(DATE(VALUE(MID(A3825,7,4)),VALUE(MID(A3825,4,2)),VALUE(MID(A3825,1,2)))+TIME(VALUE(MID(A3825,12,2)),VALUE(MID(A3825,15,2)),VALUE(MID(A3825,18,2))),"")))</f>
        <v/>
      </c>
    </row>
    <row r="3826" customFormat="false" ht="15" hidden="false" customHeight="false" outlineLevel="0" collapsed="false">
      <c r="I3826" s="15" t="str">
        <f aca="false">IF(N3826="","",INT(N3826))</f>
        <v/>
      </c>
      <c r="J3826" s="16" t="str">
        <f aca="false">IF(B3826="","",IF(N3826=_xlfn.MINIFS($N$2:$N$5001,$B$2:$B$5001,B3826),1,0))</f>
        <v/>
      </c>
      <c r="K3826" s="16" t="str">
        <f aca="false">IF(B3826="","",IF(AND(D3826="Formalização",E3826="Concluído"),IF(COUNTIFS($B$2:$B$5001,B3826,$E$2:$E$5001,"Em ajustes",$N$2:$N$5001,"&lt;"&amp;I3826)&gt;0,1,0),0))</f>
        <v/>
      </c>
      <c r="L3826" s="16" t="str">
        <f aca="false">IF(B3826="","",IF(N3826=_xlfn.MAXIFS($N$2:$N$5001,$B$2:$B$5001,B3826,$I$2:$I$5001,I3826),1,0))</f>
        <v/>
      </c>
      <c r="M3826" s="16" t="str">
        <f aca="false">IF(B3826="","",IF(E3826="Em ajustes",IF(N3826=_xlfn.MINIFS($N$2:$N$5001,$B$2:$B$5001,B3826,$E$2:$E$5001,"Em ajustes"),1,0),0))</f>
        <v/>
      </c>
      <c r="N3826" s="17" t="str">
        <f aca="false">IF(A3826="","",IF(ISNUMBER(A3826),A3826,IFERROR(DATE(VALUE(MID(A3826,7,4)),VALUE(MID(A3826,4,2)),VALUE(MID(A3826,1,2)))+TIME(VALUE(MID(A3826,12,2)),VALUE(MID(A3826,15,2)),VALUE(MID(A3826,18,2))),"")))</f>
        <v/>
      </c>
    </row>
    <row r="3827" customFormat="false" ht="15" hidden="false" customHeight="false" outlineLevel="0" collapsed="false">
      <c r="I3827" s="15" t="str">
        <f aca="false">IF(N3827="","",INT(N3827))</f>
        <v/>
      </c>
      <c r="J3827" s="16" t="str">
        <f aca="false">IF(B3827="","",IF(N3827=_xlfn.MINIFS($N$2:$N$5001,$B$2:$B$5001,B3827),1,0))</f>
        <v/>
      </c>
      <c r="K3827" s="16" t="str">
        <f aca="false">IF(B3827="","",IF(AND(D3827="Formalização",E3827="Concluído"),IF(COUNTIFS($B$2:$B$5001,B3827,$E$2:$E$5001,"Em ajustes",$N$2:$N$5001,"&lt;"&amp;I3827)&gt;0,1,0),0))</f>
        <v/>
      </c>
      <c r="L3827" s="16" t="str">
        <f aca="false">IF(B3827="","",IF(N3827=_xlfn.MAXIFS($N$2:$N$5001,$B$2:$B$5001,B3827,$I$2:$I$5001,I3827),1,0))</f>
        <v/>
      </c>
      <c r="M3827" s="16" t="str">
        <f aca="false">IF(B3827="","",IF(E3827="Em ajustes",IF(N3827=_xlfn.MINIFS($N$2:$N$5001,$B$2:$B$5001,B3827,$E$2:$E$5001,"Em ajustes"),1,0),0))</f>
        <v/>
      </c>
      <c r="N3827" s="17" t="str">
        <f aca="false">IF(A3827="","",IF(ISNUMBER(A3827),A3827,IFERROR(DATE(VALUE(MID(A3827,7,4)),VALUE(MID(A3827,4,2)),VALUE(MID(A3827,1,2)))+TIME(VALUE(MID(A3827,12,2)),VALUE(MID(A3827,15,2)),VALUE(MID(A3827,18,2))),"")))</f>
        <v/>
      </c>
    </row>
    <row r="3828" customFormat="false" ht="15" hidden="false" customHeight="false" outlineLevel="0" collapsed="false">
      <c r="I3828" s="15" t="str">
        <f aca="false">IF(N3828="","",INT(N3828))</f>
        <v/>
      </c>
      <c r="J3828" s="16" t="str">
        <f aca="false">IF(B3828="","",IF(N3828=_xlfn.MINIFS($N$2:$N$5001,$B$2:$B$5001,B3828),1,0))</f>
        <v/>
      </c>
      <c r="K3828" s="16" t="str">
        <f aca="false">IF(B3828="","",IF(AND(D3828="Formalização",E3828="Concluído"),IF(COUNTIFS($B$2:$B$5001,B3828,$E$2:$E$5001,"Em ajustes",$N$2:$N$5001,"&lt;"&amp;I3828)&gt;0,1,0),0))</f>
        <v/>
      </c>
      <c r="L3828" s="16" t="str">
        <f aca="false">IF(B3828="","",IF(N3828=_xlfn.MAXIFS($N$2:$N$5001,$B$2:$B$5001,B3828,$I$2:$I$5001,I3828),1,0))</f>
        <v/>
      </c>
      <c r="M3828" s="16" t="str">
        <f aca="false">IF(B3828="","",IF(E3828="Em ajustes",IF(N3828=_xlfn.MINIFS($N$2:$N$5001,$B$2:$B$5001,B3828,$E$2:$E$5001,"Em ajustes"),1,0),0))</f>
        <v/>
      </c>
      <c r="N3828" s="17" t="str">
        <f aca="false">IF(A3828="","",IF(ISNUMBER(A3828),A3828,IFERROR(DATE(VALUE(MID(A3828,7,4)),VALUE(MID(A3828,4,2)),VALUE(MID(A3828,1,2)))+TIME(VALUE(MID(A3828,12,2)),VALUE(MID(A3828,15,2)),VALUE(MID(A3828,18,2))),"")))</f>
        <v/>
      </c>
    </row>
    <row r="3829" customFormat="false" ht="15" hidden="false" customHeight="false" outlineLevel="0" collapsed="false">
      <c r="I3829" s="15" t="str">
        <f aca="false">IF(N3829="","",INT(N3829))</f>
        <v/>
      </c>
      <c r="J3829" s="16" t="str">
        <f aca="false">IF(B3829="","",IF(N3829=_xlfn.MINIFS($N$2:$N$5001,$B$2:$B$5001,B3829),1,0))</f>
        <v/>
      </c>
      <c r="K3829" s="16" t="str">
        <f aca="false">IF(B3829="","",IF(AND(D3829="Formalização",E3829="Concluído"),IF(COUNTIFS($B$2:$B$5001,B3829,$E$2:$E$5001,"Em ajustes",$N$2:$N$5001,"&lt;"&amp;I3829)&gt;0,1,0),0))</f>
        <v/>
      </c>
      <c r="L3829" s="16" t="str">
        <f aca="false">IF(B3829="","",IF(N3829=_xlfn.MAXIFS($N$2:$N$5001,$B$2:$B$5001,B3829,$I$2:$I$5001,I3829),1,0))</f>
        <v/>
      </c>
      <c r="M3829" s="16" t="str">
        <f aca="false">IF(B3829="","",IF(E3829="Em ajustes",IF(N3829=_xlfn.MINIFS($N$2:$N$5001,$B$2:$B$5001,B3829,$E$2:$E$5001,"Em ajustes"),1,0),0))</f>
        <v/>
      </c>
      <c r="N3829" s="17" t="str">
        <f aca="false">IF(A3829="","",IF(ISNUMBER(A3829),A3829,IFERROR(DATE(VALUE(MID(A3829,7,4)),VALUE(MID(A3829,4,2)),VALUE(MID(A3829,1,2)))+TIME(VALUE(MID(A3829,12,2)),VALUE(MID(A3829,15,2)),VALUE(MID(A3829,18,2))),"")))</f>
        <v/>
      </c>
    </row>
    <row r="3830" customFormat="false" ht="15" hidden="false" customHeight="false" outlineLevel="0" collapsed="false">
      <c r="I3830" s="15" t="str">
        <f aca="false">IF(N3830="","",INT(N3830))</f>
        <v/>
      </c>
      <c r="J3830" s="16" t="str">
        <f aca="false">IF(B3830="","",IF(N3830=_xlfn.MINIFS($N$2:$N$5001,$B$2:$B$5001,B3830),1,0))</f>
        <v/>
      </c>
      <c r="K3830" s="16" t="str">
        <f aca="false">IF(B3830="","",IF(AND(D3830="Formalização",E3830="Concluído"),IF(COUNTIFS($B$2:$B$5001,B3830,$E$2:$E$5001,"Em ajustes",$N$2:$N$5001,"&lt;"&amp;I3830)&gt;0,1,0),0))</f>
        <v/>
      </c>
      <c r="L3830" s="16" t="str">
        <f aca="false">IF(B3830="","",IF(N3830=_xlfn.MAXIFS($N$2:$N$5001,$B$2:$B$5001,B3830,$I$2:$I$5001,I3830),1,0))</f>
        <v/>
      </c>
      <c r="M3830" s="16" t="str">
        <f aca="false">IF(B3830="","",IF(E3830="Em ajustes",IF(N3830=_xlfn.MINIFS($N$2:$N$5001,$B$2:$B$5001,B3830,$E$2:$E$5001,"Em ajustes"),1,0),0))</f>
        <v/>
      </c>
      <c r="N3830" s="17" t="str">
        <f aca="false">IF(A3830="","",IF(ISNUMBER(A3830),A3830,IFERROR(DATE(VALUE(MID(A3830,7,4)),VALUE(MID(A3830,4,2)),VALUE(MID(A3830,1,2)))+TIME(VALUE(MID(A3830,12,2)),VALUE(MID(A3830,15,2)),VALUE(MID(A3830,18,2))),"")))</f>
        <v/>
      </c>
    </row>
    <row r="3831" customFormat="false" ht="15" hidden="false" customHeight="false" outlineLevel="0" collapsed="false">
      <c r="I3831" s="15" t="str">
        <f aca="false">IF(N3831="","",INT(N3831))</f>
        <v/>
      </c>
      <c r="J3831" s="16" t="str">
        <f aca="false">IF(B3831="","",IF(N3831=_xlfn.MINIFS($N$2:$N$5001,$B$2:$B$5001,B3831),1,0))</f>
        <v/>
      </c>
      <c r="K3831" s="16" t="str">
        <f aca="false">IF(B3831="","",IF(AND(D3831="Formalização",E3831="Concluído"),IF(COUNTIFS($B$2:$B$5001,B3831,$E$2:$E$5001,"Em ajustes",$N$2:$N$5001,"&lt;"&amp;I3831)&gt;0,1,0),0))</f>
        <v/>
      </c>
      <c r="L3831" s="16" t="str">
        <f aca="false">IF(B3831="","",IF(N3831=_xlfn.MAXIFS($N$2:$N$5001,$B$2:$B$5001,B3831,$I$2:$I$5001,I3831),1,0))</f>
        <v/>
      </c>
      <c r="M3831" s="16" t="str">
        <f aca="false">IF(B3831="","",IF(E3831="Em ajustes",IF(N3831=_xlfn.MINIFS($N$2:$N$5001,$B$2:$B$5001,B3831,$E$2:$E$5001,"Em ajustes"),1,0),0))</f>
        <v/>
      </c>
      <c r="N3831" s="17" t="str">
        <f aca="false">IF(A3831="","",IF(ISNUMBER(A3831),A3831,IFERROR(DATE(VALUE(MID(A3831,7,4)),VALUE(MID(A3831,4,2)),VALUE(MID(A3831,1,2)))+TIME(VALUE(MID(A3831,12,2)),VALUE(MID(A3831,15,2)),VALUE(MID(A3831,18,2))),"")))</f>
        <v/>
      </c>
    </row>
    <row r="3832" customFormat="false" ht="15" hidden="false" customHeight="false" outlineLevel="0" collapsed="false">
      <c r="I3832" s="15" t="str">
        <f aca="false">IF(N3832="","",INT(N3832))</f>
        <v/>
      </c>
      <c r="J3832" s="16" t="str">
        <f aca="false">IF(B3832="","",IF(N3832=_xlfn.MINIFS($N$2:$N$5001,$B$2:$B$5001,B3832),1,0))</f>
        <v/>
      </c>
      <c r="K3832" s="16" t="str">
        <f aca="false">IF(B3832="","",IF(AND(D3832="Formalização",E3832="Concluído"),IF(COUNTIFS($B$2:$B$5001,B3832,$E$2:$E$5001,"Em ajustes",$N$2:$N$5001,"&lt;"&amp;I3832)&gt;0,1,0),0))</f>
        <v/>
      </c>
      <c r="L3832" s="16" t="str">
        <f aca="false">IF(B3832="","",IF(N3832=_xlfn.MAXIFS($N$2:$N$5001,$B$2:$B$5001,B3832,$I$2:$I$5001,I3832),1,0))</f>
        <v/>
      </c>
      <c r="M3832" s="16" t="str">
        <f aca="false">IF(B3832="","",IF(E3832="Em ajustes",IF(N3832=_xlfn.MINIFS($N$2:$N$5001,$B$2:$B$5001,B3832,$E$2:$E$5001,"Em ajustes"),1,0),0))</f>
        <v/>
      </c>
      <c r="N3832" s="17" t="str">
        <f aca="false">IF(A3832="","",IF(ISNUMBER(A3832),A3832,IFERROR(DATE(VALUE(MID(A3832,7,4)),VALUE(MID(A3832,4,2)),VALUE(MID(A3832,1,2)))+TIME(VALUE(MID(A3832,12,2)),VALUE(MID(A3832,15,2)),VALUE(MID(A3832,18,2))),"")))</f>
        <v/>
      </c>
    </row>
    <row r="3833" customFormat="false" ht="15" hidden="false" customHeight="false" outlineLevel="0" collapsed="false">
      <c r="I3833" s="15" t="str">
        <f aca="false">IF(N3833="","",INT(N3833))</f>
        <v/>
      </c>
      <c r="J3833" s="16" t="str">
        <f aca="false">IF(B3833="","",IF(N3833=_xlfn.MINIFS($N$2:$N$5001,$B$2:$B$5001,B3833),1,0))</f>
        <v/>
      </c>
      <c r="K3833" s="16" t="str">
        <f aca="false">IF(B3833="","",IF(AND(D3833="Formalização",E3833="Concluído"),IF(COUNTIFS($B$2:$B$5001,B3833,$E$2:$E$5001,"Em ajustes",$N$2:$N$5001,"&lt;"&amp;I3833)&gt;0,1,0),0))</f>
        <v/>
      </c>
      <c r="L3833" s="16" t="str">
        <f aca="false">IF(B3833="","",IF(N3833=_xlfn.MAXIFS($N$2:$N$5001,$B$2:$B$5001,B3833,$I$2:$I$5001,I3833),1,0))</f>
        <v/>
      </c>
      <c r="M3833" s="16" t="str">
        <f aca="false">IF(B3833="","",IF(E3833="Em ajustes",IF(N3833=_xlfn.MINIFS($N$2:$N$5001,$B$2:$B$5001,B3833,$E$2:$E$5001,"Em ajustes"),1,0),0))</f>
        <v/>
      </c>
      <c r="N3833" s="17" t="str">
        <f aca="false">IF(A3833="","",IF(ISNUMBER(A3833),A3833,IFERROR(DATE(VALUE(MID(A3833,7,4)),VALUE(MID(A3833,4,2)),VALUE(MID(A3833,1,2)))+TIME(VALUE(MID(A3833,12,2)),VALUE(MID(A3833,15,2)),VALUE(MID(A3833,18,2))),"")))</f>
        <v/>
      </c>
    </row>
    <row r="3834" customFormat="false" ht="15" hidden="false" customHeight="false" outlineLevel="0" collapsed="false">
      <c r="I3834" s="15" t="str">
        <f aca="false">IF(N3834="","",INT(N3834))</f>
        <v/>
      </c>
      <c r="J3834" s="16" t="str">
        <f aca="false">IF(B3834="","",IF(N3834=_xlfn.MINIFS($N$2:$N$5001,$B$2:$B$5001,B3834),1,0))</f>
        <v/>
      </c>
      <c r="K3834" s="16" t="str">
        <f aca="false">IF(B3834="","",IF(AND(D3834="Formalização",E3834="Concluído"),IF(COUNTIFS($B$2:$B$5001,B3834,$E$2:$E$5001,"Em ajustes",$N$2:$N$5001,"&lt;"&amp;I3834)&gt;0,1,0),0))</f>
        <v/>
      </c>
      <c r="L3834" s="16" t="str">
        <f aca="false">IF(B3834="","",IF(N3834=_xlfn.MAXIFS($N$2:$N$5001,$B$2:$B$5001,B3834,$I$2:$I$5001,I3834),1,0))</f>
        <v/>
      </c>
      <c r="M3834" s="16" t="str">
        <f aca="false">IF(B3834="","",IF(E3834="Em ajustes",IF(N3834=_xlfn.MINIFS($N$2:$N$5001,$B$2:$B$5001,B3834,$E$2:$E$5001,"Em ajustes"),1,0),0))</f>
        <v/>
      </c>
      <c r="N3834" s="17" t="str">
        <f aca="false">IF(A3834="","",IF(ISNUMBER(A3834),A3834,IFERROR(DATE(VALUE(MID(A3834,7,4)),VALUE(MID(A3834,4,2)),VALUE(MID(A3834,1,2)))+TIME(VALUE(MID(A3834,12,2)),VALUE(MID(A3834,15,2)),VALUE(MID(A3834,18,2))),"")))</f>
        <v/>
      </c>
    </row>
    <row r="3835" customFormat="false" ht="15" hidden="false" customHeight="false" outlineLevel="0" collapsed="false">
      <c r="I3835" s="15" t="str">
        <f aca="false">IF(N3835="","",INT(N3835))</f>
        <v/>
      </c>
      <c r="J3835" s="16" t="str">
        <f aca="false">IF(B3835="","",IF(N3835=_xlfn.MINIFS($N$2:$N$5001,$B$2:$B$5001,B3835),1,0))</f>
        <v/>
      </c>
      <c r="K3835" s="16" t="str">
        <f aca="false">IF(B3835="","",IF(AND(D3835="Formalização",E3835="Concluído"),IF(COUNTIFS($B$2:$B$5001,B3835,$E$2:$E$5001,"Em ajustes",$N$2:$N$5001,"&lt;"&amp;I3835)&gt;0,1,0),0))</f>
        <v/>
      </c>
      <c r="L3835" s="16" t="str">
        <f aca="false">IF(B3835="","",IF(N3835=_xlfn.MAXIFS($N$2:$N$5001,$B$2:$B$5001,B3835,$I$2:$I$5001,I3835),1,0))</f>
        <v/>
      </c>
      <c r="M3835" s="16" t="str">
        <f aca="false">IF(B3835="","",IF(E3835="Em ajustes",IF(N3835=_xlfn.MINIFS($N$2:$N$5001,$B$2:$B$5001,B3835,$E$2:$E$5001,"Em ajustes"),1,0),0))</f>
        <v/>
      </c>
      <c r="N3835" s="17" t="str">
        <f aca="false">IF(A3835="","",IF(ISNUMBER(A3835),A3835,IFERROR(DATE(VALUE(MID(A3835,7,4)),VALUE(MID(A3835,4,2)),VALUE(MID(A3835,1,2)))+TIME(VALUE(MID(A3835,12,2)),VALUE(MID(A3835,15,2)),VALUE(MID(A3835,18,2))),"")))</f>
        <v/>
      </c>
    </row>
    <row r="3836" customFormat="false" ht="15" hidden="false" customHeight="false" outlineLevel="0" collapsed="false">
      <c r="I3836" s="15" t="str">
        <f aca="false">IF(N3836="","",INT(N3836))</f>
        <v/>
      </c>
      <c r="J3836" s="16" t="str">
        <f aca="false">IF(B3836="","",IF(N3836=_xlfn.MINIFS($N$2:$N$5001,$B$2:$B$5001,B3836),1,0))</f>
        <v/>
      </c>
      <c r="K3836" s="16" t="str">
        <f aca="false">IF(B3836="","",IF(AND(D3836="Formalização",E3836="Concluído"),IF(COUNTIFS($B$2:$B$5001,B3836,$E$2:$E$5001,"Em ajustes",$N$2:$N$5001,"&lt;"&amp;I3836)&gt;0,1,0),0))</f>
        <v/>
      </c>
      <c r="L3836" s="16" t="str">
        <f aca="false">IF(B3836="","",IF(N3836=_xlfn.MAXIFS($N$2:$N$5001,$B$2:$B$5001,B3836,$I$2:$I$5001,I3836),1,0))</f>
        <v/>
      </c>
      <c r="M3836" s="16" t="str">
        <f aca="false">IF(B3836="","",IF(E3836="Em ajustes",IF(N3836=_xlfn.MINIFS($N$2:$N$5001,$B$2:$B$5001,B3836,$E$2:$E$5001,"Em ajustes"),1,0),0))</f>
        <v/>
      </c>
      <c r="N3836" s="17" t="str">
        <f aca="false">IF(A3836="","",IF(ISNUMBER(A3836),A3836,IFERROR(DATE(VALUE(MID(A3836,7,4)),VALUE(MID(A3836,4,2)),VALUE(MID(A3836,1,2)))+TIME(VALUE(MID(A3836,12,2)),VALUE(MID(A3836,15,2)),VALUE(MID(A3836,18,2))),"")))</f>
        <v/>
      </c>
    </row>
    <row r="3837" customFormat="false" ht="15" hidden="false" customHeight="false" outlineLevel="0" collapsed="false">
      <c r="I3837" s="15" t="str">
        <f aca="false">IF(N3837="","",INT(N3837))</f>
        <v/>
      </c>
      <c r="J3837" s="16" t="str">
        <f aca="false">IF(B3837="","",IF(N3837=_xlfn.MINIFS($N$2:$N$5001,$B$2:$B$5001,B3837),1,0))</f>
        <v/>
      </c>
      <c r="K3837" s="16" t="str">
        <f aca="false">IF(B3837="","",IF(AND(D3837="Formalização",E3837="Concluído"),IF(COUNTIFS($B$2:$B$5001,B3837,$E$2:$E$5001,"Em ajustes",$N$2:$N$5001,"&lt;"&amp;I3837)&gt;0,1,0),0))</f>
        <v/>
      </c>
      <c r="L3837" s="16" t="str">
        <f aca="false">IF(B3837="","",IF(N3837=_xlfn.MAXIFS($N$2:$N$5001,$B$2:$B$5001,B3837,$I$2:$I$5001,I3837),1,0))</f>
        <v/>
      </c>
      <c r="M3837" s="16" t="str">
        <f aca="false">IF(B3837="","",IF(E3837="Em ajustes",IF(N3837=_xlfn.MINIFS($N$2:$N$5001,$B$2:$B$5001,B3837,$E$2:$E$5001,"Em ajustes"),1,0),0))</f>
        <v/>
      </c>
      <c r="N3837" s="17" t="str">
        <f aca="false">IF(A3837="","",IF(ISNUMBER(A3837),A3837,IFERROR(DATE(VALUE(MID(A3837,7,4)),VALUE(MID(A3837,4,2)),VALUE(MID(A3837,1,2)))+TIME(VALUE(MID(A3837,12,2)),VALUE(MID(A3837,15,2)),VALUE(MID(A3837,18,2))),"")))</f>
        <v/>
      </c>
    </row>
    <row r="3838" customFormat="false" ht="15" hidden="false" customHeight="false" outlineLevel="0" collapsed="false">
      <c r="I3838" s="15" t="str">
        <f aca="false">IF(N3838="","",INT(N3838))</f>
        <v/>
      </c>
      <c r="J3838" s="16" t="str">
        <f aca="false">IF(B3838="","",IF(N3838=_xlfn.MINIFS($N$2:$N$5001,$B$2:$B$5001,B3838),1,0))</f>
        <v/>
      </c>
      <c r="K3838" s="16" t="str">
        <f aca="false">IF(B3838="","",IF(AND(D3838="Formalização",E3838="Concluído"),IF(COUNTIFS($B$2:$B$5001,B3838,$E$2:$E$5001,"Em ajustes",$N$2:$N$5001,"&lt;"&amp;I3838)&gt;0,1,0),0))</f>
        <v/>
      </c>
      <c r="L3838" s="16" t="str">
        <f aca="false">IF(B3838="","",IF(N3838=_xlfn.MAXIFS($N$2:$N$5001,$B$2:$B$5001,B3838,$I$2:$I$5001,I3838),1,0))</f>
        <v/>
      </c>
      <c r="M3838" s="16" t="str">
        <f aca="false">IF(B3838="","",IF(E3838="Em ajustes",IF(N3838=_xlfn.MINIFS($N$2:$N$5001,$B$2:$B$5001,B3838,$E$2:$E$5001,"Em ajustes"),1,0),0))</f>
        <v/>
      </c>
      <c r="N3838" s="17" t="str">
        <f aca="false">IF(A3838="","",IF(ISNUMBER(A3838),A3838,IFERROR(DATE(VALUE(MID(A3838,7,4)),VALUE(MID(A3838,4,2)),VALUE(MID(A3838,1,2)))+TIME(VALUE(MID(A3838,12,2)),VALUE(MID(A3838,15,2)),VALUE(MID(A3838,18,2))),"")))</f>
        <v/>
      </c>
    </row>
    <row r="3839" customFormat="false" ht="15" hidden="false" customHeight="false" outlineLevel="0" collapsed="false">
      <c r="I3839" s="15" t="str">
        <f aca="false">IF(N3839="","",INT(N3839))</f>
        <v/>
      </c>
      <c r="J3839" s="16" t="str">
        <f aca="false">IF(B3839="","",IF(N3839=_xlfn.MINIFS($N$2:$N$5001,$B$2:$B$5001,B3839),1,0))</f>
        <v/>
      </c>
      <c r="K3839" s="16" t="str">
        <f aca="false">IF(B3839="","",IF(AND(D3839="Formalização",E3839="Concluído"),IF(COUNTIFS($B$2:$B$5001,B3839,$E$2:$E$5001,"Em ajustes",$N$2:$N$5001,"&lt;"&amp;I3839)&gt;0,1,0),0))</f>
        <v/>
      </c>
      <c r="L3839" s="16" t="str">
        <f aca="false">IF(B3839="","",IF(N3839=_xlfn.MAXIFS($N$2:$N$5001,$B$2:$B$5001,B3839,$I$2:$I$5001,I3839),1,0))</f>
        <v/>
      </c>
      <c r="M3839" s="16" t="str">
        <f aca="false">IF(B3839="","",IF(E3839="Em ajustes",IF(N3839=_xlfn.MINIFS($N$2:$N$5001,$B$2:$B$5001,B3839,$E$2:$E$5001,"Em ajustes"),1,0),0))</f>
        <v/>
      </c>
      <c r="N3839" s="17" t="str">
        <f aca="false">IF(A3839="","",IF(ISNUMBER(A3839),A3839,IFERROR(DATE(VALUE(MID(A3839,7,4)),VALUE(MID(A3839,4,2)),VALUE(MID(A3839,1,2)))+TIME(VALUE(MID(A3839,12,2)),VALUE(MID(A3839,15,2)),VALUE(MID(A3839,18,2))),"")))</f>
        <v/>
      </c>
    </row>
    <row r="3840" customFormat="false" ht="15" hidden="false" customHeight="false" outlineLevel="0" collapsed="false">
      <c r="I3840" s="15" t="str">
        <f aca="false">IF(N3840="","",INT(N3840))</f>
        <v/>
      </c>
      <c r="J3840" s="16" t="str">
        <f aca="false">IF(B3840="","",IF(N3840=_xlfn.MINIFS($N$2:$N$5001,$B$2:$B$5001,B3840),1,0))</f>
        <v/>
      </c>
      <c r="K3840" s="16" t="str">
        <f aca="false">IF(B3840="","",IF(AND(D3840="Formalização",E3840="Concluído"),IF(COUNTIFS($B$2:$B$5001,B3840,$E$2:$E$5001,"Em ajustes",$N$2:$N$5001,"&lt;"&amp;I3840)&gt;0,1,0),0))</f>
        <v/>
      </c>
      <c r="L3840" s="16" t="str">
        <f aca="false">IF(B3840="","",IF(N3840=_xlfn.MAXIFS($N$2:$N$5001,$B$2:$B$5001,B3840,$I$2:$I$5001,I3840),1,0))</f>
        <v/>
      </c>
      <c r="M3840" s="16" t="str">
        <f aca="false">IF(B3840="","",IF(E3840="Em ajustes",IF(N3840=_xlfn.MINIFS($N$2:$N$5001,$B$2:$B$5001,B3840,$E$2:$E$5001,"Em ajustes"),1,0),0))</f>
        <v/>
      </c>
      <c r="N3840" s="17" t="str">
        <f aca="false">IF(A3840="","",IF(ISNUMBER(A3840),A3840,IFERROR(DATE(VALUE(MID(A3840,7,4)),VALUE(MID(A3840,4,2)),VALUE(MID(A3840,1,2)))+TIME(VALUE(MID(A3840,12,2)),VALUE(MID(A3840,15,2)),VALUE(MID(A3840,18,2))),"")))</f>
        <v/>
      </c>
    </row>
    <row r="3841" customFormat="false" ht="15" hidden="false" customHeight="false" outlineLevel="0" collapsed="false">
      <c r="I3841" s="15" t="str">
        <f aca="false">IF(N3841="","",INT(N3841))</f>
        <v/>
      </c>
      <c r="J3841" s="16" t="str">
        <f aca="false">IF(B3841="","",IF(N3841=_xlfn.MINIFS($N$2:$N$5001,$B$2:$B$5001,B3841),1,0))</f>
        <v/>
      </c>
      <c r="K3841" s="16" t="str">
        <f aca="false">IF(B3841="","",IF(AND(D3841="Formalização",E3841="Concluído"),IF(COUNTIFS($B$2:$B$5001,B3841,$E$2:$E$5001,"Em ajustes",$N$2:$N$5001,"&lt;"&amp;I3841)&gt;0,1,0),0))</f>
        <v/>
      </c>
      <c r="L3841" s="16" t="str">
        <f aca="false">IF(B3841="","",IF(N3841=_xlfn.MAXIFS($N$2:$N$5001,$B$2:$B$5001,B3841,$I$2:$I$5001,I3841),1,0))</f>
        <v/>
      </c>
      <c r="M3841" s="16" t="str">
        <f aca="false">IF(B3841="","",IF(E3841="Em ajustes",IF(N3841=_xlfn.MINIFS($N$2:$N$5001,$B$2:$B$5001,B3841,$E$2:$E$5001,"Em ajustes"),1,0),0))</f>
        <v/>
      </c>
      <c r="N3841" s="17" t="str">
        <f aca="false">IF(A3841="","",IF(ISNUMBER(A3841),A3841,IFERROR(DATE(VALUE(MID(A3841,7,4)),VALUE(MID(A3841,4,2)),VALUE(MID(A3841,1,2)))+TIME(VALUE(MID(A3841,12,2)),VALUE(MID(A3841,15,2)),VALUE(MID(A3841,18,2))),"")))</f>
        <v/>
      </c>
    </row>
    <row r="3842" customFormat="false" ht="15" hidden="false" customHeight="false" outlineLevel="0" collapsed="false">
      <c r="I3842" s="15" t="str">
        <f aca="false">IF(N3842="","",INT(N3842))</f>
        <v/>
      </c>
      <c r="J3842" s="16" t="str">
        <f aca="false">IF(B3842="","",IF(N3842=_xlfn.MINIFS($N$2:$N$5001,$B$2:$B$5001,B3842),1,0))</f>
        <v/>
      </c>
      <c r="K3842" s="16" t="str">
        <f aca="false">IF(B3842="","",IF(AND(D3842="Formalização",E3842="Concluído"),IF(COUNTIFS($B$2:$B$5001,B3842,$E$2:$E$5001,"Em ajustes",$N$2:$N$5001,"&lt;"&amp;I3842)&gt;0,1,0),0))</f>
        <v/>
      </c>
      <c r="L3842" s="16" t="str">
        <f aca="false">IF(B3842="","",IF(N3842=_xlfn.MAXIFS($N$2:$N$5001,$B$2:$B$5001,B3842,$I$2:$I$5001,I3842),1,0))</f>
        <v/>
      </c>
      <c r="M3842" s="16" t="str">
        <f aca="false">IF(B3842="","",IF(E3842="Em ajustes",IF(N3842=_xlfn.MINIFS($N$2:$N$5001,$B$2:$B$5001,B3842,$E$2:$E$5001,"Em ajustes"),1,0),0))</f>
        <v/>
      </c>
      <c r="N3842" s="17" t="str">
        <f aca="false">IF(A3842="","",IF(ISNUMBER(A3842),A3842,IFERROR(DATE(VALUE(MID(A3842,7,4)),VALUE(MID(A3842,4,2)),VALUE(MID(A3842,1,2)))+TIME(VALUE(MID(A3842,12,2)),VALUE(MID(A3842,15,2)),VALUE(MID(A3842,18,2))),"")))</f>
        <v/>
      </c>
    </row>
    <row r="3843" customFormat="false" ht="15" hidden="false" customHeight="false" outlineLevel="0" collapsed="false">
      <c r="I3843" s="15" t="str">
        <f aca="false">IF(N3843="","",INT(N3843))</f>
        <v/>
      </c>
      <c r="J3843" s="16" t="str">
        <f aca="false">IF(B3843="","",IF(N3843=_xlfn.MINIFS($N$2:$N$5001,$B$2:$B$5001,B3843),1,0))</f>
        <v/>
      </c>
      <c r="K3843" s="16" t="str">
        <f aca="false">IF(B3843="","",IF(AND(D3843="Formalização",E3843="Concluído"),IF(COUNTIFS($B$2:$B$5001,B3843,$E$2:$E$5001,"Em ajustes",$N$2:$N$5001,"&lt;"&amp;I3843)&gt;0,1,0),0))</f>
        <v/>
      </c>
      <c r="L3843" s="16" t="str">
        <f aca="false">IF(B3843="","",IF(N3843=_xlfn.MAXIFS($N$2:$N$5001,$B$2:$B$5001,B3843,$I$2:$I$5001,I3843),1,0))</f>
        <v/>
      </c>
      <c r="M3843" s="16" t="str">
        <f aca="false">IF(B3843="","",IF(E3843="Em ajustes",IF(N3843=_xlfn.MINIFS($N$2:$N$5001,$B$2:$B$5001,B3843,$E$2:$E$5001,"Em ajustes"),1,0),0))</f>
        <v/>
      </c>
      <c r="N3843" s="17" t="str">
        <f aca="false">IF(A3843="","",IF(ISNUMBER(A3843),A3843,IFERROR(DATE(VALUE(MID(A3843,7,4)),VALUE(MID(A3843,4,2)),VALUE(MID(A3843,1,2)))+TIME(VALUE(MID(A3843,12,2)),VALUE(MID(A3843,15,2)),VALUE(MID(A3843,18,2))),"")))</f>
        <v/>
      </c>
    </row>
    <row r="3844" customFormat="false" ht="15" hidden="false" customHeight="false" outlineLevel="0" collapsed="false">
      <c r="I3844" s="15" t="str">
        <f aca="false">IF(N3844="","",INT(N3844))</f>
        <v/>
      </c>
      <c r="J3844" s="16" t="str">
        <f aca="false">IF(B3844="","",IF(N3844=_xlfn.MINIFS($N$2:$N$5001,$B$2:$B$5001,B3844),1,0))</f>
        <v/>
      </c>
      <c r="K3844" s="16" t="str">
        <f aca="false">IF(B3844="","",IF(AND(D3844="Formalização",E3844="Concluído"),IF(COUNTIFS($B$2:$B$5001,B3844,$E$2:$E$5001,"Em ajustes",$N$2:$N$5001,"&lt;"&amp;I3844)&gt;0,1,0),0))</f>
        <v/>
      </c>
      <c r="L3844" s="16" t="str">
        <f aca="false">IF(B3844="","",IF(N3844=_xlfn.MAXIFS($N$2:$N$5001,$B$2:$B$5001,B3844,$I$2:$I$5001,I3844),1,0))</f>
        <v/>
      </c>
      <c r="M3844" s="16" t="str">
        <f aca="false">IF(B3844="","",IF(E3844="Em ajustes",IF(N3844=_xlfn.MINIFS($N$2:$N$5001,$B$2:$B$5001,B3844,$E$2:$E$5001,"Em ajustes"),1,0),0))</f>
        <v/>
      </c>
      <c r="N3844" s="17" t="str">
        <f aca="false">IF(A3844="","",IF(ISNUMBER(A3844),A3844,IFERROR(DATE(VALUE(MID(A3844,7,4)),VALUE(MID(A3844,4,2)),VALUE(MID(A3844,1,2)))+TIME(VALUE(MID(A3844,12,2)),VALUE(MID(A3844,15,2)),VALUE(MID(A3844,18,2))),"")))</f>
        <v/>
      </c>
    </row>
    <row r="3845" customFormat="false" ht="15" hidden="false" customHeight="false" outlineLevel="0" collapsed="false">
      <c r="I3845" s="15" t="str">
        <f aca="false">IF(N3845="","",INT(N3845))</f>
        <v/>
      </c>
      <c r="J3845" s="16" t="str">
        <f aca="false">IF(B3845="","",IF(N3845=_xlfn.MINIFS($N$2:$N$5001,$B$2:$B$5001,B3845),1,0))</f>
        <v/>
      </c>
      <c r="K3845" s="16" t="str">
        <f aca="false">IF(B3845="","",IF(AND(D3845="Formalização",E3845="Concluído"),IF(COUNTIFS($B$2:$B$5001,B3845,$E$2:$E$5001,"Em ajustes",$N$2:$N$5001,"&lt;"&amp;I3845)&gt;0,1,0),0))</f>
        <v/>
      </c>
      <c r="L3845" s="16" t="str">
        <f aca="false">IF(B3845="","",IF(N3845=_xlfn.MAXIFS($N$2:$N$5001,$B$2:$B$5001,B3845,$I$2:$I$5001,I3845),1,0))</f>
        <v/>
      </c>
      <c r="M3845" s="16" t="str">
        <f aca="false">IF(B3845="","",IF(E3845="Em ajustes",IF(N3845=_xlfn.MINIFS($N$2:$N$5001,$B$2:$B$5001,B3845,$E$2:$E$5001,"Em ajustes"),1,0),0))</f>
        <v/>
      </c>
      <c r="N3845" s="17" t="str">
        <f aca="false">IF(A3845="","",IF(ISNUMBER(A3845),A3845,IFERROR(DATE(VALUE(MID(A3845,7,4)),VALUE(MID(A3845,4,2)),VALUE(MID(A3845,1,2)))+TIME(VALUE(MID(A3845,12,2)),VALUE(MID(A3845,15,2)),VALUE(MID(A3845,18,2))),"")))</f>
        <v/>
      </c>
    </row>
    <row r="3846" customFormat="false" ht="15" hidden="false" customHeight="false" outlineLevel="0" collapsed="false">
      <c r="I3846" s="15" t="str">
        <f aca="false">IF(N3846="","",INT(N3846))</f>
        <v/>
      </c>
      <c r="J3846" s="16" t="str">
        <f aca="false">IF(B3846="","",IF(N3846=_xlfn.MINIFS($N$2:$N$5001,$B$2:$B$5001,B3846),1,0))</f>
        <v/>
      </c>
      <c r="K3846" s="16" t="str">
        <f aca="false">IF(B3846="","",IF(AND(D3846="Formalização",E3846="Concluído"),IF(COUNTIFS($B$2:$B$5001,B3846,$E$2:$E$5001,"Em ajustes",$N$2:$N$5001,"&lt;"&amp;I3846)&gt;0,1,0),0))</f>
        <v/>
      </c>
      <c r="L3846" s="16" t="str">
        <f aca="false">IF(B3846="","",IF(N3846=_xlfn.MAXIFS($N$2:$N$5001,$B$2:$B$5001,B3846,$I$2:$I$5001,I3846),1,0))</f>
        <v/>
      </c>
      <c r="M3846" s="16" t="str">
        <f aca="false">IF(B3846="","",IF(E3846="Em ajustes",IF(N3846=_xlfn.MINIFS($N$2:$N$5001,$B$2:$B$5001,B3846,$E$2:$E$5001,"Em ajustes"),1,0),0))</f>
        <v/>
      </c>
      <c r="N3846" s="17" t="str">
        <f aca="false">IF(A3846="","",IF(ISNUMBER(A3846),A3846,IFERROR(DATE(VALUE(MID(A3846,7,4)),VALUE(MID(A3846,4,2)),VALUE(MID(A3846,1,2)))+TIME(VALUE(MID(A3846,12,2)),VALUE(MID(A3846,15,2)),VALUE(MID(A3846,18,2))),"")))</f>
        <v/>
      </c>
    </row>
    <row r="3847" customFormat="false" ht="15" hidden="false" customHeight="false" outlineLevel="0" collapsed="false">
      <c r="I3847" s="15" t="str">
        <f aca="false">IF(N3847="","",INT(N3847))</f>
        <v/>
      </c>
      <c r="J3847" s="16" t="str">
        <f aca="false">IF(B3847="","",IF(N3847=_xlfn.MINIFS($N$2:$N$5001,$B$2:$B$5001,B3847),1,0))</f>
        <v/>
      </c>
      <c r="K3847" s="16" t="str">
        <f aca="false">IF(B3847="","",IF(AND(D3847="Formalização",E3847="Concluído"),IF(COUNTIFS($B$2:$B$5001,B3847,$E$2:$E$5001,"Em ajustes",$N$2:$N$5001,"&lt;"&amp;I3847)&gt;0,1,0),0))</f>
        <v/>
      </c>
      <c r="L3847" s="16" t="str">
        <f aca="false">IF(B3847="","",IF(N3847=_xlfn.MAXIFS($N$2:$N$5001,$B$2:$B$5001,B3847,$I$2:$I$5001,I3847),1,0))</f>
        <v/>
      </c>
      <c r="M3847" s="16" t="str">
        <f aca="false">IF(B3847="","",IF(E3847="Em ajustes",IF(N3847=_xlfn.MINIFS($N$2:$N$5001,$B$2:$B$5001,B3847,$E$2:$E$5001,"Em ajustes"),1,0),0))</f>
        <v/>
      </c>
      <c r="N3847" s="17" t="str">
        <f aca="false">IF(A3847="","",IF(ISNUMBER(A3847),A3847,IFERROR(DATE(VALUE(MID(A3847,7,4)),VALUE(MID(A3847,4,2)),VALUE(MID(A3847,1,2)))+TIME(VALUE(MID(A3847,12,2)),VALUE(MID(A3847,15,2)),VALUE(MID(A3847,18,2))),"")))</f>
        <v/>
      </c>
    </row>
    <row r="3848" customFormat="false" ht="15" hidden="false" customHeight="false" outlineLevel="0" collapsed="false">
      <c r="I3848" s="15" t="str">
        <f aca="false">IF(N3848="","",INT(N3848))</f>
        <v/>
      </c>
      <c r="J3848" s="16" t="str">
        <f aca="false">IF(B3848="","",IF(N3848=_xlfn.MINIFS($N$2:$N$5001,$B$2:$B$5001,B3848),1,0))</f>
        <v/>
      </c>
      <c r="K3848" s="16" t="str">
        <f aca="false">IF(B3848="","",IF(AND(D3848="Formalização",E3848="Concluído"),IF(COUNTIFS($B$2:$B$5001,B3848,$E$2:$E$5001,"Em ajustes",$N$2:$N$5001,"&lt;"&amp;I3848)&gt;0,1,0),0))</f>
        <v/>
      </c>
      <c r="L3848" s="16" t="str">
        <f aca="false">IF(B3848="","",IF(N3848=_xlfn.MAXIFS($N$2:$N$5001,$B$2:$B$5001,B3848,$I$2:$I$5001,I3848),1,0))</f>
        <v/>
      </c>
      <c r="M3848" s="16" t="str">
        <f aca="false">IF(B3848="","",IF(E3848="Em ajustes",IF(N3848=_xlfn.MINIFS($N$2:$N$5001,$B$2:$B$5001,B3848,$E$2:$E$5001,"Em ajustes"),1,0),0))</f>
        <v/>
      </c>
      <c r="N3848" s="17" t="str">
        <f aca="false">IF(A3848="","",IF(ISNUMBER(A3848),A3848,IFERROR(DATE(VALUE(MID(A3848,7,4)),VALUE(MID(A3848,4,2)),VALUE(MID(A3848,1,2)))+TIME(VALUE(MID(A3848,12,2)),VALUE(MID(A3848,15,2)),VALUE(MID(A3848,18,2))),"")))</f>
        <v/>
      </c>
    </row>
    <row r="3849" customFormat="false" ht="15" hidden="false" customHeight="false" outlineLevel="0" collapsed="false">
      <c r="I3849" s="15" t="str">
        <f aca="false">IF(N3849="","",INT(N3849))</f>
        <v/>
      </c>
      <c r="J3849" s="16" t="str">
        <f aca="false">IF(B3849="","",IF(N3849=_xlfn.MINIFS($N$2:$N$5001,$B$2:$B$5001,B3849),1,0))</f>
        <v/>
      </c>
      <c r="K3849" s="16" t="str">
        <f aca="false">IF(B3849="","",IF(AND(D3849="Formalização",E3849="Concluído"),IF(COUNTIFS($B$2:$B$5001,B3849,$E$2:$E$5001,"Em ajustes",$N$2:$N$5001,"&lt;"&amp;I3849)&gt;0,1,0),0))</f>
        <v/>
      </c>
      <c r="L3849" s="16" t="str">
        <f aca="false">IF(B3849="","",IF(N3849=_xlfn.MAXIFS($N$2:$N$5001,$B$2:$B$5001,B3849,$I$2:$I$5001,I3849),1,0))</f>
        <v/>
      </c>
      <c r="M3849" s="16" t="str">
        <f aca="false">IF(B3849="","",IF(E3849="Em ajustes",IF(N3849=_xlfn.MINIFS($N$2:$N$5001,$B$2:$B$5001,B3849,$E$2:$E$5001,"Em ajustes"),1,0),0))</f>
        <v/>
      </c>
      <c r="N3849" s="17" t="str">
        <f aca="false">IF(A3849="","",IF(ISNUMBER(A3849),A3849,IFERROR(DATE(VALUE(MID(A3849,7,4)),VALUE(MID(A3849,4,2)),VALUE(MID(A3849,1,2)))+TIME(VALUE(MID(A3849,12,2)),VALUE(MID(A3849,15,2)),VALUE(MID(A3849,18,2))),"")))</f>
        <v/>
      </c>
    </row>
    <row r="3850" customFormat="false" ht="15" hidden="false" customHeight="false" outlineLevel="0" collapsed="false">
      <c r="I3850" s="15" t="str">
        <f aca="false">IF(N3850="","",INT(N3850))</f>
        <v/>
      </c>
      <c r="J3850" s="16" t="str">
        <f aca="false">IF(B3850="","",IF(N3850=_xlfn.MINIFS($N$2:$N$5001,$B$2:$B$5001,B3850),1,0))</f>
        <v/>
      </c>
      <c r="K3850" s="16" t="str">
        <f aca="false">IF(B3850="","",IF(AND(D3850="Formalização",E3850="Concluído"),IF(COUNTIFS($B$2:$B$5001,B3850,$E$2:$E$5001,"Em ajustes",$N$2:$N$5001,"&lt;"&amp;I3850)&gt;0,1,0),0))</f>
        <v/>
      </c>
      <c r="L3850" s="16" t="str">
        <f aca="false">IF(B3850="","",IF(N3850=_xlfn.MAXIFS($N$2:$N$5001,$B$2:$B$5001,B3850,$I$2:$I$5001,I3850),1,0))</f>
        <v/>
      </c>
      <c r="M3850" s="16" t="str">
        <f aca="false">IF(B3850="","",IF(E3850="Em ajustes",IF(N3850=_xlfn.MINIFS($N$2:$N$5001,$B$2:$B$5001,B3850,$E$2:$E$5001,"Em ajustes"),1,0),0))</f>
        <v/>
      </c>
      <c r="N3850" s="17" t="str">
        <f aca="false">IF(A3850="","",IF(ISNUMBER(A3850),A3850,IFERROR(DATE(VALUE(MID(A3850,7,4)),VALUE(MID(A3850,4,2)),VALUE(MID(A3850,1,2)))+TIME(VALUE(MID(A3850,12,2)),VALUE(MID(A3850,15,2)),VALUE(MID(A3850,18,2))),"")))</f>
        <v/>
      </c>
    </row>
    <row r="3851" customFormat="false" ht="15" hidden="false" customHeight="false" outlineLevel="0" collapsed="false">
      <c r="I3851" s="15" t="str">
        <f aca="false">IF(N3851="","",INT(N3851))</f>
        <v/>
      </c>
      <c r="J3851" s="16" t="str">
        <f aca="false">IF(B3851="","",IF(N3851=_xlfn.MINIFS($N$2:$N$5001,$B$2:$B$5001,B3851),1,0))</f>
        <v/>
      </c>
      <c r="K3851" s="16" t="str">
        <f aca="false">IF(B3851="","",IF(AND(D3851="Formalização",E3851="Concluído"),IF(COUNTIFS($B$2:$B$5001,B3851,$E$2:$E$5001,"Em ajustes",$N$2:$N$5001,"&lt;"&amp;I3851)&gt;0,1,0),0))</f>
        <v/>
      </c>
      <c r="L3851" s="16" t="str">
        <f aca="false">IF(B3851="","",IF(N3851=_xlfn.MAXIFS($N$2:$N$5001,$B$2:$B$5001,B3851,$I$2:$I$5001,I3851),1,0))</f>
        <v/>
      </c>
      <c r="M3851" s="16" t="str">
        <f aca="false">IF(B3851="","",IF(E3851="Em ajustes",IF(N3851=_xlfn.MINIFS($N$2:$N$5001,$B$2:$B$5001,B3851,$E$2:$E$5001,"Em ajustes"),1,0),0))</f>
        <v/>
      </c>
      <c r="N3851" s="17" t="str">
        <f aca="false">IF(A3851="","",IF(ISNUMBER(A3851),A3851,IFERROR(DATE(VALUE(MID(A3851,7,4)),VALUE(MID(A3851,4,2)),VALUE(MID(A3851,1,2)))+TIME(VALUE(MID(A3851,12,2)),VALUE(MID(A3851,15,2)),VALUE(MID(A3851,18,2))),"")))</f>
        <v/>
      </c>
    </row>
    <row r="3852" customFormat="false" ht="15" hidden="false" customHeight="false" outlineLevel="0" collapsed="false">
      <c r="I3852" s="15" t="str">
        <f aca="false">IF(N3852="","",INT(N3852))</f>
        <v/>
      </c>
      <c r="J3852" s="16" t="str">
        <f aca="false">IF(B3852="","",IF(N3852=_xlfn.MINIFS($N$2:$N$5001,$B$2:$B$5001,B3852),1,0))</f>
        <v/>
      </c>
      <c r="K3852" s="16" t="str">
        <f aca="false">IF(B3852="","",IF(AND(D3852="Formalização",E3852="Concluído"),IF(COUNTIFS($B$2:$B$5001,B3852,$E$2:$E$5001,"Em ajustes",$N$2:$N$5001,"&lt;"&amp;I3852)&gt;0,1,0),0))</f>
        <v/>
      </c>
      <c r="L3852" s="16" t="str">
        <f aca="false">IF(B3852="","",IF(N3852=_xlfn.MAXIFS($N$2:$N$5001,$B$2:$B$5001,B3852,$I$2:$I$5001,I3852),1,0))</f>
        <v/>
      </c>
      <c r="M3852" s="16" t="str">
        <f aca="false">IF(B3852="","",IF(E3852="Em ajustes",IF(N3852=_xlfn.MINIFS($N$2:$N$5001,$B$2:$B$5001,B3852,$E$2:$E$5001,"Em ajustes"),1,0),0))</f>
        <v/>
      </c>
      <c r="N3852" s="17" t="str">
        <f aca="false">IF(A3852="","",IF(ISNUMBER(A3852),A3852,IFERROR(DATE(VALUE(MID(A3852,7,4)),VALUE(MID(A3852,4,2)),VALUE(MID(A3852,1,2)))+TIME(VALUE(MID(A3852,12,2)),VALUE(MID(A3852,15,2)),VALUE(MID(A3852,18,2))),"")))</f>
        <v/>
      </c>
    </row>
    <row r="3853" customFormat="false" ht="15" hidden="false" customHeight="false" outlineLevel="0" collapsed="false">
      <c r="I3853" s="15" t="str">
        <f aca="false">IF(N3853="","",INT(N3853))</f>
        <v/>
      </c>
      <c r="J3853" s="16" t="str">
        <f aca="false">IF(B3853="","",IF(N3853=_xlfn.MINIFS($N$2:$N$5001,$B$2:$B$5001,B3853),1,0))</f>
        <v/>
      </c>
      <c r="K3853" s="16" t="str">
        <f aca="false">IF(B3853="","",IF(AND(D3853="Formalização",E3853="Concluído"),IF(COUNTIFS($B$2:$B$5001,B3853,$E$2:$E$5001,"Em ajustes",$N$2:$N$5001,"&lt;"&amp;I3853)&gt;0,1,0),0))</f>
        <v/>
      </c>
      <c r="L3853" s="16" t="str">
        <f aca="false">IF(B3853="","",IF(N3853=_xlfn.MAXIFS($N$2:$N$5001,$B$2:$B$5001,B3853,$I$2:$I$5001,I3853),1,0))</f>
        <v/>
      </c>
      <c r="M3853" s="16" t="str">
        <f aca="false">IF(B3853="","",IF(E3853="Em ajustes",IF(N3853=_xlfn.MINIFS($N$2:$N$5001,$B$2:$B$5001,B3853,$E$2:$E$5001,"Em ajustes"),1,0),0))</f>
        <v/>
      </c>
      <c r="N3853" s="17" t="str">
        <f aca="false">IF(A3853="","",IF(ISNUMBER(A3853),A3853,IFERROR(DATE(VALUE(MID(A3853,7,4)),VALUE(MID(A3853,4,2)),VALUE(MID(A3853,1,2)))+TIME(VALUE(MID(A3853,12,2)),VALUE(MID(A3853,15,2)),VALUE(MID(A3853,18,2))),"")))</f>
        <v/>
      </c>
    </row>
    <row r="3854" customFormat="false" ht="15" hidden="false" customHeight="false" outlineLevel="0" collapsed="false">
      <c r="I3854" s="15" t="str">
        <f aca="false">IF(N3854="","",INT(N3854))</f>
        <v/>
      </c>
      <c r="J3854" s="16" t="str">
        <f aca="false">IF(B3854="","",IF(N3854=_xlfn.MINIFS($N$2:$N$5001,$B$2:$B$5001,B3854),1,0))</f>
        <v/>
      </c>
      <c r="K3854" s="16" t="str">
        <f aca="false">IF(B3854="","",IF(AND(D3854="Formalização",E3854="Concluído"),IF(COUNTIFS($B$2:$B$5001,B3854,$E$2:$E$5001,"Em ajustes",$N$2:$N$5001,"&lt;"&amp;I3854)&gt;0,1,0),0))</f>
        <v/>
      </c>
      <c r="L3854" s="16" t="str">
        <f aca="false">IF(B3854="","",IF(N3854=_xlfn.MAXIFS($N$2:$N$5001,$B$2:$B$5001,B3854,$I$2:$I$5001,I3854),1,0))</f>
        <v/>
      </c>
      <c r="M3854" s="16" t="str">
        <f aca="false">IF(B3854="","",IF(E3854="Em ajustes",IF(N3854=_xlfn.MINIFS($N$2:$N$5001,$B$2:$B$5001,B3854,$E$2:$E$5001,"Em ajustes"),1,0),0))</f>
        <v/>
      </c>
      <c r="N3854" s="17" t="str">
        <f aca="false">IF(A3854="","",IF(ISNUMBER(A3854),A3854,IFERROR(DATE(VALUE(MID(A3854,7,4)),VALUE(MID(A3854,4,2)),VALUE(MID(A3854,1,2)))+TIME(VALUE(MID(A3854,12,2)),VALUE(MID(A3854,15,2)),VALUE(MID(A3854,18,2))),"")))</f>
        <v/>
      </c>
    </row>
    <row r="3855" customFormat="false" ht="15" hidden="false" customHeight="false" outlineLevel="0" collapsed="false">
      <c r="I3855" s="15" t="str">
        <f aca="false">IF(N3855="","",INT(N3855))</f>
        <v/>
      </c>
      <c r="J3855" s="16" t="str">
        <f aca="false">IF(B3855="","",IF(N3855=_xlfn.MINIFS($N$2:$N$5001,$B$2:$B$5001,B3855),1,0))</f>
        <v/>
      </c>
      <c r="K3855" s="16" t="str">
        <f aca="false">IF(B3855="","",IF(AND(D3855="Formalização",E3855="Concluído"),IF(COUNTIFS($B$2:$B$5001,B3855,$E$2:$E$5001,"Em ajustes",$N$2:$N$5001,"&lt;"&amp;I3855)&gt;0,1,0),0))</f>
        <v/>
      </c>
      <c r="L3855" s="16" t="str">
        <f aca="false">IF(B3855="","",IF(N3855=_xlfn.MAXIFS($N$2:$N$5001,$B$2:$B$5001,B3855,$I$2:$I$5001,I3855),1,0))</f>
        <v/>
      </c>
      <c r="M3855" s="16" t="str">
        <f aca="false">IF(B3855="","",IF(E3855="Em ajustes",IF(N3855=_xlfn.MINIFS($N$2:$N$5001,$B$2:$B$5001,B3855,$E$2:$E$5001,"Em ajustes"),1,0),0))</f>
        <v/>
      </c>
      <c r="N3855" s="17" t="str">
        <f aca="false">IF(A3855="","",IF(ISNUMBER(A3855),A3855,IFERROR(DATE(VALUE(MID(A3855,7,4)),VALUE(MID(A3855,4,2)),VALUE(MID(A3855,1,2)))+TIME(VALUE(MID(A3855,12,2)),VALUE(MID(A3855,15,2)),VALUE(MID(A3855,18,2))),"")))</f>
        <v/>
      </c>
    </row>
    <row r="3856" customFormat="false" ht="15" hidden="false" customHeight="false" outlineLevel="0" collapsed="false">
      <c r="I3856" s="15" t="str">
        <f aca="false">IF(N3856="","",INT(N3856))</f>
        <v/>
      </c>
      <c r="J3856" s="16" t="str">
        <f aca="false">IF(B3856="","",IF(N3856=_xlfn.MINIFS($N$2:$N$5001,$B$2:$B$5001,B3856),1,0))</f>
        <v/>
      </c>
      <c r="K3856" s="16" t="str">
        <f aca="false">IF(B3856="","",IF(AND(D3856="Formalização",E3856="Concluído"),IF(COUNTIFS($B$2:$B$5001,B3856,$E$2:$E$5001,"Em ajustes",$N$2:$N$5001,"&lt;"&amp;I3856)&gt;0,1,0),0))</f>
        <v/>
      </c>
      <c r="L3856" s="16" t="str">
        <f aca="false">IF(B3856="","",IF(N3856=_xlfn.MAXIFS($N$2:$N$5001,$B$2:$B$5001,B3856,$I$2:$I$5001,I3856),1,0))</f>
        <v/>
      </c>
      <c r="M3856" s="16" t="str">
        <f aca="false">IF(B3856="","",IF(E3856="Em ajustes",IF(N3856=_xlfn.MINIFS($N$2:$N$5001,$B$2:$B$5001,B3856,$E$2:$E$5001,"Em ajustes"),1,0),0))</f>
        <v/>
      </c>
      <c r="N3856" s="17" t="str">
        <f aca="false">IF(A3856="","",IF(ISNUMBER(A3856),A3856,IFERROR(DATE(VALUE(MID(A3856,7,4)),VALUE(MID(A3856,4,2)),VALUE(MID(A3856,1,2)))+TIME(VALUE(MID(A3856,12,2)),VALUE(MID(A3856,15,2)),VALUE(MID(A3856,18,2))),"")))</f>
        <v/>
      </c>
    </row>
    <row r="3857" customFormat="false" ht="15" hidden="false" customHeight="false" outlineLevel="0" collapsed="false">
      <c r="I3857" s="15" t="str">
        <f aca="false">IF(N3857="","",INT(N3857))</f>
        <v/>
      </c>
      <c r="J3857" s="16" t="str">
        <f aca="false">IF(B3857="","",IF(N3857=_xlfn.MINIFS($N$2:$N$5001,$B$2:$B$5001,B3857),1,0))</f>
        <v/>
      </c>
      <c r="K3857" s="16" t="str">
        <f aca="false">IF(B3857="","",IF(AND(D3857="Formalização",E3857="Concluído"),IF(COUNTIFS($B$2:$B$5001,B3857,$E$2:$E$5001,"Em ajustes",$N$2:$N$5001,"&lt;"&amp;I3857)&gt;0,1,0),0))</f>
        <v/>
      </c>
      <c r="L3857" s="16" t="str">
        <f aca="false">IF(B3857="","",IF(N3857=_xlfn.MAXIFS($N$2:$N$5001,$B$2:$B$5001,B3857,$I$2:$I$5001,I3857),1,0))</f>
        <v/>
      </c>
      <c r="M3857" s="16" t="str">
        <f aca="false">IF(B3857="","",IF(E3857="Em ajustes",IF(N3857=_xlfn.MINIFS($N$2:$N$5001,$B$2:$B$5001,B3857,$E$2:$E$5001,"Em ajustes"),1,0),0))</f>
        <v/>
      </c>
      <c r="N3857" s="17" t="str">
        <f aca="false">IF(A3857="","",IF(ISNUMBER(A3857),A3857,IFERROR(DATE(VALUE(MID(A3857,7,4)),VALUE(MID(A3857,4,2)),VALUE(MID(A3857,1,2)))+TIME(VALUE(MID(A3857,12,2)),VALUE(MID(A3857,15,2)),VALUE(MID(A3857,18,2))),"")))</f>
        <v/>
      </c>
    </row>
    <row r="3858" customFormat="false" ht="15" hidden="false" customHeight="false" outlineLevel="0" collapsed="false">
      <c r="I3858" s="15" t="str">
        <f aca="false">IF(N3858="","",INT(N3858))</f>
        <v/>
      </c>
      <c r="J3858" s="16" t="str">
        <f aca="false">IF(B3858="","",IF(N3858=_xlfn.MINIFS($N$2:$N$5001,$B$2:$B$5001,B3858),1,0))</f>
        <v/>
      </c>
      <c r="K3858" s="16" t="str">
        <f aca="false">IF(B3858="","",IF(AND(D3858="Formalização",E3858="Concluído"),IF(COUNTIFS($B$2:$B$5001,B3858,$E$2:$E$5001,"Em ajustes",$N$2:$N$5001,"&lt;"&amp;I3858)&gt;0,1,0),0))</f>
        <v/>
      </c>
      <c r="L3858" s="16" t="str">
        <f aca="false">IF(B3858="","",IF(N3858=_xlfn.MAXIFS($N$2:$N$5001,$B$2:$B$5001,B3858,$I$2:$I$5001,I3858),1,0))</f>
        <v/>
      </c>
      <c r="M3858" s="16" t="str">
        <f aca="false">IF(B3858="","",IF(E3858="Em ajustes",IF(N3858=_xlfn.MINIFS($N$2:$N$5001,$B$2:$B$5001,B3858,$E$2:$E$5001,"Em ajustes"),1,0),0))</f>
        <v/>
      </c>
      <c r="N3858" s="17" t="str">
        <f aca="false">IF(A3858="","",IF(ISNUMBER(A3858),A3858,IFERROR(DATE(VALUE(MID(A3858,7,4)),VALUE(MID(A3858,4,2)),VALUE(MID(A3858,1,2)))+TIME(VALUE(MID(A3858,12,2)),VALUE(MID(A3858,15,2)),VALUE(MID(A3858,18,2))),"")))</f>
        <v/>
      </c>
    </row>
    <row r="3859" customFormat="false" ht="15" hidden="false" customHeight="false" outlineLevel="0" collapsed="false">
      <c r="I3859" s="15" t="str">
        <f aca="false">IF(N3859="","",INT(N3859))</f>
        <v/>
      </c>
      <c r="J3859" s="16" t="str">
        <f aca="false">IF(B3859="","",IF(N3859=_xlfn.MINIFS($N$2:$N$5001,$B$2:$B$5001,B3859),1,0))</f>
        <v/>
      </c>
      <c r="K3859" s="16" t="str">
        <f aca="false">IF(B3859="","",IF(AND(D3859="Formalização",E3859="Concluído"),IF(COUNTIFS($B$2:$B$5001,B3859,$E$2:$E$5001,"Em ajustes",$N$2:$N$5001,"&lt;"&amp;I3859)&gt;0,1,0),0))</f>
        <v/>
      </c>
      <c r="L3859" s="16" t="str">
        <f aca="false">IF(B3859="","",IF(N3859=_xlfn.MAXIFS($N$2:$N$5001,$B$2:$B$5001,B3859,$I$2:$I$5001,I3859),1,0))</f>
        <v/>
      </c>
      <c r="M3859" s="16" t="str">
        <f aca="false">IF(B3859="","",IF(E3859="Em ajustes",IF(N3859=_xlfn.MINIFS($N$2:$N$5001,$B$2:$B$5001,B3859,$E$2:$E$5001,"Em ajustes"),1,0),0))</f>
        <v/>
      </c>
      <c r="N3859" s="17" t="str">
        <f aca="false">IF(A3859="","",IF(ISNUMBER(A3859),A3859,IFERROR(DATE(VALUE(MID(A3859,7,4)),VALUE(MID(A3859,4,2)),VALUE(MID(A3859,1,2)))+TIME(VALUE(MID(A3859,12,2)),VALUE(MID(A3859,15,2)),VALUE(MID(A3859,18,2))),"")))</f>
        <v/>
      </c>
    </row>
    <row r="3860" customFormat="false" ht="15" hidden="false" customHeight="false" outlineLevel="0" collapsed="false">
      <c r="I3860" s="15" t="str">
        <f aca="false">IF(N3860="","",INT(N3860))</f>
        <v/>
      </c>
      <c r="J3860" s="16" t="str">
        <f aca="false">IF(B3860="","",IF(N3860=_xlfn.MINIFS($N$2:$N$5001,$B$2:$B$5001,B3860),1,0))</f>
        <v/>
      </c>
      <c r="K3860" s="16" t="str">
        <f aca="false">IF(B3860="","",IF(AND(D3860="Formalização",E3860="Concluído"),IF(COUNTIFS($B$2:$B$5001,B3860,$E$2:$E$5001,"Em ajustes",$N$2:$N$5001,"&lt;"&amp;I3860)&gt;0,1,0),0))</f>
        <v/>
      </c>
      <c r="L3860" s="16" t="str">
        <f aca="false">IF(B3860="","",IF(N3860=_xlfn.MAXIFS($N$2:$N$5001,$B$2:$B$5001,B3860,$I$2:$I$5001,I3860),1,0))</f>
        <v/>
      </c>
      <c r="M3860" s="16" t="str">
        <f aca="false">IF(B3860="","",IF(E3860="Em ajustes",IF(N3860=_xlfn.MINIFS($N$2:$N$5001,$B$2:$B$5001,B3860,$E$2:$E$5001,"Em ajustes"),1,0),0))</f>
        <v/>
      </c>
      <c r="N3860" s="17" t="str">
        <f aca="false">IF(A3860="","",IF(ISNUMBER(A3860),A3860,IFERROR(DATE(VALUE(MID(A3860,7,4)),VALUE(MID(A3860,4,2)),VALUE(MID(A3860,1,2)))+TIME(VALUE(MID(A3860,12,2)),VALUE(MID(A3860,15,2)),VALUE(MID(A3860,18,2))),"")))</f>
        <v/>
      </c>
    </row>
    <row r="3861" customFormat="false" ht="15" hidden="false" customHeight="false" outlineLevel="0" collapsed="false">
      <c r="I3861" s="15" t="str">
        <f aca="false">IF(N3861="","",INT(N3861))</f>
        <v/>
      </c>
      <c r="J3861" s="16" t="str">
        <f aca="false">IF(B3861="","",IF(N3861=_xlfn.MINIFS($N$2:$N$5001,$B$2:$B$5001,B3861),1,0))</f>
        <v/>
      </c>
      <c r="K3861" s="16" t="str">
        <f aca="false">IF(B3861="","",IF(AND(D3861="Formalização",E3861="Concluído"),IF(COUNTIFS($B$2:$B$5001,B3861,$E$2:$E$5001,"Em ajustes",$N$2:$N$5001,"&lt;"&amp;I3861)&gt;0,1,0),0))</f>
        <v/>
      </c>
      <c r="L3861" s="16" t="str">
        <f aca="false">IF(B3861="","",IF(N3861=_xlfn.MAXIFS($N$2:$N$5001,$B$2:$B$5001,B3861,$I$2:$I$5001,I3861),1,0))</f>
        <v/>
      </c>
      <c r="M3861" s="16" t="str">
        <f aca="false">IF(B3861="","",IF(E3861="Em ajustes",IF(N3861=_xlfn.MINIFS($N$2:$N$5001,$B$2:$B$5001,B3861,$E$2:$E$5001,"Em ajustes"),1,0),0))</f>
        <v/>
      </c>
      <c r="N3861" s="17" t="str">
        <f aca="false">IF(A3861="","",IF(ISNUMBER(A3861),A3861,IFERROR(DATE(VALUE(MID(A3861,7,4)),VALUE(MID(A3861,4,2)),VALUE(MID(A3861,1,2)))+TIME(VALUE(MID(A3861,12,2)),VALUE(MID(A3861,15,2)),VALUE(MID(A3861,18,2))),"")))</f>
        <v/>
      </c>
    </row>
    <row r="3862" customFormat="false" ht="15" hidden="false" customHeight="false" outlineLevel="0" collapsed="false">
      <c r="I3862" s="15" t="str">
        <f aca="false">IF(N3862="","",INT(N3862))</f>
        <v/>
      </c>
      <c r="J3862" s="16" t="str">
        <f aca="false">IF(B3862="","",IF(N3862=_xlfn.MINIFS($N$2:$N$5001,$B$2:$B$5001,B3862),1,0))</f>
        <v/>
      </c>
      <c r="K3862" s="16" t="str">
        <f aca="false">IF(B3862="","",IF(AND(D3862="Formalização",E3862="Concluído"),IF(COUNTIFS($B$2:$B$5001,B3862,$E$2:$E$5001,"Em ajustes",$N$2:$N$5001,"&lt;"&amp;I3862)&gt;0,1,0),0))</f>
        <v/>
      </c>
      <c r="L3862" s="16" t="str">
        <f aca="false">IF(B3862="","",IF(N3862=_xlfn.MAXIFS($N$2:$N$5001,$B$2:$B$5001,B3862,$I$2:$I$5001,I3862),1,0))</f>
        <v/>
      </c>
      <c r="M3862" s="16" t="str">
        <f aca="false">IF(B3862="","",IF(E3862="Em ajustes",IF(N3862=_xlfn.MINIFS($N$2:$N$5001,$B$2:$B$5001,B3862,$E$2:$E$5001,"Em ajustes"),1,0),0))</f>
        <v/>
      </c>
      <c r="N3862" s="17" t="str">
        <f aca="false">IF(A3862="","",IF(ISNUMBER(A3862),A3862,IFERROR(DATE(VALUE(MID(A3862,7,4)),VALUE(MID(A3862,4,2)),VALUE(MID(A3862,1,2)))+TIME(VALUE(MID(A3862,12,2)),VALUE(MID(A3862,15,2)),VALUE(MID(A3862,18,2))),"")))</f>
        <v/>
      </c>
    </row>
    <row r="3863" customFormat="false" ht="15" hidden="false" customHeight="false" outlineLevel="0" collapsed="false">
      <c r="I3863" s="15" t="str">
        <f aca="false">IF(N3863="","",INT(N3863))</f>
        <v/>
      </c>
      <c r="J3863" s="16" t="str">
        <f aca="false">IF(B3863="","",IF(N3863=_xlfn.MINIFS($N$2:$N$5001,$B$2:$B$5001,B3863),1,0))</f>
        <v/>
      </c>
      <c r="K3863" s="16" t="str">
        <f aca="false">IF(B3863="","",IF(AND(D3863="Formalização",E3863="Concluído"),IF(COUNTIFS($B$2:$B$5001,B3863,$E$2:$E$5001,"Em ajustes",$N$2:$N$5001,"&lt;"&amp;I3863)&gt;0,1,0),0))</f>
        <v/>
      </c>
      <c r="L3863" s="16" t="str">
        <f aca="false">IF(B3863="","",IF(N3863=_xlfn.MAXIFS($N$2:$N$5001,$B$2:$B$5001,B3863,$I$2:$I$5001,I3863),1,0))</f>
        <v/>
      </c>
      <c r="M3863" s="16" t="str">
        <f aca="false">IF(B3863="","",IF(E3863="Em ajustes",IF(N3863=_xlfn.MINIFS($N$2:$N$5001,$B$2:$B$5001,B3863,$E$2:$E$5001,"Em ajustes"),1,0),0))</f>
        <v/>
      </c>
      <c r="N3863" s="17" t="str">
        <f aca="false">IF(A3863="","",IF(ISNUMBER(A3863),A3863,IFERROR(DATE(VALUE(MID(A3863,7,4)),VALUE(MID(A3863,4,2)),VALUE(MID(A3863,1,2)))+TIME(VALUE(MID(A3863,12,2)),VALUE(MID(A3863,15,2)),VALUE(MID(A3863,18,2))),"")))</f>
        <v/>
      </c>
    </row>
    <row r="3864" customFormat="false" ht="15" hidden="false" customHeight="false" outlineLevel="0" collapsed="false">
      <c r="I3864" s="15" t="str">
        <f aca="false">IF(N3864="","",INT(N3864))</f>
        <v/>
      </c>
      <c r="J3864" s="16" t="str">
        <f aca="false">IF(B3864="","",IF(N3864=_xlfn.MINIFS($N$2:$N$5001,$B$2:$B$5001,B3864),1,0))</f>
        <v/>
      </c>
      <c r="K3864" s="16" t="str">
        <f aca="false">IF(B3864="","",IF(AND(D3864="Formalização",E3864="Concluído"),IF(COUNTIFS($B$2:$B$5001,B3864,$E$2:$E$5001,"Em ajustes",$N$2:$N$5001,"&lt;"&amp;I3864)&gt;0,1,0),0))</f>
        <v/>
      </c>
      <c r="L3864" s="16" t="str">
        <f aca="false">IF(B3864="","",IF(N3864=_xlfn.MAXIFS($N$2:$N$5001,$B$2:$B$5001,B3864,$I$2:$I$5001,I3864),1,0))</f>
        <v/>
      </c>
      <c r="M3864" s="16" t="str">
        <f aca="false">IF(B3864="","",IF(E3864="Em ajustes",IF(N3864=_xlfn.MINIFS($N$2:$N$5001,$B$2:$B$5001,B3864,$E$2:$E$5001,"Em ajustes"),1,0),0))</f>
        <v/>
      </c>
      <c r="N3864" s="17" t="str">
        <f aca="false">IF(A3864="","",IF(ISNUMBER(A3864),A3864,IFERROR(DATE(VALUE(MID(A3864,7,4)),VALUE(MID(A3864,4,2)),VALUE(MID(A3864,1,2)))+TIME(VALUE(MID(A3864,12,2)),VALUE(MID(A3864,15,2)),VALUE(MID(A3864,18,2))),"")))</f>
        <v/>
      </c>
    </row>
    <row r="3865" customFormat="false" ht="15" hidden="false" customHeight="false" outlineLevel="0" collapsed="false">
      <c r="I3865" s="15" t="str">
        <f aca="false">IF(N3865="","",INT(N3865))</f>
        <v/>
      </c>
      <c r="J3865" s="16" t="str">
        <f aca="false">IF(B3865="","",IF(N3865=_xlfn.MINIFS($N$2:$N$5001,$B$2:$B$5001,B3865),1,0))</f>
        <v/>
      </c>
      <c r="K3865" s="16" t="str">
        <f aca="false">IF(B3865="","",IF(AND(D3865="Formalização",E3865="Concluído"),IF(COUNTIFS($B$2:$B$5001,B3865,$E$2:$E$5001,"Em ajustes",$N$2:$N$5001,"&lt;"&amp;I3865)&gt;0,1,0),0))</f>
        <v/>
      </c>
      <c r="L3865" s="16" t="str">
        <f aca="false">IF(B3865="","",IF(N3865=_xlfn.MAXIFS($N$2:$N$5001,$B$2:$B$5001,B3865,$I$2:$I$5001,I3865),1,0))</f>
        <v/>
      </c>
      <c r="M3865" s="16" t="str">
        <f aca="false">IF(B3865="","",IF(E3865="Em ajustes",IF(N3865=_xlfn.MINIFS($N$2:$N$5001,$B$2:$B$5001,B3865,$E$2:$E$5001,"Em ajustes"),1,0),0))</f>
        <v/>
      </c>
      <c r="N3865" s="17" t="str">
        <f aca="false">IF(A3865="","",IF(ISNUMBER(A3865),A3865,IFERROR(DATE(VALUE(MID(A3865,7,4)),VALUE(MID(A3865,4,2)),VALUE(MID(A3865,1,2)))+TIME(VALUE(MID(A3865,12,2)),VALUE(MID(A3865,15,2)),VALUE(MID(A3865,18,2))),"")))</f>
        <v/>
      </c>
    </row>
    <row r="3866" customFormat="false" ht="15" hidden="false" customHeight="false" outlineLevel="0" collapsed="false">
      <c r="I3866" s="15" t="str">
        <f aca="false">IF(N3866="","",INT(N3866))</f>
        <v/>
      </c>
      <c r="J3866" s="16" t="str">
        <f aca="false">IF(B3866="","",IF(N3866=_xlfn.MINIFS($N$2:$N$5001,$B$2:$B$5001,B3866),1,0))</f>
        <v/>
      </c>
      <c r="K3866" s="16" t="str">
        <f aca="false">IF(B3866="","",IF(AND(D3866="Formalização",E3866="Concluído"),IF(COUNTIFS($B$2:$B$5001,B3866,$E$2:$E$5001,"Em ajustes",$N$2:$N$5001,"&lt;"&amp;I3866)&gt;0,1,0),0))</f>
        <v/>
      </c>
      <c r="L3866" s="16" t="str">
        <f aca="false">IF(B3866="","",IF(N3866=_xlfn.MAXIFS($N$2:$N$5001,$B$2:$B$5001,B3866,$I$2:$I$5001,I3866),1,0))</f>
        <v/>
      </c>
      <c r="M3866" s="16" t="str">
        <f aca="false">IF(B3866="","",IF(E3866="Em ajustes",IF(N3866=_xlfn.MINIFS($N$2:$N$5001,$B$2:$B$5001,B3866,$E$2:$E$5001,"Em ajustes"),1,0),0))</f>
        <v/>
      </c>
      <c r="N3866" s="17" t="str">
        <f aca="false">IF(A3866="","",IF(ISNUMBER(A3866),A3866,IFERROR(DATE(VALUE(MID(A3866,7,4)),VALUE(MID(A3866,4,2)),VALUE(MID(A3866,1,2)))+TIME(VALUE(MID(A3866,12,2)),VALUE(MID(A3866,15,2)),VALUE(MID(A3866,18,2))),"")))</f>
        <v/>
      </c>
    </row>
    <row r="3867" customFormat="false" ht="15" hidden="false" customHeight="false" outlineLevel="0" collapsed="false">
      <c r="I3867" s="15" t="str">
        <f aca="false">IF(N3867="","",INT(N3867))</f>
        <v/>
      </c>
      <c r="J3867" s="16" t="str">
        <f aca="false">IF(B3867="","",IF(N3867=_xlfn.MINIFS($N$2:$N$5001,$B$2:$B$5001,B3867),1,0))</f>
        <v/>
      </c>
      <c r="K3867" s="16" t="str">
        <f aca="false">IF(B3867="","",IF(AND(D3867="Formalização",E3867="Concluído"),IF(COUNTIFS($B$2:$B$5001,B3867,$E$2:$E$5001,"Em ajustes",$N$2:$N$5001,"&lt;"&amp;I3867)&gt;0,1,0),0))</f>
        <v/>
      </c>
      <c r="L3867" s="16" t="str">
        <f aca="false">IF(B3867="","",IF(N3867=_xlfn.MAXIFS($N$2:$N$5001,$B$2:$B$5001,B3867,$I$2:$I$5001,I3867),1,0))</f>
        <v/>
      </c>
      <c r="M3867" s="16" t="str">
        <f aca="false">IF(B3867="","",IF(E3867="Em ajustes",IF(N3867=_xlfn.MINIFS($N$2:$N$5001,$B$2:$B$5001,B3867,$E$2:$E$5001,"Em ajustes"),1,0),0))</f>
        <v/>
      </c>
      <c r="N3867" s="17" t="str">
        <f aca="false">IF(A3867="","",IF(ISNUMBER(A3867),A3867,IFERROR(DATE(VALUE(MID(A3867,7,4)),VALUE(MID(A3867,4,2)),VALUE(MID(A3867,1,2)))+TIME(VALUE(MID(A3867,12,2)),VALUE(MID(A3867,15,2)),VALUE(MID(A3867,18,2))),"")))</f>
        <v/>
      </c>
    </row>
    <row r="3868" customFormat="false" ht="15" hidden="false" customHeight="false" outlineLevel="0" collapsed="false">
      <c r="I3868" s="15" t="str">
        <f aca="false">IF(N3868="","",INT(N3868))</f>
        <v/>
      </c>
      <c r="J3868" s="16" t="str">
        <f aca="false">IF(B3868="","",IF(N3868=_xlfn.MINIFS($N$2:$N$5001,$B$2:$B$5001,B3868),1,0))</f>
        <v/>
      </c>
      <c r="K3868" s="16" t="str">
        <f aca="false">IF(B3868="","",IF(AND(D3868="Formalização",E3868="Concluído"),IF(COUNTIFS($B$2:$B$5001,B3868,$E$2:$E$5001,"Em ajustes",$N$2:$N$5001,"&lt;"&amp;I3868)&gt;0,1,0),0))</f>
        <v/>
      </c>
      <c r="L3868" s="16" t="str">
        <f aca="false">IF(B3868="","",IF(N3868=_xlfn.MAXIFS($N$2:$N$5001,$B$2:$B$5001,B3868,$I$2:$I$5001,I3868),1,0))</f>
        <v/>
      </c>
      <c r="M3868" s="16" t="str">
        <f aca="false">IF(B3868="","",IF(E3868="Em ajustes",IF(N3868=_xlfn.MINIFS($N$2:$N$5001,$B$2:$B$5001,B3868,$E$2:$E$5001,"Em ajustes"),1,0),0))</f>
        <v/>
      </c>
      <c r="N3868" s="17" t="str">
        <f aca="false">IF(A3868="","",IF(ISNUMBER(A3868),A3868,IFERROR(DATE(VALUE(MID(A3868,7,4)),VALUE(MID(A3868,4,2)),VALUE(MID(A3868,1,2)))+TIME(VALUE(MID(A3868,12,2)),VALUE(MID(A3868,15,2)),VALUE(MID(A3868,18,2))),"")))</f>
        <v/>
      </c>
    </row>
    <row r="3869" customFormat="false" ht="15" hidden="false" customHeight="false" outlineLevel="0" collapsed="false">
      <c r="I3869" s="15" t="str">
        <f aca="false">IF(N3869="","",INT(N3869))</f>
        <v/>
      </c>
      <c r="J3869" s="16" t="str">
        <f aca="false">IF(B3869="","",IF(N3869=_xlfn.MINIFS($N$2:$N$5001,$B$2:$B$5001,B3869),1,0))</f>
        <v/>
      </c>
      <c r="K3869" s="16" t="str">
        <f aca="false">IF(B3869="","",IF(AND(D3869="Formalização",E3869="Concluído"),IF(COUNTIFS($B$2:$B$5001,B3869,$E$2:$E$5001,"Em ajustes",$N$2:$N$5001,"&lt;"&amp;I3869)&gt;0,1,0),0))</f>
        <v/>
      </c>
      <c r="L3869" s="16" t="str">
        <f aca="false">IF(B3869="","",IF(N3869=_xlfn.MAXIFS($N$2:$N$5001,$B$2:$B$5001,B3869,$I$2:$I$5001,I3869),1,0))</f>
        <v/>
      </c>
      <c r="M3869" s="16" t="str">
        <f aca="false">IF(B3869="","",IF(E3869="Em ajustes",IF(N3869=_xlfn.MINIFS($N$2:$N$5001,$B$2:$B$5001,B3869,$E$2:$E$5001,"Em ajustes"),1,0),0))</f>
        <v/>
      </c>
      <c r="N3869" s="17" t="str">
        <f aca="false">IF(A3869="","",IF(ISNUMBER(A3869),A3869,IFERROR(DATE(VALUE(MID(A3869,7,4)),VALUE(MID(A3869,4,2)),VALUE(MID(A3869,1,2)))+TIME(VALUE(MID(A3869,12,2)),VALUE(MID(A3869,15,2)),VALUE(MID(A3869,18,2))),"")))</f>
        <v/>
      </c>
    </row>
    <row r="3870" customFormat="false" ht="15" hidden="false" customHeight="false" outlineLevel="0" collapsed="false">
      <c r="I3870" s="15" t="str">
        <f aca="false">IF(N3870="","",INT(N3870))</f>
        <v/>
      </c>
      <c r="J3870" s="16" t="str">
        <f aca="false">IF(B3870="","",IF(N3870=_xlfn.MINIFS($N$2:$N$5001,$B$2:$B$5001,B3870),1,0))</f>
        <v/>
      </c>
      <c r="K3870" s="16" t="str">
        <f aca="false">IF(B3870="","",IF(AND(D3870="Formalização",E3870="Concluído"),IF(COUNTIFS($B$2:$B$5001,B3870,$E$2:$E$5001,"Em ajustes",$N$2:$N$5001,"&lt;"&amp;I3870)&gt;0,1,0),0))</f>
        <v/>
      </c>
      <c r="L3870" s="16" t="str">
        <f aca="false">IF(B3870="","",IF(N3870=_xlfn.MAXIFS($N$2:$N$5001,$B$2:$B$5001,B3870,$I$2:$I$5001,I3870),1,0))</f>
        <v/>
      </c>
      <c r="M3870" s="16" t="str">
        <f aca="false">IF(B3870="","",IF(E3870="Em ajustes",IF(N3870=_xlfn.MINIFS($N$2:$N$5001,$B$2:$B$5001,B3870,$E$2:$E$5001,"Em ajustes"),1,0),0))</f>
        <v/>
      </c>
      <c r="N3870" s="17" t="str">
        <f aca="false">IF(A3870="","",IF(ISNUMBER(A3870),A3870,IFERROR(DATE(VALUE(MID(A3870,7,4)),VALUE(MID(A3870,4,2)),VALUE(MID(A3870,1,2)))+TIME(VALUE(MID(A3870,12,2)),VALUE(MID(A3870,15,2)),VALUE(MID(A3870,18,2))),"")))</f>
        <v/>
      </c>
    </row>
    <row r="3871" customFormat="false" ht="15" hidden="false" customHeight="false" outlineLevel="0" collapsed="false">
      <c r="I3871" s="15" t="str">
        <f aca="false">IF(N3871="","",INT(N3871))</f>
        <v/>
      </c>
      <c r="J3871" s="16" t="str">
        <f aca="false">IF(B3871="","",IF(N3871=_xlfn.MINIFS($N$2:$N$5001,$B$2:$B$5001,B3871),1,0))</f>
        <v/>
      </c>
      <c r="K3871" s="16" t="str">
        <f aca="false">IF(B3871="","",IF(AND(D3871="Formalização",E3871="Concluído"),IF(COUNTIFS($B$2:$B$5001,B3871,$E$2:$E$5001,"Em ajustes",$N$2:$N$5001,"&lt;"&amp;I3871)&gt;0,1,0),0))</f>
        <v/>
      </c>
      <c r="L3871" s="16" t="str">
        <f aca="false">IF(B3871="","",IF(N3871=_xlfn.MAXIFS($N$2:$N$5001,$B$2:$B$5001,B3871,$I$2:$I$5001,I3871),1,0))</f>
        <v/>
      </c>
      <c r="M3871" s="16" t="str">
        <f aca="false">IF(B3871="","",IF(E3871="Em ajustes",IF(N3871=_xlfn.MINIFS($N$2:$N$5001,$B$2:$B$5001,B3871,$E$2:$E$5001,"Em ajustes"),1,0),0))</f>
        <v/>
      </c>
      <c r="N3871" s="17" t="str">
        <f aca="false">IF(A3871="","",IF(ISNUMBER(A3871),A3871,IFERROR(DATE(VALUE(MID(A3871,7,4)),VALUE(MID(A3871,4,2)),VALUE(MID(A3871,1,2)))+TIME(VALUE(MID(A3871,12,2)),VALUE(MID(A3871,15,2)),VALUE(MID(A3871,18,2))),"")))</f>
        <v/>
      </c>
    </row>
    <row r="3872" customFormat="false" ht="15" hidden="false" customHeight="false" outlineLevel="0" collapsed="false">
      <c r="I3872" s="15" t="str">
        <f aca="false">IF(N3872="","",INT(N3872))</f>
        <v/>
      </c>
      <c r="J3872" s="16" t="str">
        <f aca="false">IF(B3872="","",IF(N3872=_xlfn.MINIFS($N$2:$N$5001,$B$2:$B$5001,B3872),1,0))</f>
        <v/>
      </c>
      <c r="K3872" s="16" t="str">
        <f aca="false">IF(B3872="","",IF(AND(D3872="Formalização",E3872="Concluído"),IF(COUNTIFS($B$2:$B$5001,B3872,$E$2:$E$5001,"Em ajustes",$N$2:$N$5001,"&lt;"&amp;I3872)&gt;0,1,0),0))</f>
        <v/>
      </c>
      <c r="L3872" s="16" t="str">
        <f aca="false">IF(B3872="","",IF(N3872=_xlfn.MAXIFS($N$2:$N$5001,$B$2:$B$5001,B3872,$I$2:$I$5001,I3872),1,0))</f>
        <v/>
      </c>
      <c r="M3872" s="16" t="str">
        <f aca="false">IF(B3872="","",IF(E3872="Em ajustes",IF(N3872=_xlfn.MINIFS($N$2:$N$5001,$B$2:$B$5001,B3872,$E$2:$E$5001,"Em ajustes"),1,0),0))</f>
        <v/>
      </c>
      <c r="N3872" s="17" t="str">
        <f aca="false">IF(A3872="","",IF(ISNUMBER(A3872),A3872,IFERROR(DATE(VALUE(MID(A3872,7,4)),VALUE(MID(A3872,4,2)),VALUE(MID(A3872,1,2)))+TIME(VALUE(MID(A3872,12,2)),VALUE(MID(A3872,15,2)),VALUE(MID(A3872,18,2))),"")))</f>
        <v/>
      </c>
    </row>
    <row r="3873" customFormat="false" ht="15" hidden="false" customHeight="false" outlineLevel="0" collapsed="false">
      <c r="I3873" s="15" t="str">
        <f aca="false">IF(N3873="","",INT(N3873))</f>
        <v/>
      </c>
      <c r="J3873" s="16" t="str">
        <f aca="false">IF(B3873="","",IF(N3873=_xlfn.MINIFS($N$2:$N$5001,$B$2:$B$5001,B3873),1,0))</f>
        <v/>
      </c>
      <c r="K3873" s="16" t="str">
        <f aca="false">IF(B3873="","",IF(AND(D3873="Formalização",E3873="Concluído"),IF(COUNTIFS($B$2:$B$5001,B3873,$E$2:$E$5001,"Em ajustes",$N$2:$N$5001,"&lt;"&amp;I3873)&gt;0,1,0),0))</f>
        <v/>
      </c>
      <c r="L3873" s="16" t="str">
        <f aca="false">IF(B3873="","",IF(N3873=_xlfn.MAXIFS($N$2:$N$5001,$B$2:$B$5001,B3873,$I$2:$I$5001,I3873),1,0))</f>
        <v/>
      </c>
      <c r="M3873" s="16" t="str">
        <f aca="false">IF(B3873="","",IF(E3873="Em ajustes",IF(N3873=_xlfn.MINIFS($N$2:$N$5001,$B$2:$B$5001,B3873,$E$2:$E$5001,"Em ajustes"),1,0),0))</f>
        <v/>
      </c>
      <c r="N3873" s="17" t="str">
        <f aca="false">IF(A3873="","",IF(ISNUMBER(A3873),A3873,IFERROR(DATE(VALUE(MID(A3873,7,4)),VALUE(MID(A3873,4,2)),VALUE(MID(A3873,1,2)))+TIME(VALUE(MID(A3873,12,2)),VALUE(MID(A3873,15,2)),VALUE(MID(A3873,18,2))),"")))</f>
        <v/>
      </c>
    </row>
    <row r="3874" customFormat="false" ht="15" hidden="false" customHeight="false" outlineLevel="0" collapsed="false">
      <c r="I3874" s="15" t="str">
        <f aca="false">IF(N3874="","",INT(N3874))</f>
        <v/>
      </c>
      <c r="J3874" s="16" t="str">
        <f aca="false">IF(B3874="","",IF(N3874=_xlfn.MINIFS($N$2:$N$5001,$B$2:$B$5001,B3874),1,0))</f>
        <v/>
      </c>
      <c r="K3874" s="16" t="str">
        <f aca="false">IF(B3874="","",IF(AND(D3874="Formalização",E3874="Concluído"),IF(COUNTIFS($B$2:$B$5001,B3874,$E$2:$E$5001,"Em ajustes",$N$2:$N$5001,"&lt;"&amp;I3874)&gt;0,1,0),0))</f>
        <v/>
      </c>
      <c r="L3874" s="16" t="str">
        <f aca="false">IF(B3874="","",IF(N3874=_xlfn.MAXIFS($N$2:$N$5001,$B$2:$B$5001,B3874,$I$2:$I$5001,I3874),1,0))</f>
        <v/>
      </c>
      <c r="M3874" s="16" t="str">
        <f aca="false">IF(B3874="","",IF(E3874="Em ajustes",IF(N3874=_xlfn.MINIFS($N$2:$N$5001,$B$2:$B$5001,B3874,$E$2:$E$5001,"Em ajustes"),1,0),0))</f>
        <v/>
      </c>
      <c r="N3874" s="17" t="str">
        <f aca="false">IF(A3874="","",IF(ISNUMBER(A3874),A3874,IFERROR(DATE(VALUE(MID(A3874,7,4)),VALUE(MID(A3874,4,2)),VALUE(MID(A3874,1,2)))+TIME(VALUE(MID(A3874,12,2)),VALUE(MID(A3874,15,2)),VALUE(MID(A3874,18,2))),"")))</f>
        <v/>
      </c>
    </row>
    <row r="3875" customFormat="false" ht="15" hidden="false" customHeight="false" outlineLevel="0" collapsed="false">
      <c r="I3875" s="15" t="str">
        <f aca="false">IF(N3875="","",INT(N3875))</f>
        <v/>
      </c>
      <c r="J3875" s="16" t="str">
        <f aca="false">IF(B3875="","",IF(N3875=_xlfn.MINIFS($N$2:$N$5001,$B$2:$B$5001,B3875),1,0))</f>
        <v/>
      </c>
      <c r="K3875" s="16" t="str">
        <f aca="false">IF(B3875="","",IF(AND(D3875="Formalização",E3875="Concluído"),IF(COUNTIFS($B$2:$B$5001,B3875,$E$2:$E$5001,"Em ajustes",$N$2:$N$5001,"&lt;"&amp;I3875)&gt;0,1,0),0))</f>
        <v/>
      </c>
      <c r="L3875" s="16" t="str">
        <f aca="false">IF(B3875="","",IF(N3875=_xlfn.MAXIFS($N$2:$N$5001,$B$2:$B$5001,B3875,$I$2:$I$5001,I3875),1,0))</f>
        <v/>
      </c>
      <c r="M3875" s="16" t="str">
        <f aca="false">IF(B3875="","",IF(E3875="Em ajustes",IF(N3875=_xlfn.MINIFS($N$2:$N$5001,$B$2:$B$5001,B3875,$E$2:$E$5001,"Em ajustes"),1,0),0))</f>
        <v/>
      </c>
      <c r="N3875" s="17" t="str">
        <f aca="false">IF(A3875="","",IF(ISNUMBER(A3875),A3875,IFERROR(DATE(VALUE(MID(A3875,7,4)),VALUE(MID(A3875,4,2)),VALUE(MID(A3875,1,2)))+TIME(VALUE(MID(A3875,12,2)),VALUE(MID(A3875,15,2)),VALUE(MID(A3875,18,2))),"")))</f>
        <v/>
      </c>
    </row>
    <row r="3876" customFormat="false" ht="15" hidden="false" customHeight="false" outlineLevel="0" collapsed="false">
      <c r="I3876" s="15" t="str">
        <f aca="false">IF(N3876="","",INT(N3876))</f>
        <v/>
      </c>
      <c r="J3876" s="16" t="str">
        <f aca="false">IF(B3876="","",IF(N3876=_xlfn.MINIFS($N$2:$N$5001,$B$2:$B$5001,B3876),1,0))</f>
        <v/>
      </c>
      <c r="K3876" s="16" t="str">
        <f aca="false">IF(B3876="","",IF(AND(D3876="Formalização",E3876="Concluído"),IF(COUNTIFS($B$2:$B$5001,B3876,$E$2:$E$5001,"Em ajustes",$N$2:$N$5001,"&lt;"&amp;I3876)&gt;0,1,0),0))</f>
        <v/>
      </c>
      <c r="L3876" s="16" t="str">
        <f aca="false">IF(B3876="","",IF(N3876=_xlfn.MAXIFS($N$2:$N$5001,$B$2:$B$5001,B3876,$I$2:$I$5001,I3876),1,0))</f>
        <v/>
      </c>
      <c r="M3876" s="16" t="str">
        <f aca="false">IF(B3876="","",IF(E3876="Em ajustes",IF(N3876=_xlfn.MINIFS($N$2:$N$5001,$B$2:$B$5001,B3876,$E$2:$E$5001,"Em ajustes"),1,0),0))</f>
        <v/>
      </c>
      <c r="N3876" s="17" t="str">
        <f aca="false">IF(A3876="","",IF(ISNUMBER(A3876),A3876,IFERROR(DATE(VALUE(MID(A3876,7,4)),VALUE(MID(A3876,4,2)),VALUE(MID(A3876,1,2)))+TIME(VALUE(MID(A3876,12,2)),VALUE(MID(A3876,15,2)),VALUE(MID(A3876,18,2))),"")))</f>
        <v/>
      </c>
    </row>
    <row r="3877" customFormat="false" ht="15" hidden="false" customHeight="false" outlineLevel="0" collapsed="false">
      <c r="I3877" s="15" t="str">
        <f aca="false">IF(N3877="","",INT(N3877))</f>
        <v/>
      </c>
      <c r="J3877" s="16" t="str">
        <f aca="false">IF(B3877="","",IF(N3877=_xlfn.MINIFS($N$2:$N$5001,$B$2:$B$5001,B3877),1,0))</f>
        <v/>
      </c>
      <c r="K3877" s="16" t="str">
        <f aca="false">IF(B3877="","",IF(AND(D3877="Formalização",E3877="Concluído"),IF(COUNTIFS($B$2:$B$5001,B3877,$E$2:$E$5001,"Em ajustes",$N$2:$N$5001,"&lt;"&amp;I3877)&gt;0,1,0),0))</f>
        <v/>
      </c>
      <c r="L3877" s="16" t="str">
        <f aca="false">IF(B3877="","",IF(N3877=_xlfn.MAXIFS($N$2:$N$5001,$B$2:$B$5001,B3877,$I$2:$I$5001,I3877),1,0))</f>
        <v/>
      </c>
      <c r="M3877" s="16" t="str">
        <f aca="false">IF(B3877="","",IF(E3877="Em ajustes",IF(N3877=_xlfn.MINIFS($N$2:$N$5001,$B$2:$B$5001,B3877,$E$2:$E$5001,"Em ajustes"),1,0),0))</f>
        <v/>
      </c>
      <c r="N3877" s="17" t="str">
        <f aca="false">IF(A3877="","",IF(ISNUMBER(A3877),A3877,IFERROR(DATE(VALUE(MID(A3877,7,4)),VALUE(MID(A3877,4,2)),VALUE(MID(A3877,1,2)))+TIME(VALUE(MID(A3877,12,2)),VALUE(MID(A3877,15,2)),VALUE(MID(A3877,18,2))),"")))</f>
        <v/>
      </c>
    </row>
    <row r="3878" customFormat="false" ht="15" hidden="false" customHeight="false" outlineLevel="0" collapsed="false">
      <c r="I3878" s="15" t="str">
        <f aca="false">IF(N3878="","",INT(N3878))</f>
        <v/>
      </c>
      <c r="J3878" s="16" t="str">
        <f aca="false">IF(B3878="","",IF(N3878=_xlfn.MINIFS($N$2:$N$5001,$B$2:$B$5001,B3878),1,0))</f>
        <v/>
      </c>
      <c r="K3878" s="16" t="str">
        <f aca="false">IF(B3878="","",IF(AND(D3878="Formalização",E3878="Concluído"),IF(COUNTIFS($B$2:$B$5001,B3878,$E$2:$E$5001,"Em ajustes",$N$2:$N$5001,"&lt;"&amp;I3878)&gt;0,1,0),0))</f>
        <v/>
      </c>
      <c r="L3878" s="16" t="str">
        <f aca="false">IF(B3878="","",IF(N3878=_xlfn.MAXIFS($N$2:$N$5001,$B$2:$B$5001,B3878,$I$2:$I$5001,I3878),1,0))</f>
        <v/>
      </c>
      <c r="M3878" s="16" t="str">
        <f aca="false">IF(B3878="","",IF(E3878="Em ajustes",IF(N3878=_xlfn.MINIFS($N$2:$N$5001,$B$2:$B$5001,B3878,$E$2:$E$5001,"Em ajustes"),1,0),0))</f>
        <v/>
      </c>
      <c r="N3878" s="17" t="str">
        <f aca="false">IF(A3878="","",IF(ISNUMBER(A3878),A3878,IFERROR(DATE(VALUE(MID(A3878,7,4)),VALUE(MID(A3878,4,2)),VALUE(MID(A3878,1,2)))+TIME(VALUE(MID(A3878,12,2)),VALUE(MID(A3878,15,2)),VALUE(MID(A3878,18,2))),"")))</f>
        <v/>
      </c>
    </row>
    <row r="3879" customFormat="false" ht="15" hidden="false" customHeight="false" outlineLevel="0" collapsed="false">
      <c r="I3879" s="15" t="str">
        <f aca="false">IF(N3879="","",INT(N3879))</f>
        <v/>
      </c>
      <c r="J3879" s="16" t="str">
        <f aca="false">IF(B3879="","",IF(N3879=_xlfn.MINIFS($N$2:$N$5001,$B$2:$B$5001,B3879),1,0))</f>
        <v/>
      </c>
      <c r="K3879" s="16" t="str">
        <f aca="false">IF(B3879="","",IF(AND(D3879="Formalização",E3879="Concluído"),IF(COUNTIFS($B$2:$B$5001,B3879,$E$2:$E$5001,"Em ajustes",$N$2:$N$5001,"&lt;"&amp;I3879)&gt;0,1,0),0))</f>
        <v/>
      </c>
      <c r="L3879" s="16" t="str">
        <f aca="false">IF(B3879="","",IF(N3879=_xlfn.MAXIFS($N$2:$N$5001,$B$2:$B$5001,B3879,$I$2:$I$5001,I3879),1,0))</f>
        <v/>
      </c>
      <c r="M3879" s="16" t="str">
        <f aca="false">IF(B3879="","",IF(E3879="Em ajustes",IF(N3879=_xlfn.MINIFS($N$2:$N$5001,$B$2:$B$5001,B3879,$E$2:$E$5001,"Em ajustes"),1,0),0))</f>
        <v/>
      </c>
      <c r="N3879" s="17" t="str">
        <f aca="false">IF(A3879="","",IF(ISNUMBER(A3879),A3879,IFERROR(DATE(VALUE(MID(A3879,7,4)),VALUE(MID(A3879,4,2)),VALUE(MID(A3879,1,2)))+TIME(VALUE(MID(A3879,12,2)),VALUE(MID(A3879,15,2)),VALUE(MID(A3879,18,2))),"")))</f>
        <v/>
      </c>
    </row>
    <row r="3880" customFormat="false" ht="15" hidden="false" customHeight="false" outlineLevel="0" collapsed="false">
      <c r="I3880" s="15" t="str">
        <f aca="false">IF(N3880="","",INT(N3880))</f>
        <v/>
      </c>
      <c r="J3880" s="16" t="str">
        <f aca="false">IF(B3880="","",IF(N3880=_xlfn.MINIFS($N$2:$N$5001,$B$2:$B$5001,B3880),1,0))</f>
        <v/>
      </c>
      <c r="K3880" s="16" t="str">
        <f aca="false">IF(B3880="","",IF(AND(D3880="Formalização",E3880="Concluído"),IF(COUNTIFS($B$2:$B$5001,B3880,$E$2:$E$5001,"Em ajustes",$N$2:$N$5001,"&lt;"&amp;I3880)&gt;0,1,0),0))</f>
        <v/>
      </c>
      <c r="L3880" s="16" t="str">
        <f aca="false">IF(B3880="","",IF(N3880=_xlfn.MAXIFS($N$2:$N$5001,$B$2:$B$5001,B3880,$I$2:$I$5001,I3880),1,0))</f>
        <v/>
      </c>
      <c r="M3880" s="16" t="str">
        <f aca="false">IF(B3880="","",IF(E3880="Em ajustes",IF(N3880=_xlfn.MINIFS($N$2:$N$5001,$B$2:$B$5001,B3880,$E$2:$E$5001,"Em ajustes"),1,0),0))</f>
        <v/>
      </c>
      <c r="N3880" s="17" t="str">
        <f aca="false">IF(A3880="","",IF(ISNUMBER(A3880),A3880,IFERROR(DATE(VALUE(MID(A3880,7,4)),VALUE(MID(A3880,4,2)),VALUE(MID(A3880,1,2)))+TIME(VALUE(MID(A3880,12,2)),VALUE(MID(A3880,15,2)),VALUE(MID(A3880,18,2))),"")))</f>
        <v/>
      </c>
    </row>
    <row r="3881" customFormat="false" ht="15" hidden="false" customHeight="false" outlineLevel="0" collapsed="false">
      <c r="I3881" s="15" t="str">
        <f aca="false">IF(N3881="","",INT(N3881))</f>
        <v/>
      </c>
      <c r="J3881" s="16" t="str">
        <f aca="false">IF(B3881="","",IF(N3881=_xlfn.MINIFS($N$2:$N$5001,$B$2:$B$5001,B3881),1,0))</f>
        <v/>
      </c>
      <c r="K3881" s="16" t="str">
        <f aca="false">IF(B3881="","",IF(AND(D3881="Formalização",E3881="Concluído"),IF(COUNTIFS($B$2:$B$5001,B3881,$E$2:$E$5001,"Em ajustes",$N$2:$N$5001,"&lt;"&amp;I3881)&gt;0,1,0),0))</f>
        <v/>
      </c>
      <c r="L3881" s="16" t="str">
        <f aca="false">IF(B3881="","",IF(N3881=_xlfn.MAXIFS($N$2:$N$5001,$B$2:$B$5001,B3881,$I$2:$I$5001,I3881),1,0))</f>
        <v/>
      </c>
      <c r="M3881" s="16" t="str">
        <f aca="false">IF(B3881="","",IF(E3881="Em ajustes",IF(N3881=_xlfn.MINIFS($N$2:$N$5001,$B$2:$B$5001,B3881,$E$2:$E$5001,"Em ajustes"),1,0),0))</f>
        <v/>
      </c>
      <c r="N3881" s="17" t="str">
        <f aca="false">IF(A3881="","",IF(ISNUMBER(A3881),A3881,IFERROR(DATE(VALUE(MID(A3881,7,4)),VALUE(MID(A3881,4,2)),VALUE(MID(A3881,1,2)))+TIME(VALUE(MID(A3881,12,2)),VALUE(MID(A3881,15,2)),VALUE(MID(A3881,18,2))),"")))</f>
        <v/>
      </c>
    </row>
    <row r="3882" customFormat="false" ht="15" hidden="false" customHeight="false" outlineLevel="0" collapsed="false">
      <c r="I3882" s="15" t="str">
        <f aca="false">IF(N3882="","",INT(N3882))</f>
        <v/>
      </c>
      <c r="J3882" s="16" t="str">
        <f aca="false">IF(B3882="","",IF(N3882=_xlfn.MINIFS($N$2:$N$5001,$B$2:$B$5001,B3882),1,0))</f>
        <v/>
      </c>
      <c r="K3882" s="16" t="str">
        <f aca="false">IF(B3882="","",IF(AND(D3882="Formalização",E3882="Concluído"),IF(COUNTIFS($B$2:$B$5001,B3882,$E$2:$E$5001,"Em ajustes",$N$2:$N$5001,"&lt;"&amp;I3882)&gt;0,1,0),0))</f>
        <v/>
      </c>
      <c r="L3882" s="16" t="str">
        <f aca="false">IF(B3882="","",IF(N3882=_xlfn.MAXIFS($N$2:$N$5001,$B$2:$B$5001,B3882,$I$2:$I$5001,I3882),1,0))</f>
        <v/>
      </c>
      <c r="M3882" s="16" t="str">
        <f aca="false">IF(B3882="","",IF(E3882="Em ajustes",IF(N3882=_xlfn.MINIFS($N$2:$N$5001,$B$2:$B$5001,B3882,$E$2:$E$5001,"Em ajustes"),1,0),0))</f>
        <v/>
      </c>
      <c r="N3882" s="17" t="str">
        <f aca="false">IF(A3882="","",IF(ISNUMBER(A3882),A3882,IFERROR(DATE(VALUE(MID(A3882,7,4)),VALUE(MID(A3882,4,2)),VALUE(MID(A3882,1,2)))+TIME(VALUE(MID(A3882,12,2)),VALUE(MID(A3882,15,2)),VALUE(MID(A3882,18,2))),"")))</f>
        <v/>
      </c>
    </row>
    <row r="3883" customFormat="false" ht="15" hidden="false" customHeight="false" outlineLevel="0" collapsed="false">
      <c r="I3883" s="15" t="str">
        <f aca="false">IF(N3883="","",INT(N3883))</f>
        <v/>
      </c>
      <c r="J3883" s="16" t="str">
        <f aca="false">IF(B3883="","",IF(N3883=_xlfn.MINIFS($N$2:$N$5001,$B$2:$B$5001,B3883),1,0))</f>
        <v/>
      </c>
      <c r="K3883" s="16" t="str">
        <f aca="false">IF(B3883="","",IF(AND(D3883="Formalização",E3883="Concluído"),IF(COUNTIFS($B$2:$B$5001,B3883,$E$2:$E$5001,"Em ajustes",$N$2:$N$5001,"&lt;"&amp;I3883)&gt;0,1,0),0))</f>
        <v/>
      </c>
      <c r="L3883" s="16" t="str">
        <f aca="false">IF(B3883="","",IF(N3883=_xlfn.MAXIFS($N$2:$N$5001,$B$2:$B$5001,B3883,$I$2:$I$5001,I3883),1,0))</f>
        <v/>
      </c>
      <c r="M3883" s="16" t="str">
        <f aca="false">IF(B3883="","",IF(E3883="Em ajustes",IF(N3883=_xlfn.MINIFS($N$2:$N$5001,$B$2:$B$5001,B3883,$E$2:$E$5001,"Em ajustes"),1,0),0))</f>
        <v/>
      </c>
      <c r="N3883" s="17" t="str">
        <f aca="false">IF(A3883="","",IF(ISNUMBER(A3883),A3883,IFERROR(DATE(VALUE(MID(A3883,7,4)),VALUE(MID(A3883,4,2)),VALUE(MID(A3883,1,2)))+TIME(VALUE(MID(A3883,12,2)),VALUE(MID(A3883,15,2)),VALUE(MID(A3883,18,2))),"")))</f>
        <v/>
      </c>
    </row>
    <row r="3884" customFormat="false" ht="15" hidden="false" customHeight="false" outlineLevel="0" collapsed="false">
      <c r="I3884" s="15" t="str">
        <f aca="false">IF(N3884="","",INT(N3884))</f>
        <v/>
      </c>
      <c r="J3884" s="16" t="str">
        <f aca="false">IF(B3884="","",IF(N3884=_xlfn.MINIFS($N$2:$N$5001,$B$2:$B$5001,B3884),1,0))</f>
        <v/>
      </c>
      <c r="K3884" s="16" t="str">
        <f aca="false">IF(B3884="","",IF(AND(D3884="Formalização",E3884="Concluído"),IF(COUNTIFS($B$2:$B$5001,B3884,$E$2:$E$5001,"Em ajustes",$N$2:$N$5001,"&lt;"&amp;I3884)&gt;0,1,0),0))</f>
        <v/>
      </c>
      <c r="L3884" s="16" t="str">
        <f aca="false">IF(B3884="","",IF(N3884=_xlfn.MAXIFS($N$2:$N$5001,$B$2:$B$5001,B3884,$I$2:$I$5001,I3884),1,0))</f>
        <v/>
      </c>
      <c r="M3884" s="16" t="str">
        <f aca="false">IF(B3884="","",IF(E3884="Em ajustes",IF(N3884=_xlfn.MINIFS($N$2:$N$5001,$B$2:$B$5001,B3884,$E$2:$E$5001,"Em ajustes"),1,0),0))</f>
        <v/>
      </c>
      <c r="N3884" s="17" t="str">
        <f aca="false">IF(A3884="","",IF(ISNUMBER(A3884),A3884,IFERROR(DATE(VALUE(MID(A3884,7,4)),VALUE(MID(A3884,4,2)),VALUE(MID(A3884,1,2)))+TIME(VALUE(MID(A3884,12,2)),VALUE(MID(A3884,15,2)),VALUE(MID(A3884,18,2))),"")))</f>
        <v/>
      </c>
    </row>
    <row r="3885" customFormat="false" ht="15" hidden="false" customHeight="false" outlineLevel="0" collapsed="false">
      <c r="I3885" s="15" t="str">
        <f aca="false">IF(N3885="","",INT(N3885))</f>
        <v/>
      </c>
      <c r="J3885" s="16" t="str">
        <f aca="false">IF(B3885="","",IF(N3885=_xlfn.MINIFS($N$2:$N$5001,$B$2:$B$5001,B3885),1,0))</f>
        <v/>
      </c>
      <c r="K3885" s="16" t="str">
        <f aca="false">IF(B3885="","",IF(AND(D3885="Formalização",E3885="Concluído"),IF(COUNTIFS($B$2:$B$5001,B3885,$E$2:$E$5001,"Em ajustes",$N$2:$N$5001,"&lt;"&amp;I3885)&gt;0,1,0),0))</f>
        <v/>
      </c>
      <c r="L3885" s="16" t="str">
        <f aca="false">IF(B3885="","",IF(N3885=_xlfn.MAXIFS($N$2:$N$5001,$B$2:$B$5001,B3885,$I$2:$I$5001,I3885),1,0))</f>
        <v/>
      </c>
      <c r="M3885" s="16" t="str">
        <f aca="false">IF(B3885="","",IF(E3885="Em ajustes",IF(N3885=_xlfn.MINIFS($N$2:$N$5001,$B$2:$B$5001,B3885,$E$2:$E$5001,"Em ajustes"),1,0),0))</f>
        <v/>
      </c>
      <c r="N3885" s="17" t="str">
        <f aca="false">IF(A3885="","",IF(ISNUMBER(A3885),A3885,IFERROR(DATE(VALUE(MID(A3885,7,4)),VALUE(MID(A3885,4,2)),VALUE(MID(A3885,1,2)))+TIME(VALUE(MID(A3885,12,2)),VALUE(MID(A3885,15,2)),VALUE(MID(A3885,18,2))),"")))</f>
        <v/>
      </c>
    </row>
    <row r="3886" customFormat="false" ht="15" hidden="false" customHeight="false" outlineLevel="0" collapsed="false">
      <c r="I3886" s="15" t="str">
        <f aca="false">IF(N3886="","",INT(N3886))</f>
        <v/>
      </c>
      <c r="J3886" s="16" t="str">
        <f aca="false">IF(B3886="","",IF(N3886=_xlfn.MINIFS($N$2:$N$5001,$B$2:$B$5001,B3886),1,0))</f>
        <v/>
      </c>
      <c r="K3886" s="16" t="str">
        <f aca="false">IF(B3886="","",IF(AND(D3886="Formalização",E3886="Concluído"),IF(COUNTIFS($B$2:$B$5001,B3886,$E$2:$E$5001,"Em ajustes",$N$2:$N$5001,"&lt;"&amp;I3886)&gt;0,1,0),0))</f>
        <v/>
      </c>
      <c r="L3886" s="16" t="str">
        <f aca="false">IF(B3886="","",IF(N3886=_xlfn.MAXIFS($N$2:$N$5001,$B$2:$B$5001,B3886,$I$2:$I$5001,I3886),1,0))</f>
        <v/>
      </c>
      <c r="M3886" s="16" t="str">
        <f aca="false">IF(B3886="","",IF(E3886="Em ajustes",IF(N3886=_xlfn.MINIFS($N$2:$N$5001,$B$2:$B$5001,B3886,$E$2:$E$5001,"Em ajustes"),1,0),0))</f>
        <v/>
      </c>
      <c r="N3886" s="17" t="str">
        <f aca="false">IF(A3886="","",IF(ISNUMBER(A3886),A3886,IFERROR(DATE(VALUE(MID(A3886,7,4)),VALUE(MID(A3886,4,2)),VALUE(MID(A3886,1,2)))+TIME(VALUE(MID(A3886,12,2)),VALUE(MID(A3886,15,2)),VALUE(MID(A3886,18,2))),"")))</f>
        <v/>
      </c>
    </row>
    <row r="3887" customFormat="false" ht="15" hidden="false" customHeight="false" outlineLevel="0" collapsed="false">
      <c r="I3887" s="15" t="str">
        <f aca="false">IF(N3887="","",INT(N3887))</f>
        <v/>
      </c>
      <c r="J3887" s="16" t="str">
        <f aca="false">IF(B3887="","",IF(N3887=_xlfn.MINIFS($N$2:$N$5001,$B$2:$B$5001,B3887),1,0))</f>
        <v/>
      </c>
      <c r="K3887" s="16" t="str">
        <f aca="false">IF(B3887="","",IF(AND(D3887="Formalização",E3887="Concluído"),IF(COUNTIFS($B$2:$B$5001,B3887,$E$2:$E$5001,"Em ajustes",$N$2:$N$5001,"&lt;"&amp;I3887)&gt;0,1,0),0))</f>
        <v/>
      </c>
      <c r="L3887" s="16" t="str">
        <f aca="false">IF(B3887="","",IF(N3887=_xlfn.MAXIFS($N$2:$N$5001,$B$2:$B$5001,B3887,$I$2:$I$5001,I3887),1,0))</f>
        <v/>
      </c>
      <c r="M3887" s="16" t="str">
        <f aca="false">IF(B3887="","",IF(E3887="Em ajustes",IF(N3887=_xlfn.MINIFS($N$2:$N$5001,$B$2:$B$5001,B3887,$E$2:$E$5001,"Em ajustes"),1,0),0))</f>
        <v/>
      </c>
      <c r="N3887" s="17" t="str">
        <f aca="false">IF(A3887="","",IF(ISNUMBER(A3887),A3887,IFERROR(DATE(VALUE(MID(A3887,7,4)),VALUE(MID(A3887,4,2)),VALUE(MID(A3887,1,2)))+TIME(VALUE(MID(A3887,12,2)),VALUE(MID(A3887,15,2)),VALUE(MID(A3887,18,2))),"")))</f>
        <v/>
      </c>
    </row>
    <row r="3888" customFormat="false" ht="15" hidden="false" customHeight="false" outlineLevel="0" collapsed="false">
      <c r="I3888" s="15" t="str">
        <f aca="false">IF(N3888="","",INT(N3888))</f>
        <v/>
      </c>
      <c r="J3888" s="16" t="str">
        <f aca="false">IF(B3888="","",IF(N3888=_xlfn.MINIFS($N$2:$N$5001,$B$2:$B$5001,B3888),1,0))</f>
        <v/>
      </c>
      <c r="K3888" s="16" t="str">
        <f aca="false">IF(B3888="","",IF(AND(D3888="Formalização",E3888="Concluído"),IF(COUNTIFS($B$2:$B$5001,B3888,$E$2:$E$5001,"Em ajustes",$N$2:$N$5001,"&lt;"&amp;I3888)&gt;0,1,0),0))</f>
        <v/>
      </c>
      <c r="L3888" s="16" t="str">
        <f aca="false">IF(B3888="","",IF(N3888=_xlfn.MAXIFS($N$2:$N$5001,$B$2:$B$5001,B3888,$I$2:$I$5001,I3888),1,0))</f>
        <v/>
      </c>
      <c r="M3888" s="16" t="str">
        <f aca="false">IF(B3888="","",IF(E3888="Em ajustes",IF(N3888=_xlfn.MINIFS($N$2:$N$5001,$B$2:$B$5001,B3888,$E$2:$E$5001,"Em ajustes"),1,0),0))</f>
        <v/>
      </c>
      <c r="N3888" s="17" t="str">
        <f aca="false">IF(A3888="","",IF(ISNUMBER(A3888),A3888,IFERROR(DATE(VALUE(MID(A3888,7,4)),VALUE(MID(A3888,4,2)),VALUE(MID(A3888,1,2)))+TIME(VALUE(MID(A3888,12,2)),VALUE(MID(A3888,15,2)),VALUE(MID(A3888,18,2))),"")))</f>
        <v/>
      </c>
    </row>
    <row r="3889" customFormat="false" ht="15" hidden="false" customHeight="false" outlineLevel="0" collapsed="false">
      <c r="I3889" s="15" t="str">
        <f aca="false">IF(N3889="","",INT(N3889))</f>
        <v/>
      </c>
      <c r="J3889" s="16" t="str">
        <f aca="false">IF(B3889="","",IF(N3889=_xlfn.MINIFS($N$2:$N$5001,$B$2:$B$5001,B3889),1,0))</f>
        <v/>
      </c>
      <c r="K3889" s="16" t="str">
        <f aca="false">IF(B3889="","",IF(AND(D3889="Formalização",E3889="Concluído"),IF(COUNTIFS($B$2:$B$5001,B3889,$E$2:$E$5001,"Em ajustes",$N$2:$N$5001,"&lt;"&amp;I3889)&gt;0,1,0),0))</f>
        <v/>
      </c>
      <c r="L3889" s="16" t="str">
        <f aca="false">IF(B3889="","",IF(N3889=_xlfn.MAXIFS($N$2:$N$5001,$B$2:$B$5001,B3889,$I$2:$I$5001,I3889),1,0))</f>
        <v/>
      </c>
      <c r="M3889" s="16" t="str">
        <f aca="false">IF(B3889="","",IF(E3889="Em ajustes",IF(N3889=_xlfn.MINIFS($N$2:$N$5001,$B$2:$B$5001,B3889,$E$2:$E$5001,"Em ajustes"),1,0),0))</f>
        <v/>
      </c>
      <c r="N3889" s="17" t="str">
        <f aca="false">IF(A3889="","",IF(ISNUMBER(A3889),A3889,IFERROR(DATE(VALUE(MID(A3889,7,4)),VALUE(MID(A3889,4,2)),VALUE(MID(A3889,1,2)))+TIME(VALUE(MID(A3889,12,2)),VALUE(MID(A3889,15,2)),VALUE(MID(A3889,18,2))),"")))</f>
        <v/>
      </c>
    </row>
    <row r="3890" customFormat="false" ht="15" hidden="false" customHeight="false" outlineLevel="0" collapsed="false">
      <c r="I3890" s="15" t="str">
        <f aca="false">IF(N3890="","",INT(N3890))</f>
        <v/>
      </c>
      <c r="J3890" s="16" t="str">
        <f aca="false">IF(B3890="","",IF(N3890=_xlfn.MINIFS($N$2:$N$5001,$B$2:$B$5001,B3890),1,0))</f>
        <v/>
      </c>
      <c r="K3890" s="16" t="str">
        <f aca="false">IF(B3890="","",IF(AND(D3890="Formalização",E3890="Concluído"),IF(COUNTIFS($B$2:$B$5001,B3890,$E$2:$E$5001,"Em ajustes",$N$2:$N$5001,"&lt;"&amp;I3890)&gt;0,1,0),0))</f>
        <v/>
      </c>
      <c r="L3890" s="16" t="str">
        <f aca="false">IF(B3890="","",IF(N3890=_xlfn.MAXIFS($N$2:$N$5001,$B$2:$B$5001,B3890,$I$2:$I$5001,I3890),1,0))</f>
        <v/>
      </c>
      <c r="M3890" s="16" t="str">
        <f aca="false">IF(B3890="","",IF(E3890="Em ajustes",IF(N3890=_xlfn.MINIFS($N$2:$N$5001,$B$2:$B$5001,B3890,$E$2:$E$5001,"Em ajustes"),1,0),0))</f>
        <v/>
      </c>
      <c r="N3890" s="17" t="str">
        <f aca="false">IF(A3890="","",IF(ISNUMBER(A3890),A3890,IFERROR(DATE(VALUE(MID(A3890,7,4)),VALUE(MID(A3890,4,2)),VALUE(MID(A3890,1,2)))+TIME(VALUE(MID(A3890,12,2)),VALUE(MID(A3890,15,2)),VALUE(MID(A3890,18,2))),"")))</f>
        <v/>
      </c>
    </row>
    <row r="3891" customFormat="false" ht="15" hidden="false" customHeight="false" outlineLevel="0" collapsed="false">
      <c r="I3891" s="15" t="str">
        <f aca="false">IF(N3891="","",INT(N3891))</f>
        <v/>
      </c>
      <c r="J3891" s="16" t="str">
        <f aca="false">IF(B3891="","",IF(N3891=_xlfn.MINIFS($N$2:$N$5001,$B$2:$B$5001,B3891),1,0))</f>
        <v/>
      </c>
      <c r="K3891" s="16" t="str">
        <f aca="false">IF(B3891="","",IF(AND(D3891="Formalização",E3891="Concluído"),IF(COUNTIFS($B$2:$B$5001,B3891,$E$2:$E$5001,"Em ajustes",$N$2:$N$5001,"&lt;"&amp;I3891)&gt;0,1,0),0))</f>
        <v/>
      </c>
      <c r="L3891" s="16" t="str">
        <f aca="false">IF(B3891="","",IF(N3891=_xlfn.MAXIFS($N$2:$N$5001,$B$2:$B$5001,B3891,$I$2:$I$5001,I3891),1,0))</f>
        <v/>
      </c>
      <c r="M3891" s="16" t="str">
        <f aca="false">IF(B3891="","",IF(E3891="Em ajustes",IF(N3891=_xlfn.MINIFS($N$2:$N$5001,$B$2:$B$5001,B3891,$E$2:$E$5001,"Em ajustes"),1,0),0))</f>
        <v/>
      </c>
      <c r="N3891" s="17" t="str">
        <f aca="false">IF(A3891="","",IF(ISNUMBER(A3891),A3891,IFERROR(DATE(VALUE(MID(A3891,7,4)),VALUE(MID(A3891,4,2)),VALUE(MID(A3891,1,2)))+TIME(VALUE(MID(A3891,12,2)),VALUE(MID(A3891,15,2)),VALUE(MID(A3891,18,2))),"")))</f>
        <v/>
      </c>
    </row>
    <row r="3892" customFormat="false" ht="15" hidden="false" customHeight="false" outlineLevel="0" collapsed="false">
      <c r="I3892" s="15" t="str">
        <f aca="false">IF(N3892="","",INT(N3892))</f>
        <v/>
      </c>
      <c r="J3892" s="16" t="str">
        <f aca="false">IF(B3892="","",IF(N3892=_xlfn.MINIFS($N$2:$N$5001,$B$2:$B$5001,B3892),1,0))</f>
        <v/>
      </c>
      <c r="K3892" s="16" t="str">
        <f aca="false">IF(B3892="","",IF(AND(D3892="Formalização",E3892="Concluído"),IF(COUNTIFS($B$2:$B$5001,B3892,$E$2:$E$5001,"Em ajustes",$N$2:$N$5001,"&lt;"&amp;I3892)&gt;0,1,0),0))</f>
        <v/>
      </c>
      <c r="L3892" s="16" t="str">
        <f aca="false">IF(B3892="","",IF(N3892=_xlfn.MAXIFS($N$2:$N$5001,$B$2:$B$5001,B3892,$I$2:$I$5001,I3892),1,0))</f>
        <v/>
      </c>
      <c r="M3892" s="16" t="str">
        <f aca="false">IF(B3892="","",IF(E3892="Em ajustes",IF(N3892=_xlfn.MINIFS($N$2:$N$5001,$B$2:$B$5001,B3892,$E$2:$E$5001,"Em ajustes"),1,0),0))</f>
        <v/>
      </c>
      <c r="N3892" s="17" t="str">
        <f aca="false">IF(A3892="","",IF(ISNUMBER(A3892),A3892,IFERROR(DATE(VALUE(MID(A3892,7,4)),VALUE(MID(A3892,4,2)),VALUE(MID(A3892,1,2)))+TIME(VALUE(MID(A3892,12,2)),VALUE(MID(A3892,15,2)),VALUE(MID(A3892,18,2))),"")))</f>
        <v/>
      </c>
    </row>
    <row r="3893" customFormat="false" ht="15" hidden="false" customHeight="false" outlineLevel="0" collapsed="false">
      <c r="I3893" s="15" t="str">
        <f aca="false">IF(N3893="","",INT(N3893))</f>
        <v/>
      </c>
      <c r="J3893" s="16" t="str">
        <f aca="false">IF(B3893="","",IF(N3893=_xlfn.MINIFS($N$2:$N$5001,$B$2:$B$5001,B3893),1,0))</f>
        <v/>
      </c>
      <c r="K3893" s="16" t="str">
        <f aca="false">IF(B3893="","",IF(AND(D3893="Formalização",E3893="Concluído"),IF(COUNTIFS($B$2:$B$5001,B3893,$E$2:$E$5001,"Em ajustes",$N$2:$N$5001,"&lt;"&amp;I3893)&gt;0,1,0),0))</f>
        <v/>
      </c>
      <c r="L3893" s="16" t="str">
        <f aca="false">IF(B3893="","",IF(N3893=_xlfn.MAXIFS($N$2:$N$5001,$B$2:$B$5001,B3893,$I$2:$I$5001,I3893),1,0))</f>
        <v/>
      </c>
      <c r="M3893" s="16" t="str">
        <f aca="false">IF(B3893="","",IF(E3893="Em ajustes",IF(N3893=_xlfn.MINIFS($N$2:$N$5001,$B$2:$B$5001,B3893,$E$2:$E$5001,"Em ajustes"),1,0),0))</f>
        <v/>
      </c>
      <c r="N3893" s="17" t="str">
        <f aca="false">IF(A3893="","",IF(ISNUMBER(A3893),A3893,IFERROR(DATE(VALUE(MID(A3893,7,4)),VALUE(MID(A3893,4,2)),VALUE(MID(A3893,1,2)))+TIME(VALUE(MID(A3893,12,2)),VALUE(MID(A3893,15,2)),VALUE(MID(A3893,18,2))),"")))</f>
        <v/>
      </c>
    </row>
    <row r="3894" customFormat="false" ht="15" hidden="false" customHeight="false" outlineLevel="0" collapsed="false">
      <c r="I3894" s="15" t="str">
        <f aca="false">IF(N3894="","",INT(N3894))</f>
        <v/>
      </c>
      <c r="J3894" s="16" t="str">
        <f aca="false">IF(B3894="","",IF(N3894=_xlfn.MINIFS($N$2:$N$5001,$B$2:$B$5001,B3894),1,0))</f>
        <v/>
      </c>
      <c r="K3894" s="16" t="str">
        <f aca="false">IF(B3894="","",IF(AND(D3894="Formalização",E3894="Concluído"),IF(COUNTIFS($B$2:$B$5001,B3894,$E$2:$E$5001,"Em ajustes",$N$2:$N$5001,"&lt;"&amp;I3894)&gt;0,1,0),0))</f>
        <v/>
      </c>
      <c r="L3894" s="16" t="str">
        <f aca="false">IF(B3894="","",IF(N3894=_xlfn.MAXIFS($N$2:$N$5001,$B$2:$B$5001,B3894,$I$2:$I$5001,I3894),1,0))</f>
        <v/>
      </c>
      <c r="M3894" s="16" t="str">
        <f aca="false">IF(B3894="","",IF(E3894="Em ajustes",IF(N3894=_xlfn.MINIFS($N$2:$N$5001,$B$2:$B$5001,B3894,$E$2:$E$5001,"Em ajustes"),1,0),0))</f>
        <v/>
      </c>
      <c r="N3894" s="17" t="str">
        <f aca="false">IF(A3894="","",IF(ISNUMBER(A3894),A3894,IFERROR(DATE(VALUE(MID(A3894,7,4)),VALUE(MID(A3894,4,2)),VALUE(MID(A3894,1,2)))+TIME(VALUE(MID(A3894,12,2)),VALUE(MID(A3894,15,2)),VALUE(MID(A3894,18,2))),"")))</f>
        <v/>
      </c>
    </row>
    <row r="3895" customFormat="false" ht="15" hidden="false" customHeight="false" outlineLevel="0" collapsed="false">
      <c r="I3895" s="15" t="str">
        <f aca="false">IF(N3895="","",INT(N3895))</f>
        <v/>
      </c>
      <c r="J3895" s="16" t="str">
        <f aca="false">IF(B3895="","",IF(N3895=_xlfn.MINIFS($N$2:$N$5001,$B$2:$B$5001,B3895),1,0))</f>
        <v/>
      </c>
      <c r="K3895" s="16" t="str">
        <f aca="false">IF(B3895="","",IF(AND(D3895="Formalização",E3895="Concluído"),IF(COUNTIFS($B$2:$B$5001,B3895,$E$2:$E$5001,"Em ajustes",$N$2:$N$5001,"&lt;"&amp;I3895)&gt;0,1,0),0))</f>
        <v/>
      </c>
      <c r="L3895" s="16" t="str">
        <f aca="false">IF(B3895="","",IF(N3895=_xlfn.MAXIFS($N$2:$N$5001,$B$2:$B$5001,B3895,$I$2:$I$5001,I3895),1,0))</f>
        <v/>
      </c>
      <c r="M3895" s="16" t="str">
        <f aca="false">IF(B3895="","",IF(E3895="Em ajustes",IF(N3895=_xlfn.MINIFS($N$2:$N$5001,$B$2:$B$5001,B3895,$E$2:$E$5001,"Em ajustes"),1,0),0))</f>
        <v/>
      </c>
      <c r="N3895" s="17" t="str">
        <f aca="false">IF(A3895="","",IF(ISNUMBER(A3895),A3895,IFERROR(DATE(VALUE(MID(A3895,7,4)),VALUE(MID(A3895,4,2)),VALUE(MID(A3895,1,2)))+TIME(VALUE(MID(A3895,12,2)),VALUE(MID(A3895,15,2)),VALUE(MID(A3895,18,2))),"")))</f>
        <v/>
      </c>
    </row>
    <row r="3896" customFormat="false" ht="15" hidden="false" customHeight="false" outlineLevel="0" collapsed="false">
      <c r="I3896" s="15" t="str">
        <f aca="false">IF(N3896="","",INT(N3896))</f>
        <v/>
      </c>
      <c r="J3896" s="16" t="str">
        <f aca="false">IF(B3896="","",IF(N3896=_xlfn.MINIFS($N$2:$N$5001,$B$2:$B$5001,B3896),1,0))</f>
        <v/>
      </c>
      <c r="K3896" s="16" t="str">
        <f aca="false">IF(B3896="","",IF(AND(D3896="Formalização",E3896="Concluído"),IF(COUNTIFS($B$2:$B$5001,B3896,$E$2:$E$5001,"Em ajustes",$N$2:$N$5001,"&lt;"&amp;I3896)&gt;0,1,0),0))</f>
        <v/>
      </c>
      <c r="L3896" s="16" t="str">
        <f aca="false">IF(B3896="","",IF(N3896=_xlfn.MAXIFS($N$2:$N$5001,$B$2:$B$5001,B3896,$I$2:$I$5001,I3896),1,0))</f>
        <v/>
      </c>
      <c r="M3896" s="16" t="str">
        <f aca="false">IF(B3896="","",IF(E3896="Em ajustes",IF(N3896=_xlfn.MINIFS($N$2:$N$5001,$B$2:$B$5001,B3896,$E$2:$E$5001,"Em ajustes"),1,0),0))</f>
        <v/>
      </c>
      <c r="N3896" s="17" t="str">
        <f aca="false">IF(A3896="","",IF(ISNUMBER(A3896),A3896,IFERROR(DATE(VALUE(MID(A3896,7,4)),VALUE(MID(A3896,4,2)),VALUE(MID(A3896,1,2)))+TIME(VALUE(MID(A3896,12,2)),VALUE(MID(A3896,15,2)),VALUE(MID(A3896,18,2))),"")))</f>
        <v/>
      </c>
    </row>
    <row r="3897" customFormat="false" ht="15" hidden="false" customHeight="false" outlineLevel="0" collapsed="false">
      <c r="I3897" s="15" t="str">
        <f aca="false">IF(N3897="","",INT(N3897))</f>
        <v/>
      </c>
      <c r="J3897" s="16" t="str">
        <f aca="false">IF(B3897="","",IF(N3897=_xlfn.MINIFS($N$2:$N$5001,$B$2:$B$5001,B3897),1,0))</f>
        <v/>
      </c>
      <c r="K3897" s="16" t="str">
        <f aca="false">IF(B3897="","",IF(AND(D3897="Formalização",E3897="Concluído"),IF(COUNTIFS($B$2:$B$5001,B3897,$E$2:$E$5001,"Em ajustes",$N$2:$N$5001,"&lt;"&amp;I3897)&gt;0,1,0),0))</f>
        <v/>
      </c>
      <c r="L3897" s="16" t="str">
        <f aca="false">IF(B3897="","",IF(N3897=_xlfn.MAXIFS($N$2:$N$5001,$B$2:$B$5001,B3897,$I$2:$I$5001,I3897),1,0))</f>
        <v/>
      </c>
      <c r="M3897" s="16" t="str">
        <f aca="false">IF(B3897="","",IF(E3897="Em ajustes",IF(N3897=_xlfn.MINIFS($N$2:$N$5001,$B$2:$B$5001,B3897,$E$2:$E$5001,"Em ajustes"),1,0),0))</f>
        <v/>
      </c>
      <c r="N3897" s="17" t="str">
        <f aca="false">IF(A3897="","",IF(ISNUMBER(A3897),A3897,IFERROR(DATE(VALUE(MID(A3897,7,4)),VALUE(MID(A3897,4,2)),VALUE(MID(A3897,1,2)))+TIME(VALUE(MID(A3897,12,2)),VALUE(MID(A3897,15,2)),VALUE(MID(A3897,18,2))),"")))</f>
        <v/>
      </c>
    </row>
    <row r="3898" customFormat="false" ht="15" hidden="false" customHeight="false" outlineLevel="0" collapsed="false">
      <c r="I3898" s="15" t="str">
        <f aca="false">IF(N3898="","",INT(N3898))</f>
        <v/>
      </c>
      <c r="J3898" s="16" t="str">
        <f aca="false">IF(B3898="","",IF(N3898=_xlfn.MINIFS($N$2:$N$5001,$B$2:$B$5001,B3898),1,0))</f>
        <v/>
      </c>
      <c r="K3898" s="16" t="str">
        <f aca="false">IF(B3898="","",IF(AND(D3898="Formalização",E3898="Concluído"),IF(COUNTIFS($B$2:$B$5001,B3898,$E$2:$E$5001,"Em ajustes",$N$2:$N$5001,"&lt;"&amp;I3898)&gt;0,1,0),0))</f>
        <v/>
      </c>
      <c r="L3898" s="16" t="str">
        <f aca="false">IF(B3898="","",IF(N3898=_xlfn.MAXIFS($N$2:$N$5001,$B$2:$B$5001,B3898,$I$2:$I$5001,I3898),1,0))</f>
        <v/>
      </c>
      <c r="M3898" s="16" t="str">
        <f aca="false">IF(B3898="","",IF(E3898="Em ajustes",IF(N3898=_xlfn.MINIFS($N$2:$N$5001,$B$2:$B$5001,B3898,$E$2:$E$5001,"Em ajustes"),1,0),0))</f>
        <v/>
      </c>
      <c r="N3898" s="17" t="str">
        <f aca="false">IF(A3898="","",IF(ISNUMBER(A3898),A3898,IFERROR(DATE(VALUE(MID(A3898,7,4)),VALUE(MID(A3898,4,2)),VALUE(MID(A3898,1,2)))+TIME(VALUE(MID(A3898,12,2)),VALUE(MID(A3898,15,2)),VALUE(MID(A3898,18,2))),"")))</f>
        <v/>
      </c>
    </row>
    <row r="3899" customFormat="false" ht="15" hidden="false" customHeight="false" outlineLevel="0" collapsed="false">
      <c r="I3899" s="15" t="str">
        <f aca="false">IF(N3899="","",INT(N3899))</f>
        <v/>
      </c>
      <c r="J3899" s="16" t="str">
        <f aca="false">IF(B3899="","",IF(N3899=_xlfn.MINIFS($N$2:$N$5001,$B$2:$B$5001,B3899),1,0))</f>
        <v/>
      </c>
      <c r="K3899" s="16" t="str">
        <f aca="false">IF(B3899="","",IF(AND(D3899="Formalização",E3899="Concluído"),IF(COUNTIFS($B$2:$B$5001,B3899,$E$2:$E$5001,"Em ajustes",$N$2:$N$5001,"&lt;"&amp;I3899)&gt;0,1,0),0))</f>
        <v/>
      </c>
      <c r="L3899" s="16" t="str">
        <f aca="false">IF(B3899="","",IF(N3899=_xlfn.MAXIFS($N$2:$N$5001,$B$2:$B$5001,B3899,$I$2:$I$5001,I3899),1,0))</f>
        <v/>
      </c>
      <c r="M3899" s="16" t="str">
        <f aca="false">IF(B3899="","",IF(E3899="Em ajustes",IF(N3899=_xlfn.MINIFS($N$2:$N$5001,$B$2:$B$5001,B3899,$E$2:$E$5001,"Em ajustes"),1,0),0))</f>
        <v/>
      </c>
      <c r="N3899" s="17" t="str">
        <f aca="false">IF(A3899="","",IF(ISNUMBER(A3899),A3899,IFERROR(DATE(VALUE(MID(A3899,7,4)),VALUE(MID(A3899,4,2)),VALUE(MID(A3899,1,2)))+TIME(VALUE(MID(A3899,12,2)),VALUE(MID(A3899,15,2)),VALUE(MID(A3899,18,2))),"")))</f>
        <v/>
      </c>
    </row>
    <row r="3900" customFormat="false" ht="15" hidden="false" customHeight="false" outlineLevel="0" collapsed="false">
      <c r="I3900" s="15" t="str">
        <f aca="false">IF(N3900="","",INT(N3900))</f>
        <v/>
      </c>
      <c r="J3900" s="16" t="str">
        <f aca="false">IF(B3900="","",IF(N3900=_xlfn.MINIFS($N$2:$N$5001,$B$2:$B$5001,B3900),1,0))</f>
        <v/>
      </c>
      <c r="K3900" s="16" t="str">
        <f aca="false">IF(B3900="","",IF(AND(D3900="Formalização",E3900="Concluído"),IF(COUNTIFS($B$2:$B$5001,B3900,$E$2:$E$5001,"Em ajustes",$N$2:$N$5001,"&lt;"&amp;I3900)&gt;0,1,0),0))</f>
        <v/>
      </c>
      <c r="L3900" s="16" t="str">
        <f aca="false">IF(B3900="","",IF(N3900=_xlfn.MAXIFS($N$2:$N$5001,$B$2:$B$5001,B3900,$I$2:$I$5001,I3900),1,0))</f>
        <v/>
      </c>
      <c r="M3900" s="16" t="str">
        <f aca="false">IF(B3900="","",IF(E3900="Em ajustes",IF(N3900=_xlfn.MINIFS($N$2:$N$5001,$B$2:$B$5001,B3900,$E$2:$E$5001,"Em ajustes"),1,0),0))</f>
        <v/>
      </c>
      <c r="N3900" s="17" t="str">
        <f aca="false">IF(A3900="","",IF(ISNUMBER(A3900),A3900,IFERROR(DATE(VALUE(MID(A3900,7,4)),VALUE(MID(A3900,4,2)),VALUE(MID(A3900,1,2)))+TIME(VALUE(MID(A3900,12,2)),VALUE(MID(A3900,15,2)),VALUE(MID(A3900,18,2))),"")))</f>
        <v/>
      </c>
    </row>
    <row r="3901" customFormat="false" ht="15" hidden="false" customHeight="false" outlineLevel="0" collapsed="false">
      <c r="I3901" s="15" t="str">
        <f aca="false">IF(N3901="","",INT(N3901))</f>
        <v/>
      </c>
      <c r="J3901" s="16" t="str">
        <f aca="false">IF(B3901="","",IF(N3901=_xlfn.MINIFS($N$2:$N$5001,$B$2:$B$5001,B3901),1,0))</f>
        <v/>
      </c>
      <c r="K3901" s="16" t="str">
        <f aca="false">IF(B3901="","",IF(AND(D3901="Formalização",E3901="Concluído"),IF(COUNTIFS($B$2:$B$5001,B3901,$E$2:$E$5001,"Em ajustes",$N$2:$N$5001,"&lt;"&amp;I3901)&gt;0,1,0),0))</f>
        <v/>
      </c>
      <c r="L3901" s="16" t="str">
        <f aca="false">IF(B3901="","",IF(N3901=_xlfn.MAXIFS($N$2:$N$5001,$B$2:$B$5001,B3901,$I$2:$I$5001,I3901),1,0))</f>
        <v/>
      </c>
      <c r="M3901" s="16" t="str">
        <f aca="false">IF(B3901="","",IF(E3901="Em ajustes",IF(N3901=_xlfn.MINIFS($N$2:$N$5001,$B$2:$B$5001,B3901,$E$2:$E$5001,"Em ajustes"),1,0),0))</f>
        <v/>
      </c>
      <c r="N3901" s="17" t="str">
        <f aca="false">IF(A3901="","",IF(ISNUMBER(A3901),A3901,IFERROR(DATE(VALUE(MID(A3901,7,4)),VALUE(MID(A3901,4,2)),VALUE(MID(A3901,1,2)))+TIME(VALUE(MID(A3901,12,2)),VALUE(MID(A3901,15,2)),VALUE(MID(A3901,18,2))),"")))</f>
        <v/>
      </c>
    </row>
    <row r="3902" customFormat="false" ht="15" hidden="false" customHeight="false" outlineLevel="0" collapsed="false">
      <c r="I3902" s="15" t="str">
        <f aca="false">IF(N3902="","",INT(N3902))</f>
        <v/>
      </c>
      <c r="J3902" s="16" t="str">
        <f aca="false">IF(B3902="","",IF(N3902=_xlfn.MINIFS($N$2:$N$5001,$B$2:$B$5001,B3902),1,0))</f>
        <v/>
      </c>
      <c r="K3902" s="16" t="str">
        <f aca="false">IF(B3902="","",IF(AND(D3902="Formalização",E3902="Concluído"),IF(COUNTIFS($B$2:$B$5001,B3902,$E$2:$E$5001,"Em ajustes",$N$2:$N$5001,"&lt;"&amp;I3902)&gt;0,1,0),0))</f>
        <v/>
      </c>
      <c r="L3902" s="16" t="str">
        <f aca="false">IF(B3902="","",IF(N3902=_xlfn.MAXIFS($N$2:$N$5001,$B$2:$B$5001,B3902,$I$2:$I$5001,I3902),1,0))</f>
        <v/>
      </c>
      <c r="M3902" s="16" t="str">
        <f aca="false">IF(B3902="","",IF(E3902="Em ajustes",IF(N3902=_xlfn.MINIFS($N$2:$N$5001,$B$2:$B$5001,B3902,$E$2:$E$5001,"Em ajustes"),1,0),0))</f>
        <v/>
      </c>
      <c r="N3902" s="17" t="str">
        <f aca="false">IF(A3902="","",IF(ISNUMBER(A3902),A3902,IFERROR(DATE(VALUE(MID(A3902,7,4)),VALUE(MID(A3902,4,2)),VALUE(MID(A3902,1,2)))+TIME(VALUE(MID(A3902,12,2)),VALUE(MID(A3902,15,2)),VALUE(MID(A3902,18,2))),"")))</f>
        <v/>
      </c>
    </row>
    <row r="3903" customFormat="false" ht="15" hidden="false" customHeight="false" outlineLevel="0" collapsed="false">
      <c r="I3903" s="15" t="str">
        <f aca="false">IF(N3903="","",INT(N3903))</f>
        <v/>
      </c>
      <c r="J3903" s="16" t="str">
        <f aca="false">IF(B3903="","",IF(N3903=_xlfn.MINIFS($N$2:$N$5001,$B$2:$B$5001,B3903),1,0))</f>
        <v/>
      </c>
      <c r="K3903" s="16" t="str">
        <f aca="false">IF(B3903="","",IF(AND(D3903="Formalização",E3903="Concluído"),IF(COUNTIFS($B$2:$B$5001,B3903,$E$2:$E$5001,"Em ajustes",$N$2:$N$5001,"&lt;"&amp;I3903)&gt;0,1,0),0))</f>
        <v/>
      </c>
      <c r="L3903" s="16" t="str">
        <f aca="false">IF(B3903="","",IF(N3903=_xlfn.MAXIFS($N$2:$N$5001,$B$2:$B$5001,B3903,$I$2:$I$5001,I3903),1,0))</f>
        <v/>
      </c>
      <c r="M3903" s="16" t="str">
        <f aca="false">IF(B3903="","",IF(E3903="Em ajustes",IF(N3903=_xlfn.MINIFS($N$2:$N$5001,$B$2:$B$5001,B3903,$E$2:$E$5001,"Em ajustes"),1,0),0))</f>
        <v/>
      </c>
      <c r="N3903" s="17" t="str">
        <f aca="false">IF(A3903="","",IF(ISNUMBER(A3903),A3903,IFERROR(DATE(VALUE(MID(A3903,7,4)),VALUE(MID(A3903,4,2)),VALUE(MID(A3903,1,2)))+TIME(VALUE(MID(A3903,12,2)),VALUE(MID(A3903,15,2)),VALUE(MID(A3903,18,2))),"")))</f>
        <v/>
      </c>
    </row>
    <row r="3904" customFormat="false" ht="15" hidden="false" customHeight="false" outlineLevel="0" collapsed="false">
      <c r="I3904" s="15" t="str">
        <f aca="false">IF(N3904="","",INT(N3904))</f>
        <v/>
      </c>
      <c r="J3904" s="16" t="str">
        <f aca="false">IF(B3904="","",IF(N3904=_xlfn.MINIFS($N$2:$N$5001,$B$2:$B$5001,B3904),1,0))</f>
        <v/>
      </c>
      <c r="K3904" s="16" t="str">
        <f aca="false">IF(B3904="","",IF(AND(D3904="Formalização",E3904="Concluído"),IF(COUNTIFS($B$2:$B$5001,B3904,$E$2:$E$5001,"Em ajustes",$N$2:$N$5001,"&lt;"&amp;I3904)&gt;0,1,0),0))</f>
        <v/>
      </c>
      <c r="L3904" s="16" t="str">
        <f aca="false">IF(B3904="","",IF(N3904=_xlfn.MAXIFS($N$2:$N$5001,$B$2:$B$5001,B3904,$I$2:$I$5001,I3904),1,0))</f>
        <v/>
      </c>
      <c r="M3904" s="16" t="str">
        <f aca="false">IF(B3904="","",IF(E3904="Em ajustes",IF(N3904=_xlfn.MINIFS($N$2:$N$5001,$B$2:$B$5001,B3904,$E$2:$E$5001,"Em ajustes"),1,0),0))</f>
        <v/>
      </c>
      <c r="N3904" s="17" t="str">
        <f aca="false">IF(A3904="","",IF(ISNUMBER(A3904),A3904,IFERROR(DATE(VALUE(MID(A3904,7,4)),VALUE(MID(A3904,4,2)),VALUE(MID(A3904,1,2)))+TIME(VALUE(MID(A3904,12,2)),VALUE(MID(A3904,15,2)),VALUE(MID(A3904,18,2))),"")))</f>
        <v/>
      </c>
    </row>
    <row r="3905" customFormat="false" ht="15" hidden="false" customHeight="false" outlineLevel="0" collapsed="false">
      <c r="I3905" s="15" t="str">
        <f aca="false">IF(N3905="","",INT(N3905))</f>
        <v/>
      </c>
      <c r="J3905" s="16" t="str">
        <f aca="false">IF(B3905="","",IF(N3905=_xlfn.MINIFS($N$2:$N$5001,$B$2:$B$5001,B3905),1,0))</f>
        <v/>
      </c>
      <c r="K3905" s="16" t="str">
        <f aca="false">IF(B3905="","",IF(AND(D3905="Formalização",E3905="Concluído"),IF(COUNTIFS($B$2:$B$5001,B3905,$E$2:$E$5001,"Em ajustes",$N$2:$N$5001,"&lt;"&amp;I3905)&gt;0,1,0),0))</f>
        <v/>
      </c>
      <c r="L3905" s="16" t="str">
        <f aca="false">IF(B3905="","",IF(N3905=_xlfn.MAXIFS($N$2:$N$5001,$B$2:$B$5001,B3905,$I$2:$I$5001,I3905),1,0))</f>
        <v/>
      </c>
      <c r="M3905" s="16" t="str">
        <f aca="false">IF(B3905="","",IF(E3905="Em ajustes",IF(N3905=_xlfn.MINIFS($N$2:$N$5001,$B$2:$B$5001,B3905,$E$2:$E$5001,"Em ajustes"),1,0),0))</f>
        <v/>
      </c>
      <c r="N3905" s="17" t="str">
        <f aca="false">IF(A3905="","",IF(ISNUMBER(A3905),A3905,IFERROR(DATE(VALUE(MID(A3905,7,4)),VALUE(MID(A3905,4,2)),VALUE(MID(A3905,1,2)))+TIME(VALUE(MID(A3905,12,2)),VALUE(MID(A3905,15,2)),VALUE(MID(A3905,18,2))),"")))</f>
        <v/>
      </c>
    </row>
    <row r="3906" customFormat="false" ht="15" hidden="false" customHeight="false" outlineLevel="0" collapsed="false">
      <c r="I3906" s="15" t="str">
        <f aca="false">IF(N3906="","",INT(N3906))</f>
        <v/>
      </c>
      <c r="J3906" s="16" t="str">
        <f aca="false">IF(B3906="","",IF(N3906=_xlfn.MINIFS($N$2:$N$5001,$B$2:$B$5001,B3906),1,0))</f>
        <v/>
      </c>
      <c r="K3906" s="16" t="str">
        <f aca="false">IF(B3906="","",IF(AND(D3906="Formalização",E3906="Concluído"),IF(COUNTIFS($B$2:$B$5001,B3906,$E$2:$E$5001,"Em ajustes",$N$2:$N$5001,"&lt;"&amp;I3906)&gt;0,1,0),0))</f>
        <v/>
      </c>
      <c r="L3906" s="16" t="str">
        <f aca="false">IF(B3906="","",IF(N3906=_xlfn.MAXIFS($N$2:$N$5001,$B$2:$B$5001,B3906,$I$2:$I$5001,I3906),1,0))</f>
        <v/>
      </c>
      <c r="M3906" s="16" t="str">
        <f aca="false">IF(B3906="","",IF(E3906="Em ajustes",IF(N3906=_xlfn.MINIFS($N$2:$N$5001,$B$2:$B$5001,B3906,$E$2:$E$5001,"Em ajustes"),1,0),0))</f>
        <v/>
      </c>
      <c r="N3906" s="17" t="str">
        <f aca="false">IF(A3906="","",IF(ISNUMBER(A3906),A3906,IFERROR(DATE(VALUE(MID(A3906,7,4)),VALUE(MID(A3906,4,2)),VALUE(MID(A3906,1,2)))+TIME(VALUE(MID(A3906,12,2)),VALUE(MID(A3906,15,2)),VALUE(MID(A3906,18,2))),"")))</f>
        <v/>
      </c>
    </row>
    <row r="3907" customFormat="false" ht="15" hidden="false" customHeight="false" outlineLevel="0" collapsed="false">
      <c r="I3907" s="15" t="str">
        <f aca="false">IF(N3907="","",INT(N3907))</f>
        <v/>
      </c>
      <c r="J3907" s="16" t="str">
        <f aca="false">IF(B3907="","",IF(N3907=_xlfn.MINIFS($N$2:$N$5001,$B$2:$B$5001,B3907),1,0))</f>
        <v/>
      </c>
      <c r="K3907" s="16" t="str">
        <f aca="false">IF(B3907="","",IF(AND(D3907="Formalização",E3907="Concluído"),IF(COUNTIFS($B$2:$B$5001,B3907,$E$2:$E$5001,"Em ajustes",$N$2:$N$5001,"&lt;"&amp;I3907)&gt;0,1,0),0))</f>
        <v/>
      </c>
      <c r="L3907" s="16" t="str">
        <f aca="false">IF(B3907="","",IF(N3907=_xlfn.MAXIFS($N$2:$N$5001,$B$2:$B$5001,B3907,$I$2:$I$5001,I3907),1,0))</f>
        <v/>
      </c>
      <c r="M3907" s="16" t="str">
        <f aca="false">IF(B3907="","",IF(E3907="Em ajustes",IF(N3907=_xlfn.MINIFS($N$2:$N$5001,$B$2:$B$5001,B3907,$E$2:$E$5001,"Em ajustes"),1,0),0))</f>
        <v/>
      </c>
      <c r="N3907" s="17" t="str">
        <f aca="false">IF(A3907="","",IF(ISNUMBER(A3907),A3907,IFERROR(DATE(VALUE(MID(A3907,7,4)),VALUE(MID(A3907,4,2)),VALUE(MID(A3907,1,2)))+TIME(VALUE(MID(A3907,12,2)),VALUE(MID(A3907,15,2)),VALUE(MID(A3907,18,2))),"")))</f>
        <v/>
      </c>
    </row>
    <row r="3908" customFormat="false" ht="15" hidden="false" customHeight="false" outlineLevel="0" collapsed="false">
      <c r="I3908" s="15" t="str">
        <f aca="false">IF(N3908="","",INT(N3908))</f>
        <v/>
      </c>
      <c r="J3908" s="16" t="str">
        <f aca="false">IF(B3908="","",IF(N3908=_xlfn.MINIFS($N$2:$N$5001,$B$2:$B$5001,B3908),1,0))</f>
        <v/>
      </c>
      <c r="K3908" s="16" t="str">
        <f aca="false">IF(B3908="","",IF(AND(D3908="Formalização",E3908="Concluído"),IF(COUNTIFS($B$2:$B$5001,B3908,$E$2:$E$5001,"Em ajustes",$N$2:$N$5001,"&lt;"&amp;I3908)&gt;0,1,0),0))</f>
        <v/>
      </c>
      <c r="L3908" s="16" t="str">
        <f aca="false">IF(B3908="","",IF(N3908=_xlfn.MAXIFS($N$2:$N$5001,$B$2:$B$5001,B3908,$I$2:$I$5001,I3908),1,0))</f>
        <v/>
      </c>
      <c r="M3908" s="16" t="str">
        <f aca="false">IF(B3908="","",IF(E3908="Em ajustes",IF(N3908=_xlfn.MINIFS($N$2:$N$5001,$B$2:$B$5001,B3908,$E$2:$E$5001,"Em ajustes"),1,0),0))</f>
        <v/>
      </c>
      <c r="N3908" s="17" t="str">
        <f aca="false">IF(A3908="","",IF(ISNUMBER(A3908),A3908,IFERROR(DATE(VALUE(MID(A3908,7,4)),VALUE(MID(A3908,4,2)),VALUE(MID(A3908,1,2)))+TIME(VALUE(MID(A3908,12,2)),VALUE(MID(A3908,15,2)),VALUE(MID(A3908,18,2))),"")))</f>
        <v/>
      </c>
    </row>
    <row r="3909" customFormat="false" ht="15" hidden="false" customHeight="false" outlineLevel="0" collapsed="false">
      <c r="I3909" s="15" t="str">
        <f aca="false">IF(N3909="","",INT(N3909))</f>
        <v/>
      </c>
      <c r="J3909" s="16" t="str">
        <f aca="false">IF(B3909="","",IF(N3909=_xlfn.MINIFS($N$2:$N$5001,$B$2:$B$5001,B3909),1,0))</f>
        <v/>
      </c>
      <c r="K3909" s="16" t="str">
        <f aca="false">IF(B3909="","",IF(AND(D3909="Formalização",E3909="Concluído"),IF(COUNTIFS($B$2:$B$5001,B3909,$E$2:$E$5001,"Em ajustes",$N$2:$N$5001,"&lt;"&amp;I3909)&gt;0,1,0),0))</f>
        <v/>
      </c>
      <c r="L3909" s="16" t="str">
        <f aca="false">IF(B3909="","",IF(N3909=_xlfn.MAXIFS($N$2:$N$5001,$B$2:$B$5001,B3909,$I$2:$I$5001,I3909),1,0))</f>
        <v/>
      </c>
      <c r="M3909" s="16" t="str">
        <f aca="false">IF(B3909="","",IF(E3909="Em ajustes",IF(N3909=_xlfn.MINIFS($N$2:$N$5001,$B$2:$B$5001,B3909,$E$2:$E$5001,"Em ajustes"),1,0),0))</f>
        <v/>
      </c>
      <c r="N3909" s="17" t="str">
        <f aca="false">IF(A3909="","",IF(ISNUMBER(A3909),A3909,IFERROR(DATE(VALUE(MID(A3909,7,4)),VALUE(MID(A3909,4,2)),VALUE(MID(A3909,1,2)))+TIME(VALUE(MID(A3909,12,2)),VALUE(MID(A3909,15,2)),VALUE(MID(A3909,18,2))),"")))</f>
        <v/>
      </c>
    </row>
    <row r="3910" customFormat="false" ht="15" hidden="false" customHeight="false" outlineLevel="0" collapsed="false">
      <c r="I3910" s="15" t="str">
        <f aca="false">IF(N3910="","",INT(N3910))</f>
        <v/>
      </c>
      <c r="J3910" s="16" t="str">
        <f aca="false">IF(B3910="","",IF(N3910=_xlfn.MINIFS($N$2:$N$5001,$B$2:$B$5001,B3910),1,0))</f>
        <v/>
      </c>
      <c r="K3910" s="16" t="str">
        <f aca="false">IF(B3910="","",IF(AND(D3910="Formalização",E3910="Concluído"),IF(COUNTIFS($B$2:$B$5001,B3910,$E$2:$E$5001,"Em ajustes",$N$2:$N$5001,"&lt;"&amp;I3910)&gt;0,1,0),0))</f>
        <v/>
      </c>
      <c r="L3910" s="16" t="str">
        <f aca="false">IF(B3910="","",IF(N3910=_xlfn.MAXIFS($N$2:$N$5001,$B$2:$B$5001,B3910,$I$2:$I$5001,I3910),1,0))</f>
        <v/>
      </c>
      <c r="M3910" s="16" t="str">
        <f aca="false">IF(B3910="","",IF(E3910="Em ajustes",IF(N3910=_xlfn.MINIFS($N$2:$N$5001,$B$2:$B$5001,B3910,$E$2:$E$5001,"Em ajustes"),1,0),0))</f>
        <v/>
      </c>
      <c r="N3910" s="17" t="str">
        <f aca="false">IF(A3910="","",IF(ISNUMBER(A3910),A3910,IFERROR(DATE(VALUE(MID(A3910,7,4)),VALUE(MID(A3910,4,2)),VALUE(MID(A3910,1,2)))+TIME(VALUE(MID(A3910,12,2)),VALUE(MID(A3910,15,2)),VALUE(MID(A3910,18,2))),"")))</f>
        <v/>
      </c>
    </row>
    <row r="3911" customFormat="false" ht="15" hidden="false" customHeight="false" outlineLevel="0" collapsed="false">
      <c r="I3911" s="15" t="str">
        <f aca="false">IF(N3911="","",INT(N3911))</f>
        <v/>
      </c>
      <c r="J3911" s="16" t="str">
        <f aca="false">IF(B3911="","",IF(N3911=_xlfn.MINIFS($N$2:$N$5001,$B$2:$B$5001,B3911),1,0))</f>
        <v/>
      </c>
      <c r="K3911" s="16" t="str">
        <f aca="false">IF(B3911="","",IF(AND(D3911="Formalização",E3911="Concluído"),IF(COUNTIFS($B$2:$B$5001,B3911,$E$2:$E$5001,"Em ajustes",$N$2:$N$5001,"&lt;"&amp;I3911)&gt;0,1,0),0))</f>
        <v/>
      </c>
      <c r="L3911" s="16" t="str">
        <f aca="false">IF(B3911="","",IF(N3911=_xlfn.MAXIFS($N$2:$N$5001,$B$2:$B$5001,B3911,$I$2:$I$5001,I3911),1,0))</f>
        <v/>
      </c>
      <c r="M3911" s="16" t="str">
        <f aca="false">IF(B3911="","",IF(E3911="Em ajustes",IF(N3911=_xlfn.MINIFS($N$2:$N$5001,$B$2:$B$5001,B3911,$E$2:$E$5001,"Em ajustes"),1,0),0))</f>
        <v/>
      </c>
      <c r="N3911" s="17" t="str">
        <f aca="false">IF(A3911="","",IF(ISNUMBER(A3911),A3911,IFERROR(DATE(VALUE(MID(A3911,7,4)),VALUE(MID(A3911,4,2)),VALUE(MID(A3911,1,2)))+TIME(VALUE(MID(A3911,12,2)),VALUE(MID(A3911,15,2)),VALUE(MID(A3911,18,2))),"")))</f>
        <v/>
      </c>
    </row>
    <row r="3912" customFormat="false" ht="15" hidden="false" customHeight="false" outlineLevel="0" collapsed="false">
      <c r="I3912" s="15" t="str">
        <f aca="false">IF(N3912="","",INT(N3912))</f>
        <v/>
      </c>
      <c r="J3912" s="16" t="str">
        <f aca="false">IF(B3912="","",IF(N3912=_xlfn.MINIFS($N$2:$N$5001,$B$2:$B$5001,B3912),1,0))</f>
        <v/>
      </c>
      <c r="K3912" s="16" t="str">
        <f aca="false">IF(B3912="","",IF(AND(D3912="Formalização",E3912="Concluído"),IF(COUNTIFS($B$2:$B$5001,B3912,$E$2:$E$5001,"Em ajustes",$N$2:$N$5001,"&lt;"&amp;I3912)&gt;0,1,0),0))</f>
        <v/>
      </c>
      <c r="L3912" s="16" t="str">
        <f aca="false">IF(B3912="","",IF(N3912=_xlfn.MAXIFS($N$2:$N$5001,$B$2:$B$5001,B3912,$I$2:$I$5001,I3912),1,0))</f>
        <v/>
      </c>
      <c r="M3912" s="16" t="str">
        <f aca="false">IF(B3912="","",IF(E3912="Em ajustes",IF(N3912=_xlfn.MINIFS($N$2:$N$5001,$B$2:$B$5001,B3912,$E$2:$E$5001,"Em ajustes"),1,0),0))</f>
        <v/>
      </c>
      <c r="N3912" s="17" t="str">
        <f aca="false">IF(A3912="","",IF(ISNUMBER(A3912),A3912,IFERROR(DATE(VALUE(MID(A3912,7,4)),VALUE(MID(A3912,4,2)),VALUE(MID(A3912,1,2)))+TIME(VALUE(MID(A3912,12,2)),VALUE(MID(A3912,15,2)),VALUE(MID(A3912,18,2))),"")))</f>
        <v/>
      </c>
    </row>
    <row r="3913" customFormat="false" ht="15" hidden="false" customHeight="false" outlineLevel="0" collapsed="false">
      <c r="I3913" s="15" t="str">
        <f aca="false">IF(N3913="","",INT(N3913))</f>
        <v/>
      </c>
      <c r="J3913" s="16" t="str">
        <f aca="false">IF(B3913="","",IF(N3913=_xlfn.MINIFS($N$2:$N$5001,$B$2:$B$5001,B3913),1,0))</f>
        <v/>
      </c>
      <c r="K3913" s="16" t="str">
        <f aca="false">IF(B3913="","",IF(AND(D3913="Formalização",E3913="Concluído"),IF(COUNTIFS($B$2:$B$5001,B3913,$E$2:$E$5001,"Em ajustes",$N$2:$N$5001,"&lt;"&amp;I3913)&gt;0,1,0),0))</f>
        <v/>
      </c>
      <c r="L3913" s="16" t="str">
        <f aca="false">IF(B3913="","",IF(N3913=_xlfn.MAXIFS($N$2:$N$5001,$B$2:$B$5001,B3913,$I$2:$I$5001,I3913),1,0))</f>
        <v/>
      </c>
      <c r="M3913" s="16" t="str">
        <f aca="false">IF(B3913="","",IF(E3913="Em ajustes",IF(N3913=_xlfn.MINIFS($N$2:$N$5001,$B$2:$B$5001,B3913,$E$2:$E$5001,"Em ajustes"),1,0),0))</f>
        <v/>
      </c>
      <c r="N3913" s="17" t="str">
        <f aca="false">IF(A3913="","",IF(ISNUMBER(A3913),A3913,IFERROR(DATE(VALUE(MID(A3913,7,4)),VALUE(MID(A3913,4,2)),VALUE(MID(A3913,1,2)))+TIME(VALUE(MID(A3913,12,2)),VALUE(MID(A3913,15,2)),VALUE(MID(A3913,18,2))),"")))</f>
        <v/>
      </c>
    </row>
    <row r="3914" customFormat="false" ht="15" hidden="false" customHeight="false" outlineLevel="0" collapsed="false">
      <c r="I3914" s="15" t="str">
        <f aca="false">IF(N3914="","",INT(N3914))</f>
        <v/>
      </c>
      <c r="J3914" s="16" t="str">
        <f aca="false">IF(B3914="","",IF(N3914=_xlfn.MINIFS($N$2:$N$5001,$B$2:$B$5001,B3914),1,0))</f>
        <v/>
      </c>
      <c r="K3914" s="16" t="str">
        <f aca="false">IF(B3914="","",IF(AND(D3914="Formalização",E3914="Concluído"),IF(COUNTIFS($B$2:$B$5001,B3914,$E$2:$E$5001,"Em ajustes",$N$2:$N$5001,"&lt;"&amp;I3914)&gt;0,1,0),0))</f>
        <v/>
      </c>
      <c r="L3914" s="16" t="str">
        <f aca="false">IF(B3914="","",IF(N3914=_xlfn.MAXIFS($N$2:$N$5001,$B$2:$B$5001,B3914,$I$2:$I$5001,I3914),1,0))</f>
        <v/>
      </c>
      <c r="M3914" s="16" t="str">
        <f aca="false">IF(B3914="","",IF(E3914="Em ajustes",IF(N3914=_xlfn.MINIFS($N$2:$N$5001,$B$2:$B$5001,B3914,$E$2:$E$5001,"Em ajustes"),1,0),0))</f>
        <v/>
      </c>
      <c r="N3914" s="17" t="str">
        <f aca="false">IF(A3914="","",IF(ISNUMBER(A3914),A3914,IFERROR(DATE(VALUE(MID(A3914,7,4)),VALUE(MID(A3914,4,2)),VALUE(MID(A3914,1,2)))+TIME(VALUE(MID(A3914,12,2)),VALUE(MID(A3914,15,2)),VALUE(MID(A3914,18,2))),"")))</f>
        <v/>
      </c>
    </row>
    <row r="3915" customFormat="false" ht="15" hidden="false" customHeight="false" outlineLevel="0" collapsed="false">
      <c r="I3915" s="15" t="str">
        <f aca="false">IF(N3915="","",INT(N3915))</f>
        <v/>
      </c>
      <c r="J3915" s="16" t="str">
        <f aca="false">IF(B3915="","",IF(N3915=_xlfn.MINIFS($N$2:$N$5001,$B$2:$B$5001,B3915),1,0))</f>
        <v/>
      </c>
      <c r="K3915" s="16" t="str">
        <f aca="false">IF(B3915="","",IF(AND(D3915="Formalização",E3915="Concluído"),IF(COUNTIFS($B$2:$B$5001,B3915,$E$2:$E$5001,"Em ajustes",$N$2:$N$5001,"&lt;"&amp;I3915)&gt;0,1,0),0))</f>
        <v/>
      </c>
      <c r="L3915" s="16" t="str">
        <f aca="false">IF(B3915="","",IF(N3915=_xlfn.MAXIFS($N$2:$N$5001,$B$2:$B$5001,B3915,$I$2:$I$5001,I3915),1,0))</f>
        <v/>
      </c>
      <c r="M3915" s="16" t="str">
        <f aca="false">IF(B3915="","",IF(E3915="Em ajustes",IF(N3915=_xlfn.MINIFS($N$2:$N$5001,$B$2:$B$5001,B3915,$E$2:$E$5001,"Em ajustes"),1,0),0))</f>
        <v/>
      </c>
      <c r="N3915" s="17" t="str">
        <f aca="false">IF(A3915="","",IF(ISNUMBER(A3915),A3915,IFERROR(DATE(VALUE(MID(A3915,7,4)),VALUE(MID(A3915,4,2)),VALUE(MID(A3915,1,2)))+TIME(VALUE(MID(A3915,12,2)),VALUE(MID(A3915,15,2)),VALUE(MID(A3915,18,2))),"")))</f>
        <v/>
      </c>
    </row>
    <row r="3916" customFormat="false" ht="15" hidden="false" customHeight="false" outlineLevel="0" collapsed="false">
      <c r="I3916" s="15" t="str">
        <f aca="false">IF(N3916="","",INT(N3916))</f>
        <v/>
      </c>
      <c r="J3916" s="16" t="str">
        <f aca="false">IF(B3916="","",IF(N3916=_xlfn.MINIFS($N$2:$N$5001,$B$2:$B$5001,B3916),1,0))</f>
        <v/>
      </c>
      <c r="K3916" s="16" t="str">
        <f aca="false">IF(B3916="","",IF(AND(D3916="Formalização",E3916="Concluído"),IF(COUNTIFS($B$2:$B$5001,B3916,$E$2:$E$5001,"Em ajustes",$N$2:$N$5001,"&lt;"&amp;I3916)&gt;0,1,0),0))</f>
        <v/>
      </c>
      <c r="L3916" s="16" t="str">
        <f aca="false">IF(B3916="","",IF(N3916=_xlfn.MAXIFS($N$2:$N$5001,$B$2:$B$5001,B3916,$I$2:$I$5001,I3916),1,0))</f>
        <v/>
      </c>
      <c r="M3916" s="16" t="str">
        <f aca="false">IF(B3916="","",IF(E3916="Em ajustes",IF(N3916=_xlfn.MINIFS($N$2:$N$5001,$B$2:$B$5001,B3916,$E$2:$E$5001,"Em ajustes"),1,0),0))</f>
        <v/>
      </c>
      <c r="N3916" s="17" t="str">
        <f aca="false">IF(A3916="","",IF(ISNUMBER(A3916),A3916,IFERROR(DATE(VALUE(MID(A3916,7,4)),VALUE(MID(A3916,4,2)),VALUE(MID(A3916,1,2)))+TIME(VALUE(MID(A3916,12,2)),VALUE(MID(A3916,15,2)),VALUE(MID(A3916,18,2))),"")))</f>
        <v/>
      </c>
    </row>
    <row r="3917" customFormat="false" ht="15" hidden="false" customHeight="false" outlineLevel="0" collapsed="false">
      <c r="I3917" s="15" t="str">
        <f aca="false">IF(N3917="","",INT(N3917))</f>
        <v/>
      </c>
      <c r="J3917" s="16" t="str">
        <f aca="false">IF(B3917="","",IF(N3917=_xlfn.MINIFS($N$2:$N$5001,$B$2:$B$5001,B3917),1,0))</f>
        <v/>
      </c>
      <c r="K3917" s="16" t="str">
        <f aca="false">IF(B3917="","",IF(AND(D3917="Formalização",E3917="Concluído"),IF(COUNTIFS($B$2:$B$5001,B3917,$E$2:$E$5001,"Em ajustes",$N$2:$N$5001,"&lt;"&amp;I3917)&gt;0,1,0),0))</f>
        <v/>
      </c>
      <c r="L3917" s="16" t="str">
        <f aca="false">IF(B3917="","",IF(N3917=_xlfn.MAXIFS($N$2:$N$5001,$B$2:$B$5001,B3917,$I$2:$I$5001,I3917),1,0))</f>
        <v/>
      </c>
      <c r="M3917" s="16" t="str">
        <f aca="false">IF(B3917="","",IF(E3917="Em ajustes",IF(N3917=_xlfn.MINIFS($N$2:$N$5001,$B$2:$B$5001,B3917,$E$2:$E$5001,"Em ajustes"),1,0),0))</f>
        <v/>
      </c>
      <c r="N3917" s="17" t="str">
        <f aca="false">IF(A3917="","",IF(ISNUMBER(A3917),A3917,IFERROR(DATE(VALUE(MID(A3917,7,4)),VALUE(MID(A3917,4,2)),VALUE(MID(A3917,1,2)))+TIME(VALUE(MID(A3917,12,2)),VALUE(MID(A3917,15,2)),VALUE(MID(A3917,18,2))),"")))</f>
        <v/>
      </c>
    </row>
    <row r="3918" customFormat="false" ht="15" hidden="false" customHeight="false" outlineLevel="0" collapsed="false">
      <c r="I3918" s="15" t="str">
        <f aca="false">IF(N3918="","",INT(N3918))</f>
        <v/>
      </c>
      <c r="J3918" s="16" t="str">
        <f aca="false">IF(B3918="","",IF(N3918=_xlfn.MINIFS($N$2:$N$5001,$B$2:$B$5001,B3918),1,0))</f>
        <v/>
      </c>
      <c r="K3918" s="16" t="str">
        <f aca="false">IF(B3918="","",IF(AND(D3918="Formalização",E3918="Concluído"),IF(COUNTIFS($B$2:$B$5001,B3918,$E$2:$E$5001,"Em ajustes",$N$2:$N$5001,"&lt;"&amp;I3918)&gt;0,1,0),0))</f>
        <v/>
      </c>
      <c r="L3918" s="16" t="str">
        <f aca="false">IF(B3918="","",IF(N3918=_xlfn.MAXIFS($N$2:$N$5001,$B$2:$B$5001,B3918,$I$2:$I$5001,I3918),1,0))</f>
        <v/>
      </c>
      <c r="M3918" s="16" t="str">
        <f aca="false">IF(B3918="","",IF(E3918="Em ajustes",IF(N3918=_xlfn.MINIFS($N$2:$N$5001,$B$2:$B$5001,B3918,$E$2:$E$5001,"Em ajustes"),1,0),0))</f>
        <v/>
      </c>
      <c r="N3918" s="17" t="str">
        <f aca="false">IF(A3918="","",IF(ISNUMBER(A3918),A3918,IFERROR(DATE(VALUE(MID(A3918,7,4)),VALUE(MID(A3918,4,2)),VALUE(MID(A3918,1,2)))+TIME(VALUE(MID(A3918,12,2)),VALUE(MID(A3918,15,2)),VALUE(MID(A3918,18,2))),"")))</f>
        <v/>
      </c>
    </row>
    <row r="3919" customFormat="false" ht="15" hidden="false" customHeight="false" outlineLevel="0" collapsed="false">
      <c r="I3919" s="15" t="str">
        <f aca="false">IF(N3919="","",INT(N3919))</f>
        <v/>
      </c>
      <c r="J3919" s="16" t="str">
        <f aca="false">IF(B3919="","",IF(N3919=_xlfn.MINIFS($N$2:$N$5001,$B$2:$B$5001,B3919),1,0))</f>
        <v/>
      </c>
      <c r="K3919" s="16" t="str">
        <f aca="false">IF(B3919="","",IF(AND(D3919="Formalização",E3919="Concluído"),IF(COUNTIFS($B$2:$B$5001,B3919,$E$2:$E$5001,"Em ajustes",$N$2:$N$5001,"&lt;"&amp;I3919)&gt;0,1,0),0))</f>
        <v/>
      </c>
      <c r="L3919" s="16" t="str">
        <f aca="false">IF(B3919="","",IF(N3919=_xlfn.MAXIFS($N$2:$N$5001,$B$2:$B$5001,B3919,$I$2:$I$5001,I3919),1,0))</f>
        <v/>
      </c>
      <c r="M3919" s="16" t="str">
        <f aca="false">IF(B3919="","",IF(E3919="Em ajustes",IF(N3919=_xlfn.MINIFS($N$2:$N$5001,$B$2:$B$5001,B3919,$E$2:$E$5001,"Em ajustes"),1,0),0))</f>
        <v/>
      </c>
      <c r="N3919" s="17" t="str">
        <f aca="false">IF(A3919="","",IF(ISNUMBER(A3919),A3919,IFERROR(DATE(VALUE(MID(A3919,7,4)),VALUE(MID(A3919,4,2)),VALUE(MID(A3919,1,2)))+TIME(VALUE(MID(A3919,12,2)),VALUE(MID(A3919,15,2)),VALUE(MID(A3919,18,2))),"")))</f>
        <v/>
      </c>
    </row>
    <row r="3920" customFormat="false" ht="15" hidden="false" customHeight="false" outlineLevel="0" collapsed="false">
      <c r="I3920" s="15" t="str">
        <f aca="false">IF(N3920="","",INT(N3920))</f>
        <v/>
      </c>
      <c r="J3920" s="16" t="str">
        <f aca="false">IF(B3920="","",IF(N3920=_xlfn.MINIFS($N$2:$N$5001,$B$2:$B$5001,B3920),1,0))</f>
        <v/>
      </c>
      <c r="K3920" s="16" t="str">
        <f aca="false">IF(B3920="","",IF(AND(D3920="Formalização",E3920="Concluído"),IF(COUNTIFS($B$2:$B$5001,B3920,$E$2:$E$5001,"Em ajustes",$N$2:$N$5001,"&lt;"&amp;I3920)&gt;0,1,0),0))</f>
        <v/>
      </c>
      <c r="L3920" s="16" t="str">
        <f aca="false">IF(B3920="","",IF(N3920=_xlfn.MAXIFS($N$2:$N$5001,$B$2:$B$5001,B3920,$I$2:$I$5001,I3920),1,0))</f>
        <v/>
      </c>
      <c r="M3920" s="16" t="str">
        <f aca="false">IF(B3920="","",IF(E3920="Em ajustes",IF(N3920=_xlfn.MINIFS($N$2:$N$5001,$B$2:$B$5001,B3920,$E$2:$E$5001,"Em ajustes"),1,0),0))</f>
        <v/>
      </c>
      <c r="N3920" s="17" t="str">
        <f aca="false">IF(A3920="","",IF(ISNUMBER(A3920),A3920,IFERROR(DATE(VALUE(MID(A3920,7,4)),VALUE(MID(A3920,4,2)),VALUE(MID(A3920,1,2)))+TIME(VALUE(MID(A3920,12,2)),VALUE(MID(A3920,15,2)),VALUE(MID(A3920,18,2))),"")))</f>
        <v/>
      </c>
    </row>
    <row r="3921" customFormat="false" ht="15" hidden="false" customHeight="false" outlineLevel="0" collapsed="false">
      <c r="I3921" s="15" t="str">
        <f aca="false">IF(N3921="","",INT(N3921))</f>
        <v/>
      </c>
      <c r="J3921" s="16" t="str">
        <f aca="false">IF(B3921="","",IF(N3921=_xlfn.MINIFS($N$2:$N$5001,$B$2:$B$5001,B3921),1,0))</f>
        <v/>
      </c>
      <c r="K3921" s="16" t="str">
        <f aca="false">IF(B3921="","",IF(AND(D3921="Formalização",E3921="Concluído"),IF(COUNTIFS($B$2:$B$5001,B3921,$E$2:$E$5001,"Em ajustes",$N$2:$N$5001,"&lt;"&amp;I3921)&gt;0,1,0),0))</f>
        <v/>
      </c>
      <c r="L3921" s="16" t="str">
        <f aca="false">IF(B3921="","",IF(N3921=_xlfn.MAXIFS($N$2:$N$5001,$B$2:$B$5001,B3921,$I$2:$I$5001,I3921),1,0))</f>
        <v/>
      </c>
      <c r="M3921" s="16" t="str">
        <f aca="false">IF(B3921="","",IF(E3921="Em ajustes",IF(N3921=_xlfn.MINIFS($N$2:$N$5001,$B$2:$B$5001,B3921,$E$2:$E$5001,"Em ajustes"),1,0),0))</f>
        <v/>
      </c>
      <c r="N3921" s="17" t="str">
        <f aca="false">IF(A3921="","",IF(ISNUMBER(A3921),A3921,IFERROR(DATE(VALUE(MID(A3921,7,4)),VALUE(MID(A3921,4,2)),VALUE(MID(A3921,1,2)))+TIME(VALUE(MID(A3921,12,2)),VALUE(MID(A3921,15,2)),VALUE(MID(A3921,18,2))),"")))</f>
        <v/>
      </c>
    </row>
    <row r="3922" customFormat="false" ht="15" hidden="false" customHeight="false" outlineLevel="0" collapsed="false">
      <c r="I3922" s="15" t="str">
        <f aca="false">IF(N3922="","",INT(N3922))</f>
        <v/>
      </c>
      <c r="J3922" s="16" t="str">
        <f aca="false">IF(B3922="","",IF(N3922=_xlfn.MINIFS($N$2:$N$5001,$B$2:$B$5001,B3922),1,0))</f>
        <v/>
      </c>
      <c r="K3922" s="16" t="str">
        <f aca="false">IF(B3922="","",IF(AND(D3922="Formalização",E3922="Concluído"),IF(COUNTIFS($B$2:$B$5001,B3922,$E$2:$E$5001,"Em ajustes",$N$2:$N$5001,"&lt;"&amp;I3922)&gt;0,1,0),0))</f>
        <v/>
      </c>
      <c r="L3922" s="16" t="str">
        <f aca="false">IF(B3922="","",IF(N3922=_xlfn.MAXIFS($N$2:$N$5001,$B$2:$B$5001,B3922,$I$2:$I$5001,I3922),1,0))</f>
        <v/>
      </c>
      <c r="M3922" s="16" t="str">
        <f aca="false">IF(B3922="","",IF(E3922="Em ajustes",IF(N3922=_xlfn.MINIFS($N$2:$N$5001,$B$2:$B$5001,B3922,$E$2:$E$5001,"Em ajustes"),1,0),0))</f>
        <v/>
      </c>
      <c r="N3922" s="17" t="str">
        <f aca="false">IF(A3922="","",IF(ISNUMBER(A3922),A3922,IFERROR(DATE(VALUE(MID(A3922,7,4)),VALUE(MID(A3922,4,2)),VALUE(MID(A3922,1,2)))+TIME(VALUE(MID(A3922,12,2)),VALUE(MID(A3922,15,2)),VALUE(MID(A3922,18,2))),"")))</f>
        <v/>
      </c>
    </row>
    <row r="3923" customFormat="false" ht="15" hidden="false" customHeight="false" outlineLevel="0" collapsed="false">
      <c r="I3923" s="15" t="str">
        <f aca="false">IF(N3923="","",INT(N3923))</f>
        <v/>
      </c>
      <c r="J3923" s="16" t="str">
        <f aca="false">IF(B3923="","",IF(N3923=_xlfn.MINIFS($N$2:$N$5001,$B$2:$B$5001,B3923),1,0))</f>
        <v/>
      </c>
      <c r="K3923" s="16" t="str">
        <f aca="false">IF(B3923="","",IF(AND(D3923="Formalização",E3923="Concluído"),IF(COUNTIFS($B$2:$B$5001,B3923,$E$2:$E$5001,"Em ajustes",$N$2:$N$5001,"&lt;"&amp;I3923)&gt;0,1,0),0))</f>
        <v/>
      </c>
      <c r="L3923" s="16" t="str">
        <f aca="false">IF(B3923="","",IF(N3923=_xlfn.MAXIFS($N$2:$N$5001,$B$2:$B$5001,B3923,$I$2:$I$5001,I3923),1,0))</f>
        <v/>
      </c>
      <c r="M3923" s="16" t="str">
        <f aca="false">IF(B3923="","",IF(E3923="Em ajustes",IF(N3923=_xlfn.MINIFS($N$2:$N$5001,$B$2:$B$5001,B3923,$E$2:$E$5001,"Em ajustes"),1,0),0))</f>
        <v/>
      </c>
      <c r="N3923" s="17" t="str">
        <f aca="false">IF(A3923="","",IF(ISNUMBER(A3923),A3923,IFERROR(DATE(VALUE(MID(A3923,7,4)),VALUE(MID(A3923,4,2)),VALUE(MID(A3923,1,2)))+TIME(VALUE(MID(A3923,12,2)),VALUE(MID(A3923,15,2)),VALUE(MID(A3923,18,2))),"")))</f>
        <v/>
      </c>
    </row>
    <row r="3924" customFormat="false" ht="15" hidden="false" customHeight="false" outlineLevel="0" collapsed="false">
      <c r="I3924" s="15" t="str">
        <f aca="false">IF(N3924="","",INT(N3924))</f>
        <v/>
      </c>
      <c r="J3924" s="16" t="str">
        <f aca="false">IF(B3924="","",IF(N3924=_xlfn.MINIFS($N$2:$N$5001,$B$2:$B$5001,B3924),1,0))</f>
        <v/>
      </c>
      <c r="K3924" s="16" t="str">
        <f aca="false">IF(B3924="","",IF(AND(D3924="Formalização",E3924="Concluído"),IF(COUNTIFS($B$2:$B$5001,B3924,$E$2:$E$5001,"Em ajustes",$N$2:$N$5001,"&lt;"&amp;I3924)&gt;0,1,0),0))</f>
        <v/>
      </c>
      <c r="L3924" s="16" t="str">
        <f aca="false">IF(B3924="","",IF(N3924=_xlfn.MAXIFS($N$2:$N$5001,$B$2:$B$5001,B3924,$I$2:$I$5001,I3924),1,0))</f>
        <v/>
      </c>
      <c r="M3924" s="16" t="str">
        <f aca="false">IF(B3924="","",IF(E3924="Em ajustes",IF(N3924=_xlfn.MINIFS($N$2:$N$5001,$B$2:$B$5001,B3924,$E$2:$E$5001,"Em ajustes"),1,0),0))</f>
        <v/>
      </c>
      <c r="N3924" s="17" t="str">
        <f aca="false">IF(A3924="","",IF(ISNUMBER(A3924),A3924,IFERROR(DATE(VALUE(MID(A3924,7,4)),VALUE(MID(A3924,4,2)),VALUE(MID(A3924,1,2)))+TIME(VALUE(MID(A3924,12,2)),VALUE(MID(A3924,15,2)),VALUE(MID(A3924,18,2))),"")))</f>
        <v/>
      </c>
    </row>
    <row r="3925" customFormat="false" ht="15" hidden="false" customHeight="false" outlineLevel="0" collapsed="false">
      <c r="I3925" s="15" t="str">
        <f aca="false">IF(N3925="","",INT(N3925))</f>
        <v/>
      </c>
      <c r="J3925" s="16" t="str">
        <f aca="false">IF(B3925="","",IF(N3925=_xlfn.MINIFS($N$2:$N$5001,$B$2:$B$5001,B3925),1,0))</f>
        <v/>
      </c>
      <c r="K3925" s="16" t="str">
        <f aca="false">IF(B3925="","",IF(AND(D3925="Formalização",E3925="Concluído"),IF(COUNTIFS($B$2:$B$5001,B3925,$E$2:$E$5001,"Em ajustes",$N$2:$N$5001,"&lt;"&amp;I3925)&gt;0,1,0),0))</f>
        <v/>
      </c>
      <c r="L3925" s="16" t="str">
        <f aca="false">IF(B3925="","",IF(N3925=_xlfn.MAXIFS($N$2:$N$5001,$B$2:$B$5001,B3925,$I$2:$I$5001,I3925),1,0))</f>
        <v/>
      </c>
      <c r="M3925" s="16" t="str">
        <f aca="false">IF(B3925="","",IF(E3925="Em ajustes",IF(N3925=_xlfn.MINIFS($N$2:$N$5001,$B$2:$B$5001,B3925,$E$2:$E$5001,"Em ajustes"),1,0),0))</f>
        <v/>
      </c>
      <c r="N3925" s="17" t="str">
        <f aca="false">IF(A3925="","",IF(ISNUMBER(A3925),A3925,IFERROR(DATE(VALUE(MID(A3925,7,4)),VALUE(MID(A3925,4,2)),VALUE(MID(A3925,1,2)))+TIME(VALUE(MID(A3925,12,2)),VALUE(MID(A3925,15,2)),VALUE(MID(A3925,18,2))),"")))</f>
        <v/>
      </c>
    </row>
    <row r="3926" customFormat="false" ht="15" hidden="false" customHeight="false" outlineLevel="0" collapsed="false">
      <c r="I3926" s="15" t="str">
        <f aca="false">IF(N3926="","",INT(N3926))</f>
        <v/>
      </c>
      <c r="J3926" s="16" t="str">
        <f aca="false">IF(B3926="","",IF(N3926=_xlfn.MINIFS($N$2:$N$5001,$B$2:$B$5001,B3926),1,0))</f>
        <v/>
      </c>
      <c r="K3926" s="16" t="str">
        <f aca="false">IF(B3926="","",IF(AND(D3926="Formalização",E3926="Concluído"),IF(COUNTIFS($B$2:$B$5001,B3926,$E$2:$E$5001,"Em ajustes",$N$2:$N$5001,"&lt;"&amp;I3926)&gt;0,1,0),0))</f>
        <v/>
      </c>
      <c r="L3926" s="16" t="str">
        <f aca="false">IF(B3926="","",IF(N3926=_xlfn.MAXIFS($N$2:$N$5001,$B$2:$B$5001,B3926,$I$2:$I$5001,I3926),1,0))</f>
        <v/>
      </c>
      <c r="M3926" s="16" t="str">
        <f aca="false">IF(B3926="","",IF(E3926="Em ajustes",IF(N3926=_xlfn.MINIFS($N$2:$N$5001,$B$2:$B$5001,B3926,$E$2:$E$5001,"Em ajustes"),1,0),0))</f>
        <v/>
      </c>
      <c r="N3926" s="17" t="str">
        <f aca="false">IF(A3926="","",IF(ISNUMBER(A3926),A3926,IFERROR(DATE(VALUE(MID(A3926,7,4)),VALUE(MID(A3926,4,2)),VALUE(MID(A3926,1,2)))+TIME(VALUE(MID(A3926,12,2)),VALUE(MID(A3926,15,2)),VALUE(MID(A3926,18,2))),"")))</f>
        <v/>
      </c>
    </row>
    <row r="3927" customFormat="false" ht="15" hidden="false" customHeight="false" outlineLevel="0" collapsed="false">
      <c r="I3927" s="15" t="str">
        <f aca="false">IF(N3927="","",INT(N3927))</f>
        <v/>
      </c>
      <c r="J3927" s="16" t="str">
        <f aca="false">IF(B3927="","",IF(N3927=_xlfn.MINIFS($N$2:$N$5001,$B$2:$B$5001,B3927),1,0))</f>
        <v/>
      </c>
      <c r="K3927" s="16" t="str">
        <f aca="false">IF(B3927="","",IF(AND(D3927="Formalização",E3927="Concluído"),IF(COUNTIFS($B$2:$B$5001,B3927,$E$2:$E$5001,"Em ajustes",$N$2:$N$5001,"&lt;"&amp;I3927)&gt;0,1,0),0))</f>
        <v/>
      </c>
      <c r="L3927" s="16" t="str">
        <f aca="false">IF(B3927="","",IF(N3927=_xlfn.MAXIFS($N$2:$N$5001,$B$2:$B$5001,B3927,$I$2:$I$5001,I3927),1,0))</f>
        <v/>
      </c>
      <c r="M3927" s="16" t="str">
        <f aca="false">IF(B3927="","",IF(E3927="Em ajustes",IF(N3927=_xlfn.MINIFS($N$2:$N$5001,$B$2:$B$5001,B3927,$E$2:$E$5001,"Em ajustes"),1,0),0))</f>
        <v/>
      </c>
      <c r="N3927" s="17" t="str">
        <f aca="false">IF(A3927="","",IF(ISNUMBER(A3927),A3927,IFERROR(DATE(VALUE(MID(A3927,7,4)),VALUE(MID(A3927,4,2)),VALUE(MID(A3927,1,2)))+TIME(VALUE(MID(A3927,12,2)),VALUE(MID(A3927,15,2)),VALUE(MID(A3927,18,2))),"")))</f>
        <v/>
      </c>
    </row>
    <row r="3928" customFormat="false" ht="15" hidden="false" customHeight="false" outlineLevel="0" collapsed="false">
      <c r="I3928" s="15" t="str">
        <f aca="false">IF(N3928="","",INT(N3928))</f>
        <v/>
      </c>
      <c r="J3928" s="16" t="str">
        <f aca="false">IF(B3928="","",IF(N3928=_xlfn.MINIFS($N$2:$N$5001,$B$2:$B$5001,B3928),1,0))</f>
        <v/>
      </c>
      <c r="K3928" s="16" t="str">
        <f aca="false">IF(B3928="","",IF(AND(D3928="Formalização",E3928="Concluído"),IF(COUNTIFS($B$2:$B$5001,B3928,$E$2:$E$5001,"Em ajustes",$N$2:$N$5001,"&lt;"&amp;I3928)&gt;0,1,0),0))</f>
        <v/>
      </c>
      <c r="L3928" s="16" t="str">
        <f aca="false">IF(B3928="","",IF(N3928=_xlfn.MAXIFS($N$2:$N$5001,$B$2:$B$5001,B3928,$I$2:$I$5001,I3928),1,0))</f>
        <v/>
      </c>
      <c r="M3928" s="16" t="str">
        <f aca="false">IF(B3928="","",IF(E3928="Em ajustes",IF(N3928=_xlfn.MINIFS($N$2:$N$5001,$B$2:$B$5001,B3928,$E$2:$E$5001,"Em ajustes"),1,0),0))</f>
        <v/>
      </c>
      <c r="N3928" s="17" t="str">
        <f aca="false">IF(A3928="","",IF(ISNUMBER(A3928),A3928,IFERROR(DATE(VALUE(MID(A3928,7,4)),VALUE(MID(A3928,4,2)),VALUE(MID(A3928,1,2)))+TIME(VALUE(MID(A3928,12,2)),VALUE(MID(A3928,15,2)),VALUE(MID(A3928,18,2))),"")))</f>
        <v/>
      </c>
    </row>
    <row r="3929" customFormat="false" ht="15" hidden="false" customHeight="false" outlineLevel="0" collapsed="false">
      <c r="I3929" s="15" t="str">
        <f aca="false">IF(N3929="","",INT(N3929))</f>
        <v/>
      </c>
      <c r="J3929" s="16" t="str">
        <f aca="false">IF(B3929="","",IF(N3929=_xlfn.MINIFS($N$2:$N$5001,$B$2:$B$5001,B3929),1,0))</f>
        <v/>
      </c>
      <c r="K3929" s="16" t="str">
        <f aca="false">IF(B3929="","",IF(AND(D3929="Formalização",E3929="Concluído"),IF(COUNTIFS($B$2:$B$5001,B3929,$E$2:$E$5001,"Em ajustes",$N$2:$N$5001,"&lt;"&amp;I3929)&gt;0,1,0),0))</f>
        <v/>
      </c>
      <c r="L3929" s="16" t="str">
        <f aca="false">IF(B3929="","",IF(N3929=_xlfn.MAXIFS($N$2:$N$5001,$B$2:$B$5001,B3929,$I$2:$I$5001,I3929),1,0))</f>
        <v/>
      </c>
      <c r="M3929" s="16" t="str">
        <f aca="false">IF(B3929="","",IF(E3929="Em ajustes",IF(N3929=_xlfn.MINIFS($N$2:$N$5001,$B$2:$B$5001,B3929,$E$2:$E$5001,"Em ajustes"),1,0),0))</f>
        <v/>
      </c>
      <c r="N3929" s="17" t="str">
        <f aca="false">IF(A3929="","",IF(ISNUMBER(A3929),A3929,IFERROR(DATE(VALUE(MID(A3929,7,4)),VALUE(MID(A3929,4,2)),VALUE(MID(A3929,1,2)))+TIME(VALUE(MID(A3929,12,2)),VALUE(MID(A3929,15,2)),VALUE(MID(A3929,18,2))),"")))</f>
        <v/>
      </c>
    </row>
    <row r="3930" customFormat="false" ht="15" hidden="false" customHeight="false" outlineLevel="0" collapsed="false">
      <c r="I3930" s="15" t="str">
        <f aca="false">IF(N3930="","",INT(N3930))</f>
        <v/>
      </c>
      <c r="J3930" s="16" t="str">
        <f aca="false">IF(B3930="","",IF(N3930=_xlfn.MINIFS($N$2:$N$5001,$B$2:$B$5001,B3930),1,0))</f>
        <v/>
      </c>
      <c r="K3930" s="16" t="str">
        <f aca="false">IF(B3930="","",IF(AND(D3930="Formalização",E3930="Concluído"),IF(COUNTIFS($B$2:$B$5001,B3930,$E$2:$E$5001,"Em ajustes",$N$2:$N$5001,"&lt;"&amp;I3930)&gt;0,1,0),0))</f>
        <v/>
      </c>
      <c r="L3930" s="16" t="str">
        <f aca="false">IF(B3930="","",IF(N3930=_xlfn.MAXIFS($N$2:$N$5001,$B$2:$B$5001,B3930,$I$2:$I$5001,I3930),1,0))</f>
        <v/>
      </c>
      <c r="M3930" s="16" t="str">
        <f aca="false">IF(B3930="","",IF(E3930="Em ajustes",IF(N3930=_xlfn.MINIFS($N$2:$N$5001,$B$2:$B$5001,B3930,$E$2:$E$5001,"Em ajustes"),1,0),0))</f>
        <v/>
      </c>
      <c r="N3930" s="17" t="str">
        <f aca="false">IF(A3930="","",IF(ISNUMBER(A3930),A3930,IFERROR(DATE(VALUE(MID(A3930,7,4)),VALUE(MID(A3930,4,2)),VALUE(MID(A3930,1,2)))+TIME(VALUE(MID(A3930,12,2)),VALUE(MID(A3930,15,2)),VALUE(MID(A3930,18,2))),"")))</f>
        <v/>
      </c>
    </row>
    <row r="3931" customFormat="false" ht="15" hidden="false" customHeight="false" outlineLevel="0" collapsed="false">
      <c r="I3931" s="15" t="str">
        <f aca="false">IF(N3931="","",INT(N3931))</f>
        <v/>
      </c>
      <c r="J3931" s="16" t="str">
        <f aca="false">IF(B3931="","",IF(N3931=_xlfn.MINIFS($N$2:$N$5001,$B$2:$B$5001,B3931),1,0))</f>
        <v/>
      </c>
      <c r="K3931" s="16" t="str">
        <f aca="false">IF(B3931="","",IF(AND(D3931="Formalização",E3931="Concluído"),IF(COUNTIFS($B$2:$B$5001,B3931,$E$2:$E$5001,"Em ajustes",$N$2:$N$5001,"&lt;"&amp;I3931)&gt;0,1,0),0))</f>
        <v/>
      </c>
      <c r="L3931" s="16" t="str">
        <f aca="false">IF(B3931="","",IF(N3931=_xlfn.MAXIFS($N$2:$N$5001,$B$2:$B$5001,B3931,$I$2:$I$5001,I3931),1,0))</f>
        <v/>
      </c>
      <c r="M3931" s="16" t="str">
        <f aca="false">IF(B3931="","",IF(E3931="Em ajustes",IF(N3931=_xlfn.MINIFS($N$2:$N$5001,$B$2:$B$5001,B3931,$E$2:$E$5001,"Em ajustes"),1,0),0))</f>
        <v/>
      </c>
      <c r="N3931" s="17" t="str">
        <f aca="false">IF(A3931="","",IF(ISNUMBER(A3931),A3931,IFERROR(DATE(VALUE(MID(A3931,7,4)),VALUE(MID(A3931,4,2)),VALUE(MID(A3931,1,2)))+TIME(VALUE(MID(A3931,12,2)),VALUE(MID(A3931,15,2)),VALUE(MID(A3931,18,2))),"")))</f>
        <v/>
      </c>
    </row>
    <row r="3932" customFormat="false" ht="15" hidden="false" customHeight="false" outlineLevel="0" collapsed="false">
      <c r="I3932" s="15" t="str">
        <f aca="false">IF(N3932="","",INT(N3932))</f>
        <v/>
      </c>
      <c r="J3932" s="16" t="str">
        <f aca="false">IF(B3932="","",IF(N3932=_xlfn.MINIFS($N$2:$N$5001,$B$2:$B$5001,B3932),1,0))</f>
        <v/>
      </c>
      <c r="K3932" s="16" t="str">
        <f aca="false">IF(B3932="","",IF(AND(D3932="Formalização",E3932="Concluído"),IF(COUNTIFS($B$2:$B$5001,B3932,$E$2:$E$5001,"Em ajustes",$N$2:$N$5001,"&lt;"&amp;I3932)&gt;0,1,0),0))</f>
        <v/>
      </c>
      <c r="L3932" s="16" t="str">
        <f aca="false">IF(B3932="","",IF(N3932=_xlfn.MAXIFS($N$2:$N$5001,$B$2:$B$5001,B3932,$I$2:$I$5001,I3932),1,0))</f>
        <v/>
      </c>
      <c r="M3932" s="16" t="str">
        <f aca="false">IF(B3932="","",IF(E3932="Em ajustes",IF(N3932=_xlfn.MINIFS($N$2:$N$5001,$B$2:$B$5001,B3932,$E$2:$E$5001,"Em ajustes"),1,0),0))</f>
        <v/>
      </c>
      <c r="N3932" s="17" t="str">
        <f aca="false">IF(A3932="","",IF(ISNUMBER(A3932),A3932,IFERROR(DATE(VALUE(MID(A3932,7,4)),VALUE(MID(A3932,4,2)),VALUE(MID(A3932,1,2)))+TIME(VALUE(MID(A3932,12,2)),VALUE(MID(A3932,15,2)),VALUE(MID(A3932,18,2))),"")))</f>
        <v/>
      </c>
    </row>
    <row r="3933" customFormat="false" ht="15" hidden="false" customHeight="false" outlineLevel="0" collapsed="false">
      <c r="I3933" s="15" t="str">
        <f aca="false">IF(N3933="","",INT(N3933))</f>
        <v/>
      </c>
      <c r="J3933" s="16" t="str">
        <f aca="false">IF(B3933="","",IF(N3933=_xlfn.MINIFS($N$2:$N$5001,$B$2:$B$5001,B3933),1,0))</f>
        <v/>
      </c>
      <c r="K3933" s="16" t="str">
        <f aca="false">IF(B3933="","",IF(AND(D3933="Formalização",E3933="Concluído"),IF(COUNTIFS($B$2:$B$5001,B3933,$E$2:$E$5001,"Em ajustes",$N$2:$N$5001,"&lt;"&amp;I3933)&gt;0,1,0),0))</f>
        <v/>
      </c>
      <c r="L3933" s="16" t="str">
        <f aca="false">IF(B3933="","",IF(N3933=_xlfn.MAXIFS($N$2:$N$5001,$B$2:$B$5001,B3933,$I$2:$I$5001,I3933),1,0))</f>
        <v/>
      </c>
      <c r="M3933" s="16" t="str">
        <f aca="false">IF(B3933="","",IF(E3933="Em ajustes",IF(N3933=_xlfn.MINIFS($N$2:$N$5001,$B$2:$B$5001,B3933,$E$2:$E$5001,"Em ajustes"),1,0),0))</f>
        <v/>
      </c>
      <c r="N3933" s="17" t="str">
        <f aca="false">IF(A3933="","",IF(ISNUMBER(A3933),A3933,IFERROR(DATE(VALUE(MID(A3933,7,4)),VALUE(MID(A3933,4,2)),VALUE(MID(A3933,1,2)))+TIME(VALUE(MID(A3933,12,2)),VALUE(MID(A3933,15,2)),VALUE(MID(A3933,18,2))),"")))</f>
        <v/>
      </c>
    </row>
    <row r="3934" customFormat="false" ht="15" hidden="false" customHeight="false" outlineLevel="0" collapsed="false">
      <c r="I3934" s="15" t="str">
        <f aca="false">IF(N3934="","",INT(N3934))</f>
        <v/>
      </c>
      <c r="J3934" s="16" t="str">
        <f aca="false">IF(B3934="","",IF(N3934=_xlfn.MINIFS($N$2:$N$5001,$B$2:$B$5001,B3934),1,0))</f>
        <v/>
      </c>
      <c r="K3934" s="16" t="str">
        <f aca="false">IF(B3934="","",IF(AND(D3934="Formalização",E3934="Concluído"),IF(COUNTIFS($B$2:$B$5001,B3934,$E$2:$E$5001,"Em ajustes",$N$2:$N$5001,"&lt;"&amp;I3934)&gt;0,1,0),0))</f>
        <v/>
      </c>
      <c r="L3934" s="16" t="str">
        <f aca="false">IF(B3934="","",IF(N3934=_xlfn.MAXIFS($N$2:$N$5001,$B$2:$B$5001,B3934,$I$2:$I$5001,I3934),1,0))</f>
        <v/>
      </c>
      <c r="M3934" s="16" t="str">
        <f aca="false">IF(B3934="","",IF(E3934="Em ajustes",IF(N3934=_xlfn.MINIFS($N$2:$N$5001,$B$2:$B$5001,B3934,$E$2:$E$5001,"Em ajustes"),1,0),0))</f>
        <v/>
      </c>
      <c r="N3934" s="17" t="str">
        <f aca="false">IF(A3934="","",IF(ISNUMBER(A3934),A3934,IFERROR(DATE(VALUE(MID(A3934,7,4)),VALUE(MID(A3934,4,2)),VALUE(MID(A3934,1,2)))+TIME(VALUE(MID(A3934,12,2)),VALUE(MID(A3934,15,2)),VALUE(MID(A3934,18,2))),"")))</f>
        <v/>
      </c>
    </row>
    <row r="3935" customFormat="false" ht="15" hidden="false" customHeight="false" outlineLevel="0" collapsed="false">
      <c r="I3935" s="15" t="str">
        <f aca="false">IF(N3935="","",INT(N3935))</f>
        <v/>
      </c>
      <c r="J3935" s="16" t="str">
        <f aca="false">IF(B3935="","",IF(N3935=_xlfn.MINIFS($N$2:$N$5001,$B$2:$B$5001,B3935),1,0))</f>
        <v/>
      </c>
      <c r="K3935" s="16" t="str">
        <f aca="false">IF(B3935="","",IF(AND(D3935="Formalização",E3935="Concluído"),IF(COUNTIFS($B$2:$B$5001,B3935,$E$2:$E$5001,"Em ajustes",$N$2:$N$5001,"&lt;"&amp;I3935)&gt;0,1,0),0))</f>
        <v/>
      </c>
      <c r="L3935" s="16" t="str">
        <f aca="false">IF(B3935="","",IF(N3935=_xlfn.MAXIFS($N$2:$N$5001,$B$2:$B$5001,B3935,$I$2:$I$5001,I3935),1,0))</f>
        <v/>
      </c>
      <c r="M3935" s="16" t="str">
        <f aca="false">IF(B3935="","",IF(E3935="Em ajustes",IF(N3935=_xlfn.MINIFS($N$2:$N$5001,$B$2:$B$5001,B3935,$E$2:$E$5001,"Em ajustes"),1,0),0))</f>
        <v/>
      </c>
      <c r="N3935" s="17" t="str">
        <f aca="false">IF(A3935="","",IF(ISNUMBER(A3935),A3935,IFERROR(DATE(VALUE(MID(A3935,7,4)),VALUE(MID(A3935,4,2)),VALUE(MID(A3935,1,2)))+TIME(VALUE(MID(A3935,12,2)),VALUE(MID(A3935,15,2)),VALUE(MID(A3935,18,2))),"")))</f>
        <v/>
      </c>
    </row>
    <row r="3936" customFormat="false" ht="15" hidden="false" customHeight="false" outlineLevel="0" collapsed="false">
      <c r="I3936" s="15" t="str">
        <f aca="false">IF(N3936="","",INT(N3936))</f>
        <v/>
      </c>
      <c r="J3936" s="16" t="str">
        <f aca="false">IF(B3936="","",IF(N3936=_xlfn.MINIFS($N$2:$N$5001,$B$2:$B$5001,B3936),1,0))</f>
        <v/>
      </c>
      <c r="K3936" s="16" t="str">
        <f aca="false">IF(B3936="","",IF(AND(D3936="Formalização",E3936="Concluído"),IF(COUNTIFS($B$2:$B$5001,B3936,$E$2:$E$5001,"Em ajustes",$N$2:$N$5001,"&lt;"&amp;I3936)&gt;0,1,0),0))</f>
        <v/>
      </c>
      <c r="L3936" s="16" t="str">
        <f aca="false">IF(B3936="","",IF(N3936=_xlfn.MAXIFS($N$2:$N$5001,$B$2:$B$5001,B3936,$I$2:$I$5001,I3936),1,0))</f>
        <v/>
      </c>
      <c r="M3936" s="16" t="str">
        <f aca="false">IF(B3936="","",IF(E3936="Em ajustes",IF(N3936=_xlfn.MINIFS($N$2:$N$5001,$B$2:$B$5001,B3936,$E$2:$E$5001,"Em ajustes"),1,0),0))</f>
        <v/>
      </c>
      <c r="N3936" s="17" t="str">
        <f aca="false">IF(A3936="","",IF(ISNUMBER(A3936),A3936,IFERROR(DATE(VALUE(MID(A3936,7,4)),VALUE(MID(A3936,4,2)),VALUE(MID(A3936,1,2)))+TIME(VALUE(MID(A3936,12,2)),VALUE(MID(A3936,15,2)),VALUE(MID(A3936,18,2))),"")))</f>
        <v/>
      </c>
    </row>
    <row r="3937" customFormat="false" ht="15" hidden="false" customHeight="false" outlineLevel="0" collapsed="false">
      <c r="I3937" s="15" t="str">
        <f aca="false">IF(N3937="","",INT(N3937))</f>
        <v/>
      </c>
      <c r="J3937" s="16" t="str">
        <f aca="false">IF(B3937="","",IF(N3937=_xlfn.MINIFS($N$2:$N$5001,$B$2:$B$5001,B3937),1,0))</f>
        <v/>
      </c>
      <c r="K3937" s="16" t="str">
        <f aca="false">IF(B3937="","",IF(AND(D3937="Formalização",E3937="Concluído"),IF(COUNTIFS($B$2:$B$5001,B3937,$E$2:$E$5001,"Em ajustes",$N$2:$N$5001,"&lt;"&amp;I3937)&gt;0,1,0),0))</f>
        <v/>
      </c>
      <c r="L3937" s="16" t="str">
        <f aca="false">IF(B3937="","",IF(N3937=_xlfn.MAXIFS($N$2:$N$5001,$B$2:$B$5001,B3937,$I$2:$I$5001,I3937),1,0))</f>
        <v/>
      </c>
      <c r="M3937" s="16" t="str">
        <f aca="false">IF(B3937="","",IF(E3937="Em ajustes",IF(N3937=_xlfn.MINIFS($N$2:$N$5001,$B$2:$B$5001,B3937,$E$2:$E$5001,"Em ajustes"),1,0),0))</f>
        <v/>
      </c>
      <c r="N3937" s="17" t="str">
        <f aca="false">IF(A3937="","",IF(ISNUMBER(A3937),A3937,IFERROR(DATE(VALUE(MID(A3937,7,4)),VALUE(MID(A3937,4,2)),VALUE(MID(A3937,1,2)))+TIME(VALUE(MID(A3937,12,2)),VALUE(MID(A3937,15,2)),VALUE(MID(A3937,18,2))),"")))</f>
        <v/>
      </c>
    </row>
    <row r="3938" customFormat="false" ht="15" hidden="false" customHeight="false" outlineLevel="0" collapsed="false">
      <c r="I3938" s="15" t="str">
        <f aca="false">IF(N3938="","",INT(N3938))</f>
        <v/>
      </c>
      <c r="J3938" s="16" t="str">
        <f aca="false">IF(B3938="","",IF(N3938=_xlfn.MINIFS($N$2:$N$5001,$B$2:$B$5001,B3938),1,0))</f>
        <v/>
      </c>
      <c r="K3938" s="16" t="str">
        <f aca="false">IF(B3938="","",IF(AND(D3938="Formalização",E3938="Concluído"),IF(COUNTIFS($B$2:$B$5001,B3938,$E$2:$E$5001,"Em ajustes",$N$2:$N$5001,"&lt;"&amp;I3938)&gt;0,1,0),0))</f>
        <v/>
      </c>
      <c r="L3938" s="16" t="str">
        <f aca="false">IF(B3938="","",IF(N3938=_xlfn.MAXIFS($N$2:$N$5001,$B$2:$B$5001,B3938,$I$2:$I$5001,I3938),1,0))</f>
        <v/>
      </c>
      <c r="M3938" s="16" t="str">
        <f aca="false">IF(B3938="","",IF(E3938="Em ajustes",IF(N3938=_xlfn.MINIFS($N$2:$N$5001,$B$2:$B$5001,B3938,$E$2:$E$5001,"Em ajustes"),1,0),0))</f>
        <v/>
      </c>
      <c r="N3938" s="17" t="str">
        <f aca="false">IF(A3938="","",IF(ISNUMBER(A3938),A3938,IFERROR(DATE(VALUE(MID(A3938,7,4)),VALUE(MID(A3938,4,2)),VALUE(MID(A3938,1,2)))+TIME(VALUE(MID(A3938,12,2)),VALUE(MID(A3938,15,2)),VALUE(MID(A3938,18,2))),"")))</f>
        <v/>
      </c>
    </row>
    <row r="3939" customFormat="false" ht="15" hidden="false" customHeight="false" outlineLevel="0" collapsed="false">
      <c r="I3939" s="15" t="str">
        <f aca="false">IF(N3939="","",INT(N3939))</f>
        <v/>
      </c>
      <c r="J3939" s="16" t="str">
        <f aca="false">IF(B3939="","",IF(N3939=_xlfn.MINIFS($N$2:$N$5001,$B$2:$B$5001,B3939),1,0))</f>
        <v/>
      </c>
      <c r="K3939" s="16" t="str">
        <f aca="false">IF(B3939="","",IF(AND(D3939="Formalização",E3939="Concluído"),IF(COUNTIFS($B$2:$B$5001,B3939,$E$2:$E$5001,"Em ajustes",$N$2:$N$5001,"&lt;"&amp;I3939)&gt;0,1,0),0))</f>
        <v/>
      </c>
      <c r="L3939" s="16" t="str">
        <f aca="false">IF(B3939="","",IF(N3939=_xlfn.MAXIFS($N$2:$N$5001,$B$2:$B$5001,B3939,$I$2:$I$5001,I3939),1,0))</f>
        <v/>
      </c>
      <c r="M3939" s="16" t="str">
        <f aca="false">IF(B3939="","",IF(E3939="Em ajustes",IF(N3939=_xlfn.MINIFS($N$2:$N$5001,$B$2:$B$5001,B3939,$E$2:$E$5001,"Em ajustes"),1,0),0))</f>
        <v/>
      </c>
      <c r="N3939" s="17" t="str">
        <f aca="false">IF(A3939="","",IF(ISNUMBER(A3939),A3939,IFERROR(DATE(VALUE(MID(A3939,7,4)),VALUE(MID(A3939,4,2)),VALUE(MID(A3939,1,2)))+TIME(VALUE(MID(A3939,12,2)),VALUE(MID(A3939,15,2)),VALUE(MID(A3939,18,2))),"")))</f>
        <v/>
      </c>
    </row>
    <row r="3940" customFormat="false" ht="15" hidden="false" customHeight="false" outlineLevel="0" collapsed="false">
      <c r="I3940" s="15" t="str">
        <f aca="false">IF(N3940="","",INT(N3940))</f>
        <v/>
      </c>
      <c r="J3940" s="16" t="str">
        <f aca="false">IF(B3940="","",IF(N3940=_xlfn.MINIFS($N$2:$N$5001,$B$2:$B$5001,B3940),1,0))</f>
        <v/>
      </c>
      <c r="K3940" s="16" t="str">
        <f aca="false">IF(B3940="","",IF(AND(D3940="Formalização",E3940="Concluído"),IF(COUNTIFS($B$2:$B$5001,B3940,$E$2:$E$5001,"Em ajustes",$N$2:$N$5001,"&lt;"&amp;I3940)&gt;0,1,0),0))</f>
        <v/>
      </c>
      <c r="L3940" s="16" t="str">
        <f aca="false">IF(B3940="","",IF(N3940=_xlfn.MAXIFS($N$2:$N$5001,$B$2:$B$5001,B3940,$I$2:$I$5001,I3940),1,0))</f>
        <v/>
      </c>
      <c r="M3940" s="16" t="str">
        <f aca="false">IF(B3940="","",IF(E3940="Em ajustes",IF(N3940=_xlfn.MINIFS($N$2:$N$5001,$B$2:$B$5001,B3940,$E$2:$E$5001,"Em ajustes"),1,0),0))</f>
        <v/>
      </c>
      <c r="N3940" s="17" t="str">
        <f aca="false">IF(A3940="","",IF(ISNUMBER(A3940),A3940,IFERROR(DATE(VALUE(MID(A3940,7,4)),VALUE(MID(A3940,4,2)),VALUE(MID(A3940,1,2)))+TIME(VALUE(MID(A3940,12,2)),VALUE(MID(A3940,15,2)),VALUE(MID(A3940,18,2))),"")))</f>
        <v/>
      </c>
    </row>
    <row r="3941" customFormat="false" ht="15" hidden="false" customHeight="false" outlineLevel="0" collapsed="false">
      <c r="I3941" s="15" t="str">
        <f aca="false">IF(N3941="","",INT(N3941))</f>
        <v/>
      </c>
      <c r="J3941" s="16" t="str">
        <f aca="false">IF(B3941="","",IF(N3941=_xlfn.MINIFS($N$2:$N$5001,$B$2:$B$5001,B3941),1,0))</f>
        <v/>
      </c>
      <c r="K3941" s="16" t="str">
        <f aca="false">IF(B3941="","",IF(AND(D3941="Formalização",E3941="Concluído"),IF(COUNTIFS($B$2:$B$5001,B3941,$E$2:$E$5001,"Em ajustes",$N$2:$N$5001,"&lt;"&amp;I3941)&gt;0,1,0),0))</f>
        <v/>
      </c>
      <c r="L3941" s="16" t="str">
        <f aca="false">IF(B3941="","",IF(N3941=_xlfn.MAXIFS($N$2:$N$5001,$B$2:$B$5001,B3941,$I$2:$I$5001,I3941),1,0))</f>
        <v/>
      </c>
      <c r="M3941" s="16" t="str">
        <f aca="false">IF(B3941="","",IF(E3941="Em ajustes",IF(N3941=_xlfn.MINIFS($N$2:$N$5001,$B$2:$B$5001,B3941,$E$2:$E$5001,"Em ajustes"),1,0),0))</f>
        <v/>
      </c>
      <c r="N3941" s="17" t="str">
        <f aca="false">IF(A3941="","",IF(ISNUMBER(A3941),A3941,IFERROR(DATE(VALUE(MID(A3941,7,4)),VALUE(MID(A3941,4,2)),VALUE(MID(A3941,1,2)))+TIME(VALUE(MID(A3941,12,2)),VALUE(MID(A3941,15,2)),VALUE(MID(A3941,18,2))),"")))</f>
        <v/>
      </c>
    </row>
    <row r="3942" customFormat="false" ht="15" hidden="false" customHeight="false" outlineLevel="0" collapsed="false">
      <c r="I3942" s="15" t="str">
        <f aca="false">IF(N3942="","",INT(N3942))</f>
        <v/>
      </c>
      <c r="J3942" s="16" t="str">
        <f aca="false">IF(B3942="","",IF(N3942=_xlfn.MINIFS($N$2:$N$5001,$B$2:$B$5001,B3942),1,0))</f>
        <v/>
      </c>
      <c r="K3942" s="16" t="str">
        <f aca="false">IF(B3942="","",IF(AND(D3942="Formalização",E3942="Concluído"),IF(COUNTIFS($B$2:$B$5001,B3942,$E$2:$E$5001,"Em ajustes",$N$2:$N$5001,"&lt;"&amp;I3942)&gt;0,1,0),0))</f>
        <v/>
      </c>
      <c r="L3942" s="16" t="str">
        <f aca="false">IF(B3942="","",IF(N3942=_xlfn.MAXIFS($N$2:$N$5001,$B$2:$B$5001,B3942,$I$2:$I$5001,I3942),1,0))</f>
        <v/>
      </c>
      <c r="M3942" s="16" t="str">
        <f aca="false">IF(B3942="","",IF(E3942="Em ajustes",IF(N3942=_xlfn.MINIFS($N$2:$N$5001,$B$2:$B$5001,B3942,$E$2:$E$5001,"Em ajustes"),1,0),0))</f>
        <v/>
      </c>
      <c r="N3942" s="17" t="str">
        <f aca="false">IF(A3942="","",IF(ISNUMBER(A3942),A3942,IFERROR(DATE(VALUE(MID(A3942,7,4)),VALUE(MID(A3942,4,2)),VALUE(MID(A3942,1,2)))+TIME(VALUE(MID(A3942,12,2)),VALUE(MID(A3942,15,2)),VALUE(MID(A3942,18,2))),"")))</f>
        <v/>
      </c>
    </row>
    <row r="3943" customFormat="false" ht="15" hidden="false" customHeight="false" outlineLevel="0" collapsed="false">
      <c r="I3943" s="15" t="str">
        <f aca="false">IF(N3943="","",INT(N3943))</f>
        <v/>
      </c>
      <c r="J3943" s="16" t="str">
        <f aca="false">IF(B3943="","",IF(N3943=_xlfn.MINIFS($N$2:$N$5001,$B$2:$B$5001,B3943),1,0))</f>
        <v/>
      </c>
      <c r="K3943" s="16" t="str">
        <f aca="false">IF(B3943="","",IF(AND(D3943="Formalização",E3943="Concluído"),IF(COUNTIFS($B$2:$B$5001,B3943,$E$2:$E$5001,"Em ajustes",$N$2:$N$5001,"&lt;"&amp;I3943)&gt;0,1,0),0))</f>
        <v/>
      </c>
      <c r="L3943" s="16" t="str">
        <f aca="false">IF(B3943="","",IF(N3943=_xlfn.MAXIFS($N$2:$N$5001,$B$2:$B$5001,B3943,$I$2:$I$5001,I3943),1,0))</f>
        <v/>
      </c>
      <c r="M3943" s="16" t="str">
        <f aca="false">IF(B3943="","",IF(E3943="Em ajustes",IF(N3943=_xlfn.MINIFS($N$2:$N$5001,$B$2:$B$5001,B3943,$E$2:$E$5001,"Em ajustes"),1,0),0))</f>
        <v/>
      </c>
      <c r="N3943" s="17" t="str">
        <f aca="false">IF(A3943="","",IF(ISNUMBER(A3943),A3943,IFERROR(DATE(VALUE(MID(A3943,7,4)),VALUE(MID(A3943,4,2)),VALUE(MID(A3943,1,2)))+TIME(VALUE(MID(A3943,12,2)),VALUE(MID(A3943,15,2)),VALUE(MID(A3943,18,2))),"")))</f>
        <v/>
      </c>
    </row>
    <row r="3944" customFormat="false" ht="15" hidden="false" customHeight="false" outlineLevel="0" collapsed="false">
      <c r="I3944" s="15" t="str">
        <f aca="false">IF(N3944="","",INT(N3944))</f>
        <v/>
      </c>
      <c r="J3944" s="16" t="str">
        <f aca="false">IF(B3944="","",IF(N3944=_xlfn.MINIFS($N$2:$N$5001,$B$2:$B$5001,B3944),1,0))</f>
        <v/>
      </c>
      <c r="K3944" s="16" t="str">
        <f aca="false">IF(B3944="","",IF(AND(D3944="Formalização",E3944="Concluído"),IF(COUNTIFS($B$2:$B$5001,B3944,$E$2:$E$5001,"Em ajustes",$N$2:$N$5001,"&lt;"&amp;I3944)&gt;0,1,0),0))</f>
        <v/>
      </c>
      <c r="L3944" s="16" t="str">
        <f aca="false">IF(B3944="","",IF(N3944=_xlfn.MAXIFS($N$2:$N$5001,$B$2:$B$5001,B3944,$I$2:$I$5001,I3944),1,0))</f>
        <v/>
      </c>
      <c r="M3944" s="16" t="str">
        <f aca="false">IF(B3944="","",IF(E3944="Em ajustes",IF(N3944=_xlfn.MINIFS($N$2:$N$5001,$B$2:$B$5001,B3944,$E$2:$E$5001,"Em ajustes"),1,0),0))</f>
        <v/>
      </c>
      <c r="N3944" s="17" t="str">
        <f aca="false">IF(A3944="","",IF(ISNUMBER(A3944),A3944,IFERROR(DATE(VALUE(MID(A3944,7,4)),VALUE(MID(A3944,4,2)),VALUE(MID(A3944,1,2)))+TIME(VALUE(MID(A3944,12,2)),VALUE(MID(A3944,15,2)),VALUE(MID(A3944,18,2))),"")))</f>
        <v/>
      </c>
    </row>
    <row r="3945" customFormat="false" ht="15" hidden="false" customHeight="false" outlineLevel="0" collapsed="false">
      <c r="I3945" s="15" t="str">
        <f aca="false">IF(N3945="","",INT(N3945))</f>
        <v/>
      </c>
      <c r="J3945" s="16" t="str">
        <f aca="false">IF(B3945="","",IF(N3945=_xlfn.MINIFS($N$2:$N$5001,$B$2:$B$5001,B3945),1,0))</f>
        <v/>
      </c>
      <c r="K3945" s="16" t="str">
        <f aca="false">IF(B3945="","",IF(AND(D3945="Formalização",E3945="Concluído"),IF(COUNTIFS($B$2:$B$5001,B3945,$E$2:$E$5001,"Em ajustes",$N$2:$N$5001,"&lt;"&amp;I3945)&gt;0,1,0),0))</f>
        <v/>
      </c>
      <c r="L3945" s="16" t="str">
        <f aca="false">IF(B3945="","",IF(N3945=_xlfn.MAXIFS($N$2:$N$5001,$B$2:$B$5001,B3945,$I$2:$I$5001,I3945),1,0))</f>
        <v/>
      </c>
      <c r="M3945" s="16" t="str">
        <f aca="false">IF(B3945="","",IF(E3945="Em ajustes",IF(N3945=_xlfn.MINIFS($N$2:$N$5001,$B$2:$B$5001,B3945,$E$2:$E$5001,"Em ajustes"),1,0),0))</f>
        <v/>
      </c>
      <c r="N3945" s="17" t="str">
        <f aca="false">IF(A3945="","",IF(ISNUMBER(A3945),A3945,IFERROR(DATE(VALUE(MID(A3945,7,4)),VALUE(MID(A3945,4,2)),VALUE(MID(A3945,1,2)))+TIME(VALUE(MID(A3945,12,2)),VALUE(MID(A3945,15,2)),VALUE(MID(A3945,18,2))),"")))</f>
        <v/>
      </c>
    </row>
    <row r="3946" customFormat="false" ht="15" hidden="false" customHeight="false" outlineLevel="0" collapsed="false">
      <c r="I3946" s="15" t="str">
        <f aca="false">IF(N3946="","",INT(N3946))</f>
        <v/>
      </c>
      <c r="J3946" s="16" t="str">
        <f aca="false">IF(B3946="","",IF(N3946=_xlfn.MINIFS($N$2:$N$5001,$B$2:$B$5001,B3946),1,0))</f>
        <v/>
      </c>
      <c r="K3946" s="16" t="str">
        <f aca="false">IF(B3946="","",IF(AND(D3946="Formalização",E3946="Concluído"),IF(COUNTIFS($B$2:$B$5001,B3946,$E$2:$E$5001,"Em ajustes",$N$2:$N$5001,"&lt;"&amp;I3946)&gt;0,1,0),0))</f>
        <v/>
      </c>
      <c r="L3946" s="16" t="str">
        <f aca="false">IF(B3946="","",IF(N3946=_xlfn.MAXIFS($N$2:$N$5001,$B$2:$B$5001,B3946,$I$2:$I$5001,I3946),1,0))</f>
        <v/>
      </c>
      <c r="M3946" s="16" t="str">
        <f aca="false">IF(B3946="","",IF(E3946="Em ajustes",IF(N3946=_xlfn.MINIFS($N$2:$N$5001,$B$2:$B$5001,B3946,$E$2:$E$5001,"Em ajustes"),1,0),0))</f>
        <v/>
      </c>
      <c r="N3946" s="17" t="str">
        <f aca="false">IF(A3946="","",IF(ISNUMBER(A3946),A3946,IFERROR(DATE(VALUE(MID(A3946,7,4)),VALUE(MID(A3946,4,2)),VALUE(MID(A3946,1,2)))+TIME(VALUE(MID(A3946,12,2)),VALUE(MID(A3946,15,2)),VALUE(MID(A3946,18,2))),"")))</f>
        <v/>
      </c>
    </row>
    <row r="3947" customFormat="false" ht="15" hidden="false" customHeight="false" outlineLevel="0" collapsed="false">
      <c r="I3947" s="15" t="str">
        <f aca="false">IF(N3947="","",INT(N3947))</f>
        <v/>
      </c>
      <c r="J3947" s="16" t="str">
        <f aca="false">IF(B3947="","",IF(N3947=_xlfn.MINIFS($N$2:$N$5001,$B$2:$B$5001,B3947),1,0))</f>
        <v/>
      </c>
      <c r="K3947" s="16" t="str">
        <f aca="false">IF(B3947="","",IF(AND(D3947="Formalização",E3947="Concluído"),IF(COUNTIFS($B$2:$B$5001,B3947,$E$2:$E$5001,"Em ajustes",$N$2:$N$5001,"&lt;"&amp;I3947)&gt;0,1,0),0))</f>
        <v/>
      </c>
      <c r="L3947" s="16" t="str">
        <f aca="false">IF(B3947="","",IF(N3947=_xlfn.MAXIFS($N$2:$N$5001,$B$2:$B$5001,B3947,$I$2:$I$5001,I3947),1,0))</f>
        <v/>
      </c>
      <c r="M3947" s="16" t="str">
        <f aca="false">IF(B3947="","",IF(E3947="Em ajustes",IF(N3947=_xlfn.MINIFS($N$2:$N$5001,$B$2:$B$5001,B3947,$E$2:$E$5001,"Em ajustes"),1,0),0))</f>
        <v/>
      </c>
      <c r="N3947" s="17" t="str">
        <f aca="false">IF(A3947="","",IF(ISNUMBER(A3947),A3947,IFERROR(DATE(VALUE(MID(A3947,7,4)),VALUE(MID(A3947,4,2)),VALUE(MID(A3947,1,2)))+TIME(VALUE(MID(A3947,12,2)),VALUE(MID(A3947,15,2)),VALUE(MID(A3947,18,2))),"")))</f>
        <v/>
      </c>
    </row>
    <row r="3948" customFormat="false" ht="15" hidden="false" customHeight="false" outlineLevel="0" collapsed="false">
      <c r="I3948" s="15" t="str">
        <f aca="false">IF(N3948="","",INT(N3948))</f>
        <v/>
      </c>
      <c r="J3948" s="16" t="str">
        <f aca="false">IF(B3948="","",IF(N3948=_xlfn.MINIFS($N$2:$N$5001,$B$2:$B$5001,B3948),1,0))</f>
        <v/>
      </c>
      <c r="K3948" s="16" t="str">
        <f aca="false">IF(B3948="","",IF(AND(D3948="Formalização",E3948="Concluído"),IF(COUNTIFS($B$2:$B$5001,B3948,$E$2:$E$5001,"Em ajustes",$N$2:$N$5001,"&lt;"&amp;I3948)&gt;0,1,0),0))</f>
        <v/>
      </c>
      <c r="L3948" s="16" t="str">
        <f aca="false">IF(B3948="","",IF(N3948=_xlfn.MAXIFS($N$2:$N$5001,$B$2:$B$5001,B3948,$I$2:$I$5001,I3948),1,0))</f>
        <v/>
      </c>
      <c r="M3948" s="16" t="str">
        <f aca="false">IF(B3948="","",IF(E3948="Em ajustes",IF(N3948=_xlfn.MINIFS($N$2:$N$5001,$B$2:$B$5001,B3948,$E$2:$E$5001,"Em ajustes"),1,0),0))</f>
        <v/>
      </c>
      <c r="N3948" s="17" t="str">
        <f aca="false">IF(A3948="","",IF(ISNUMBER(A3948),A3948,IFERROR(DATE(VALUE(MID(A3948,7,4)),VALUE(MID(A3948,4,2)),VALUE(MID(A3948,1,2)))+TIME(VALUE(MID(A3948,12,2)),VALUE(MID(A3948,15,2)),VALUE(MID(A3948,18,2))),"")))</f>
        <v/>
      </c>
    </row>
    <row r="3949" customFormat="false" ht="15" hidden="false" customHeight="false" outlineLevel="0" collapsed="false">
      <c r="I3949" s="15" t="str">
        <f aca="false">IF(N3949="","",INT(N3949))</f>
        <v/>
      </c>
      <c r="J3949" s="16" t="str">
        <f aca="false">IF(B3949="","",IF(N3949=_xlfn.MINIFS($N$2:$N$5001,$B$2:$B$5001,B3949),1,0))</f>
        <v/>
      </c>
      <c r="K3949" s="16" t="str">
        <f aca="false">IF(B3949="","",IF(AND(D3949="Formalização",E3949="Concluído"),IF(COUNTIFS($B$2:$B$5001,B3949,$E$2:$E$5001,"Em ajustes",$N$2:$N$5001,"&lt;"&amp;I3949)&gt;0,1,0),0))</f>
        <v/>
      </c>
      <c r="L3949" s="16" t="str">
        <f aca="false">IF(B3949="","",IF(N3949=_xlfn.MAXIFS($N$2:$N$5001,$B$2:$B$5001,B3949,$I$2:$I$5001,I3949),1,0))</f>
        <v/>
      </c>
      <c r="M3949" s="16" t="str">
        <f aca="false">IF(B3949="","",IF(E3949="Em ajustes",IF(N3949=_xlfn.MINIFS($N$2:$N$5001,$B$2:$B$5001,B3949,$E$2:$E$5001,"Em ajustes"),1,0),0))</f>
        <v/>
      </c>
      <c r="N3949" s="17" t="str">
        <f aca="false">IF(A3949="","",IF(ISNUMBER(A3949),A3949,IFERROR(DATE(VALUE(MID(A3949,7,4)),VALUE(MID(A3949,4,2)),VALUE(MID(A3949,1,2)))+TIME(VALUE(MID(A3949,12,2)),VALUE(MID(A3949,15,2)),VALUE(MID(A3949,18,2))),"")))</f>
        <v/>
      </c>
    </row>
    <row r="3950" customFormat="false" ht="15" hidden="false" customHeight="false" outlineLevel="0" collapsed="false">
      <c r="I3950" s="15" t="str">
        <f aca="false">IF(N3950="","",INT(N3950))</f>
        <v/>
      </c>
      <c r="J3950" s="16" t="str">
        <f aca="false">IF(B3950="","",IF(N3950=_xlfn.MINIFS($N$2:$N$5001,$B$2:$B$5001,B3950),1,0))</f>
        <v/>
      </c>
      <c r="K3950" s="16" t="str">
        <f aca="false">IF(B3950="","",IF(AND(D3950="Formalização",E3950="Concluído"),IF(COUNTIFS($B$2:$B$5001,B3950,$E$2:$E$5001,"Em ajustes",$N$2:$N$5001,"&lt;"&amp;I3950)&gt;0,1,0),0))</f>
        <v/>
      </c>
      <c r="L3950" s="16" t="str">
        <f aca="false">IF(B3950="","",IF(N3950=_xlfn.MAXIFS($N$2:$N$5001,$B$2:$B$5001,B3950,$I$2:$I$5001,I3950),1,0))</f>
        <v/>
      </c>
      <c r="M3950" s="16" t="str">
        <f aca="false">IF(B3950="","",IF(E3950="Em ajustes",IF(N3950=_xlfn.MINIFS($N$2:$N$5001,$B$2:$B$5001,B3950,$E$2:$E$5001,"Em ajustes"),1,0),0))</f>
        <v/>
      </c>
      <c r="N3950" s="17" t="str">
        <f aca="false">IF(A3950="","",IF(ISNUMBER(A3950),A3950,IFERROR(DATE(VALUE(MID(A3950,7,4)),VALUE(MID(A3950,4,2)),VALUE(MID(A3950,1,2)))+TIME(VALUE(MID(A3950,12,2)),VALUE(MID(A3950,15,2)),VALUE(MID(A3950,18,2))),"")))</f>
        <v/>
      </c>
    </row>
    <row r="3951" customFormat="false" ht="15" hidden="false" customHeight="false" outlineLevel="0" collapsed="false">
      <c r="I3951" s="15" t="str">
        <f aca="false">IF(N3951="","",INT(N3951))</f>
        <v/>
      </c>
      <c r="J3951" s="16" t="str">
        <f aca="false">IF(B3951="","",IF(N3951=_xlfn.MINIFS($N$2:$N$5001,$B$2:$B$5001,B3951),1,0))</f>
        <v/>
      </c>
      <c r="K3951" s="16" t="str">
        <f aca="false">IF(B3951="","",IF(AND(D3951="Formalização",E3951="Concluído"),IF(COUNTIFS($B$2:$B$5001,B3951,$E$2:$E$5001,"Em ajustes",$N$2:$N$5001,"&lt;"&amp;I3951)&gt;0,1,0),0))</f>
        <v/>
      </c>
      <c r="L3951" s="16" t="str">
        <f aca="false">IF(B3951="","",IF(N3951=_xlfn.MAXIFS($N$2:$N$5001,$B$2:$B$5001,B3951,$I$2:$I$5001,I3951),1,0))</f>
        <v/>
      </c>
      <c r="M3951" s="16" t="str">
        <f aca="false">IF(B3951="","",IF(E3951="Em ajustes",IF(N3951=_xlfn.MINIFS($N$2:$N$5001,$B$2:$B$5001,B3951,$E$2:$E$5001,"Em ajustes"),1,0),0))</f>
        <v/>
      </c>
      <c r="N3951" s="17" t="str">
        <f aca="false">IF(A3951="","",IF(ISNUMBER(A3951),A3951,IFERROR(DATE(VALUE(MID(A3951,7,4)),VALUE(MID(A3951,4,2)),VALUE(MID(A3951,1,2)))+TIME(VALUE(MID(A3951,12,2)),VALUE(MID(A3951,15,2)),VALUE(MID(A3951,18,2))),"")))</f>
        <v/>
      </c>
    </row>
    <row r="3952" customFormat="false" ht="15" hidden="false" customHeight="false" outlineLevel="0" collapsed="false">
      <c r="I3952" s="15" t="str">
        <f aca="false">IF(N3952="","",INT(N3952))</f>
        <v/>
      </c>
      <c r="J3952" s="16" t="str">
        <f aca="false">IF(B3952="","",IF(N3952=_xlfn.MINIFS($N$2:$N$5001,$B$2:$B$5001,B3952),1,0))</f>
        <v/>
      </c>
      <c r="K3952" s="16" t="str">
        <f aca="false">IF(B3952="","",IF(AND(D3952="Formalização",E3952="Concluído"),IF(COUNTIFS($B$2:$B$5001,B3952,$E$2:$E$5001,"Em ajustes",$N$2:$N$5001,"&lt;"&amp;I3952)&gt;0,1,0),0))</f>
        <v/>
      </c>
      <c r="L3952" s="16" t="str">
        <f aca="false">IF(B3952="","",IF(N3952=_xlfn.MAXIFS($N$2:$N$5001,$B$2:$B$5001,B3952,$I$2:$I$5001,I3952),1,0))</f>
        <v/>
      </c>
      <c r="M3952" s="16" t="str">
        <f aca="false">IF(B3952="","",IF(E3952="Em ajustes",IF(N3952=_xlfn.MINIFS($N$2:$N$5001,$B$2:$B$5001,B3952,$E$2:$E$5001,"Em ajustes"),1,0),0))</f>
        <v/>
      </c>
      <c r="N3952" s="17" t="str">
        <f aca="false">IF(A3952="","",IF(ISNUMBER(A3952),A3952,IFERROR(DATE(VALUE(MID(A3952,7,4)),VALUE(MID(A3952,4,2)),VALUE(MID(A3952,1,2)))+TIME(VALUE(MID(A3952,12,2)),VALUE(MID(A3952,15,2)),VALUE(MID(A3952,18,2))),"")))</f>
        <v/>
      </c>
    </row>
    <row r="3953" customFormat="false" ht="15" hidden="false" customHeight="false" outlineLevel="0" collapsed="false">
      <c r="I3953" s="15" t="str">
        <f aca="false">IF(N3953="","",INT(N3953))</f>
        <v/>
      </c>
      <c r="J3953" s="16" t="str">
        <f aca="false">IF(B3953="","",IF(N3953=_xlfn.MINIFS($N$2:$N$5001,$B$2:$B$5001,B3953),1,0))</f>
        <v/>
      </c>
      <c r="K3953" s="16" t="str">
        <f aca="false">IF(B3953="","",IF(AND(D3953="Formalização",E3953="Concluído"),IF(COUNTIFS($B$2:$B$5001,B3953,$E$2:$E$5001,"Em ajustes",$N$2:$N$5001,"&lt;"&amp;I3953)&gt;0,1,0),0))</f>
        <v/>
      </c>
      <c r="L3953" s="16" t="str">
        <f aca="false">IF(B3953="","",IF(N3953=_xlfn.MAXIFS($N$2:$N$5001,$B$2:$B$5001,B3953,$I$2:$I$5001,I3953),1,0))</f>
        <v/>
      </c>
      <c r="M3953" s="16" t="str">
        <f aca="false">IF(B3953="","",IF(E3953="Em ajustes",IF(N3953=_xlfn.MINIFS($N$2:$N$5001,$B$2:$B$5001,B3953,$E$2:$E$5001,"Em ajustes"),1,0),0))</f>
        <v/>
      </c>
      <c r="N3953" s="17" t="str">
        <f aca="false">IF(A3953="","",IF(ISNUMBER(A3953),A3953,IFERROR(DATE(VALUE(MID(A3953,7,4)),VALUE(MID(A3953,4,2)),VALUE(MID(A3953,1,2)))+TIME(VALUE(MID(A3953,12,2)),VALUE(MID(A3953,15,2)),VALUE(MID(A3953,18,2))),"")))</f>
        <v/>
      </c>
    </row>
    <row r="3954" customFormat="false" ht="15" hidden="false" customHeight="false" outlineLevel="0" collapsed="false">
      <c r="I3954" s="15" t="str">
        <f aca="false">IF(N3954="","",INT(N3954))</f>
        <v/>
      </c>
      <c r="J3954" s="16" t="str">
        <f aca="false">IF(B3954="","",IF(N3954=_xlfn.MINIFS($N$2:$N$5001,$B$2:$B$5001,B3954),1,0))</f>
        <v/>
      </c>
      <c r="K3954" s="16" t="str">
        <f aca="false">IF(B3954="","",IF(AND(D3954="Formalização",E3954="Concluído"),IF(COUNTIFS($B$2:$B$5001,B3954,$E$2:$E$5001,"Em ajustes",$N$2:$N$5001,"&lt;"&amp;I3954)&gt;0,1,0),0))</f>
        <v/>
      </c>
      <c r="L3954" s="16" t="str">
        <f aca="false">IF(B3954="","",IF(N3954=_xlfn.MAXIFS($N$2:$N$5001,$B$2:$B$5001,B3954,$I$2:$I$5001,I3954),1,0))</f>
        <v/>
      </c>
      <c r="M3954" s="16" t="str">
        <f aca="false">IF(B3954="","",IF(E3954="Em ajustes",IF(N3954=_xlfn.MINIFS($N$2:$N$5001,$B$2:$B$5001,B3954,$E$2:$E$5001,"Em ajustes"),1,0),0))</f>
        <v/>
      </c>
      <c r="N3954" s="17" t="str">
        <f aca="false">IF(A3954="","",IF(ISNUMBER(A3954),A3954,IFERROR(DATE(VALUE(MID(A3954,7,4)),VALUE(MID(A3954,4,2)),VALUE(MID(A3954,1,2)))+TIME(VALUE(MID(A3954,12,2)),VALUE(MID(A3954,15,2)),VALUE(MID(A3954,18,2))),"")))</f>
        <v/>
      </c>
    </row>
    <row r="3955" customFormat="false" ht="15" hidden="false" customHeight="false" outlineLevel="0" collapsed="false">
      <c r="I3955" s="15" t="str">
        <f aca="false">IF(N3955="","",INT(N3955))</f>
        <v/>
      </c>
      <c r="J3955" s="16" t="str">
        <f aca="false">IF(B3955="","",IF(N3955=_xlfn.MINIFS($N$2:$N$5001,$B$2:$B$5001,B3955),1,0))</f>
        <v/>
      </c>
      <c r="K3955" s="16" t="str">
        <f aca="false">IF(B3955="","",IF(AND(D3955="Formalização",E3955="Concluído"),IF(COUNTIFS($B$2:$B$5001,B3955,$E$2:$E$5001,"Em ajustes",$N$2:$N$5001,"&lt;"&amp;I3955)&gt;0,1,0),0))</f>
        <v/>
      </c>
      <c r="L3955" s="16" t="str">
        <f aca="false">IF(B3955="","",IF(N3955=_xlfn.MAXIFS($N$2:$N$5001,$B$2:$B$5001,B3955,$I$2:$I$5001,I3955),1,0))</f>
        <v/>
      </c>
      <c r="M3955" s="16" t="str">
        <f aca="false">IF(B3955="","",IF(E3955="Em ajustes",IF(N3955=_xlfn.MINIFS($N$2:$N$5001,$B$2:$B$5001,B3955,$E$2:$E$5001,"Em ajustes"),1,0),0))</f>
        <v/>
      </c>
      <c r="N3955" s="17" t="str">
        <f aca="false">IF(A3955="","",IF(ISNUMBER(A3955),A3955,IFERROR(DATE(VALUE(MID(A3955,7,4)),VALUE(MID(A3955,4,2)),VALUE(MID(A3955,1,2)))+TIME(VALUE(MID(A3955,12,2)),VALUE(MID(A3955,15,2)),VALUE(MID(A3955,18,2))),"")))</f>
        <v/>
      </c>
    </row>
    <row r="3956" customFormat="false" ht="15" hidden="false" customHeight="false" outlineLevel="0" collapsed="false">
      <c r="I3956" s="15" t="str">
        <f aca="false">IF(N3956="","",INT(N3956))</f>
        <v/>
      </c>
      <c r="J3956" s="16" t="str">
        <f aca="false">IF(B3956="","",IF(N3956=_xlfn.MINIFS($N$2:$N$5001,$B$2:$B$5001,B3956),1,0))</f>
        <v/>
      </c>
      <c r="K3956" s="16" t="str">
        <f aca="false">IF(B3956="","",IF(AND(D3956="Formalização",E3956="Concluído"),IF(COUNTIFS($B$2:$B$5001,B3956,$E$2:$E$5001,"Em ajustes",$N$2:$N$5001,"&lt;"&amp;I3956)&gt;0,1,0),0))</f>
        <v/>
      </c>
      <c r="L3956" s="16" t="str">
        <f aca="false">IF(B3956="","",IF(N3956=_xlfn.MAXIFS($N$2:$N$5001,$B$2:$B$5001,B3956,$I$2:$I$5001,I3956),1,0))</f>
        <v/>
      </c>
      <c r="M3956" s="16" t="str">
        <f aca="false">IF(B3956="","",IF(E3956="Em ajustes",IF(N3956=_xlfn.MINIFS($N$2:$N$5001,$B$2:$B$5001,B3956,$E$2:$E$5001,"Em ajustes"),1,0),0))</f>
        <v/>
      </c>
      <c r="N3956" s="17" t="str">
        <f aca="false">IF(A3956="","",IF(ISNUMBER(A3956),A3956,IFERROR(DATE(VALUE(MID(A3956,7,4)),VALUE(MID(A3956,4,2)),VALUE(MID(A3956,1,2)))+TIME(VALUE(MID(A3956,12,2)),VALUE(MID(A3956,15,2)),VALUE(MID(A3956,18,2))),"")))</f>
        <v/>
      </c>
    </row>
    <row r="3957" customFormat="false" ht="15" hidden="false" customHeight="false" outlineLevel="0" collapsed="false">
      <c r="I3957" s="15" t="str">
        <f aca="false">IF(N3957="","",INT(N3957))</f>
        <v/>
      </c>
      <c r="J3957" s="16" t="str">
        <f aca="false">IF(B3957="","",IF(N3957=_xlfn.MINIFS($N$2:$N$5001,$B$2:$B$5001,B3957),1,0))</f>
        <v/>
      </c>
      <c r="K3957" s="16" t="str">
        <f aca="false">IF(B3957="","",IF(AND(D3957="Formalização",E3957="Concluído"),IF(COUNTIFS($B$2:$B$5001,B3957,$E$2:$E$5001,"Em ajustes",$N$2:$N$5001,"&lt;"&amp;I3957)&gt;0,1,0),0))</f>
        <v/>
      </c>
      <c r="L3957" s="16" t="str">
        <f aca="false">IF(B3957="","",IF(N3957=_xlfn.MAXIFS($N$2:$N$5001,$B$2:$B$5001,B3957,$I$2:$I$5001,I3957),1,0))</f>
        <v/>
      </c>
      <c r="M3957" s="16" t="str">
        <f aca="false">IF(B3957="","",IF(E3957="Em ajustes",IF(N3957=_xlfn.MINIFS($N$2:$N$5001,$B$2:$B$5001,B3957,$E$2:$E$5001,"Em ajustes"),1,0),0))</f>
        <v/>
      </c>
      <c r="N3957" s="17" t="str">
        <f aca="false">IF(A3957="","",IF(ISNUMBER(A3957),A3957,IFERROR(DATE(VALUE(MID(A3957,7,4)),VALUE(MID(A3957,4,2)),VALUE(MID(A3957,1,2)))+TIME(VALUE(MID(A3957,12,2)),VALUE(MID(A3957,15,2)),VALUE(MID(A3957,18,2))),"")))</f>
        <v/>
      </c>
    </row>
    <row r="3958" customFormat="false" ht="15" hidden="false" customHeight="false" outlineLevel="0" collapsed="false">
      <c r="I3958" s="15" t="str">
        <f aca="false">IF(N3958="","",INT(N3958))</f>
        <v/>
      </c>
      <c r="J3958" s="16" t="str">
        <f aca="false">IF(B3958="","",IF(N3958=_xlfn.MINIFS($N$2:$N$5001,$B$2:$B$5001,B3958),1,0))</f>
        <v/>
      </c>
      <c r="K3958" s="16" t="str">
        <f aca="false">IF(B3958="","",IF(AND(D3958="Formalização",E3958="Concluído"),IF(COUNTIFS($B$2:$B$5001,B3958,$E$2:$E$5001,"Em ajustes",$N$2:$N$5001,"&lt;"&amp;I3958)&gt;0,1,0),0))</f>
        <v/>
      </c>
      <c r="L3958" s="16" t="str">
        <f aca="false">IF(B3958="","",IF(N3958=_xlfn.MAXIFS($N$2:$N$5001,$B$2:$B$5001,B3958,$I$2:$I$5001,I3958),1,0))</f>
        <v/>
      </c>
      <c r="M3958" s="16" t="str">
        <f aca="false">IF(B3958="","",IF(E3958="Em ajustes",IF(N3958=_xlfn.MINIFS($N$2:$N$5001,$B$2:$B$5001,B3958,$E$2:$E$5001,"Em ajustes"),1,0),0))</f>
        <v/>
      </c>
      <c r="N3958" s="17" t="str">
        <f aca="false">IF(A3958="","",IF(ISNUMBER(A3958),A3958,IFERROR(DATE(VALUE(MID(A3958,7,4)),VALUE(MID(A3958,4,2)),VALUE(MID(A3958,1,2)))+TIME(VALUE(MID(A3958,12,2)),VALUE(MID(A3958,15,2)),VALUE(MID(A3958,18,2))),"")))</f>
        <v/>
      </c>
    </row>
    <row r="3959" customFormat="false" ht="15" hidden="false" customHeight="false" outlineLevel="0" collapsed="false">
      <c r="I3959" s="15" t="str">
        <f aca="false">IF(N3959="","",INT(N3959))</f>
        <v/>
      </c>
      <c r="J3959" s="16" t="str">
        <f aca="false">IF(B3959="","",IF(N3959=_xlfn.MINIFS($N$2:$N$5001,$B$2:$B$5001,B3959),1,0))</f>
        <v/>
      </c>
      <c r="K3959" s="16" t="str">
        <f aca="false">IF(B3959="","",IF(AND(D3959="Formalização",E3959="Concluído"),IF(COUNTIFS($B$2:$B$5001,B3959,$E$2:$E$5001,"Em ajustes",$N$2:$N$5001,"&lt;"&amp;I3959)&gt;0,1,0),0))</f>
        <v/>
      </c>
      <c r="L3959" s="16" t="str">
        <f aca="false">IF(B3959="","",IF(N3959=_xlfn.MAXIFS($N$2:$N$5001,$B$2:$B$5001,B3959,$I$2:$I$5001,I3959),1,0))</f>
        <v/>
      </c>
      <c r="M3959" s="16" t="str">
        <f aca="false">IF(B3959="","",IF(E3959="Em ajustes",IF(N3959=_xlfn.MINIFS($N$2:$N$5001,$B$2:$B$5001,B3959,$E$2:$E$5001,"Em ajustes"),1,0),0))</f>
        <v/>
      </c>
      <c r="N3959" s="17" t="str">
        <f aca="false">IF(A3959="","",IF(ISNUMBER(A3959),A3959,IFERROR(DATE(VALUE(MID(A3959,7,4)),VALUE(MID(A3959,4,2)),VALUE(MID(A3959,1,2)))+TIME(VALUE(MID(A3959,12,2)),VALUE(MID(A3959,15,2)),VALUE(MID(A3959,18,2))),"")))</f>
        <v/>
      </c>
    </row>
    <row r="3960" customFormat="false" ht="15" hidden="false" customHeight="false" outlineLevel="0" collapsed="false">
      <c r="I3960" s="15" t="str">
        <f aca="false">IF(N3960="","",INT(N3960))</f>
        <v/>
      </c>
      <c r="J3960" s="16" t="str">
        <f aca="false">IF(B3960="","",IF(N3960=_xlfn.MINIFS($N$2:$N$5001,$B$2:$B$5001,B3960),1,0))</f>
        <v/>
      </c>
      <c r="K3960" s="16" t="str">
        <f aca="false">IF(B3960="","",IF(AND(D3960="Formalização",E3960="Concluído"),IF(COUNTIFS($B$2:$B$5001,B3960,$E$2:$E$5001,"Em ajustes",$N$2:$N$5001,"&lt;"&amp;I3960)&gt;0,1,0),0))</f>
        <v/>
      </c>
      <c r="L3960" s="16" t="str">
        <f aca="false">IF(B3960="","",IF(N3960=_xlfn.MAXIFS($N$2:$N$5001,$B$2:$B$5001,B3960,$I$2:$I$5001,I3960),1,0))</f>
        <v/>
      </c>
      <c r="M3960" s="16" t="str">
        <f aca="false">IF(B3960="","",IF(E3960="Em ajustes",IF(N3960=_xlfn.MINIFS($N$2:$N$5001,$B$2:$B$5001,B3960,$E$2:$E$5001,"Em ajustes"),1,0),0))</f>
        <v/>
      </c>
      <c r="N3960" s="17" t="str">
        <f aca="false">IF(A3960="","",IF(ISNUMBER(A3960),A3960,IFERROR(DATE(VALUE(MID(A3960,7,4)),VALUE(MID(A3960,4,2)),VALUE(MID(A3960,1,2)))+TIME(VALUE(MID(A3960,12,2)),VALUE(MID(A3960,15,2)),VALUE(MID(A3960,18,2))),"")))</f>
        <v/>
      </c>
    </row>
    <row r="3961" customFormat="false" ht="15" hidden="false" customHeight="false" outlineLevel="0" collapsed="false">
      <c r="I3961" s="15" t="str">
        <f aca="false">IF(N3961="","",INT(N3961))</f>
        <v/>
      </c>
      <c r="J3961" s="16" t="str">
        <f aca="false">IF(B3961="","",IF(N3961=_xlfn.MINIFS($N$2:$N$5001,$B$2:$B$5001,B3961),1,0))</f>
        <v/>
      </c>
      <c r="K3961" s="16" t="str">
        <f aca="false">IF(B3961="","",IF(AND(D3961="Formalização",E3961="Concluído"),IF(COUNTIFS($B$2:$B$5001,B3961,$E$2:$E$5001,"Em ajustes",$N$2:$N$5001,"&lt;"&amp;I3961)&gt;0,1,0),0))</f>
        <v/>
      </c>
      <c r="L3961" s="16" t="str">
        <f aca="false">IF(B3961="","",IF(N3961=_xlfn.MAXIFS($N$2:$N$5001,$B$2:$B$5001,B3961,$I$2:$I$5001,I3961),1,0))</f>
        <v/>
      </c>
      <c r="M3961" s="16" t="str">
        <f aca="false">IF(B3961="","",IF(E3961="Em ajustes",IF(N3961=_xlfn.MINIFS($N$2:$N$5001,$B$2:$B$5001,B3961,$E$2:$E$5001,"Em ajustes"),1,0),0))</f>
        <v/>
      </c>
      <c r="N3961" s="17" t="str">
        <f aca="false">IF(A3961="","",IF(ISNUMBER(A3961),A3961,IFERROR(DATE(VALUE(MID(A3961,7,4)),VALUE(MID(A3961,4,2)),VALUE(MID(A3961,1,2)))+TIME(VALUE(MID(A3961,12,2)),VALUE(MID(A3961,15,2)),VALUE(MID(A3961,18,2))),"")))</f>
        <v/>
      </c>
    </row>
    <row r="3962" customFormat="false" ht="15" hidden="false" customHeight="false" outlineLevel="0" collapsed="false">
      <c r="I3962" s="15" t="str">
        <f aca="false">IF(N3962="","",INT(N3962))</f>
        <v/>
      </c>
      <c r="J3962" s="16" t="str">
        <f aca="false">IF(B3962="","",IF(N3962=_xlfn.MINIFS($N$2:$N$5001,$B$2:$B$5001,B3962),1,0))</f>
        <v/>
      </c>
      <c r="K3962" s="16" t="str">
        <f aca="false">IF(B3962="","",IF(AND(D3962="Formalização",E3962="Concluído"),IF(COUNTIFS($B$2:$B$5001,B3962,$E$2:$E$5001,"Em ajustes",$N$2:$N$5001,"&lt;"&amp;I3962)&gt;0,1,0),0))</f>
        <v/>
      </c>
      <c r="L3962" s="16" t="str">
        <f aca="false">IF(B3962="","",IF(N3962=_xlfn.MAXIFS($N$2:$N$5001,$B$2:$B$5001,B3962,$I$2:$I$5001,I3962),1,0))</f>
        <v/>
      </c>
      <c r="M3962" s="16" t="str">
        <f aca="false">IF(B3962="","",IF(E3962="Em ajustes",IF(N3962=_xlfn.MINIFS($N$2:$N$5001,$B$2:$B$5001,B3962,$E$2:$E$5001,"Em ajustes"),1,0),0))</f>
        <v/>
      </c>
      <c r="N3962" s="17" t="str">
        <f aca="false">IF(A3962="","",IF(ISNUMBER(A3962),A3962,IFERROR(DATE(VALUE(MID(A3962,7,4)),VALUE(MID(A3962,4,2)),VALUE(MID(A3962,1,2)))+TIME(VALUE(MID(A3962,12,2)),VALUE(MID(A3962,15,2)),VALUE(MID(A3962,18,2))),"")))</f>
        <v/>
      </c>
    </row>
    <row r="3963" customFormat="false" ht="15" hidden="false" customHeight="false" outlineLevel="0" collapsed="false">
      <c r="I3963" s="15" t="str">
        <f aca="false">IF(N3963="","",INT(N3963))</f>
        <v/>
      </c>
      <c r="J3963" s="16" t="str">
        <f aca="false">IF(B3963="","",IF(N3963=_xlfn.MINIFS($N$2:$N$5001,$B$2:$B$5001,B3963),1,0))</f>
        <v/>
      </c>
      <c r="K3963" s="16" t="str">
        <f aca="false">IF(B3963="","",IF(AND(D3963="Formalização",E3963="Concluído"),IF(COUNTIFS($B$2:$B$5001,B3963,$E$2:$E$5001,"Em ajustes",$N$2:$N$5001,"&lt;"&amp;I3963)&gt;0,1,0),0))</f>
        <v/>
      </c>
      <c r="L3963" s="16" t="str">
        <f aca="false">IF(B3963="","",IF(N3963=_xlfn.MAXIFS($N$2:$N$5001,$B$2:$B$5001,B3963,$I$2:$I$5001,I3963),1,0))</f>
        <v/>
      </c>
      <c r="M3963" s="16" t="str">
        <f aca="false">IF(B3963="","",IF(E3963="Em ajustes",IF(N3963=_xlfn.MINIFS($N$2:$N$5001,$B$2:$B$5001,B3963,$E$2:$E$5001,"Em ajustes"),1,0),0))</f>
        <v/>
      </c>
      <c r="N3963" s="17" t="str">
        <f aca="false">IF(A3963="","",IF(ISNUMBER(A3963),A3963,IFERROR(DATE(VALUE(MID(A3963,7,4)),VALUE(MID(A3963,4,2)),VALUE(MID(A3963,1,2)))+TIME(VALUE(MID(A3963,12,2)),VALUE(MID(A3963,15,2)),VALUE(MID(A3963,18,2))),"")))</f>
        <v/>
      </c>
    </row>
    <row r="3964" customFormat="false" ht="15" hidden="false" customHeight="false" outlineLevel="0" collapsed="false">
      <c r="I3964" s="15" t="str">
        <f aca="false">IF(N3964="","",INT(N3964))</f>
        <v/>
      </c>
      <c r="J3964" s="16" t="str">
        <f aca="false">IF(B3964="","",IF(N3964=_xlfn.MINIFS($N$2:$N$5001,$B$2:$B$5001,B3964),1,0))</f>
        <v/>
      </c>
      <c r="K3964" s="16" t="str">
        <f aca="false">IF(B3964="","",IF(AND(D3964="Formalização",E3964="Concluído"),IF(COUNTIFS($B$2:$B$5001,B3964,$E$2:$E$5001,"Em ajustes",$N$2:$N$5001,"&lt;"&amp;I3964)&gt;0,1,0),0))</f>
        <v/>
      </c>
      <c r="L3964" s="16" t="str">
        <f aca="false">IF(B3964="","",IF(N3964=_xlfn.MAXIFS($N$2:$N$5001,$B$2:$B$5001,B3964,$I$2:$I$5001,I3964),1,0))</f>
        <v/>
      </c>
      <c r="M3964" s="16" t="str">
        <f aca="false">IF(B3964="","",IF(E3964="Em ajustes",IF(N3964=_xlfn.MINIFS($N$2:$N$5001,$B$2:$B$5001,B3964,$E$2:$E$5001,"Em ajustes"),1,0),0))</f>
        <v/>
      </c>
      <c r="N3964" s="17" t="str">
        <f aca="false">IF(A3964="","",IF(ISNUMBER(A3964),A3964,IFERROR(DATE(VALUE(MID(A3964,7,4)),VALUE(MID(A3964,4,2)),VALUE(MID(A3964,1,2)))+TIME(VALUE(MID(A3964,12,2)),VALUE(MID(A3964,15,2)),VALUE(MID(A3964,18,2))),"")))</f>
        <v/>
      </c>
    </row>
    <row r="3965" customFormat="false" ht="15" hidden="false" customHeight="false" outlineLevel="0" collapsed="false">
      <c r="I3965" s="15" t="str">
        <f aca="false">IF(N3965="","",INT(N3965))</f>
        <v/>
      </c>
      <c r="J3965" s="16" t="str">
        <f aca="false">IF(B3965="","",IF(N3965=_xlfn.MINIFS($N$2:$N$5001,$B$2:$B$5001,B3965),1,0))</f>
        <v/>
      </c>
      <c r="K3965" s="16" t="str">
        <f aca="false">IF(B3965="","",IF(AND(D3965="Formalização",E3965="Concluído"),IF(COUNTIFS($B$2:$B$5001,B3965,$E$2:$E$5001,"Em ajustes",$N$2:$N$5001,"&lt;"&amp;I3965)&gt;0,1,0),0))</f>
        <v/>
      </c>
      <c r="L3965" s="16" t="str">
        <f aca="false">IF(B3965="","",IF(N3965=_xlfn.MAXIFS($N$2:$N$5001,$B$2:$B$5001,B3965,$I$2:$I$5001,I3965),1,0))</f>
        <v/>
      </c>
      <c r="M3965" s="16" t="str">
        <f aca="false">IF(B3965="","",IF(E3965="Em ajustes",IF(N3965=_xlfn.MINIFS($N$2:$N$5001,$B$2:$B$5001,B3965,$E$2:$E$5001,"Em ajustes"),1,0),0))</f>
        <v/>
      </c>
      <c r="N3965" s="17" t="str">
        <f aca="false">IF(A3965="","",IF(ISNUMBER(A3965),A3965,IFERROR(DATE(VALUE(MID(A3965,7,4)),VALUE(MID(A3965,4,2)),VALUE(MID(A3965,1,2)))+TIME(VALUE(MID(A3965,12,2)),VALUE(MID(A3965,15,2)),VALUE(MID(A3965,18,2))),"")))</f>
        <v/>
      </c>
    </row>
    <row r="3966" customFormat="false" ht="15" hidden="false" customHeight="false" outlineLevel="0" collapsed="false">
      <c r="I3966" s="15" t="str">
        <f aca="false">IF(N3966="","",INT(N3966))</f>
        <v/>
      </c>
      <c r="J3966" s="16" t="str">
        <f aca="false">IF(B3966="","",IF(N3966=_xlfn.MINIFS($N$2:$N$5001,$B$2:$B$5001,B3966),1,0))</f>
        <v/>
      </c>
      <c r="K3966" s="16" t="str">
        <f aca="false">IF(B3966="","",IF(AND(D3966="Formalização",E3966="Concluído"),IF(COUNTIFS($B$2:$B$5001,B3966,$E$2:$E$5001,"Em ajustes",$N$2:$N$5001,"&lt;"&amp;I3966)&gt;0,1,0),0))</f>
        <v/>
      </c>
      <c r="L3966" s="16" t="str">
        <f aca="false">IF(B3966="","",IF(N3966=_xlfn.MAXIFS($N$2:$N$5001,$B$2:$B$5001,B3966,$I$2:$I$5001,I3966),1,0))</f>
        <v/>
      </c>
      <c r="M3966" s="16" t="str">
        <f aca="false">IF(B3966="","",IF(E3966="Em ajustes",IF(N3966=_xlfn.MINIFS($N$2:$N$5001,$B$2:$B$5001,B3966,$E$2:$E$5001,"Em ajustes"),1,0),0))</f>
        <v/>
      </c>
      <c r="N3966" s="17" t="str">
        <f aca="false">IF(A3966="","",IF(ISNUMBER(A3966),A3966,IFERROR(DATE(VALUE(MID(A3966,7,4)),VALUE(MID(A3966,4,2)),VALUE(MID(A3966,1,2)))+TIME(VALUE(MID(A3966,12,2)),VALUE(MID(A3966,15,2)),VALUE(MID(A3966,18,2))),"")))</f>
        <v/>
      </c>
    </row>
    <row r="3967" customFormat="false" ht="15" hidden="false" customHeight="false" outlineLevel="0" collapsed="false">
      <c r="I3967" s="15" t="str">
        <f aca="false">IF(N3967="","",INT(N3967))</f>
        <v/>
      </c>
      <c r="J3967" s="16" t="str">
        <f aca="false">IF(B3967="","",IF(N3967=_xlfn.MINIFS($N$2:$N$5001,$B$2:$B$5001,B3967),1,0))</f>
        <v/>
      </c>
      <c r="K3967" s="16" t="str">
        <f aca="false">IF(B3967="","",IF(AND(D3967="Formalização",E3967="Concluído"),IF(COUNTIFS($B$2:$B$5001,B3967,$E$2:$E$5001,"Em ajustes",$N$2:$N$5001,"&lt;"&amp;I3967)&gt;0,1,0),0))</f>
        <v/>
      </c>
      <c r="L3967" s="16" t="str">
        <f aca="false">IF(B3967="","",IF(N3967=_xlfn.MAXIFS($N$2:$N$5001,$B$2:$B$5001,B3967,$I$2:$I$5001,I3967),1,0))</f>
        <v/>
      </c>
      <c r="M3967" s="16" t="str">
        <f aca="false">IF(B3967="","",IF(E3967="Em ajustes",IF(N3967=_xlfn.MINIFS($N$2:$N$5001,$B$2:$B$5001,B3967,$E$2:$E$5001,"Em ajustes"),1,0),0))</f>
        <v/>
      </c>
      <c r="N3967" s="17" t="str">
        <f aca="false">IF(A3967="","",IF(ISNUMBER(A3967),A3967,IFERROR(DATE(VALUE(MID(A3967,7,4)),VALUE(MID(A3967,4,2)),VALUE(MID(A3967,1,2)))+TIME(VALUE(MID(A3967,12,2)),VALUE(MID(A3967,15,2)),VALUE(MID(A3967,18,2))),"")))</f>
        <v/>
      </c>
    </row>
    <row r="3968" customFormat="false" ht="15" hidden="false" customHeight="false" outlineLevel="0" collapsed="false">
      <c r="I3968" s="15" t="str">
        <f aca="false">IF(N3968="","",INT(N3968))</f>
        <v/>
      </c>
      <c r="J3968" s="16" t="str">
        <f aca="false">IF(B3968="","",IF(N3968=_xlfn.MINIFS($N$2:$N$5001,$B$2:$B$5001,B3968),1,0))</f>
        <v/>
      </c>
      <c r="K3968" s="16" t="str">
        <f aca="false">IF(B3968="","",IF(AND(D3968="Formalização",E3968="Concluído"),IF(COUNTIFS($B$2:$B$5001,B3968,$E$2:$E$5001,"Em ajustes",$N$2:$N$5001,"&lt;"&amp;I3968)&gt;0,1,0),0))</f>
        <v/>
      </c>
      <c r="L3968" s="16" t="str">
        <f aca="false">IF(B3968="","",IF(N3968=_xlfn.MAXIFS($N$2:$N$5001,$B$2:$B$5001,B3968,$I$2:$I$5001,I3968),1,0))</f>
        <v/>
      </c>
      <c r="M3968" s="16" t="str">
        <f aca="false">IF(B3968="","",IF(E3968="Em ajustes",IF(N3968=_xlfn.MINIFS($N$2:$N$5001,$B$2:$B$5001,B3968,$E$2:$E$5001,"Em ajustes"),1,0),0))</f>
        <v/>
      </c>
      <c r="N3968" s="17" t="str">
        <f aca="false">IF(A3968="","",IF(ISNUMBER(A3968),A3968,IFERROR(DATE(VALUE(MID(A3968,7,4)),VALUE(MID(A3968,4,2)),VALUE(MID(A3968,1,2)))+TIME(VALUE(MID(A3968,12,2)),VALUE(MID(A3968,15,2)),VALUE(MID(A3968,18,2))),"")))</f>
        <v/>
      </c>
    </row>
    <row r="3969" customFormat="false" ht="15" hidden="false" customHeight="false" outlineLevel="0" collapsed="false">
      <c r="I3969" s="15" t="str">
        <f aca="false">IF(N3969="","",INT(N3969))</f>
        <v/>
      </c>
      <c r="J3969" s="16" t="str">
        <f aca="false">IF(B3969="","",IF(N3969=_xlfn.MINIFS($N$2:$N$5001,$B$2:$B$5001,B3969),1,0))</f>
        <v/>
      </c>
      <c r="K3969" s="16" t="str">
        <f aca="false">IF(B3969="","",IF(AND(D3969="Formalização",E3969="Concluído"),IF(COUNTIFS($B$2:$B$5001,B3969,$E$2:$E$5001,"Em ajustes",$N$2:$N$5001,"&lt;"&amp;I3969)&gt;0,1,0),0))</f>
        <v/>
      </c>
      <c r="L3969" s="16" t="str">
        <f aca="false">IF(B3969="","",IF(N3969=_xlfn.MAXIFS($N$2:$N$5001,$B$2:$B$5001,B3969,$I$2:$I$5001,I3969),1,0))</f>
        <v/>
      </c>
      <c r="M3969" s="16" t="str">
        <f aca="false">IF(B3969="","",IF(E3969="Em ajustes",IF(N3969=_xlfn.MINIFS($N$2:$N$5001,$B$2:$B$5001,B3969,$E$2:$E$5001,"Em ajustes"),1,0),0))</f>
        <v/>
      </c>
      <c r="N3969" s="17" t="str">
        <f aca="false">IF(A3969="","",IF(ISNUMBER(A3969),A3969,IFERROR(DATE(VALUE(MID(A3969,7,4)),VALUE(MID(A3969,4,2)),VALUE(MID(A3969,1,2)))+TIME(VALUE(MID(A3969,12,2)),VALUE(MID(A3969,15,2)),VALUE(MID(A3969,18,2))),"")))</f>
        <v/>
      </c>
    </row>
    <row r="3970" customFormat="false" ht="15" hidden="false" customHeight="false" outlineLevel="0" collapsed="false">
      <c r="I3970" s="15" t="str">
        <f aca="false">IF(N3970="","",INT(N3970))</f>
        <v/>
      </c>
      <c r="J3970" s="16" t="str">
        <f aca="false">IF(B3970="","",IF(N3970=_xlfn.MINIFS($N$2:$N$5001,$B$2:$B$5001,B3970),1,0))</f>
        <v/>
      </c>
      <c r="K3970" s="16" t="str">
        <f aca="false">IF(B3970="","",IF(AND(D3970="Formalização",E3970="Concluído"),IF(COUNTIFS($B$2:$B$5001,B3970,$E$2:$E$5001,"Em ajustes",$N$2:$N$5001,"&lt;"&amp;I3970)&gt;0,1,0),0))</f>
        <v/>
      </c>
      <c r="L3970" s="16" t="str">
        <f aca="false">IF(B3970="","",IF(N3970=_xlfn.MAXIFS($N$2:$N$5001,$B$2:$B$5001,B3970,$I$2:$I$5001,I3970),1,0))</f>
        <v/>
      </c>
      <c r="M3970" s="16" t="str">
        <f aca="false">IF(B3970="","",IF(E3970="Em ajustes",IF(N3970=_xlfn.MINIFS($N$2:$N$5001,$B$2:$B$5001,B3970,$E$2:$E$5001,"Em ajustes"),1,0),0))</f>
        <v/>
      </c>
      <c r="N3970" s="17" t="str">
        <f aca="false">IF(A3970="","",IF(ISNUMBER(A3970),A3970,IFERROR(DATE(VALUE(MID(A3970,7,4)),VALUE(MID(A3970,4,2)),VALUE(MID(A3970,1,2)))+TIME(VALUE(MID(A3970,12,2)),VALUE(MID(A3970,15,2)),VALUE(MID(A3970,18,2))),"")))</f>
        <v/>
      </c>
    </row>
    <row r="3971" customFormat="false" ht="15" hidden="false" customHeight="false" outlineLevel="0" collapsed="false">
      <c r="I3971" s="15" t="str">
        <f aca="false">IF(N3971="","",INT(N3971))</f>
        <v/>
      </c>
      <c r="J3971" s="16" t="str">
        <f aca="false">IF(B3971="","",IF(N3971=_xlfn.MINIFS($N$2:$N$5001,$B$2:$B$5001,B3971),1,0))</f>
        <v/>
      </c>
      <c r="K3971" s="16" t="str">
        <f aca="false">IF(B3971="","",IF(AND(D3971="Formalização",E3971="Concluído"),IF(COUNTIFS($B$2:$B$5001,B3971,$E$2:$E$5001,"Em ajustes",$N$2:$N$5001,"&lt;"&amp;I3971)&gt;0,1,0),0))</f>
        <v/>
      </c>
      <c r="L3971" s="16" t="str">
        <f aca="false">IF(B3971="","",IF(N3971=_xlfn.MAXIFS($N$2:$N$5001,$B$2:$B$5001,B3971,$I$2:$I$5001,I3971),1,0))</f>
        <v/>
      </c>
      <c r="M3971" s="16" t="str">
        <f aca="false">IF(B3971="","",IF(E3971="Em ajustes",IF(N3971=_xlfn.MINIFS($N$2:$N$5001,$B$2:$B$5001,B3971,$E$2:$E$5001,"Em ajustes"),1,0),0))</f>
        <v/>
      </c>
      <c r="N3971" s="17" t="str">
        <f aca="false">IF(A3971="","",IF(ISNUMBER(A3971),A3971,IFERROR(DATE(VALUE(MID(A3971,7,4)),VALUE(MID(A3971,4,2)),VALUE(MID(A3971,1,2)))+TIME(VALUE(MID(A3971,12,2)),VALUE(MID(A3971,15,2)),VALUE(MID(A3971,18,2))),"")))</f>
        <v/>
      </c>
    </row>
    <row r="3972" customFormat="false" ht="15" hidden="false" customHeight="false" outlineLevel="0" collapsed="false">
      <c r="I3972" s="15" t="str">
        <f aca="false">IF(N3972="","",INT(N3972))</f>
        <v/>
      </c>
      <c r="J3972" s="16" t="str">
        <f aca="false">IF(B3972="","",IF(N3972=_xlfn.MINIFS($N$2:$N$5001,$B$2:$B$5001,B3972),1,0))</f>
        <v/>
      </c>
      <c r="K3972" s="16" t="str">
        <f aca="false">IF(B3972="","",IF(AND(D3972="Formalização",E3972="Concluído"),IF(COUNTIFS($B$2:$B$5001,B3972,$E$2:$E$5001,"Em ajustes",$N$2:$N$5001,"&lt;"&amp;I3972)&gt;0,1,0),0))</f>
        <v/>
      </c>
      <c r="L3972" s="16" t="str">
        <f aca="false">IF(B3972="","",IF(N3972=_xlfn.MAXIFS($N$2:$N$5001,$B$2:$B$5001,B3972,$I$2:$I$5001,I3972),1,0))</f>
        <v/>
      </c>
      <c r="M3972" s="16" t="str">
        <f aca="false">IF(B3972="","",IF(E3972="Em ajustes",IF(N3972=_xlfn.MINIFS($N$2:$N$5001,$B$2:$B$5001,B3972,$E$2:$E$5001,"Em ajustes"),1,0),0))</f>
        <v/>
      </c>
      <c r="N3972" s="17" t="str">
        <f aca="false">IF(A3972="","",IF(ISNUMBER(A3972),A3972,IFERROR(DATE(VALUE(MID(A3972,7,4)),VALUE(MID(A3972,4,2)),VALUE(MID(A3972,1,2)))+TIME(VALUE(MID(A3972,12,2)),VALUE(MID(A3972,15,2)),VALUE(MID(A3972,18,2))),"")))</f>
        <v/>
      </c>
    </row>
    <row r="3973" customFormat="false" ht="15" hidden="false" customHeight="false" outlineLevel="0" collapsed="false">
      <c r="I3973" s="15" t="str">
        <f aca="false">IF(N3973="","",INT(N3973))</f>
        <v/>
      </c>
      <c r="J3973" s="16" t="str">
        <f aca="false">IF(B3973="","",IF(N3973=_xlfn.MINIFS($N$2:$N$5001,$B$2:$B$5001,B3973),1,0))</f>
        <v/>
      </c>
      <c r="K3973" s="16" t="str">
        <f aca="false">IF(B3973="","",IF(AND(D3973="Formalização",E3973="Concluído"),IF(COUNTIFS($B$2:$B$5001,B3973,$E$2:$E$5001,"Em ajustes",$N$2:$N$5001,"&lt;"&amp;I3973)&gt;0,1,0),0))</f>
        <v/>
      </c>
      <c r="L3973" s="16" t="str">
        <f aca="false">IF(B3973="","",IF(N3973=_xlfn.MAXIFS($N$2:$N$5001,$B$2:$B$5001,B3973,$I$2:$I$5001,I3973),1,0))</f>
        <v/>
      </c>
      <c r="M3973" s="16" t="str">
        <f aca="false">IF(B3973="","",IF(E3973="Em ajustes",IF(N3973=_xlfn.MINIFS($N$2:$N$5001,$B$2:$B$5001,B3973,$E$2:$E$5001,"Em ajustes"),1,0),0))</f>
        <v/>
      </c>
      <c r="N3973" s="17" t="str">
        <f aca="false">IF(A3973="","",IF(ISNUMBER(A3973),A3973,IFERROR(DATE(VALUE(MID(A3973,7,4)),VALUE(MID(A3973,4,2)),VALUE(MID(A3973,1,2)))+TIME(VALUE(MID(A3973,12,2)),VALUE(MID(A3973,15,2)),VALUE(MID(A3973,18,2))),"")))</f>
        <v/>
      </c>
    </row>
    <row r="3974" customFormat="false" ht="15" hidden="false" customHeight="false" outlineLevel="0" collapsed="false">
      <c r="I3974" s="15" t="str">
        <f aca="false">IF(N3974="","",INT(N3974))</f>
        <v/>
      </c>
      <c r="J3974" s="16" t="str">
        <f aca="false">IF(B3974="","",IF(N3974=_xlfn.MINIFS($N$2:$N$5001,$B$2:$B$5001,B3974),1,0))</f>
        <v/>
      </c>
      <c r="K3974" s="16" t="str">
        <f aca="false">IF(B3974="","",IF(AND(D3974="Formalização",E3974="Concluído"),IF(COUNTIFS($B$2:$B$5001,B3974,$E$2:$E$5001,"Em ajustes",$N$2:$N$5001,"&lt;"&amp;I3974)&gt;0,1,0),0))</f>
        <v/>
      </c>
      <c r="L3974" s="16" t="str">
        <f aca="false">IF(B3974="","",IF(N3974=_xlfn.MAXIFS($N$2:$N$5001,$B$2:$B$5001,B3974,$I$2:$I$5001,I3974),1,0))</f>
        <v/>
      </c>
      <c r="M3974" s="16" t="str">
        <f aca="false">IF(B3974="","",IF(E3974="Em ajustes",IF(N3974=_xlfn.MINIFS($N$2:$N$5001,$B$2:$B$5001,B3974,$E$2:$E$5001,"Em ajustes"),1,0),0))</f>
        <v/>
      </c>
      <c r="N3974" s="17" t="str">
        <f aca="false">IF(A3974="","",IF(ISNUMBER(A3974),A3974,IFERROR(DATE(VALUE(MID(A3974,7,4)),VALUE(MID(A3974,4,2)),VALUE(MID(A3974,1,2)))+TIME(VALUE(MID(A3974,12,2)),VALUE(MID(A3974,15,2)),VALUE(MID(A3974,18,2))),"")))</f>
        <v/>
      </c>
    </row>
    <row r="3975" customFormat="false" ht="15" hidden="false" customHeight="false" outlineLevel="0" collapsed="false">
      <c r="I3975" s="15" t="str">
        <f aca="false">IF(N3975="","",INT(N3975))</f>
        <v/>
      </c>
      <c r="J3975" s="16" t="str">
        <f aca="false">IF(B3975="","",IF(N3975=_xlfn.MINIFS($N$2:$N$5001,$B$2:$B$5001,B3975),1,0))</f>
        <v/>
      </c>
      <c r="K3975" s="16" t="str">
        <f aca="false">IF(B3975="","",IF(AND(D3975="Formalização",E3975="Concluído"),IF(COUNTIFS($B$2:$B$5001,B3975,$E$2:$E$5001,"Em ajustes",$N$2:$N$5001,"&lt;"&amp;I3975)&gt;0,1,0),0))</f>
        <v/>
      </c>
      <c r="L3975" s="16" t="str">
        <f aca="false">IF(B3975="","",IF(N3975=_xlfn.MAXIFS($N$2:$N$5001,$B$2:$B$5001,B3975,$I$2:$I$5001,I3975),1,0))</f>
        <v/>
      </c>
      <c r="M3975" s="16" t="str">
        <f aca="false">IF(B3975="","",IF(E3975="Em ajustes",IF(N3975=_xlfn.MINIFS($N$2:$N$5001,$B$2:$B$5001,B3975,$E$2:$E$5001,"Em ajustes"),1,0),0))</f>
        <v/>
      </c>
      <c r="N3975" s="17" t="str">
        <f aca="false">IF(A3975="","",IF(ISNUMBER(A3975),A3975,IFERROR(DATE(VALUE(MID(A3975,7,4)),VALUE(MID(A3975,4,2)),VALUE(MID(A3975,1,2)))+TIME(VALUE(MID(A3975,12,2)),VALUE(MID(A3975,15,2)),VALUE(MID(A3975,18,2))),"")))</f>
        <v/>
      </c>
    </row>
    <row r="3976" customFormat="false" ht="15" hidden="false" customHeight="false" outlineLevel="0" collapsed="false">
      <c r="I3976" s="15" t="str">
        <f aca="false">IF(N3976="","",INT(N3976))</f>
        <v/>
      </c>
      <c r="J3976" s="16" t="str">
        <f aca="false">IF(B3976="","",IF(N3976=_xlfn.MINIFS($N$2:$N$5001,$B$2:$B$5001,B3976),1,0))</f>
        <v/>
      </c>
      <c r="K3976" s="16" t="str">
        <f aca="false">IF(B3976="","",IF(AND(D3976="Formalização",E3976="Concluído"),IF(COUNTIFS($B$2:$B$5001,B3976,$E$2:$E$5001,"Em ajustes",$N$2:$N$5001,"&lt;"&amp;I3976)&gt;0,1,0),0))</f>
        <v/>
      </c>
      <c r="L3976" s="16" t="str">
        <f aca="false">IF(B3976="","",IF(N3976=_xlfn.MAXIFS($N$2:$N$5001,$B$2:$B$5001,B3976,$I$2:$I$5001,I3976),1,0))</f>
        <v/>
      </c>
      <c r="M3976" s="16" t="str">
        <f aca="false">IF(B3976="","",IF(E3976="Em ajustes",IF(N3976=_xlfn.MINIFS($N$2:$N$5001,$B$2:$B$5001,B3976,$E$2:$E$5001,"Em ajustes"),1,0),0))</f>
        <v/>
      </c>
      <c r="N3976" s="17" t="str">
        <f aca="false">IF(A3976="","",IF(ISNUMBER(A3976),A3976,IFERROR(DATE(VALUE(MID(A3976,7,4)),VALUE(MID(A3976,4,2)),VALUE(MID(A3976,1,2)))+TIME(VALUE(MID(A3976,12,2)),VALUE(MID(A3976,15,2)),VALUE(MID(A3976,18,2))),"")))</f>
        <v/>
      </c>
    </row>
    <row r="3977" customFormat="false" ht="15" hidden="false" customHeight="false" outlineLevel="0" collapsed="false">
      <c r="I3977" s="15" t="str">
        <f aca="false">IF(N3977="","",INT(N3977))</f>
        <v/>
      </c>
      <c r="J3977" s="16" t="str">
        <f aca="false">IF(B3977="","",IF(N3977=_xlfn.MINIFS($N$2:$N$5001,$B$2:$B$5001,B3977),1,0))</f>
        <v/>
      </c>
      <c r="K3977" s="16" t="str">
        <f aca="false">IF(B3977="","",IF(AND(D3977="Formalização",E3977="Concluído"),IF(COUNTIFS($B$2:$B$5001,B3977,$E$2:$E$5001,"Em ajustes",$N$2:$N$5001,"&lt;"&amp;I3977)&gt;0,1,0),0))</f>
        <v/>
      </c>
      <c r="L3977" s="16" t="str">
        <f aca="false">IF(B3977="","",IF(N3977=_xlfn.MAXIFS($N$2:$N$5001,$B$2:$B$5001,B3977,$I$2:$I$5001,I3977),1,0))</f>
        <v/>
      </c>
      <c r="M3977" s="16" t="str">
        <f aca="false">IF(B3977="","",IF(E3977="Em ajustes",IF(N3977=_xlfn.MINIFS($N$2:$N$5001,$B$2:$B$5001,B3977,$E$2:$E$5001,"Em ajustes"),1,0),0))</f>
        <v/>
      </c>
      <c r="N3977" s="17" t="str">
        <f aca="false">IF(A3977="","",IF(ISNUMBER(A3977),A3977,IFERROR(DATE(VALUE(MID(A3977,7,4)),VALUE(MID(A3977,4,2)),VALUE(MID(A3977,1,2)))+TIME(VALUE(MID(A3977,12,2)),VALUE(MID(A3977,15,2)),VALUE(MID(A3977,18,2))),"")))</f>
        <v/>
      </c>
    </row>
    <row r="3978" customFormat="false" ht="15" hidden="false" customHeight="false" outlineLevel="0" collapsed="false">
      <c r="I3978" s="15" t="str">
        <f aca="false">IF(N3978="","",INT(N3978))</f>
        <v/>
      </c>
      <c r="J3978" s="16" t="str">
        <f aca="false">IF(B3978="","",IF(N3978=_xlfn.MINIFS($N$2:$N$5001,$B$2:$B$5001,B3978),1,0))</f>
        <v/>
      </c>
      <c r="K3978" s="16" t="str">
        <f aca="false">IF(B3978="","",IF(AND(D3978="Formalização",E3978="Concluído"),IF(COUNTIFS($B$2:$B$5001,B3978,$E$2:$E$5001,"Em ajustes",$N$2:$N$5001,"&lt;"&amp;I3978)&gt;0,1,0),0))</f>
        <v/>
      </c>
      <c r="L3978" s="16" t="str">
        <f aca="false">IF(B3978="","",IF(N3978=_xlfn.MAXIFS($N$2:$N$5001,$B$2:$B$5001,B3978,$I$2:$I$5001,I3978),1,0))</f>
        <v/>
      </c>
      <c r="M3978" s="16" t="str">
        <f aca="false">IF(B3978="","",IF(E3978="Em ajustes",IF(N3978=_xlfn.MINIFS($N$2:$N$5001,$B$2:$B$5001,B3978,$E$2:$E$5001,"Em ajustes"),1,0),0))</f>
        <v/>
      </c>
      <c r="N3978" s="17" t="str">
        <f aca="false">IF(A3978="","",IF(ISNUMBER(A3978),A3978,IFERROR(DATE(VALUE(MID(A3978,7,4)),VALUE(MID(A3978,4,2)),VALUE(MID(A3978,1,2)))+TIME(VALUE(MID(A3978,12,2)),VALUE(MID(A3978,15,2)),VALUE(MID(A3978,18,2))),"")))</f>
        <v/>
      </c>
    </row>
    <row r="3979" customFormat="false" ht="15" hidden="false" customHeight="false" outlineLevel="0" collapsed="false">
      <c r="I3979" s="15" t="str">
        <f aca="false">IF(N3979="","",INT(N3979))</f>
        <v/>
      </c>
      <c r="J3979" s="16" t="str">
        <f aca="false">IF(B3979="","",IF(N3979=_xlfn.MINIFS($N$2:$N$5001,$B$2:$B$5001,B3979),1,0))</f>
        <v/>
      </c>
      <c r="K3979" s="16" t="str">
        <f aca="false">IF(B3979="","",IF(AND(D3979="Formalização",E3979="Concluído"),IF(COUNTIFS($B$2:$B$5001,B3979,$E$2:$E$5001,"Em ajustes",$N$2:$N$5001,"&lt;"&amp;I3979)&gt;0,1,0),0))</f>
        <v/>
      </c>
      <c r="L3979" s="16" t="str">
        <f aca="false">IF(B3979="","",IF(N3979=_xlfn.MAXIFS($N$2:$N$5001,$B$2:$B$5001,B3979,$I$2:$I$5001,I3979),1,0))</f>
        <v/>
      </c>
      <c r="M3979" s="16" t="str">
        <f aca="false">IF(B3979="","",IF(E3979="Em ajustes",IF(N3979=_xlfn.MINIFS($N$2:$N$5001,$B$2:$B$5001,B3979,$E$2:$E$5001,"Em ajustes"),1,0),0))</f>
        <v/>
      </c>
      <c r="N3979" s="17" t="str">
        <f aca="false">IF(A3979="","",IF(ISNUMBER(A3979),A3979,IFERROR(DATE(VALUE(MID(A3979,7,4)),VALUE(MID(A3979,4,2)),VALUE(MID(A3979,1,2)))+TIME(VALUE(MID(A3979,12,2)),VALUE(MID(A3979,15,2)),VALUE(MID(A3979,18,2))),"")))</f>
        <v/>
      </c>
    </row>
    <row r="3980" customFormat="false" ht="15" hidden="false" customHeight="false" outlineLevel="0" collapsed="false">
      <c r="I3980" s="15" t="str">
        <f aca="false">IF(N3980="","",INT(N3980))</f>
        <v/>
      </c>
      <c r="J3980" s="16" t="str">
        <f aca="false">IF(B3980="","",IF(N3980=_xlfn.MINIFS($N$2:$N$5001,$B$2:$B$5001,B3980),1,0))</f>
        <v/>
      </c>
      <c r="K3980" s="16" t="str">
        <f aca="false">IF(B3980="","",IF(AND(D3980="Formalização",E3980="Concluído"),IF(COUNTIFS($B$2:$B$5001,B3980,$E$2:$E$5001,"Em ajustes",$N$2:$N$5001,"&lt;"&amp;I3980)&gt;0,1,0),0))</f>
        <v/>
      </c>
      <c r="L3980" s="16" t="str">
        <f aca="false">IF(B3980="","",IF(N3980=_xlfn.MAXIFS($N$2:$N$5001,$B$2:$B$5001,B3980,$I$2:$I$5001,I3980),1,0))</f>
        <v/>
      </c>
      <c r="M3980" s="16" t="str">
        <f aca="false">IF(B3980="","",IF(E3980="Em ajustes",IF(N3980=_xlfn.MINIFS($N$2:$N$5001,$B$2:$B$5001,B3980,$E$2:$E$5001,"Em ajustes"),1,0),0))</f>
        <v/>
      </c>
      <c r="N3980" s="17" t="str">
        <f aca="false">IF(A3980="","",IF(ISNUMBER(A3980),A3980,IFERROR(DATE(VALUE(MID(A3980,7,4)),VALUE(MID(A3980,4,2)),VALUE(MID(A3980,1,2)))+TIME(VALUE(MID(A3980,12,2)),VALUE(MID(A3980,15,2)),VALUE(MID(A3980,18,2))),"")))</f>
        <v/>
      </c>
    </row>
    <row r="3981" customFormat="false" ht="15" hidden="false" customHeight="false" outlineLevel="0" collapsed="false">
      <c r="I3981" s="15" t="str">
        <f aca="false">IF(N3981="","",INT(N3981))</f>
        <v/>
      </c>
      <c r="J3981" s="16" t="str">
        <f aca="false">IF(B3981="","",IF(N3981=_xlfn.MINIFS($N$2:$N$5001,$B$2:$B$5001,B3981),1,0))</f>
        <v/>
      </c>
      <c r="K3981" s="16" t="str">
        <f aca="false">IF(B3981="","",IF(AND(D3981="Formalização",E3981="Concluído"),IF(COUNTIFS($B$2:$B$5001,B3981,$E$2:$E$5001,"Em ajustes",$N$2:$N$5001,"&lt;"&amp;I3981)&gt;0,1,0),0))</f>
        <v/>
      </c>
      <c r="L3981" s="16" t="str">
        <f aca="false">IF(B3981="","",IF(N3981=_xlfn.MAXIFS($N$2:$N$5001,$B$2:$B$5001,B3981,$I$2:$I$5001,I3981),1,0))</f>
        <v/>
      </c>
      <c r="M3981" s="16" t="str">
        <f aca="false">IF(B3981="","",IF(E3981="Em ajustes",IF(N3981=_xlfn.MINIFS($N$2:$N$5001,$B$2:$B$5001,B3981,$E$2:$E$5001,"Em ajustes"),1,0),0))</f>
        <v/>
      </c>
      <c r="N3981" s="17" t="str">
        <f aca="false">IF(A3981="","",IF(ISNUMBER(A3981),A3981,IFERROR(DATE(VALUE(MID(A3981,7,4)),VALUE(MID(A3981,4,2)),VALUE(MID(A3981,1,2)))+TIME(VALUE(MID(A3981,12,2)),VALUE(MID(A3981,15,2)),VALUE(MID(A3981,18,2))),"")))</f>
        <v/>
      </c>
    </row>
    <row r="3982" customFormat="false" ht="15" hidden="false" customHeight="false" outlineLevel="0" collapsed="false">
      <c r="I3982" s="15" t="str">
        <f aca="false">IF(N3982="","",INT(N3982))</f>
        <v/>
      </c>
      <c r="J3982" s="16" t="str">
        <f aca="false">IF(B3982="","",IF(N3982=_xlfn.MINIFS($N$2:$N$5001,$B$2:$B$5001,B3982),1,0))</f>
        <v/>
      </c>
      <c r="K3982" s="16" t="str">
        <f aca="false">IF(B3982="","",IF(AND(D3982="Formalização",E3982="Concluído"),IF(COUNTIFS($B$2:$B$5001,B3982,$E$2:$E$5001,"Em ajustes",$N$2:$N$5001,"&lt;"&amp;I3982)&gt;0,1,0),0))</f>
        <v/>
      </c>
      <c r="L3982" s="16" t="str">
        <f aca="false">IF(B3982="","",IF(N3982=_xlfn.MAXIFS($N$2:$N$5001,$B$2:$B$5001,B3982,$I$2:$I$5001,I3982),1,0))</f>
        <v/>
      </c>
      <c r="M3982" s="16" t="str">
        <f aca="false">IF(B3982="","",IF(E3982="Em ajustes",IF(N3982=_xlfn.MINIFS($N$2:$N$5001,$B$2:$B$5001,B3982,$E$2:$E$5001,"Em ajustes"),1,0),0))</f>
        <v/>
      </c>
      <c r="N3982" s="17" t="str">
        <f aca="false">IF(A3982="","",IF(ISNUMBER(A3982),A3982,IFERROR(DATE(VALUE(MID(A3982,7,4)),VALUE(MID(A3982,4,2)),VALUE(MID(A3982,1,2)))+TIME(VALUE(MID(A3982,12,2)),VALUE(MID(A3982,15,2)),VALUE(MID(A3982,18,2))),"")))</f>
        <v/>
      </c>
    </row>
    <row r="3983" customFormat="false" ht="15" hidden="false" customHeight="false" outlineLevel="0" collapsed="false">
      <c r="I3983" s="15" t="str">
        <f aca="false">IF(N3983="","",INT(N3983))</f>
        <v/>
      </c>
      <c r="J3983" s="16" t="str">
        <f aca="false">IF(B3983="","",IF(N3983=_xlfn.MINIFS($N$2:$N$5001,$B$2:$B$5001,B3983),1,0))</f>
        <v/>
      </c>
      <c r="K3983" s="16" t="str">
        <f aca="false">IF(B3983="","",IF(AND(D3983="Formalização",E3983="Concluído"),IF(COUNTIFS($B$2:$B$5001,B3983,$E$2:$E$5001,"Em ajustes",$N$2:$N$5001,"&lt;"&amp;I3983)&gt;0,1,0),0))</f>
        <v/>
      </c>
      <c r="L3983" s="16" t="str">
        <f aca="false">IF(B3983="","",IF(N3983=_xlfn.MAXIFS($N$2:$N$5001,$B$2:$B$5001,B3983,$I$2:$I$5001,I3983),1,0))</f>
        <v/>
      </c>
      <c r="M3983" s="16" t="str">
        <f aca="false">IF(B3983="","",IF(E3983="Em ajustes",IF(N3983=_xlfn.MINIFS($N$2:$N$5001,$B$2:$B$5001,B3983,$E$2:$E$5001,"Em ajustes"),1,0),0))</f>
        <v/>
      </c>
      <c r="N3983" s="17" t="str">
        <f aca="false">IF(A3983="","",IF(ISNUMBER(A3983),A3983,IFERROR(DATE(VALUE(MID(A3983,7,4)),VALUE(MID(A3983,4,2)),VALUE(MID(A3983,1,2)))+TIME(VALUE(MID(A3983,12,2)),VALUE(MID(A3983,15,2)),VALUE(MID(A3983,18,2))),"")))</f>
        <v/>
      </c>
    </row>
    <row r="3984" customFormat="false" ht="15" hidden="false" customHeight="false" outlineLevel="0" collapsed="false">
      <c r="I3984" s="15" t="str">
        <f aca="false">IF(N3984="","",INT(N3984))</f>
        <v/>
      </c>
      <c r="J3984" s="16" t="str">
        <f aca="false">IF(B3984="","",IF(N3984=_xlfn.MINIFS($N$2:$N$5001,$B$2:$B$5001,B3984),1,0))</f>
        <v/>
      </c>
      <c r="K3984" s="16" t="str">
        <f aca="false">IF(B3984="","",IF(AND(D3984="Formalização",E3984="Concluído"),IF(COUNTIFS($B$2:$B$5001,B3984,$E$2:$E$5001,"Em ajustes",$N$2:$N$5001,"&lt;"&amp;I3984)&gt;0,1,0),0))</f>
        <v/>
      </c>
      <c r="L3984" s="16" t="str">
        <f aca="false">IF(B3984="","",IF(N3984=_xlfn.MAXIFS($N$2:$N$5001,$B$2:$B$5001,B3984,$I$2:$I$5001,I3984),1,0))</f>
        <v/>
      </c>
      <c r="M3984" s="16" t="str">
        <f aca="false">IF(B3984="","",IF(E3984="Em ajustes",IF(N3984=_xlfn.MINIFS($N$2:$N$5001,$B$2:$B$5001,B3984,$E$2:$E$5001,"Em ajustes"),1,0),0))</f>
        <v/>
      </c>
      <c r="N3984" s="17" t="str">
        <f aca="false">IF(A3984="","",IF(ISNUMBER(A3984),A3984,IFERROR(DATE(VALUE(MID(A3984,7,4)),VALUE(MID(A3984,4,2)),VALUE(MID(A3984,1,2)))+TIME(VALUE(MID(A3984,12,2)),VALUE(MID(A3984,15,2)),VALUE(MID(A3984,18,2))),"")))</f>
        <v/>
      </c>
    </row>
    <row r="3985" customFormat="false" ht="15" hidden="false" customHeight="false" outlineLevel="0" collapsed="false">
      <c r="I3985" s="15" t="str">
        <f aca="false">IF(N3985="","",INT(N3985))</f>
        <v/>
      </c>
      <c r="J3985" s="16" t="str">
        <f aca="false">IF(B3985="","",IF(N3985=_xlfn.MINIFS($N$2:$N$5001,$B$2:$B$5001,B3985),1,0))</f>
        <v/>
      </c>
      <c r="K3985" s="16" t="str">
        <f aca="false">IF(B3985="","",IF(AND(D3985="Formalização",E3985="Concluído"),IF(COUNTIFS($B$2:$B$5001,B3985,$E$2:$E$5001,"Em ajustes",$N$2:$N$5001,"&lt;"&amp;I3985)&gt;0,1,0),0))</f>
        <v/>
      </c>
      <c r="L3985" s="16" t="str">
        <f aca="false">IF(B3985="","",IF(N3985=_xlfn.MAXIFS($N$2:$N$5001,$B$2:$B$5001,B3985,$I$2:$I$5001,I3985),1,0))</f>
        <v/>
      </c>
      <c r="M3985" s="16" t="str">
        <f aca="false">IF(B3985="","",IF(E3985="Em ajustes",IF(N3985=_xlfn.MINIFS($N$2:$N$5001,$B$2:$B$5001,B3985,$E$2:$E$5001,"Em ajustes"),1,0),0))</f>
        <v/>
      </c>
      <c r="N3985" s="17" t="str">
        <f aca="false">IF(A3985="","",IF(ISNUMBER(A3985),A3985,IFERROR(DATE(VALUE(MID(A3985,7,4)),VALUE(MID(A3985,4,2)),VALUE(MID(A3985,1,2)))+TIME(VALUE(MID(A3985,12,2)),VALUE(MID(A3985,15,2)),VALUE(MID(A3985,18,2))),"")))</f>
        <v/>
      </c>
    </row>
    <row r="3986" customFormat="false" ht="15" hidden="false" customHeight="false" outlineLevel="0" collapsed="false">
      <c r="I3986" s="15" t="str">
        <f aca="false">IF(N3986="","",INT(N3986))</f>
        <v/>
      </c>
      <c r="J3986" s="16" t="str">
        <f aca="false">IF(B3986="","",IF(N3986=_xlfn.MINIFS($N$2:$N$5001,$B$2:$B$5001,B3986),1,0))</f>
        <v/>
      </c>
      <c r="K3986" s="16" t="str">
        <f aca="false">IF(B3986="","",IF(AND(D3986="Formalização",E3986="Concluído"),IF(COUNTIFS($B$2:$B$5001,B3986,$E$2:$E$5001,"Em ajustes",$N$2:$N$5001,"&lt;"&amp;I3986)&gt;0,1,0),0))</f>
        <v/>
      </c>
      <c r="L3986" s="16" t="str">
        <f aca="false">IF(B3986="","",IF(N3986=_xlfn.MAXIFS($N$2:$N$5001,$B$2:$B$5001,B3986,$I$2:$I$5001,I3986),1,0))</f>
        <v/>
      </c>
      <c r="M3986" s="16" t="str">
        <f aca="false">IF(B3986="","",IF(E3986="Em ajustes",IF(N3986=_xlfn.MINIFS($N$2:$N$5001,$B$2:$B$5001,B3986,$E$2:$E$5001,"Em ajustes"),1,0),0))</f>
        <v/>
      </c>
      <c r="N3986" s="17" t="str">
        <f aca="false">IF(A3986="","",IF(ISNUMBER(A3986),A3986,IFERROR(DATE(VALUE(MID(A3986,7,4)),VALUE(MID(A3986,4,2)),VALUE(MID(A3986,1,2)))+TIME(VALUE(MID(A3986,12,2)),VALUE(MID(A3986,15,2)),VALUE(MID(A3986,18,2))),"")))</f>
        <v/>
      </c>
    </row>
    <row r="3987" customFormat="false" ht="15" hidden="false" customHeight="false" outlineLevel="0" collapsed="false">
      <c r="I3987" s="15" t="str">
        <f aca="false">IF(N3987="","",INT(N3987))</f>
        <v/>
      </c>
      <c r="J3987" s="16" t="str">
        <f aca="false">IF(B3987="","",IF(N3987=_xlfn.MINIFS($N$2:$N$5001,$B$2:$B$5001,B3987),1,0))</f>
        <v/>
      </c>
      <c r="K3987" s="16" t="str">
        <f aca="false">IF(B3987="","",IF(AND(D3987="Formalização",E3987="Concluído"),IF(COUNTIFS($B$2:$B$5001,B3987,$E$2:$E$5001,"Em ajustes",$N$2:$N$5001,"&lt;"&amp;I3987)&gt;0,1,0),0))</f>
        <v/>
      </c>
      <c r="L3987" s="16" t="str">
        <f aca="false">IF(B3987="","",IF(N3987=_xlfn.MAXIFS($N$2:$N$5001,$B$2:$B$5001,B3987,$I$2:$I$5001,I3987),1,0))</f>
        <v/>
      </c>
      <c r="M3987" s="16" t="str">
        <f aca="false">IF(B3987="","",IF(E3987="Em ajustes",IF(N3987=_xlfn.MINIFS($N$2:$N$5001,$B$2:$B$5001,B3987,$E$2:$E$5001,"Em ajustes"),1,0),0))</f>
        <v/>
      </c>
      <c r="N3987" s="17" t="str">
        <f aca="false">IF(A3987="","",IF(ISNUMBER(A3987),A3987,IFERROR(DATE(VALUE(MID(A3987,7,4)),VALUE(MID(A3987,4,2)),VALUE(MID(A3987,1,2)))+TIME(VALUE(MID(A3987,12,2)),VALUE(MID(A3987,15,2)),VALUE(MID(A3987,18,2))),"")))</f>
        <v/>
      </c>
    </row>
    <row r="3988" customFormat="false" ht="15" hidden="false" customHeight="false" outlineLevel="0" collapsed="false">
      <c r="I3988" s="15" t="str">
        <f aca="false">IF(N3988="","",INT(N3988))</f>
        <v/>
      </c>
      <c r="J3988" s="16" t="str">
        <f aca="false">IF(B3988="","",IF(N3988=_xlfn.MINIFS($N$2:$N$5001,$B$2:$B$5001,B3988),1,0))</f>
        <v/>
      </c>
      <c r="K3988" s="16" t="str">
        <f aca="false">IF(B3988="","",IF(AND(D3988="Formalização",E3988="Concluído"),IF(COUNTIFS($B$2:$B$5001,B3988,$E$2:$E$5001,"Em ajustes",$N$2:$N$5001,"&lt;"&amp;I3988)&gt;0,1,0),0))</f>
        <v/>
      </c>
      <c r="L3988" s="16" t="str">
        <f aca="false">IF(B3988="","",IF(N3988=_xlfn.MAXIFS($N$2:$N$5001,$B$2:$B$5001,B3988,$I$2:$I$5001,I3988),1,0))</f>
        <v/>
      </c>
      <c r="M3988" s="16" t="str">
        <f aca="false">IF(B3988="","",IF(E3988="Em ajustes",IF(N3988=_xlfn.MINIFS($N$2:$N$5001,$B$2:$B$5001,B3988,$E$2:$E$5001,"Em ajustes"),1,0),0))</f>
        <v/>
      </c>
      <c r="N3988" s="17" t="str">
        <f aca="false">IF(A3988="","",IF(ISNUMBER(A3988),A3988,IFERROR(DATE(VALUE(MID(A3988,7,4)),VALUE(MID(A3988,4,2)),VALUE(MID(A3988,1,2)))+TIME(VALUE(MID(A3988,12,2)),VALUE(MID(A3988,15,2)),VALUE(MID(A3988,18,2))),"")))</f>
        <v/>
      </c>
    </row>
    <row r="3989" customFormat="false" ht="15" hidden="false" customHeight="false" outlineLevel="0" collapsed="false">
      <c r="I3989" s="15" t="str">
        <f aca="false">IF(N3989="","",INT(N3989))</f>
        <v/>
      </c>
      <c r="J3989" s="16" t="str">
        <f aca="false">IF(B3989="","",IF(N3989=_xlfn.MINIFS($N$2:$N$5001,$B$2:$B$5001,B3989),1,0))</f>
        <v/>
      </c>
      <c r="K3989" s="16" t="str">
        <f aca="false">IF(B3989="","",IF(AND(D3989="Formalização",E3989="Concluído"),IF(COUNTIFS($B$2:$B$5001,B3989,$E$2:$E$5001,"Em ajustes",$N$2:$N$5001,"&lt;"&amp;I3989)&gt;0,1,0),0))</f>
        <v/>
      </c>
      <c r="L3989" s="16" t="str">
        <f aca="false">IF(B3989="","",IF(N3989=_xlfn.MAXIFS($N$2:$N$5001,$B$2:$B$5001,B3989,$I$2:$I$5001,I3989),1,0))</f>
        <v/>
      </c>
      <c r="M3989" s="16" t="str">
        <f aca="false">IF(B3989="","",IF(E3989="Em ajustes",IF(N3989=_xlfn.MINIFS($N$2:$N$5001,$B$2:$B$5001,B3989,$E$2:$E$5001,"Em ajustes"),1,0),0))</f>
        <v/>
      </c>
      <c r="N3989" s="17" t="str">
        <f aca="false">IF(A3989="","",IF(ISNUMBER(A3989),A3989,IFERROR(DATE(VALUE(MID(A3989,7,4)),VALUE(MID(A3989,4,2)),VALUE(MID(A3989,1,2)))+TIME(VALUE(MID(A3989,12,2)),VALUE(MID(A3989,15,2)),VALUE(MID(A3989,18,2))),"")))</f>
        <v/>
      </c>
    </row>
    <row r="3990" customFormat="false" ht="15" hidden="false" customHeight="false" outlineLevel="0" collapsed="false">
      <c r="I3990" s="15" t="str">
        <f aca="false">IF(N3990="","",INT(N3990))</f>
        <v/>
      </c>
      <c r="J3990" s="16" t="str">
        <f aca="false">IF(B3990="","",IF(N3990=_xlfn.MINIFS($N$2:$N$5001,$B$2:$B$5001,B3990),1,0))</f>
        <v/>
      </c>
      <c r="K3990" s="16" t="str">
        <f aca="false">IF(B3990="","",IF(AND(D3990="Formalização",E3990="Concluído"),IF(COUNTIFS($B$2:$B$5001,B3990,$E$2:$E$5001,"Em ajustes",$N$2:$N$5001,"&lt;"&amp;I3990)&gt;0,1,0),0))</f>
        <v/>
      </c>
      <c r="L3990" s="16" t="str">
        <f aca="false">IF(B3990="","",IF(N3990=_xlfn.MAXIFS($N$2:$N$5001,$B$2:$B$5001,B3990,$I$2:$I$5001,I3990),1,0))</f>
        <v/>
      </c>
      <c r="M3990" s="16" t="str">
        <f aca="false">IF(B3990="","",IF(E3990="Em ajustes",IF(N3990=_xlfn.MINIFS($N$2:$N$5001,$B$2:$B$5001,B3990,$E$2:$E$5001,"Em ajustes"),1,0),0))</f>
        <v/>
      </c>
      <c r="N3990" s="17" t="str">
        <f aca="false">IF(A3990="","",IF(ISNUMBER(A3990),A3990,IFERROR(DATE(VALUE(MID(A3990,7,4)),VALUE(MID(A3990,4,2)),VALUE(MID(A3990,1,2)))+TIME(VALUE(MID(A3990,12,2)),VALUE(MID(A3990,15,2)),VALUE(MID(A3990,18,2))),"")))</f>
        <v/>
      </c>
    </row>
    <row r="3991" customFormat="false" ht="15" hidden="false" customHeight="false" outlineLevel="0" collapsed="false">
      <c r="I3991" s="15" t="str">
        <f aca="false">IF(N3991="","",INT(N3991))</f>
        <v/>
      </c>
      <c r="J3991" s="16" t="str">
        <f aca="false">IF(B3991="","",IF(N3991=_xlfn.MINIFS($N$2:$N$5001,$B$2:$B$5001,B3991),1,0))</f>
        <v/>
      </c>
      <c r="K3991" s="16" t="str">
        <f aca="false">IF(B3991="","",IF(AND(D3991="Formalização",E3991="Concluído"),IF(COUNTIFS($B$2:$B$5001,B3991,$E$2:$E$5001,"Em ajustes",$N$2:$N$5001,"&lt;"&amp;I3991)&gt;0,1,0),0))</f>
        <v/>
      </c>
      <c r="L3991" s="16" t="str">
        <f aca="false">IF(B3991="","",IF(N3991=_xlfn.MAXIFS($N$2:$N$5001,$B$2:$B$5001,B3991,$I$2:$I$5001,I3991),1,0))</f>
        <v/>
      </c>
      <c r="M3991" s="16" t="str">
        <f aca="false">IF(B3991="","",IF(E3991="Em ajustes",IF(N3991=_xlfn.MINIFS($N$2:$N$5001,$B$2:$B$5001,B3991,$E$2:$E$5001,"Em ajustes"),1,0),0))</f>
        <v/>
      </c>
      <c r="N3991" s="17" t="str">
        <f aca="false">IF(A3991="","",IF(ISNUMBER(A3991),A3991,IFERROR(DATE(VALUE(MID(A3991,7,4)),VALUE(MID(A3991,4,2)),VALUE(MID(A3991,1,2)))+TIME(VALUE(MID(A3991,12,2)),VALUE(MID(A3991,15,2)),VALUE(MID(A3991,18,2))),"")))</f>
        <v/>
      </c>
    </row>
    <row r="3992" customFormat="false" ht="15" hidden="false" customHeight="false" outlineLevel="0" collapsed="false">
      <c r="I3992" s="15" t="str">
        <f aca="false">IF(N3992="","",INT(N3992))</f>
        <v/>
      </c>
      <c r="J3992" s="16" t="str">
        <f aca="false">IF(B3992="","",IF(N3992=_xlfn.MINIFS($N$2:$N$5001,$B$2:$B$5001,B3992),1,0))</f>
        <v/>
      </c>
      <c r="K3992" s="16" t="str">
        <f aca="false">IF(B3992="","",IF(AND(D3992="Formalização",E3992="Concluído"),IF(COUNTIFS($B$2:$B$5001,B3992,$E$2:$E$5001,"Em ajustes",$N$2:$N$5001,"&lt;"&amp;I3992)&gt;0,1,0),0))</f>
        <v/>
      </c>
      <c r="L3992" s="16" t="str">
        <f aca="false">IF(B3992="","",IF(N3992=_xlfn.MAXIFS($N$2:$N$5001,$B$2:$B$5001,B3992,$I$2:$I$5001,I3992),1,0))</f>
        <v/>
      </c>
      <c r="M3992" s="16" t="str">
        <f aca="false">IF(B3992="","",IF(E3992="Em ajustes",IF(N3992=_xlfn.MINIFS($N$2:$N$5001,$B$2:$B$5001,B3992,$E$2:$E$5001,"Em ajustes"),1,0),0))</f>
        <v/>
      </c>
      <c r="N3992" s="17" t="str">
        <f aca="false">IF(A3992="","",IF(ISNUMBER(A3992),A3992,IFERROR(DATE(VALUE(MID(A3992,7,4)),VALUE(MID(A3992,4,2)),VALUE(MID(A3992,1,2)))+TIME(VALUE(MID(A3992,12,2)),VALUE(MID(A3992,15,2)),VALUE(MID(A3992,18,2))),"")))</f>
        <v/>
      </c>
    </row>
    <row r="3993" customFormat="false" ht="15" hidden="false" customHeight="false" outlineLevel="0" collapsed="false">
      <c r="I3993" s="15" t="str">
        <f aca="false">IF(N3993="","",INT(N3993))</f>
        <v/>
      </c>
      <c r="J3993" s="16" t="str">
        <f aca="false">IF(B3993="","",IF(N3993=_xlfn.MINIFS($N$2:$N$5001,$B$2:$B$5001,B3993),1,0))</f>
        <v/>
      </c>
      <c r="K3993" s="16" t="str">
        <f aca="false">IF(B3993="","",IF(AND(D3993="Formalização",E3993="Concluído"),IF(COUNTIFS($B$2:$B$5001,B3993,$E$2:$E$5001,"Em ajustes",$N$2:$N$5001,"&lt;"&amp;I3993)&gt;0,1,0),0))</f>
        <v/>
      </c>
      <c r="L3993" s="16" t="str">
        <f aca="false">IF(B3993="","",IF(N3993=_xlfn.MAXIFS($N$2:$N$5001,$B$2:$B$5001,B3993,$I$2:$I$5001,I3993),1,0))</f>
        <v/>
      </c>
      <c r="M3993" s="16" t="str">
        <f aca="false">IF(B3993="","",IF(E3993="Em ajustes",IF(N3993=_xlfn.MINIFS($N$2:$N$5001,$B$2:$B$5001,B3993,$E$2:$E$5001,"Em ajustes"),1,0),0))</f>
        <v/>
      </c>
      <c r="N3993" s="17" t="str">
        <f aca="false">IF(A3993="","",IF(ISNUMBER(A3993),A3993,IFERROR(DATE(VALUE(MID(A3993,7,4)),VALUE(MID(A3993,4,2)),VALUE(MID(A3993,1,2)))+TIME(VALUE(MID(A3993,12,2)),VALUE(MID(A3993,15,2)),VALUE(MID(A3993,18,2))),"")))</f>
        <v/>
      </c>
    </row>
    <row r="3994" customFormat="false" ht="15" hidden="false" customHeight="false" outlineLevel="0" collapsed="false">
      <c r="I3994" s="15" t="str">
        <f aca="false">IF(N3994="","",INT(N3994))</f>
        <v/>
      </c>
      <c r="J3994" s="16" t="str">
        <f aca="false">IF(B3994="","",IF(N3994=_xlfn.MINIFS($N$2:$N$5001,$B$2:$B$5001,B3994),1,0))</f>
        <v/>
      </c>
      <c r="K3994" s="16" t="str">
        <f aca="false">IF(B3994="","",IF(AND(D3994="Formalização",E3994="Concluído"),IF(COUNTIFS($B$2:$B$5001,B3994,$E$2:$E$5001,"Em ajustes",$N$2:$N$5001,"&lt;"&amp;I3994)&gt;0,1,0),0))</f>
        <v/>
      </c>
      <c r="L3994" s="16" t="str">
        <f aca="false">IF(B3994="","",IF(N3994=_xlfn.MAXIFS($N$2:$N$5001,$B$2:$B$5001,B3994,$I$2:$I$5001,I3994),1,0))</f>
        <v/>
      </c>
      <c r="M3994" s="16" t="str">
        <f aca="false">IF(B3994="","",IF(E3994="Em ajustes",IF(N3994=_xlfn.MINIFS($N$2:$N$5001,$B$2:$B$5001,B3994,$E$2:$E$5001,"Em ajustes"),1,0),0))</f>
        <v/>
      </c>
      <c r="N3994" s="17" t="str">
        <f aca="false">IF(A3994="","",IF(ISNUMBER(A3994),A3994,IFERROR(DATE(VALUE(MID(A3994,7,4)),VALUE(MID(A3994,4,2)),VALUE(MID(A3994,1,2)))+TIME(VALUE(MID(A3994,12,2)),VALUE(MID(A3994,15,2)),VALUE(MID(A3994,18,2))),"")))</f>
        <v/>
      </c>
    </row>
    <row r="3995" customFormat="false" ht="15" hidden="false" customHeight="false" outlineLevel="0" collapsed="false">
      <c r="I3995" s="15" t="str">
        <f aca="false">IF(N3995="","",INT(N3995))</f>
        <v/>
      </c>
      <c r="J3995" s="16" t="str">
        <f aca="false">IF(B3995="","",IF(N3995=_xlfn.MINIFS($N$2:$N$5001,$B$2:$B$5001,B3995),1,0))</f>
        <v/>
      </c>
      <c r="K3995" s="16" t="str">
        <f aca="false">IF(B3995="","",IF(AND(D3995="Formalização",E3995="Concluído"),IF(COUNTIFS($B$2:$B$5001,B3995,$E$2:$E$5001,"Em ajustes",$N$2:$N$5001,"&lt;"&amp;I3995)&gt;0,1,0),0))</f>
        <v/>
      </c>
      <c r="L3995" s="16" t="str">
        <f aca="false">IF(B3995="","",IF(N3995=_xlfn.MAXIFS($N$2:$N$5001,$B$2:$B$5001,B3995,$I$2:$I$5001,I3995),1,0))</f>
        <v/>
      </c>
      <c r="M3995" s="16" t="str">
        <f aca="false">IF(B3995="","",IF(E3995="Em ajustes",IF(N3995=_xlfn.MINIFS($N$2:$N$5001,$B$2:$B$5001,B3995,$E$2:$E$5001,"Em ajustes"),1,0),0))</f>
        <v/>
      </c>
      <c r="N3995" s="17" t="str">
        <f aca="false">IF(A3995="","",IF(ISNUMBER(A3995),A3995,IFERROR(DATE(VALUE(MID(A3995,7,4)),VALUE(MID(A3995,4,2)),VALUE(MID(A3995,1,2)))+TIME(VALUE(MID(A3995,12,2)),VALUE(MID(A3995,15,2)),VALUE(MID(A3995,18,2))),"")))</f>
        <v/>
      </c>
    </row>
    <row r="3996" customFormat="false" ht="15" hidden="false" customHeight="false" outlineLevel="0" collapsed="false">
      <c r="I3996" s="15" t="str">
        <f aca="false">IF(N3996="","",INT(N3996))</f>
        <v/>
      </c>
      <c r="J3996" s="16" t="str">
        <f aca="false">IF(B3996="","",IF(N3996=_xlfn.MINIFS($N$2:$N$5001,$B$2:$B$5001,B3996),1,0))</f>
        <v/>
      </c>
      <c r="K3996" s="16" t="str">
        <f aca="false">IF(B3996="","",IF(AND(D3996="Formalização",E3996="Concluído"),IF(COUNTIFS($B$2:$B$5001,B3996,$E$2:$E$5001,"Em ajustes",$N$2:$N$5001,"&lt;"&amp;I3996)&gt;0,1,0),0))</f>
        <v/>
      </c>
      <c r="L3996" s="16" t="str">
        <f aca="false">IF(B3996="","",IF(N3996=_xlfn.MAXIFS($N$2:$N$5001,$B$2:$B$5001,B3996,$I$2:$I$5001,I3996),1,0))</f>
        <v/>
      </c>
      <c r="M3996" s="16" t="str">
        <f aca="false">IF(B3996="","",IF(E3996="Em ajustes",IF(N3996=_xlfn.MINIFS($N$2:$N$5001,$B$2:$B$5001,B3996,$E$2:$E$5001,"Em ajustes"),1,0),0))</f>
        <v/>
      </c>
      <c r="N3996" s="17" t="str">
        <f aca="false">IF(A3996="","",IF(ISNUMBER(A3996),A3996,IFERROR(DATE(VALUE(MID(A3996,7,4)),VALUE(MID(A3996,4,2)),VALUE(MID(A3996,1,2)))+TIME(VALUE(MID(A3996,12,2)),VALUE(MID(A3996,15,2)),VALUE(MID(A3996,18,2))),"")))</f>
        <v/>
      </c>
    </row>
    <row r="3997" customFormat="false" ht="15" hidden="false" customHeight="false" outlineLevel="0" collapsed="false">
      <c r="I3997" s="15" t="str">
        <f aca="false">IF(N3997="","",INT(N3997))</f>
        <v/>
      </c>
      <c r="J3997" s="16" t="str">
        <f aca="false">IF(B3997="","",IF(N3997=_xlfn.MINIFS($N$2:$N$5001,$B$2:$B$5001,B3997),1,0))</f>
        <v/>
      </c>
      <c r="K3997" s="16" t="str">
        <f aca="false">IF(B3997="","",IF(AND(D3997="Formalização",E3997="Concluído"),IF(COUNTIFS($B$2:$B$5001,B3997,$E$2:$E$5001,"Em ajustes",$N$2:$N$5001,"&lt;"&amp;I3997)&gt;0,1,0),0))</f>
        <v/>
      </c>
      <c r="L3997" s="16" t="str">
        <f aca="false">IF(B3997="","",IF(N3997=_xlfn.MAXIFS($N$2:$N$5001,$B$2:$B$5001,B3997,$I$2:$I$5001,I3997),1,0))</f>
        <v/>
      </c>
      <c r="M3997" s="16" t="str">
        <f aca="false">IF(B3997="","",IF(E3997="Em ajustes",IF(N3997=_xlfn.MINIFS($N$2:$N$5001,$B$2:$B$5001,B3997,$E$2:$E$5001,"Em ajustes"),1,0),0))</f>
        <v/>
      </c>
      <c r="N3997" s="17" t="str">
        <f aca="false">IF(A3997="","",IF(ISNUMBER(A3997),A3997,IFERROR(DATE(VALUE(MID(A3997,7,4)),VALUE(MID(A3997,4,2)),VALUE(MID(A3997,1,2)))+TIME(VALUE(MID(A3997,12,2)),VALUE(MID(A3997,15,2)),VALUE(MID(A3997,18,2))),"")))</f>
        <v/>
      </c>
    </row>
    <row r="3998" customFormat="false" ht="15" hidden="false" customHeight="false" outlineLevel="0" collapsed="false">
      <c r="I3998" s="15" t="str">
        <f aca="false">IF(N3998="","",INT(N3998))</f>
        <v/>
      </c>
      <c r="J3998" s="16" t="str">
        <f aca="false">IF(B3998="","",IF(N3998=_xlfn.MINIFS($N$2:$N$5001,$B$2:$B$5001,B3998),1,0))</f>
        <v/>
      </c>
      <c r="K3998" s="16" t="str">
        <f aca="false">IF(B3998="","",IF(AND(D3998="Formalização",E3998="Concluído"),IF(COUNTIFS($B$2:$B$5001,B3998,$E$2:$E$5001,"Em ajustes",$N$2:$N$5001,"&lt;"&amp;I3998)&gt;0,1,0),0))</f>
        <v/>
      </c>
      <c r="L3998" s="16" t="str">
        <f aca="false">IF(B3998="","",IF(N3998=_xlfn.MAXIFS($N$2:$N$5001,$B$2:$B$5001,B3998,$I$2:$I$5001,I3998),1,0))</f>
        <v/>
      </c>
      <c r="M3998" s="16" t="str">
        <f aca="false">IF(B3998="","",IF(E3998="Em ajustes",IF(N3998=_xlfn.MINIFS($N$2:$N$5001,$B$2:$B$5001,B3998,$E$2:$E$5001,"Em ajustes"),1,0),0))</f>
        <v/>
      </c>
      <c r="N3998" s="17" t="str">
        <f aca="false">IF(A3998="","",IF(ISNUMBER(A3998),A3998,IFERROR(DATE(VALUE(MID(A3998,7,4)),VALUE(MID(A3998,4,2)),VALUE(MID(A3998,1,2)))+TIME(VALUE(MID(A3998,12,2)),VALUE(MID(A3998,15,2)),VALUE(MID(A3998,18,2))),"")))</f>
        <v/>
      </c>
    </row>
    <row r="3999" customFormat="false" ht="15" hidden="false" customHeight="false" outlineLevel="0" collapsed="false">
      <c r="I3999" s="15" t="str">
        <f aca="false">IF(N3999="","",INT(N3999))</f>
        <v/>
      </c>
      <c r="J3999" s="16" t="str">
        <f aca="false">IF(B3999="","",IF(N3999=_xlfn.MINIFS($N$2:$N$5001,$B$2:$B$5001,B3999),1,0))</f>
        <v/>
      </c>
      <c r="K3999" s="16" t="str">
        <f aca="false">IF(B3999="","",IF(AND(D3999="Formalização",E3999="Concluído"),IF(COUNTIFS($B$2:$B$5001,B3999,$E$2:$E$5001,"Em ajustes",$N$2:$N$5001,"&lt;"&amp;I3999)&gt;0,1,0),0))</f>
        <v/>
      </c>
      <c r="L3999" s="16" t="str">
        <f aca="false">IF(B3999="","",IF(N3999=_xlfn.MAXIFS($N$2:$N$5001,$B$2:$B$5001,B3999,$I$2:$I$5001,I3999),1,0))</f>
        <v/>
      </c>
      <c r="M3999" s="16" t="str">
        <f aca="false">IF(B3999="","",IF(E3999="Em ajustes",IF(N3999=_xlfn.MINIFS($N$2:$N$5001,$B$2:$B$5001,B3999,$E$2:$E$5001,"Em ajustes"),1,0),0))</f>
        <v/>
      </c>
      <c r="N3999" s="17" t="str">
        <f aca="false">IF(A3999="","",IF(ISNUMBER(A3999),A3999,IFERROR(DATE(VALUE(MID(A3999,7,4)),VALUE(MID(A3999,4,2)),VALUE(MID(A3999,1,2)))+TIME(VALUE(MID(A3999,12,2)),VALUE(MID(A3999,15,2)),VALUE(MID(A3999,18,2))),"")))</f>
        <v/>
      </c>
    </row>
    <row r="4000" customFormat="false" ht="15" hidden="false" customHeight="false" outlineLevel="0" collapsed="false">
      <c r="I4000" s="15" t="str">
        <f aca="false">IF(N4000="","",INT(N4000))</f>
        <v/>
      </c>
      <c r="J4000" s="16" t="str">
        <f aca="false">IF(B4000="","",IF(N4000=_xlfn.MINIFS($N$2:$N$5001,$B$2:$B$5001,B4000),1,0))</f>
        <v/>
      </c>
      <c r="K4000" s="16" t="str">
        <f aca="false">IF(B4000="","",IF(AND(D4000="Formalização",E4000="Concluído"),IF(COUNTIFS($B$2:$B$5001,B4000,$E$2:$E$5001,"Em ajustes",$N$2:$N$5001,"&lt;"&amp;I4000)&gt;0,1,0),0))</f>
        <v/>
      </c>
      <c r="L4000" s="16" t="str">
        <f aca="false">IF(B4000="","",IF(N4000=_xlfn.MAXIFS($N$2:$N$5001,$B$2:$B$5001,B4000,$I$2:$I$5001,I4000),1,0))</f>
        <v/>
      </c>
      <c r="M4000" s="16" t="str">
        <f aca="false">IF(B4000="","",IF(E4000="Em ajustes",IF(N4000=_xlfn.MINIFS($N$2:$N$5001,$B$2:$B$5001,B4000,$E$2:$E$5001,"Em ajustes"),1,0),0))</f>
        <v/>
      </c>
      <c r="N4000" s="17" t="str">
        <f aca="false">IF(A4000="","",IF(ISNUMBER(A4000),A4000,IFERROR(DATE(VALUE(MID(A4000,7,4)),VALUE(MID(A4000,4,2)),VALUE(MID(A4000,1,2)))+TIME(VALUE(MID(A4000,12,2)),VALUE(MID(A4000,15,2)),VALUE(MID(A4000,18,2))),"")))</f>
        <v/>
      </c>
    </row>
    <row r="4001" customFormat="false" ht="15" hidden="false" customHeight="false" outlineLevel="0" collapsed="false">
      <c r="I4001" s="15" t="str">
        <f aca="false">IF(N4001="","",INT(N4001))</f>
        <v/>
      </c>
      <c r="J4001" s="16" t="str">
        <f aca="false">IF(B4001="","",IF(N4001=_xlfn.MINIFS($N$2:$N$5001,$B$2:$B$5001,B4001),1,0))</f>
        <v/>
      </c>
      <c r="K4001" s="16" t="str">
        <f aca="false">IF(B4001="","",IF(AND(D4001="Formalização",E4001="Concluído"),IF(COUNTIFS($B$2:$B$5001,B4001,$E$2:$E$5001,"Em ajustes",$N$2:$N$5001,"&lt;"&amp;I4001)&gt;0,1,0),0))</f>
        <v/>
      </c>
      <c r="L4001" s="16" t="str">
        <f aca="false">IF(B4001="","",IF(N4001=_xlfn.MAXIFS($N$2:$N$5001,$B$2:$B$5001,B4001,$I$2:$I$5001,I4001),1,0))</f>
        <v/>
      </c>
      <c r="M4001" s="16" t="str">
        <f aca="false">IF(B4001="","",IF(E4001="Em ajustes",IF(N4001=_xlfn.MINIFS($N$2:$N$5001,$B$2:$B$5001,B4001,$E$2:$E$5001,"Em ajustes"),1,0),0))</f>
        <v/>
      </c>
      <c r="N4001" s="17" t="str">
        <f aca="false">IF(A4001="","",IF(ISNUMBER(A4001),A4001,IFERROR(DATE(VALUE(MID(A4001,7,4)),VALUE(MID(A4001,4,2)),VALUE(MID(A4001,1,2)))+TIME(VALUE(MID(A4001,12,2)),VALUE(MID(A4001,15,2)),VALUE(MID(A4001,18,2))),"")))</f>
        <v/>
      </c>
    </row>
    <row r="4002" customFormat="false" ht="15" hidden="false" customHeight="false" outlineLevel="0" collapsed="false">
      <c r="I4002" s="15" t="str">
        <f aca="false">IF(N4002="","",INT(N4002))</f>
        <v/>
      </c>
      <c r="J4002" s="16" t="str">
        <f aca="false">IF(B4002="","",IF(N4002=_xlfn.MINIFS($N$2:$N$5001,$B$2:$B$5001,B4002),1,0))</f>
        <v/>
      </c>
      <c r="K4002" s="16" t="str">
        <f aca="false">IF(B4002="","",IF(AND(D4002="Formalização",E4002="Concluído"),IF(COUNTIFS($B$2:$B$5001,B4002,$E$2:$E$5001,"Em ajustes",$N$2:$N$5001,"&lt;"&amp;I4002)&gt;0,1,0),0))</f>
        <v/>
      </c>
      <c r="L4002" s="16" t="str">
        <f aca="false">IF(B4002="","",IF(N4002=_xlfn.MAXIFS($N$2:$N$5001,$B$2:$B$5001,B4002,$I$2:$I$5001,I4002),1,0))</f>
        <v/>
      </c>
      <c r="M4002" s="16" t="str">
        <f aca="false">IF(B4002="","",IF(E4002="Em ajustes",IF(N4002=_xlfn.MINIFS($N$2:$N$5001,$B$2:$B$5001,B4002,$E$2:$E$5001,"Em ajustes"),1,0),0))</f>
        <v/>
      </c>
      <c r="N4002" s="17" t="str">
        <f aca="false">IF(A4002="","",IF(ISNUMBER(A4002),A4002,IFERROR(DATE(VALUE(MID(A4002,7,4)),VALUE(MID(A4002,4,2)),VALUE(MID(A4002,1,2)))+TIME(VALUE(MID(A4002,12,2)),VALUE(MID(A4002,15,2)),VALUE(MID(A4002,18,2))),"")))</f>
        <v/>
      </c>
    </row>
    <row r="4003" customFormat="false" ht="15" hidden="false" customHeight="false" outlineLevel="0" collapsed="false">
      <c r="I4003" s="15" t="str">
        <f aca="false">IF(N4003="","",INT(N4003))</f>
        <v/>
      </c>
      <c r="J4003" s="16" t="str">
        <f aca="false">IF(B4003="","",IF(N4003=_xlfn.MINIFS($N$2:$N$5001,$B$2:$B$5001,B4003),1,0))</f>
        <v/>
      </c>
      <c r="K4003" s="16" t="str">
        <f aca="false">IF(B4003="","",IF(AND(D4003="Formalização",E4003="Concluído"),IF(COUNTIFS($B$2:$B$5001,B4003,$E$2:$E$5001,"Em ajustes",$N$2:$N$5001,"&lt;"&amp;I4003)&gt;0,1,0),0))</f>
        <v/>
      </c>
      <c r="L4003" s="16" t="str">
        <f aca="false">IF(B4003="","",IF(N4003=_xlfn.MAXIFS($N$2:$N$5001,$B$2:$B$5001,B4003,$I$2:$I$5001,I4003),1,0))</f>
        <v/>
      </c>
      <c r="M4003" s="16" t="str">
        <f aca="false">IF(B4003="","",IF(E4003="Em ajustes",IF(N4003=_xlfn.MINIFS($N$2:$N$5001,$B$2:$B$5001,B4003,$E$2:$E$5001,"Em ajustes"),1,0),0))</f>
        <v/>
      </c>
      <c r="N4003" s="17" t="str">
        <f aca="false">IF(A4003="","",IF(ISNUMBER(A4003),A4003,IFERROR(DATE(VALUE(MID(A4003,7,4)),VALUE(MID(A4003,4,2)),VALUE(MID(A4003,1,2)))+TIME(VALUE(MID(A4003,12,2)),VALUE(MID(A4003,15,2)),VALUE(MID(A4003,18,2))),"")))</f>
        <v/>
      </c>
    </row>
    <row r="4004" customFormat="false" ht="15" hidden="false" customHeight="false" outlineLevel="0" collapsed="false">
      <c r="I4004" s="15" t="str">
        <f aca="false">IF(N4004="","",INT(N4004))</f>
        <v/>
      </c>
      <c r="J4004" s="16" t="str">
        <f aca="false">IF(B4004="","",IF(N4004=_xlfn.MINIFS($N$2:$N$5001,$B$2:$B$5001,B4004),1,0))</f>
        <v/>
      </c>
      <c r="K4004" s="16" t="str">
        <f aca="false">IF(B4004="","",IF(AND(D4004="Formalização",E4004="Concluído"),IF(COUNTIFS($B$2:$B$5001,B4004,$E$2:$E$5001,"Em ajustes",$N$2:$N$5001,"&lt;"&amp;I4004)&gt;0,1,0),0))</f>
        <v/>
      </c>
      <c r="L4004" s="16" t="str">
        <f aca="false">IF(B4004="","",IF(N4004=_xlfn.MAXIFS($N$2:$N$5001,$B$2:$B$5001,B4004,$I$2:$I$5001,I4004),1,0))</f>
        <v/>
      </c>
      <c r="M4004" s="16" t="str">
        <f aca="false">IF(B4004="","",IF(E4004="Em ajustes",IF(N4004=_xlfn.MINIFS($N$2:$N$5001,$B$2:$B$5001,B4004,$E$2:$E$5001,"Em ajustes"),1,0),0))</f>
        <v/>
      </c>
      <c r="N4004" s="17" t="str">
        <f aca="false">IF(A4004="","",IF(ISNUMBER(A4004),A4004,IFERROR(DATE(VALUE(MID(A4004,7,4)),VALUE(MID(A4004,4,2)),VALUE(MID(A4004,1,2)))+TIME(VALUE(MID(A4004,12,2)),VALUE(MID(A4004,15,2)),VALUE(MID(A4004,18,2))),"")))</f>
        <v/>
      </c>
    </row>
    <row r="4005" customFormat="false" ht="15" hidden="false" customHeight="false" outlineLevel="0" collapsed="false">
      <c r="I4005" s="15" t="str">
        <f aca="false">IF(N4005="","",INT(N4005))</f>
        <v/>
      </c>
      <c r="J4005" s="16" t="str">
        <f aca="false">IF(B4005="","",IF(N4005=_xlfn.MINIFS($N$2:$N$5001,$B$2:$B$5001,B4005),1,0))</f>
        <v/>
      </c>
      <c r="K4005" s="16" t="str">
        <f aca="false">IF(B4005="","",IF(AND(D4005="Formalização",E4005="Concluído"),IF(COUNTIFS($B$2:$B$5001,B4005,$E$2:$E$5001,"Em ajustes",$N$2:$N$5001,"&lt;"&amp;I4005)&gt;0,1,0),0))</f>
        <v/>
      </c>
      <c r="L4005" s="16" t="str">
        <f aca="false">IF(B4005="","",IF(N4005=_xlfn.MAXIFS($N$2:$N$5001,$B$2:$B$5001,B4005,$I$2:$I$5001,I4005),1,0))</f>
        <v/>
      </c>
      <c r="M4005" s="16" t="str">
        <f aca="false">IF(B4005="","",IF(E4005="Em ajustes",IF(N4005=_xlfn.MINIFS($N$2:$N$5001,$B$2:$B$5001,B4005,$E$2:$E$5001,"Em ajustes"),1,0),0))</f>
        <v/>
      </c>
      <c r="N4005" s="17" t="str">
        <f aca="false">IF(A4005="","",IF(ISNUMBER(A4005),A4005,IFERROR(DATE(VALUE(MID(A4005,7,4)),VALUE(MID(A4005,4,2)),VALUE(MID(A4005,1,2)))+TIME(VALUE(MID(A4005,12,2)),VALUE(MID(A4005,15,2)),VALUE(MID(A4005,18,2))),"")))</f>
        <v/>
      </c>
    </row>
    <row r="4006" customFormat="false" ht="15" hidden="false" customHeight="false" outlineLevel="0" collapsed="false">
      <c r="I4006" s="15" t="str">
        <f aca="false">IF(N4006="","",INT(N4006))</f>
        <v/>
      </c>
      <c r="J4006" s="16" t="str">
        <f aca="false">IF(B4006="","",IF(N4006=_xlfn.MINIFS($N$2:$N$5001,$B$2:$B$5001,B4006),1,0))</f>
        <v/>
      </c>
      <c r="K4006" s="16" t="str">
        <f aca="false">IF(B4006="","",IF(AND(D4006="Formalização",E4006="Concluído"),IF(COUNTIFS($B$2:$B$5001,B4006,$E$2:$E$5001,"Em ajustes",$N$2:$N$5001,"&lt;"&amp;I4006)&gt;0,1,0),0))</f>
        <v/>
      </c>
      <c r="L4006" s="16" t="str">
        <f aca="false">IF(B4006="","",IF(N4006=_xlfn.MAXIFS($N$2:$N$5001,$B$2:$B$5001,B4006,$I$2:$I$5001,I4006),1,0))</f>
        <v/>
      </c>
      <c r="M4006" s="16" t="str">
        <f aca="false">IF(B4006="","",IF(E4006="Em ajustes",IF(N4006=_xlfn.MINIFS($N$2:$N$5001,$B$2:$B$5001,B4006,$E$2:$E$5001,"Em ajustes"),1,0),0))</f>
        <v/>
      </c>
      <c r="N4006" s="17" t="str">
        <f aca="false">IF(A4006="","",IF(ISNUMBER(A4006),A4006,IFERROR(DATE(VALUE(MID(A4006,7,4)),VALUE(MID(A4006,4,2)),VALUE(MID(A4006,1,2)))+TIME(VALUE(MID(A4006,12,2)),VALUE(MID(A4006,15,2)),VALUE(MID(A4006,18,2))),"")))</f>
        <v/>
      </c>
    </row>
    <row r="4007" customFormat="false" ht="15" hidden="false" customHeight="false" outlineLevel="0" collapsed="false">
      <c r="I4007" s="15" t="str">
        <f aca="false">IF(N4007="","",INT(N4007))</f>
        <v/>
      </c>
      <c r="J4007" s="16" t="str">
        <f aca="false">IF(B4007="","",IF(N4007=_xlfn.MINIFS($N$2:$N$5001,$B$2:$B$5001,B4007),1,0))</f>
        <v/>
      </c>
      <c r="K4007" s="16" t="str">
        <f aca="false">IF(B4007="","",IF(AND(D4007="Formalização",E4007="Concluído"),IF(COUNTIFS($B$2:$B$5001,B4007,$E$2:$E$5001,"Em ajustes",$N$2:$N$5001,"&lt;"&amp;I4007)&gt;0,1,0),0))</f>
        <v/>
      </c>
      <c r="L4007" s="16" t="str">
        <f aca="false">IF(B4007="","",IF(N4007=_xlfn.MAXIFS($N$2:$N$5001,$B$2:$B$5001,B4007,$I$2:$I$5001,I4007),1,0))</f>
        <v/>
      </c>
      <c r="M4007" s="16" t="str">
        <f aca="false">IF(B4007="","",IF(E4007="Em ajustes",IF(N4007=_xlfn.MINIFS($N$2:$N$5001,$B$2:$B$5001,B4007,$E$2:$E$5001,"Em ajustes"),1,0),0))</f>
        <v/>
      </c>
      <c r="N4007" s="17" t="str">
        <f aca="false">IF(A4007="","",IF(ISNUMBER(A4007),A4007,IFERROR(DATE(VALUE(MID(A4007,7,4)),VALUE(MID(A4007,4,2)),VALUE(MID(A4007,1,2)))+TIME(VALUE(MID(A4007,12,2)),VALUE(MID(A4007,15,2)),VALUE(MID(A4007,18,2))),"")))</f>
        <v/>
      </c>
    </row>
    <row r="4008" customFormat="false" ht="15" hidden="false" customHeight="false" outlineLevel="0" collapsed="false">
      <c r="I4008" s="15" t="str">
        <f aca="false">IF(N4008="","",INT(N4008))</f>
        <v/>
      </c>
      <c r="J4008" s="16" t="str">
        <f aca="false">IF(B4008="","",IF(N4008=_xlfn.MINIFS($N$2:$N$5001,$B$2:$B$5001,B4008),1,0))</f>
        <v/>
      </c>
      <c r="K4008" s="16" t="str">
        <f aca="false">IF(B4008="","",IF(AND(D4008="Formalização",E4008="Concluído"),IF(COUNTIFS($B$2:$B$5001,B4008,$E$2:$E$5001,"Em ajustes",$N$2:$N$5001,"&lt;"&amp;I4008)&gt;0,1,0),0))</f>
        <v/>
      </c>
      <c r="L4008" s="16" t="str">
        <f aca="false">IF(B4008="","",IF(N4008=_xlfn.MAXIFS($N$2:$N$5001,$B$2:$B$5001,B4008,$I$2:$I$5001,I4008),1,0))</f>
        <v/>
      </c>
      <c r="M4008" s="16" t="str">
        <f aca="false">IF(B4008="","",IF(E4008="Em ajustes",IF(N4008=_xlfn.MINIFS($N$2:$N$5001,$B$2:$B$5001,B4008,$E$2:$E$5001,"Em ajustes"),1,0),0))</f>
        <v/>
      </c>
      <c r="N4008" s="17" t="str">
        <f aca="false">IF(A4008="","",IF(ISNUMBER(A4008),A4008,IFERROR(DATE(VALUE(MID(A4008,7,4)),VALUE(MID(A4008,4,2)),VALUE(MID(A4008,1,2)))+TIME(VALUE(MID(A4008,12,2)),VALUE(MID(A4008,15,2)),VALUE(MID(A4008,18,2))),"")))</f>
        <v/>
      </c>
    </row>
    <row r="4009" customFormat="false" ht="15" hidden="false" customHeight="false" outlineLevel="0" collapsed="false">
      <c r="I4009" s="15" t="str">
        <f aca="false">IF(N4009="","",INT(N4009))</f>
        <v/>
      </c>
      <c r="J4009" s="16" t="str">
        <f aca="false">IF(B4009="","",IF(N4009=_xlfn.MINIFS($N$2:$N$5001,$B$2:$B$5001,B4009),1,0))</f>
        <v/>
      </c>
      <c r="K4009" s="16" t="str">
        <f aca="false">IF(B4009="","",IF(AND(D4009="Formalização",E4009="Concluído"),IF(COUNTIFS($B$2:$B$5001,B4009,$E$2:$E$5001,"Em ajustes",$N$2:$N$5001,"&lt;"&amp;I4009)&gt;0,1,0),0))</f>
        <v/>
      </c>
      <c r="L4009" s="16" t="str">
        <f aca="false">IF(B4009="","",IF(N4009=_xlfn.MAXIFS($N$2:$N$5001,$B$2:$B$5001,B4009,$I$2:$I$5001,I4009),1,0))</f>
        <v/>
      </c>
      <c r="M4009" s="16" t="str">
        <f aca="false">IF(B4009="","",IF(E4009="Em ajustes",IF(N4009=_xlfn.MINIFS($N$2:$N$5001,$B$2:$B$5001,B4009,$E$2:$E$5001,"Em ajustes"),1,0),0))</f>
        <v/>
      </c>
      <c r="N4009" s="17" t="str">
        <f aca="false">IF(A4009="","",IF(ISNUMBER(A4009),A4009,IFERROR(DATE(VALUE(MID(A4009,7,4)),VALUE(MID(A4009,4,2)),VALUE(MID(A4009,1,2)))+TIME(VALUE(MID(A4009,12,2)),VALUE(MID(A4009,15,2)),VALUE(MID(A4009,18,2))),"")))</f>
        <v/>
      </c>
    </row>
    <row r="4010" customFormat="false" ht="15" hidden="false" customHeight="false" outlineLevel="0" collapsed="false">
      <c r="I4010" s="15" t="str">
        <f aca="false">IF(N4010="","",INT(N4010))</f>
        <v/>
      </c>
      <c r="J4010" s="16" t="str">
        <f aca="false">IF(B4010="","",IF(N4010=_xlfn.MINIFS($N$2:$N$5001,$B$2:$B$5001,B4010),1,0))</f>
        <v/>
      </c>
      <c r="K4010" s="16" t="str">
        <f aca="false">IF(B4010="","",IF(AND(D4010="Formalização",E4010="Concluído"),IF(COUNTIFS($B$2:$B$5001,B4010,$E$2:$E$5001,"Em ajustes",$N$2:$N$5001,"&lt;"&amp;I4010)&gt;0,1,0),0))</f>
        <v/>
      </c>
      <c r="L4010" s="16" t="str">
        <f aca="false">IF(B4010="","",IF(N4010=_xlfn.MAXIFS($N$2:$N$5001,$B$2:$B$5001,B4010,$I$2:$I$5001,I4010),1,0))</f>
        <v/>
      </c>
      <c r="M4010" s="16" t="str">
        <f aca="false">IF(B4010="","",IF(E4010="Em ajustes",IF(N4010=_xlfn.MINIFS($N$2:$N$5001,$B$2:$B$5001,B4010,$E$2:$E$5001,"Em ajustes"),1,0),0))</f>
        <v/>
      </c>
      <c r="N4010" s="17" t="str">
        <f aca="false">IF(A4010="","",IF(ISNUMBER(A4010),A4010,IFERROR(DATE(VALUE(MID(A4010,7,4)),VALUE(MID(A4010,4,2)),VALUE(MID(A4010,1,2)))+TIME(VALUE(MID(A4010,12,2)),VALUE(MID(A4010,15,2)),VALUE(MID(A4010,18,2))),"")))</f>
        <v/>
      </c>
    </row>
    <row r="4011" customFormat="false" ht="15" hidden="false" customHeight="false" outlineLevel="0" collapsed="false">
      <c r="I4011" s="15" t="str">
        <f aca="false">IF(N4011="","",INT(N4011))</f>
        <v/>
      </c>
      <c r="J4011" s="16" t="str">
        <f aca="false">IF(B4011="","",IF(N4011=_xlfn.MINIFS($N$2:$N$5001,$B$2:$B$5001,B4011),1,0))</f>
        <v/>
      </c>
      <c r="K4011" s="16" t="str">
        <f aca="false">IF(B4011="","",IF(AND(D4011="Formalização",E4011="Concluído"),IF(COUNTIFS($B$2:$B$5001,B4011,$E$2:$E$5001,"Em ajustes",$N$2:$N$5001,"&lt;"&amp;I4011)&gt;0,1,0),0))</f>
        <v/>
      </c>
      <c r="L4011" s="16" t="str">
        <f aca="false">IF(B4011="","",IF(N4011=_xlfn.MAXIFS($N$2:$N$5001,$B$2:$B$5001,B4011,$I$2:$I$5001,I4011),1,0))</f>
        <v/>
      </c>
      <c r="M4011" s="16" t="str">
        <f aca="false">IF(B4011="","",IF(E4011="Em ajustes",IF(N4011=_xlfn.MINIFS($N$2:$N$5001,$B$2:$B$5001,B4011,$E$2:$E$5001,"Em ajustes"),1,0),0))</f>
        <v/>
      </c>
      <c r="N4011" s="17" t="str">
        <f aca="false">IF(A4011="","",IF(ISNUMBER(A4011),A4011,IFERROR(DATE(VALUE(MID(A4011,7,4)),VALUE(MID(A4011,4,2)),VALUE(MID(A4011,1,2)))+TIME(VALUE(MID(A4011,12,2)),VALUE(MID(A4011,15,2)),VALUE(MID(A4011,18,2))),"")))</f>
        <v/>
      </c>
    </row>
    <row r="4012" customFormat="false" ht="15" hidden="false" customHeight="false" outlineLevel="0" collapsed="false">
      <c r="I4012" s="15" t="str">
        <f aca="false">IF(N4012="","",INT(N4012))</f>
        <v/>
      </c>
      <c r="J4012" s="16" t="str">
        <f aca="false">IF(B4012="","",IF(N4012=_xlfn.MINIFS($N$2:$N$5001,$B$2:$B$5001,B4012),1,0))</f>
        <v/>
      </c>
      <c r="K4012" s="16" t="str">
        <f aca="false">IF(B4012="","",IF(AND(D4012="Formalização",E4012="Concluído"),IF(COUNTIFS($B$2:$B$5001,B4012,$E$2:$E$5001,"Em ajustes",$N$2:$N$5001,"&lt;"&amp;I4012)&gt;0,1,0),0))</f>
        <v/>
      </c>
      <c r="L4012" s="16" t="str">
        <f aca="false">IF(B4012="","",IF(N4012=_xlfn.MAXIFS($N$2:$N$5001,$B$2:$B$5001,B4012,$I$2:$I$5001,I4012),1,0))</f>
        <v/>
      </c>
      <c r="M4012" s="16" t="str">
        <f aca="false">IF(B4012="","",IF(E4012="Em ajustes",IF(N4012=_xlfn.MINIFS($N$2:$N$5001,$B$2:$B$5001,B4012,$E$2:$E$5001,"Em ajustes"),1,0),0))</f>
        <v/>
      </c>
      <c r="N4012" s="17" t="str">
        <f aca="false">IF(A4012="","",IF(ISNUMBER(A4012),A4012,IFERROR(DATE(VALUE(MID(A4012,7,4)),VALUE(MID(A4012,4,2)),VALUE(MID(A4012,1,2)))+TIME(VALUE(MID(A4012,12,2)),VALUE(MID(A4012,15,2)),VALUE(MID(A4012,18,2))),"")))</f>
        <v/>
      </c>
    </row>
    <row r="4013" customFormat="false" ht="15" hidden="false" customHeight="false" outlineLevel="0" collapsed="false">
      <c r="I4013" s="15" t="str">
        <f aca="false">IF(N4013="","",INT(N4013))</f>
        <v/>
      </c>
      <c r="J4013" s="16" t="str">
        <f aca="false">IF(B4013="","",IF(N4013=_xlfn.MINIFS($N$2:$N$5001,$B$2:$B$5001,B4013),1,0))</f>
        <v/>
      </c>
      <c r="K4013" s="16" t="str">
        <f aca="false">IF(B4013="","",IF(AND(D4013="Formalização",E4013="Concluído"),IF(COUNTIFS($B$2:$B$5001,B4013,$E$2:$E$5001,"Em ajustes",$N$2:$N$5001,"&lt;"&amp;I4013)&gt;0,1,0),0))</f>
        <v/>
      </c>
      <c r="L4013" s="16" t="str">
        <f aca="false">IF(B4013="","",IF(N4013=_xlfn.MAXIFS($N$2:$N$5001,$B$2:$B$5001,B4013,$I$2:$I$5001,I4013),1,0))</f>
        <v/>
      </c>
      <c r="M4013" s="16" t="str">
        <f aca="false">IF(B4013="","",IF(E4013="Em ajustes",IF(N4013=_xlfn.MINIFS($N$2:$N$5001,$B$2:$B$5001,B4013,$E$2:$E$5001,"Em ajustes"),1,0),0))</f>
        <v/>
      </c>
      <c r="N4013" s="17" t="str">
        <f aca="false">IF(A4013="","",IF(ISNUMBER(A4013),A4013,IFERROR(DATE(VALUE(MID(A4013,7,4)),VALUE(MID(A4013,4,2)),VALUE(MID(A4013,1,2)))+TIME(VALUE(MID(A4013,12,2)),VALUE(MID(A4013,15,2)),VALUE(MID(A4013,18,2))),"")))</f>
        <v/>
      </c>
    </row>
    <row r="4014" customFormat="false" ht="15" hidden="false" customHeight="false" outlineLevel="0" collapsed="false">
      <c r="I4014" s="15" t="str">
        <f aca="false">IF(N4014="","",INT(N4014))</f>
        <v/>
      </c>
      <c r="J4014" s="16" t="str">
        <f aca="false">IF(B4014="","",IF(N4014=_xlfn.MINIFS($N$2:$N$5001,$B$2:$B$5001,B4014),1,0))</f>
        <v/>
      </c>
      <c r="K4014" s="16" t="str">
        <f aca="false">IF(B4014="","",IF(AND(D4014="Formalização",E4014="Concluído"),IF(COUNTIFS($B$2:$B$5001,B4014,$E$2:$E$5001,"Em ajustes",$N$2:$N$5001,"&lt;"&amp;I4014)&gt;0,1,0),0))</f>
        <v/>
      </c>
      <c r="L4014" s="16" t="str">
        <f aca="false">IF(B4014="","",IF(N4014=_xlfn.MAXIFS($N$2:$N$5001,$B$2:$B$5001,B4014,$I$2:$I$5001,I4014),1,0))</f>
        <v/>
      </c>
      <c r="M4014" s="16" t="str">
        <f aca="false">IF(B4014="","",IF(E4014="Em ajustes",IF(N4014=_xlfn.MINIFS($N$2:$N$5001,$B$2:$B$5001,B4014,$E$2:$E$5001,"Em ajustes"),1,0),0))</f>
        <v/>
      </c>
      <c r="N4014" s="17" t="str">
        <f aca="false">IF(A4014="","",IF(ISNUMBER(A4014),A4014,IFERROR(DATE(VALUE(MID(A4014,7,4)),VALUE(MID(A4014,4,2)),VALUE(MID(A4014,1,2)))+TIME(VALUE(MID(A4014,12,2)),VALUE(MID(A4014,15,2)),VALUE(MID(A4014,18,2))),"")))</f>
        <v/>
      </c>
    </row>
    <row r="4015" customFormat="false" ht="15" hidden="false" customHeight="false" outlineLevel="0" collapsed="false">
      <c r="I4015" s="15" t="str">
        <f aca="false">IF(N4015="","",INT(N4015))</f>
        <v/>
      </c>
      <c r="J4015" s="16" t="str">
        <f aca="false">IF(B4015="","",IF(N4015=_xlfn.MINIFS($N$2:$N$5001,$B$2:$B$5001,B4015),1,0))</f>
        <v/>
      </c>
      <c r="K4015" s="16" t="str">
        <f aca="false">IF(B4015="","",IF(AND(D4015="Formalização",E4015="Concluído"),IF(COUNTIFS($B$2:$B$5001,B4015,$E$2:$E$5001,"Em ajustes",$N$2:$N$5001,"&lt;"&amp;I4015)&gt;0,1,0),0))</f>
        <v/>
      </c>
      <c r="L4015" s="16" t="str">
        <f aca="false">IF(B4015="","",IF(N4015=_xlfn.MAXIFS($N$2:$N$5001,$B$2:$B$5001,B4015,$I$2:$I$5001,I4015),1,0))</f>
        <v/>
      </c>
      <c r="M4015" s="16" t="str">
        <f aca="false">IF(B4015="","",IF(E4015="Em ajustes",IF(N4015=_xlfn.MINIFS($N$2:$N$5001,$B$2:$B$5001,B4015,$E$2:$E$5001,"Em ajustes"),1,0),0))</f>
        <v/>
      </c>
      <c r="N4015" s="17" t="str">
        <f aca="false">IF(A4015="","",IF(ISNUMBER(A4015),A4015,IFERROR(DATE(VALUE(MID(A4015,7,4)),VALUE(MID(A4015,4,2)),VALUE(MID(A4015,1,2)))+TIME(VALUE(MID(A4015,12,2)),VALUE(MID(A4015,15,2)),VALUE(MID(A4015,18,2))),"")))</f>
        <v/>
      </c>
    </row>
    <row r="4016" customFormat="false" ht="15" hidden="false" customHeight="false" outlineLevel="0" collapsed="false">
      <c r="I4016" s="15" t="str">
        <f aca="false">IF(N4016="","",INT(N4016))</f>
        <v/>
      </c>
      <c r="J4016" s="16" t="str">
        <f aca="false">IF(B4016="","",IF(N4016=_xlfn.MINIFS($N$2:$N$5001,$B$2:$B$5001,B4016),1,0))</f>
        <v/>
      </c>
      <c r="K4016" s="16" t="str">
        <f aca="false">IF(B4016="","",IF(AND(D4016="Formalização",E4016="Concluído"),IF(COUNTIFS($B$2:$B$5001,B4016,$E$2:$E$5001,"Em ajustes",$N$2:$N$5001,"&lt;"&amp;I4016)&gt;0,1,0),0))</f>
        <v/>
      </c>
      <c r="L4016" s="16" t="str">
        <f aca="false">IF(B4016="","",IF(N4016=_xlfn.MAXIFS($N$2:$N$5001,$B$2:$B$5001,B4016,$I$2:$I$5001,I4016),1,0))</f>
        <v/>
      </c>
      <c r="M4016" s="16" t="str">
        <f aca="false">IF(B4016="","",IF(E4016="Em ajustes",IF(N4016=_xlfn.MINIFS($N$2:$N$5001,$B$2:$B$5001,B4016,$E$2:$E$5001,"Em ajustes"),1,0),0))</f>
        <v/>
      </c>
      <c r="N4016" s="17" t="str">
        <f aca="false">IF(A4016="","",IF(ISNUMBER(A4016),A4016,IFERROR(DATE(VALUE(MID(A4016,7,4)),VALUE(MID(A4016,4,2)),VALUE(MID(A4016,1,2)))+TIME(VALUE(MID(A4016,12,2)),VALUE(MID(A4016,15,2)),VALUE(MID(A4016,18,2))),"")))</f>
        <v/>
      </c>
    </row>
    <row r="4017" customFormat="false" ht="15" hidden="false" customHeight="false" outlineLevel="0" collapsed="false">
      <c r="I4017" s="15" t="str">
        <f aca="false">IF(N4017="","",INT(N4017))</f>
        <v/>
      </c>
      <c r="J4017" s="16" t="str">
        <f aca="false">IF(B4017="","",IF(N4017=_xlfn.MINIFS($N$2:$N$5001,$B$2:$B$5001,B4017),1,0))</f>
        <v/>
      </c>
      <c r="K4017" s="16" t="str">
        <f aca="false">IF(B4017="","",IF(AND(D4017="Formalização",E4017="Concluído"),IF(COUNTIFS($B$2:$B$5001,B4017,$E$2:$E$5001,"Em ajustes",$N$2:$N$5001,"&lt;"&amp;I4017)&gt;0,1,0),0))</f>
        <v/>
      </c>
      <c r="L4017" s="16" t="str">
        <f aca="false">IF(B4017="","",IF(N4017=_xlfn.MAXIFS($N$2:$N$5001,$B$2:$B$5001,B4017,$I$2:$I$5001,I4017),1,0))</f>
        <v/>
      </c>
      <c r="M4017" s="16" t="str">
        <f aca="false">IF(B4017="","",IF(E4017="Em ajustes",IF(N4017=_xlfn.MINIFS($N$2:$N$5001,$B$2:$B$5001,B4017,$E$2:$E$5001,"Em ajustes"),1,0),0))</f>
        <v/>
      </c>
      <c r="N4017" s="17" t="str">
        <f aca="false">IF(A4017="","",IF(ISNUMBER(A4017),A4017,IFERROR(DATE(VALUE(MID(A4017,7,4)),VALUE(MID(A4017,4,2)),VALUE(MID(A4017,1,2)))+TIME(VALUE(MID(A4017,12,2)),VALUE(MID(A4017,15,2)),VALUE(MID(A4017,18,2))),"")))</f>
        <v/>
      </c>
    </row>
    <row r="4018" customFormat="false" ht="15" hidden="false" customHeight="false" outlineLevel="0" collapsed="false">
      <c r="I4018" s="15" t="str">
        <f aca="false">IF(N4018="","",INT(N4018))</f>
        <v/>
      </c>
      <c r="J4018" s="16" t="str">
        <f aca="false">IF(B4018="","",IF(N4018=_xlfn.MINIFS($N$2:$N$5001,$B$2:$B$5001,B4018),1,0))</f>
        <v/>
      </c>
      <c r="K4018" s="16" t="str">
        <f aca="false">IF(B4018="","",IF(AND(D4018="Formalização",E4018="Concluído"),IF(COUNTIFS($B$2:$B$5001,B4018,$E$2:$E$5001,"Em ajustes",$N$2:$N$5001,"&lt;"&amp;I4018)&gt;0,1,0),0))</f>
        <v/>
      </c>
      <c r="L4018" s="16" t="str">
        <f aca="false">IF(B4018="","",IF(N4018=_xlfn.MAXIFS($N$2:$N$5001,$B$2:$B$5001,B4018,$I$2:$I$5001,I4018),1,0))</f>
        <v/>
      </c>
      <c r="M4018" s="16" t="str">
        <f aca="false">IF(B4018="","",IF(E4018="Em ajustes",IF(N4018=_xlfn.MINIFS($N$2:$N$5001,$B$2:$B$5001,B4018,$E$2:$E$5001,"Em ajustes"),1,0),0))</f>
        <v/>
      </c>
      <c r="N4018" s="17" t="str">
        <f aca="false">IF(A4018="","",IF(ISNUMBER(A4018),A4018,IFERROR(DATE(VALUE(MID(A4018,7,4)),VALUE(MID(A4018,4,2)),VALUE(MID(A4018,1,2)))+TIME(VALUE(MID(A4018,12,2)),VALUE(MID(A4018,15,2)),VALUE(MID(A4018,18,2))),"")))</f>
        <v/>
      </c>
    </row>
    <row r="4019" customFormat="false" ht="15" hidden="false" customHeight="false" outlineLevel="0" collapsed="false">
      <c r="I4019" s="15" t="str">
        <f aca="false">IF(N4019="","",INT(N4019))</f>
        <v/>
      </c>
      <c r="J4019" s="16" t="str">
        <f aca="false">IF(B4019="","",IF(N4019=_xlfn.MINIFS($N$2:$N$5001,$B$2:$B$5001,B4019),1,0))</f>
        <v/>
      </c>
      <c r="K4019" s="16" t="str">
        <f aca="false">IF(B4019="","",IF(AND(D4019="Formalização",E4019="Concluído"),IF(COUNTIFS($B$2:$B$5001,B4019,$E$2:$E$5001,"Em ajustes",$N$2:$N$5001,"&lt;"&amp;I4019)&gt;0,1,0),0))</f>
        <v/>
      </c>
      <c r="L4019" s="16" t="str">
        <f aca="false">IF(B4019="","",IF(N4019=_xlfn.MAXIFS($N$2:$N$5001,$B$2:$B$5001,B4019,$I$2:$I$5001,I4019),1,0))</f>
        <v/>
      </c>
      <c r="M4019" s="16" t="str">
        <f aca="false">IF(B4019="","",IF(E4019="Em ajustes",IF(N4019=_xlfn.MINIFS($N$2:$N$5001,$B$2:$B$5001,B4019,$E$2:$E$5001,"Em ajustes"),1,0),0))</f>
        <v/>
      </c>
      <c r="N4019" s="17" t="str">
        <f aca="false">IF(A4019="","",IF(ISNUMBER(A4019),A4019,IFERROR(DATE(VALUE(MID(A4019,7,4)),VALUE(MID(A4019,4,2)),VALUE(MID(A4019,1,2)))+TIME(VALUE(MID(A4019,12,2)),VALUE(MID(A4019,15,2)),VALUE(MID(A4019,18,2))),"")))</f>
        <v/>
      </c>
    </row>
    <row r="4020" customFormat="false" ht="15" hidden="false" customHeight="false" outlineLevel="0" collapsed="false">
      <c r="I4020" s="15" t="str">
        <f aca="false">IF(N4020="","",INT(N4020))</f>
        <v/>
      </c>
      <c r="J4020" s="16" t="str">
        <f aca="false">IF(B4020="","",IF(N4020=_xlfn.MINIFS($N$2:$N$5001,$B$2:$B$5001,B4020),1,0))</f>
        <v/>
      </c>
      <c r="K4020" s="16" t="str">
        <f aca="false">IF(B4020="","",IF(AND(D4020="Formalização",E4020="Concluído"),IF(COUNTIFS($B$2:$B$5001,B4020,$E$2:$E$5001,"Em ajustes",$N$2:$N$5001,"&lt;"&amp;I4020)&gt;0,1,0),0))</f>
        <v/>
      </c>
      <c r="L4020" s="16" t="str">
        <f aca="false">IF(B4020="","",IF(N4020=_xlfn.MAXIFS($N$2:$N$5001,$B$2:$B$5001,B4020,$I$2:$I$5001,I4020),1,0))</f>
        <v/>
      </c>
      <c r="M4020" s="16" t="str">
        <f aca="false">IF(B4020="","",IF(E4020="Em ajustes",IF(N4020=_xlfn.MINIFS($N$2:$N$5001,$B$2:$B$5001,B4020,$E$2:$E$5001,"Em ajustes"),1,0),0))</f>
        <v/>
      </c>
      <c r="N4020" s="17" t="str">
        <f aca="false">IF(A4020="","",IF(ISNUMBER(A4020),A4020,IFERROR(DATE(VALUE(MID(A4020,7,4)),VALUE(MID(A4020,4,2)),VALUE(MID(A4020,1,2)))+TIME(VALUE(MID(A4020,12,2)),VALUE(MID(A4020,15,2)),VALUE(MID(A4020,18,2))),"")))</f>
        <v/>
      </c>
    </row>
    <row r="4021" customFormat="false" ht="15" hidden="false" customHeight="false" outlineLevel="0" collapsed="false">
      <c r="I4021" s="15" t="str">
        <f aca="false">IF(N4021="","",INT(N4021))</f>
        <v/>
      </c>
      <c r="J4021" s="16" t="str">
        <f aca="false">IF(B4021="","",IF(N4021=_xlfn.MINIFS($N$2:$N$5001,$B$2:$B$5001,B4021),1,0))</f>
        <v/>
      </c>
      <c r="K4021" s="16" t="str">
        <f aca="false">IF(B4021="","",IF(AND(D4021="Formalização",E4021="Concluído"),IF(COUNTIFS($B$2:$B$5001,B4021,$E$2:$E$5001,"Em ajustes",$N$2:$N$5001,"&lt;"&amp;I4021)&gt;0,1,0),0))</f>
        <v/>
      </c>
      <c r="L4021" s="16" t="str">
        <f aca="false">IF(B4021="","",IF(N4021=_xlfn.MAXIFS($N$2:$N$5001,$B$2:$B$5001,B4021,$I$2:$I$5001,I4021),1,0))</f>
        <v/>
      </c>
      <c r="M4021" s="16" t="str">
        <f aca="false">IF(B4021="","",IF(E4021="Em ajustes",IF(N4021=_xlfn.MINIFS($N$2:$N$5001,$B$2:$B$5001,B4021,$E$2:$E$5001,"Em ajustes"),1,0),0))</f>
        <v/>
      </c>
      <c r="N4021" s="17" t="str">
        <f aca="false">IF(A4021="","",IF(ISNUMBER(A4021),A4021,IFERROR(DATE(VALUE(MID(A4021,7,4)),VALUE(MID(A4021,4,2)),VALUE(MID(A4021,1,2)))+TIME(VALUE(MID(A4021,12,2)),VALUE(MID(A4021,15,2)),VALUE(MID(A4021,18,2))),"")))</f>
        <v/>
      </c>
    </row>
    <row r="4022" customFormat="false" ht="15" hidden="false" customHeight="false" outlineLevel="0" collapsed="false">
      <c r="I4022" s="15" t="str">
        <f aca="false">IF(N4022="","",INT(N4022))</f>
        <v/>
      </c>
      <c r="J4022" s="16" t="str">
        <f aca="false">IF(B4022="","",IF(N4022=_xlfn.MINIFS($N$2:$N$5001,$B$2:$B$5001,B4022),1,0))</f>
        <v/>
      </c>
      <c r="K4022" s="16" t="str">
        <f aca="false">IF(B4022="","",IF(AND(D4022="Formalização",E4022="Concluído"),IF(COUNTIFS($B$2:$B$5001,B4022,$E$2:$E$5001,"Em ajustes",$N$2:$N$5001,"&lt;"&amp;I4022)&gt;0,1,0),0))</f>
        <v/>
      </c>
      <c r="L4022" s="16" t="str">
        <f aca="false">IF(B4022="","",IF(N4022=_xlfn.MAXIFS($N$2:$N$5001,$B$2:$B$5001,B4022,$I$2:$I$5001,I4022),1,0))</f>
        <v/>
      </c>
      <c r="M4022" s="16" t="str">
        <f aca="false">IF(B4022="","",IF(E4022="Em ajustes",IF(N4022=_xlfn.MINIFS($N$2:$N$5001,$B$2:$B$5001,B4022,$E$2:$E$5001,"Em ajustes"),1,0),0))</f>
        <v/>
      </c>
      <c r="N4022" s="17" t="str">
        <f aca="false">IF(A4022="","",IF(ISNUMBER(A4022),A4022,IFERROR(DATE(VALUE(MID(A4022,7,4)),VALUE(MID(A4022,4,2)),VALUE(MID(A4022,1,2)))+TIME(VALUE(MID(A4022,12,2)),VALUE(MID(A4022,15,2)),VALUE(MID(A4022,18,2))),"")))</f>
        <v/>
      </c>
    </row>
    <row r="4023" customFormat="false" ht="15" hidden="false" customHeight="false" outlineLevel="0" collapsed="false">
      <c r="I4023" s="15" t="str">
        <f aca="false">IF(N4023="","",INT(N4023))</f>
        <v/>
      </c>
      <c r="J4023" s="16" t="str">
        <f aca="false">IF(B4023="","",IF(N4023=_xlfn.MINIFS($N$2:$N$5001,$B$2:$B$5001,B4023),1,0))</f>
        <v/>
      </c>
      <c r="K4023" s="16" t="str">
        <f aca="false">IF(B4023="","",IF(AND(D4023="Formalização",E4023="Concluído"),IF(COUNTIFS($B$2:$B$5001,B4023,$E$2:$E$5001,"Em ajustes",$N$2:$N$5001,"&lt;"&amp;I4023)&gt;0,1,0),0))</f>
        <v/>
      </c>
      <c r="L4023" s="16" t="str">
        <f aca="false">IF(B4023="","",IF(N4023=_xlfn.MAXIFS($N$2:$N$5001,$B$2:$B$5001,B4023,$I$2:$I$5001,I4023),1,0))</f>
        <v/>
      </c>
      <c r="M4023" s="16" t="str">
        <f aca="false">IF(B4023="","",IF(E4023="Em ajustes",IF(N4023=_xlfn.MINIFS($N$2:$N$5001,$B$2:$B$5001,B4023,$E$2:$E$5001,"Em ajustes"),1,0),0))</f>
        <v/>
      </c>
      <c r="N4023" s="17" t="str">
        <f aca="false">IF(A4023="","",IF(ISNUMBER(A4023),A4023,IFERROR(DATE(VALUE(MID(A4023,7,4)),VALUE(MID(A4023,4,2)),VALUE(MID(A4023,1,2)))+TIME(VALUE(MID(A4023,12,2)),VALUE(MID(A4023,15,2)),VALUE(MID(A4023,18,2))),"")))</f>
        <v/>
      </c>
    </row>
    <row r="4024" customFormat="false" ht="15" hidden="false" customHeight="false" outlineLevel="0" collapsed="false">
      <c r="I4024" s="15" t="str">
        <f aca="false">IF(N4024="","",INT(N4024))</f>
        <v/>
      </c>
      <c r="J4024" s="16" t="str">
        <f aca="false">IF(B4024="","",IF(N4024=_xlfn.MINIFS($N$2:$N$5001,$B$2:$B$5001,B4024),1,0))</f>
        <v/>
      </c>
      <c r="K4024" s="16" t="str">
        <f aca="false">IF(B4024="","",IF(AND(D4024="Formalização",E4024="Concluído"),IF(COUNTIFS($B$2:$B$5001,B4024,$E$2:$E$5001,"Em ajustes",$N$2:$N$5001,"&lt;"&amp;I4024)&gt;0,1,0),0))</f>
        <v/>
      </c>
      <c r="L4024" s="16" t="str">
        <f aca="false">IF(B4024="","",IF(N4024=_xlfn.MAXIFS($N$2:$N$5001,$B$2:$B$5001,B4024,$I$2:$I$5001,I4024),1,0))</f>
        <v/>
      </c>
      <c r="M4024" s="16" t="str">
        <f aca="false">IF(B4024="","",IF(E4024="Em ajustes",IF(N4024=_xlfn.MINIFS($N$2:$N$5001,$B$2:$B$5001,B4024,$E$2:$E$5001,"Em ajustes"),1,0),0))</f>
        <v/>
      </c>
      <c r="N4024" s="17" t="str">
        <f aca="false">IF(A4024="","",IF(ISNUMBER(A4024),A4024,IFERROR(DATE(VALUE(MID(A4024,7,4)),VALUE(MID(A4024,4,2)),VALUE(MID(A4024,1,2)))+TIME(VALUE(MID(A4024,12,2)),VALUE(MID(A4024,15,2)),VALUE(MID(A4024,18,2))),"")))</f>
        <v/>
      </c>
    </row>
    <row r="4025" customFormat="false" ht="15" hidden="false" customHeight="false" outlineLevel="0" collapsed="false">
      <c r="I4025" s="15" t="str">
        <f aca="false">IF(N4025="","",INT(N4025))</f>
        <v/>
      </c>
      <c r="J4025" s="16" t="str">
        <f aca="false">IF(B4025="","",IF(N4025=_xlfn.MINIFS($N$2:$N$5001,$B$2:$B$5001,B4025),1,0))</f>
        <v/>
      </c>
      <c r="K4025" s="16" t="str">
        <f aca="false">IF(B4025="","",IF(AND(D4025="Formalização",E4025="Concluído"),IF(COUNTIFS($B$2:$B$5001,B4025,$E$2:$E$5001,"Em ajustes",$N$2:$N$5001,"&lt;"&amp;I4025)&gt;0,1,0),0))</f>
        <v/>
      </c>
      <c r="L4025" s="16" t="str">
        <f aca="false">IF(B4025="","",IF(N4025=_xlfn.MAXIFS($N$2:$N$5001,$B$2:$B$5001,B4025,$I$2:$I$5001,I4025),1,0))</f>
        <v/>
      </c>
      <c r="M4025" s="16" t="str">
        <f aca="false">IF(B4025="","",IF(E4025="Em ajustes",IF(N4025=_xlfn.MINIFS($N$2:$N$5001,$B$2:$B$5001,B4025,$E$2:$E$5001,"Em ajustes"),1,0),0))</f>
        <v/>
      </c>
      <c r="N4025" s="17" t="str">
        <f aca="false">IF(A4025="","",IF(ISNUMBER(A4025),A4025,IFERROR(DATE(VALUE(MID(A4025,7,4)),VALUE(MID(A4025,4,2)),VALUE(MID(A4025,1,2)))+TIME(VALUE(MID(A4025,12,2)),VALUE(MID(A4025,15,2)),VALUE(MID(A4025,18,2))),"")))</f>
        <v/>
      </c>
    </row>
    <row r="4026" customFormat="false" ht="15" hidden="false" customHeight="false" outlineLevel="0" collapsed="false">
      <c r="I4026" s="15" t="str">
        <f aca="false">IF(N4026="","",INT(N4026))</f>
        <v/>
      </c>
      <c r="J4026" s="16" t="str">
        <f aca="false">IF(B4026="","",IF(N4026=_xlfn.MINIFS($N$2:$N$5001,$B$2:$B$5001,B4026),1,0))</f>
        <v/>
      </c>
      <c r="K4026" s="16" t="str">
        <f aca="false">IF(B4026="","",IF(AND(D4026="Formalização",E4026="Concluído"),IF(COUNTIFS($B$2:$B$5001,B4026,$E$2:$E$5001,"Em ajustes",$N$2:$N$5001,"&lt;"&amp;I4026)&gt;0,1,0),0))</f>
        <v/>
      </c>
      <c r="L4026" s="16" t="str">
        <f aca="false">IF(B4026="","",IF(N4026=_xlfn.MAXIFS($N$2:$N$5001,$B$2:$B$5001,B4026,$I$2:$I$5001,I4026),1,0))</f>
        <v/>
      </c>
      <c r="M4026" s="16" t="str">
        <f aca="false">IF(B4026="","",IF(E4026="Em ajustes",IF(N4026=_xlfn.MINIFS($N$2:$N$5001,$B$2:$B$5001,B4026,$E$2:$E$5001,"Em ajustes"),1,0),0))</f>
        <v/>
      </c>
      <c r="N4026" s="17" t="str">
        <f aca="false">IF(A4026="","",IF(ISNUMBER(A4026),A4026,IFERROR(DATE(VALUE(MID(A4026,7,4)),VALUE(MID(A4026,4,2)),VALUE(MID(A4026,1,2)))+TIME(VALUE(MID(A4026,12,2)),VALUE(MID(A4026,15,2)),VALUE(MID(A4026,18,2))),"")))</f>
        <v/>
      </c>
    </row>
    <row r="4027" customFormat="false" ht="15" hidden="false" customHeight="false" outlineLevel="0" collapsed="false">
      <c r="I4027" s="15" t="str">
        <f aca="false">IF(N4027="","",INT(N4027))</f>
        <v/>
      </c>
      <c r="J4027" s="16" t="str">
        <f aca="false">IF(B4027="","",IF(N4027=_xlfn.MINIFS($N$2:$N$5001,$B$2:$B$5001,B4027),1,0))</f>
        <v/>
      </c>
      <c r="K4027" s="16" t="str">
        <f aca="false">IF(B4027="","",IF(AND(D4027="Formalização",E4027="Concluído"),IF(COUNTIFS($B$2:$B$5001,B4027,$E$2:$E$5001,"Em ajustes",$N$2:$N$5001,"&lt;"&amp;I4027)&gt;0,1,0),0))</f>
        <v/>
      </c>
      <c r="L4027" s="16" t="str">
        <f aca="false">IF(B4027="","",IF(N4027=_xlfn.MAXIFS($N$2:$N$5001,$B$2:$B$5001,B4027,$I$2:$I$5001,I4027),1,0))</f>
        <v/>
      </c>
      <c r="M4027" s="16" t="str">
        <f aca="false">IF(B4027="","",IF(E4027="Em ajustes",IF(N4027=_xlfn.MINIFS($N$2:$N$5001,$B$2:$B$5001,B4027,$E$2:$E$5001,"Em ajustes"),1,0),0))</f>
        <v/>
      </c>
      <c r="N4027" s="17" t="str">
        <f aca="false">IF(A4027="","",IF(ISNUMBER(A4027),A4027,IFERROR(DATE(VALUE(MID(A4027,7,4)),VALUE(MID(A4027,4,2)),VALUE(MID(A4027,1,2)))+TIME(VALUE(MID(A4027,12,2)),VALUE(MID(A4027,15,2)),VALUE(MID(A4027,18,2))),"")))</f>
        <v/>
      </c>
    </row>
    <row r="4028" customFormat="false" ht="15" hidden="false" customHeight="false" outlineLevel="0" collapsed="false">
      <c r="I4028" s="15" t="str">
        <f aca="false">IF(N4028="","",INT(N4028))</f>
        <v/>
      </c>
      <c r="J4028" s="16" t="str">
        <f aca="false">IF(B4028="","",IF(N4028=_xlfn.MINIFS($N$2:$N$5001,$B$2:$B$5001,B4028),1,0))</f>
        <v/>
      </c>
      <c r="K4028" s="16" t="str">
        <f aca="false">IF(B4028="","",IF(AND(D4028="Formalização",E4028="Concluído"),IF(COUNTIFS($B$2:$B$5001,B4028,$E$2:$E$5001,"Em ajustes",$N$2:$N$5001,"&lt;"&amp;I4028)&gt;0,1,0),0))</f>
        <v/>
      </c>
      <c r="L4028" s="16" t="str">
        <f aca="false">IF(B4028="","",IF(N4028=_xlfn.MAXIFS($N$2:$N$5001,$B$2:$B$5001,B4028,$I$2:$I$5001,I4028),1,0))</f>
        <v/>
      </c>
      <c r="M4028" s="16" t="str">
        <f aca="false">IF(B4028="","",IF(E4028="Em ajustes",IF(N4028=_xlfn.MINIFS($N$2:$N$5001,$B$2:$B$5001,B4028,$E$2:$E$5001,"Em ajustes"),1,0),0))</f>
        <v/>
      </c>
      <c r="N4028" s="17" t="str">
        <f aca="false">IF(A4028="","",IF(ISNUMBER(A4028),A4028,IFERROR(DATE(VALUE(MID(A4028,7,4)),VALUE(MID(A4028,4,2)),VALUE(MID(A4028,1,2)))+TIME(VALUE(MID(A4028,12,2)),VALUE(MID(A4028,15,2)),VALUE(MID(A4028,18,2))),"")))</f>
        <v/>
      </c>
    </row>
    <row r="4029" customFormat="false" ht="15" hidden="false" customHeight="false" outlineLevel="0" collapsed="false">
      <c r="I4029" s="15" t="str">
        <f aca="false">IF(N4029="","",INT(N4029))</f>
        <v/>
      </c>
      <c r="J4029" s="16" t="str">
        <f aca="false">IF(B4029="","",IF(N4029=_xlfn.MINIFS($N$2:$N$5001,$B$2:$B$5001,B4029),1,0))</f>
        <v/>
      </c>
      <c r="K4029" s="16" t="str">
        <f aca="false">IF(B4029="","",IF(AND(D4029="Formalização",E4029="Concluído"),IF(COUNTIFS($B$2:$B$5001,B4029,$E$2:$E$5001,"Em ajustes",$N$2:$N$5001,"&lt;"&amp;I4029)&gt;0,1,0),0))</f>
        <v/>
      </c>
      <c r="L4029" s="16" t="str">
        <f aca="false">IF(B4029="","",IF(N4029=_xlfn.MAXIFS($N$2:$N$5001,$B$2:$B$5001,B4029,$I$2:$I$5001,I4029),1,0))</f>
        <v/>
      </c>
      <c r="M4029" s="16" t="str">
        <f aca="false">IF(B4029="","",IF(E4029="Em ajustes",IF(N4029=_xlfn.MINIFS($N$2:$N$5001,$B$2:$B$5001,B4029,$E$2:$E$5001,"Em ajustes"),1,0),0))</f>
        <v/>
      </c>
      <c r="N4029" s="17" t="str">
        <f aca="false">IF(A4029="","",IF(ISNUMBER(A4029),A4029,IFERROR(DATE(VALUE(MID(A4029,7,4)),VALUE(MID(A4029,4,2)),VALUE(MID(A4029,1,2)))+TIME(VALUE(MID(A4029,12,2)),VALUE(MID(A4029,15,2)),VALUE(MID(A4029,18,2))),"")))</f>
        <v/>
      </c>
    </row>
    <row r="4030" customFormat="false" ht="15" hidden="false" customHeight="false" outlineLevel="0" collapsed="false">
      <c r="I4030" s="15" t="str">
        <f aca="false">IF(N4030="","",INT(N4030))</f>
        <v/>
      </c>
      <c r="J4030" s="16" t="str">
        <f aca="false">IF(B4030="","",IF(N4030=_xlfn.MINIFS($N$2:$N$5001,$B$2:$B$5001,B4030),1,0))</f>
        <v/>
      </c>
      <c r="K4030" s="16" t="str">
        <f aca="false">IF(B4030="","",IF(AND(D4030="Formalização",E4030="Concluído"),IF(COUNTIFS($B$2:$B$5001,B4030,$E$2:$E$5001,"Em ajustes",$N$2:$N$5001,"&lt;"&amp;I4030)&gt;0,1,0),0))</f>
        <v/>
      </c>
      <c r="L4030" s="16" t="str">
        <f aca="false">IF(B4030="","",IF(N4030=_xlfn.MAXIFS($N$2:$N$5001,$B$2:$B$5001,B4030,$I$2:$I$5001,I4030),1,0))</f>
        <v/>
      </c>
      <c r="M4030" s="16" t="str">
        <f aca="false">IF(B4030="","",IF(E4030="Em ajustes",IF(N4030=_xlfn.MINIFS($N$2:$N$5001,$B$2:$B$5001,B4030,$E$2:$E$5001,"Em ajustes"),1,0),0))</f>
        <v/>
      </c>
      <c r="N4030" s="17" t="str">
        <f aca="false">IF(A4030="","",IF(ISNUMBER(A4030),A4030,IFERROR(DATE(VALUE(MID(A4030,7,4)),VALUE(MID(A4030,4,2)),VALUE(MID(A4030,1,2)))+TIME(VALUE(MID(A4030,12,2)),VALUE(MID(A4030,15,2)),VALUE(MID(A4030,18,2))),"")))</f>
        <v/>
      </c>
    </row>
    <row r="4031" customFormat="false" ht="15" hidden="false" customHeight="false" outlineLevel="0" collapsed="false">
      <c r="I4031" s="15" t="str">
        <f aca="false">IF(N4031="","",INT(N4031))</f>
        <v/>
      </c>
      <c r="J4031" s="16" t="str">
        <f aca="false">IF(B4031="","",IF(N4031=_xlfn.MINIFS($N$2:$N$5001,$B$2:$B$5001,B4031),1,0))</f>
        <v/>
      </c>
      <c r="K4031" s="16" t="str">
        <f aca="false">IF(B4031="","",IF(AND(D4031="Formalização",E4031="Concluído"),IF(COUNTIFS($B$2:$B$5001,B4031,$E$2:$E$5001,"Em ajustes",$N$2:$N$5001,"&lt;"&amp;I4031)&gt;0,1,0),0))</f>
        <v/>
      </c>
      <c r="L4031" s="16" t="str">
        <f aca="false">IF(B4031="","",IF(N4031=_xlfn.MAXIFS($N$2:$N$5001,$B$2:$B$5001,B4031,$I$2:$I$5001,I4031),1,0))</f>
        <v/>
      </c>
      <c r="M4031" s="16" t="str">
        <f aca="false">IF(B4031="","",IF(E4031="Em ajustes",IF(N4031=_xlfn.MINIFS($N$2:$N$5001,$B$2:$B$5001,B4031,$E$2:$E$5001,"Em ajustes"),1,0),0))</f>
        <v/>
      </c>
      <c r="N4031" s="17" t="str">
        <f aca="false">IF(A4031="","",IF(ISNUMBER(A4031),A4031,IFERROR(DATE(VALUE(MID(A4031,7,4)),VALUE(MID(A4031,4,2)),VALUE(MID(A4031,1,2)))+TIME(VALUE(MID(A4031,12,2)),VALUE(MID(A4031,15,2)),VALUE(MID(A4031,18,2))),"")))</f>
        <v/>
      </c>
    </row>
    <row r="4032" customFormat="false" ht="15" hidden="false" customHeight="false" outlineLevel="0" collapsed="false">
      <c r="I4032" s="15" t="str">
        <f aca="false">IF(N4032="","",INT(N4032))</f>
        <v/>
      </c>
      <c r="J4032" s="16" t="str">
        <f aca="false">IF(B4032="","",IF(N4032=_xlfn.MINIFS($N$2:$N$5001,$B$2:$B$5001,B4032),1,0))</f>
        <v/>
      </c>
      <c r="K4032" s="16" t="str">
        <f aca="false">IF(B4032="","",IF(AND(D4032="Formalização",E4032="Concluído"),IF(COUNTIFS($B$2:$B$5001,B4032,$E$2:$E$5001,"Em ajustes",$N$2:$N$5001,"&lt;"&amp;I4032)&gt;0,1,0),0))</f>
        <v/>
      </c>
      <c r="L4032" s="16" t="str">
        <f aca="false">IF(B4032="","",IF(N4032=_xlfn.MAXIFS($N$2:$N$5001,$B$2:$B$5001,B4032,$I$2:$I$5001,I4032),1,0))</f>
        <v/>
      </c>
      <c r="M4032" s="16" t="str">
        <f aca="false">IF(B4032="","",IF(E4032="Em ajustes",IF(N4032=_xlfn.MINIFS($N$2:$N$5001,$B$2:$B$5001,B4032,$E$2:$E$5001,"Em ajustes"),1,0),0))</f>
        <v/>
      </c>
      <c r="N4032" s="17" t="str">
        <f aca="false">IF(A4032="","",IF(ISNUMBER(A4032),A4032,IFERROR(DATE(VALUE(MID(A4032,7,4)),VALUE(MID(A4032,4,2)),VALUE(MID(A4032,1,2)))+TIME(VALUE(MID(A4032,12,2)),VALUE(MID(A4032,15,2)),VALUE(MID(A4032,18,2))),"")))</f>
        <v/>
      </c>
    </row>
    <row r="4033" customFormat="false" ht="15" hidden="false" customHeight="false" outlineLevel="0" collapsed="false">
      <c r="I4033" s="15" t="str">
        <f aca="false">IF(N4033="","",INT(N4033))</f>
        <v/>
      </c>
      <c r="J4033" s="16" t="str">
        <f aca="false">IF(B4033="","",IF(N4033=_xlfn.MINIFS($N$2:$N$5001,$B$2:$B$5001,B4033),1,0))</f>
        <v/>
      </c>
      <c r="K4033" s="16" t="str">
        <f aca="false">IF(B4033="","",IF(AND(D4033="Formalização",E4033="Concluído"),IF(COUNTIFS($B$2:$B$5001,B4033,$E$2:$E$5001,"Em ajustes",$N$2:$N$5001,"&lt;"&amp;I4033)&gt;0,1,0),0))</f>
        <v/>
      </c>
      <c r="L4033" s="16" t="str">
        <f aca="false">IF(B4033="","",IF(N4033=_xlfn.MAXIFS($N$2:$N$5001,$B$2:$B$5001,B4033,$I$2:$I$5001,I4033),1,0))</f>
        <v/>
      </c>
      <c r="M4033" s="16" t="str">
        <f aca="false">IF(B4033="","",IF(E4033="Em ajustes",IF(N4033=_xlfn.MINIFS($N$2:$N$5001,$B$2:$B$5001,B4033,$E$2:$E$5001,"Em ajustes"),1,0),0))</f>
        <v/>
      </c>
      <c r="N4033" s="17" t="str">
        <f aca="false">IF(A4033="","",IF(ISNUMBER(A4033),A4033,IFERROR(DATE(VALUE(MID(A4033,7,4)),VALUE(MID(A4033,4,2)),VALUE(MID(A4033,1,2)))+TIME(VALUE(MID(A4033,12,2)),VALUE(MID(A4033,15,2)),VALUE(MID(A4033,18,2))),"")))</f>
        <v/>
      </c>
    </row>
    <row r="4034" customFormat="false" ht="15" hidden="false" customHeight="false" outlineLevel="0" collapsed="false">
      <c r="I4034" s="15" t="str">
        <f aca="false">IF(N4034="","",INT(N4034))</f>
        <v/>
      </c>
      <c r="J4034" s="16" t="str">
        <f aca="false">IF(B4034="","",IF(N4034=_xlfn.MINIFS($N$2:$N$5001,$B$2:$B$5001,B4034),1,0))</f>
        <v/>
      </c>
      <c r="K4034" s="16" t="str">
        <f aca="false">IF(B4034="","",IF(AND(D4034="Formalização",E4034="Concluído"),IF(COUNTIFS($B$2:$B$5001,B4034,$E$2:$E$5001,"Em ajustes",$N$2:$N$5001,"&lt;"&amp;I4034)&gt;0,1,0),0))</f>
        <v/>
      </c>
      <c r="L4034" s="16" t="str">
        <f aca="false">IF(B4034="","",IF(N4034=_xlfn.MAXIFS($N$2:$N$5001,$B$2:$B$5001,B4034,$I$2:$I$5001,I4034),1,0))</f>
        <v/>
      </c>
      <c r="M4034" s="16" t="str">
        <f aca="false">IF(B4034="","",IF(E4034="Em ajustes",IF(N4034=_xlfn.MINIFS($N$2:$N$5001,$B$2:$B$5001,B4034,$E$2:$E$5001,"Em ajustes"),1,0),0))</f>
        <v/>
      </c>
      <c r="N4034" s="17" t="str">
        <f aca="false">IF(A4034="","",IF(ISNUMBER(A4034),A4034,IFERROR(DATE(VALUE(MID(A4034,7,4)),VALUE(MID(A4034,4,2)),VALUE(MID(A4034,1,2)))+TIME(VALUE(MID(A4034,12,2)),VALUE(MID(A4034,15,2)),VALUE(MID(A4034,18,2))),"")))</f>
        <v/>
      </c>
    </row>
    <row r="4035" customFormat="false" ht="15" hidden="false" customHeight="false" outlineLevel="0" collapsed="false">
      <c r="I4035" s="15" t="str">
        <f aca="false">IF(N4035="","",INT(N4035))</f>
        <v/>
      </c>
      <c r="J4035" s="16" t="str">
        <f aca="false">IF(B4035="","",IF(N4035=_xlfn.MINIFS($N$2:$N$5001,$B$2:$B$5001,B4035),1,0))</f>
        <v/>
      </c>
      <c r="K4035" s="16" t="str">
        <f aca="false">IF(B4035="","",IF(AND(D4035="Formalização",E4035="Concluído"),IF(COUNTIFS($B$2:$B$5001,B4035,$E$2:$E$5001,"Em ajustes",$N$2:$N$5001,"&lt;"&amp;I4035)&gt;0,1,0),0))</f>
        <v/>
      </c>
      <c r="L4035" s="16" t="str">
        <f aca="false">IF(B4035="","",IF(N4035=_xlfn.MAXIFS($N$2:$N$5001,$B$2:$B$5001,B4035,$I$2:$I$5001,I4035),1,0))</f>
        <v/>
      </c>
      <c r="M4035" s="16" t="str">
        <f aca="false">IF(B4035="","",IF(E4035="Em ajustes",IF(N4035=_xlfn.MINIFS($N$2:$N$5001,$B$2:$B$5001,B4035,$E$2:$E$5001,"Em ajustes"),1,0),0))</f>
        <v/>
      </c>
      <c r="N4035" s="17" t="str">
        <f aca="false">IF(A4035="","",IF(ISNUMBER(A4035),A4035,IFERROR(DATE(VALUE(MID(A4035,7,4)),VALUE(MID(A4035,4,2)),VALUE(MID(A4035,1,2)))+TIME(VALUE(MID(A4035,12,2)),VALUE(MID(A4035,15,2)),VALUE(MID(A4035,18,2))),"")))</f>
        <v/>
      </c>
    </row>
    <row r="4036" customFormat="false" ht="15" hidden="false" customHeight="false" outlineLevel="0" collapsed="false">
      <c r="I4036" s="15" t="str">
        <f aca="false">IF(N4036="","",INT(N4036))</f>
        <v/>
      </c>
      <c r="J4036" s="16" t="str">
        <f aca="false">IF(B4036="","",IF(N4036=_xlfn.MINIFS($N$2:$N$5001,$B$2:$B$5001,B4036),1,0))</f>
        <v/>
      </c>
      <c r="K4036" s="16" t="str">
        <f aca="false">IF(B4036="","",IF(AND(D4036="Formalização",E4036="Concluído"),IF(COUNTIFS($B$2:$B$5001,B4036,$E$2:$E$5001,"Em ajustes",$N$2:$N$5001,"&lt;"&amp;I4036)&gt;0,1,0),0))</f>
        <v/>
      </c>
      <c r="L4036" s="16" t="str">
        <f aca="false">IF(B4036="","",IF(N4036=_xlfn.MAXIFS($N$2:$N$5001,$B$2:$B$5001,B4036,$I$2:$I$5001,I4036),1,0))</f>
        <v/>
      </c>
      <c r="M4036" s="16" t="str">
        <f aca="false">IF(B4036="","",IF(E4036="Em ajustes",IF(N4036=_xlfn.MINIFS($N$2:$N$5001,$B$2:$B$5001,B4036,$E$2:$E$5001,"Em ajustes"),1,0),0))</f>
        <v/>
      </c>
      <c r="N4036" s="17" t="str">
        <f aca="false">IF(A4036="","",IF(ISNUMBER(A4036),A4036,IFERROR(DATE(VALUE(MID(A4036,7,4)),VALUE(MID(A4036,4,2)),VALUE(MID(A4036,1,2)))+TIME(VALUE(MID(A4036,12,2)),VALUE(MID(A4036,15,2)),VALUE(MID(A4036,18,2))),"")))</f>
        <v/>
      </c>
    </row>
    <row r="4037" customFormat="false" ht="15" hidden="false" customHeight="false" outlineLevel="0" collapsed="false">
      <c r="I4037" s="15" t="str">
        <f aca="false">IF(N4037="","",INT(N4037))</f>
        <v/>
      </c>
      <c r="J4037" s="16" t="str">
        <f aca="false">IF(B4037="","",IF(N4037=_xlfn.MINIFS($N$2:$N$5001,$B$2:$B$5001,B4037),1,0))</f>
        <v/>
      </c>
      <c r="K4037" s="16" t="str">
        <f aca="false">IF(B4037="","",IF(AND(D4037="Formalização",E4037="Concluído"),IF(COUNTIFS($B$2:$B$5001,B4037,$E$2:$E$5001,"Em ajustes",$N$2:$N$5001,"&lt;"&amp;I4037)&gt;0,1,0),0))</f>
        <v/>
      </c>
      <c r="L4037" s="16" t="str">
        <f aca="false">IF(B4037="","",IF(N4037=_xlfn.MAXIFS($N$2:$N$5001,$B$2:$B$5001,B4037,$I$2:$I$5001,I4037),1,0))</f>
        <v/>
      </c>
      <c r="M4037" s="16" t="str">
        <f aca="false">IF(B4037="","",IF(E4037="Em ajustes",IF(N4037=_xlfn.MINIFS($N$2:$N$5001,$B$2:$B$5001,B4037,$E$2:$E$5001,"Em ajustes"),1,0),0))</f>
        <v/>
      </c>
      <c r="N4037" s="17" t="str">
        <f aca="false">IF(A4037="","",IF(ISNUMBER(A4037),A4037,IFERROR(DATE(VALUE(MID(A4037,7,4)),VALUE(MID(A4037,4,2)),VALUE(MID(A4037,1,2)))+TIME(VALUE(MID(A4037,12,2)),VALUE(MID(A4037,15,2)),VALUE(MID(A4037,18,2))),"")))</f>
        <v/>
      </c>
    </row>
    <row r="4038" customFormat="false" ht="15" hidden="false" customHeight="false" outlineLevel="0" collapsed="false">
      <c r="I4038" s="15" t="str">
        <f aca="false">IF(N4038="","",INT(N4038))</f>
        <v/>
      </c>
      <c r="J4038" s="16" t="str">
        <f aca="false">IF(B4038="","",IF(N4038=_xlfn.MINIFS($N$2:$N$5001,$B$2:$B$5001,B4038),1,0))</f>
        <v/>
      </c>
      <c r="K4038" s="16" t="str">
        <f aca="false">IF(B4038="","",IF(AND(D4038="Formalização",E4038="Concluído"),IF(COUNTIFS($B$2:$B$5001,B4038,$E$2:$E$5001,"Em ajustes",$N$2:$N$5001,"&lt;"&amp;I4038)&gt;0,1,0),0))</f>
        <v/>
      </c>
      <c r="L4038" s="16" t="str">
        <f aca="false">IF(B4038="","",IF(N4038=_xlfn.MAXIFS($N$2:$N$5001,$B$2:$B$5001,B4038,$I$2:$I$5001,I4038),1,0))</f>
        <v/>
      </c>
      <c r="M4038" s="16" t="str">
        <f aca="false">IF(B4038="","",IF(E4038="Em ajustes",IF(N4038=_xlfn.MINIFS($N$2:$N$5001,$B$2:$B$5001,B4038,$E$2:$E$5001,"Em ajustes"),1,0),0))</f>
        <v/>
      </c>
      <c r="N4038" s="17" t="str">
        <f aca="false">IF(A4038="","",IF(ISNUMBER(A4038),A4038,IFERROR(DATE(VALUE(MID(A4038,7,4)),VALUE(MID(A4038,4,2)),VALUE(MID(A4038,1,2)))+TIME(VALUE(MID(A4038,12,2)),VALUE(MID(A4038,15,2)),VALUE(MID(A4038,18,2))),"")))</f>
        <v/>
      </c>
    </row>
    <row r="4039" customFormat="false" ht="15" hidden="false" customHeight="false" outlineLevel="0" collapsed="false">
      <c r="I4039" s="15" t="str">
        <f aca="false">IF(N4039="","",INT(N4039))</f>
        <v/>
      </c>
      <c r="J4039" s="16" t="str">
        <f aca="false">IF(B4039="","",IF(N4039=_xlfn.MINIFS($N$2:$N$5001,$B$2:$B$5001,B4039),1,0))</f>
        <v/>
      </c>
      <c r="K4039" s="16" t="str">
        <f aca="false">IF(B4039="","",IF(AND(D4039="Formalização",E4039="Concluído"),IF(COUNTIFS($B$2:$B$5001,B4039,$E$2:$E$5001,"Em ajustes",$N$2:$N$5001,"&lt;"&amp;I4039)&gt;0,1,0),0))</f>
        <v/>
      </c>
      <c r="L4039" s="16" t="str">
        <f aca="false">IF(B4039="","",IF(N4039=_xlfn.MAXIFS($N$2:$N$5001,$B$2:$B$5001,B4039,$I$2:$I$5001,I4039),1,0))</f>
        <v/>
      </c>
      <c r="M4039" s="16" t="str">
        <f aca="false">IF(B4039="","",IF(E4039="Em ajustes",IF(N4039=_xlfn.MINIFS($N$2:$N$5001,$B$2:$B$5001,B4039,$E$2:$E$5001,"Em ajustes"),1,0),0))</f>
        <v/>
      </c>
      <c r="N4039" s="17" t="str">
        <f aca="false">IF(A4039="","",IF(ISNUMBER(A4039),A4039,IFERROR(DATE(VALUE(MID(A4039,7,4)),VALUE(MID(A4039,4,2)),VALUE(MID(A4039,1,2)))+TIME(VALUE(MID(A4039,12,2)),VALUE(MID(A4039,15,2)),VALUE(MID(A4039,18,2))),"")))</f>
        <v/>
      </c>
    </row>
    <row r="4040" customFormat="false" ht="15" hidden="false" customHeight="false" outlineLevel="0" collapsed="false">
      <c r="I4040" s="15" t="str">
        <f aca="false">IF(N4040="","",INT(N4040))</f>
        <v/>
      </c>
      <c r="J4040" s="16" t="str">
        <f aca="false">IF(B4040="","",IF(N4040=_xlfn.MINIFS($N$2:$N$5001,$B$2:$B$5001,B4040),1,0))</f>
        <v/>
      </c>
      <c r="K4040" s="16" t="str">
        <f aca="false">IF(B4040="","",IF(AND(D4040="Formalização",E4040="Concluído"),IF(COUNTIFS($B$2:$B$5001,B4040,$E$2:$E$5001,"Em ajustes",$N$2:$N$5001,"&lt;"&amp;I4040)&gt;0,1,0),0))</f>
        <v/>
      </c>
      <c r="L4040" s="16" t="str">
        <f aca="false">IF(B4040="","",IF(N4040=_xlfn.MAXIFS($N$2:$N$5001,$B$2:$B$5001,B4040,$I$2:$I$5001,I4040),1,0))</f>
        <v/>
      </c>
      <c r="M4040" s="16" t="str">
        <f aca="false">IF(B4040="","",IF(E4040="Em ajustes",IF(N4040=_xlfn.MINIFS($N$2:$N$5001,$B$2:$B$5001,B4040,$E$2:$E$5001,"Em ajustes"),1,0),0))</f>
        <v/>
      </c>
      <c r="N4040" s="17" t="str">
        <f aca="false">IF(A4040="","",IF(ISNUMBER(A4040),A4040,IFERROR(DATE(VALUE(MID(A4040,7,4)),VALUE(MID(A4040,4,2)),VALUE(MID(A4040,1,2)))+TIME(VALUE(MID(A4040,12,2)),VALUE(MID(A4040,15,2)),VALUE(MID(A4040,18,2))),"")))</f>
        <v/>
      </c>
    </row>
    <row r="4041" customFormat="false" ht="15" hidden="false" customHeight="false" outlineLevel="0" collapsed="false">
      <c r="I4041" s="15" t="str">
        <f aca="false">IF(N4041="","",INT(N4041))</f>
        <v/>
      </c>
      <c r="J4041" s="16" t="str">
        <f aca="false">IF(B4041="","",IF(N4041=_xlfn.MINIFS($N$2:$N$5001,$B$2:$B$5001,B4041),1,0))</f>
        <v/>
      </c>
      <c r="K4041" s="16" t="str">
        <f aca="false">IF(B4041="","",IF(AND(D4041="Formalização",E4041="Concluído"),IF(COUNTIFS($B$2:$B$5001,B4041,$E$2:$E$5001,"Em ajustes",$N$2:$N$5001,"&lt;"&amp;I4041)&gt;0,1,0),0))</f>
        <v/>
      </c>
      <c r="L4041" s="16" t="str">
        <f aca="false">IF(B4041="","",IF(N4041=_xlfn.MAXIFS($N$2:$N$5001,$B$2:$B$5001,B4041,$I$2:$I$5001,I4041),1,0))</f>
        <v/>
      </c>
      <c r="M4041" s="16" t="str">
        <f aca="false">IF(B4041="","",IF(E4041="Em ajustes",IF(N4041=_xlfn.MINIFS($N$2:$N$5001,$B$2:$B$5001,B4041,$E$2:$E$5001,"Em ajustes"),1,0),0))</f>
        <v/>
      </c>
      <c r="N4041" s="17" t="str">
        <f aca="false">IF(A4041="","",IF(ISNUMBER(A4041),A4041,IFERROR(DATE(VALUE(MID(A4041,7,4)),VALUE(MID(A4041,4,2)),VALUE(MID(A4041,1,2)))+TIME(VALUE(MID(A4041,12,2)),VALUE(MID(A4041,15,2)),VALUE(MID(A4041,18,2))),"")))</f>
        <v/>
      </c>
    </row>
    <row r="4042" customFormat="false" ht="15" hidden="false" customHeight="false" outlineLevel="0" collapsed="false">
      <c r="I4042" s="15" t="str">
        <f aca="false">IF(N4042="","",INT(N4042))</f>
        <v/>
      </c>
      <c r="J4042" s="16" t="str">
        <f aca="false">IF(B4042="","",IF(N4042=_xlfn.MINIFS($N$2:$N$5001,$B$2:$B$5001,B4042),1,0))</f>
        <v/>
      </c>
      <c r="K4042" s="16" t="str">
        <f aca="false">IF(B4042="","",IF(AND(D4042="Formalização",E4042="Concluído"),IF(COUNTIFS($B$2:$B$5001,B4042,$E$2:$E$5001,"Em ajustes",$N$2:$N$5001,"&lt;"&amp;I4042)&gt;0,1,0),0))</f>
        <v/>
      </c>
      <c r="L4042" s="16" t="str">
        <f aca="false">IF(B4042="","",IF(N4042=_xlfn.MAXIFS($N$2:$N$5001,$B$2:$B$5001,B4042,$I$2:$I$5001,I4042),1,0))</f>
        <v/>
      </c>
      <c r="M4042" s="16" t="str">
        <f aca="false">IF(B4042="","",IF(E4042="Em ajustes",IF(N4042=_xlfn.MINIFS($N$2:$N$5001,$B$2:$B$5001,B4042,$E$2:$E$5001,"Em ajustes"),1,0),0))</f>
        <v/>
      </c>
      <c r="N4042" s="17" t="str">
        <f aca="false">IF(A4042="","",IF(ISNUMBER(A4042),A4042,IFERROR(DATE(VALUE(MID(A4042,7,4)),VALUE(MID(A4042,4,2)),VALUE(MID(A4042,1,2)))+TIME(VALUE(MID(A4042,12,2)),VALUE(MID(A4042,15,2)),VALUE(MID(A4042,18,2))),"")))</f>
        <v/>
      </c>
    </row>
    <row r="4043" customFormat="false" ht="15" hidden="false" customHeight="false" outlineLevel="0" collapsed="false">
      <c r="I4043" s="15" t="str">
        <f aca="false">IF(N4043="","",INT(N4043))</f>
        <v/>
      </c>
      <c r="J4043" s="16" t="str">
        <f aca="false">IF(B4043="","",IF(N4043=_xlfn.MINIFS($N$2:$N$5001,$B$2:$B$5001,B4043),1,0))</f>
        <v/>
      </c>
      <c r="K4043" s="16" t="str">
        <f aca="false">IF(B4043="","",IF(AND(D4043="Formalização",E4043="Concluído"),IF(COUNTIFS($B$2:$B$5001,B4043,$E$2:$E$5001,"Em ajustes",$N$2:$N$5001,"&lt;"&amp;I4043)&gt;0,1,0),0))</f>
        <v/>
      </c>
      <c r="L4043" s="16" t="str">
        <f aca="false">IF(B4043="","",IF(N4043=_xlfn.MAXIFS($N$2:$N$5001,$B$2:$B$5001,B4043,$I$2:$I$5001,I4043),1,0))</f>
        <v/>
      </c>
      <c r="M4043" s="16" t="str">
        <f aca="false">IF(B4043="","",IF(E4043="Em ajustes",IF(N4043=_xlfn.MINIFS($N$2:$N$5001,$B$2:$B$5001,B4043,$E$2:$E$5001,"Em ajustes"),1,0),0))</f>
        <v/>
      </c>
      <c r="N4043" s="17" t="str">
        <f aca="false">IF(A4043="","",IF(ISNUMBER(A4043),A4043,IFERROR(DATE(VALUE(MID(A4043,7,4)),VALUE(MID(A4043,4,2)),VALUE(MID(A4043,1,2)))+TIME(VALUE(MID(A4043,12,2)),VALUE(MID(A4043,15,2)),VALUE(MID(A4043,18,2))),"")))</f>
        <v/>
      </c>
    </row>
    <row r="4044" customFormat="false" ht="15" hidden="false" customHeight="false" outlineLevel="0" collapsed="false">
      <c r="I4044" s="15" t="str">
        <f aca="false">IF(N4044="","",INT(N4044))</f>
        <v/>
      </c>
      <c r="J4044" s="16" t="str">
        <f aca="false">IF(B4044="","",IF(N4044=_xlfn.MINIFS($N$2:$N$5001,$B$2:$B$5001,B4044),1,0))</f>
        <v/>
      </c>
      <c r="K4044" s="16" t="str">
        <f aca="false">IF(B4044="","",IF(AND(D4044="Formalização",E4044="Concluído"),IF(COUNTIFS($B$2:$B$5001,B4044,$E$2:$E$5001,"Em ajustes",$N$2:$N$5001,"&lt;"&amp;I4044)&gt;0,1,0),0))</f>
        <v/>
      </c>
      <c r="L4044" s="16" t="str">
        <f aca="false">IF(B4044="","",IF(N4044=_xlfn.MAXIFS($N$2:$N$5001,$B$2:$B$5001,B4044,$I$2:$I$5001,I4044),1,0))</f>
        <v/>
      </c>
      <c r="M4044" s="16" t="str">
        <f aca="false">IF(B4044="","",IF(E4044="Em ajustes",IF(N4044=_xlfn.MINIFS($N$2:$N$5001,$B$2:$B$5001,B4044,$E$2:$E$5001,"Em ajustes"),1,0),0))</f>
        <v/>
      </c>
      <c r="N4044" s="17" t="str">
        <f aca="false">IF(A4044="","",IF(ISNUMBER(A4044),A4044,IFERROR(DATE(VALUE(MID(A4044,7,4)),VALUE(MID(A4044,4,2)),VALUE(MID(A4044,1,2)))+TIME(VALUE(MID(A4044,12,2)),VALUE(MID(A4044,15,2)),VALUE(MID(A4044,18,2))),"")))</f>
        <v/>
      </c>
    </row>
    <row r="4045" customFormat="false" ht="15" hidden="false" customHeight="false" outlineLevel="0" collapsed="false">
      <c r="I4045" s="15" t="str">
        <f aca="false">IF(N4045="","",INT(N4045))</f>
        <v/>
      </c>
      <c r="J4045" s="16" t="str">
        <f aca="false">IF(B4045="","",IF(N4045=_xlfn.MINIFS($N$2:$N$5001,$B$2:$B$5001,B4045),1,0))</f>
        <v/>
      </c>
      <c r="K4045" s="16" t="str">
        <f aca="false">IF(B4045="","",IF(AND(D4045="Formalização",E4045="Concluído"),IF(COUNTIFS($B$2:$B$5001,B4045,$E$2:$E$5001,"Em ajustes",$N$2:$N$5001,"&lt;"&amp;I4045)&gt;0,1,0),0))</f>
        <v/>
      </c>
      <c r="L4045" s="16" t="str">
        <f aca="false">IF(B4045="","",IF(N4045=_xlfn.MAXIFS($N$2:$N$5001,$B$2:$B$5001,B4045,$I$2:$I$5001,I4045),1,0))</f>
        <v/>
      </c>
      <c r="M4045" s="16" t="str">
        <f aca="false">IF(B4045="","",IF(E4045="Em ajustes",IF(N4045=_xlfn.MINIFS($N$2:$N$5001,$B$2:$B$5001,B4045,$E$2:$E$5001,"Em ajustes"),1,0),0))</f>
        <v/>
      </c>
      <c r="N4045" s="17" t="str">
        <f aca="false">IF(A4045="","",IF(ISNUMBER(A4045),A4045,IFERROR(DATE(VALUE(MID(A4045,7,4)),VALUE(MID(A4045,4,2)),VALUE(MID(A4045,1,2)))+TIME(VALUE(MID(A4045,12,2)),VALUE(MID(A4045,15,2)),VALUE(MID(A4045,18,2))),"")))</f>
        <v/>
      </c>
    </row>
    <row r="4046" customFormat="false" ht="15" hidden="false" customHeight="false" outlineLevel="0" collapsed="false">
      <c r="I4046" s="15" t="str">
        <f aca="false">IF(N4046="","",INT(N4046))</f>
        <v/>
      </c>
      <c r="J4046" s="16" t="str">
        <f aca="false">IF(B4046="","",IF(N4046=_xlfn.MINIFS($N$2:$N$5001,$B$2:$B$5001,B4046),1,0))</f>
        <v/>
      </c>
      <c r="K4046" s="16" t="str">
        <f aca="false">IF(B4046="","",IF(AND(D4046="Formalização",E4046="Concluído"),IF(COUNTIFS($B$2:$B$5001,B4046,$E$2:$E$5001,"Em ajustes",$N$2:$N$5001,"&lt;"&amp;I4046)&gt;0,1,0),0))</f>
        <v/>
      </c>
      <c r="L4046" s="16" t="str">
        <f aca="false">IF(B4046="","",IF(N4046=_xlfn.MAXIFS($N$2:$N$5001,$B$2:$B$5001,B4046,$I$2:$I$5001,I4046),1,0))</f>
        <v/>
      </c>
      <c r="M4046" s="16" t="str">
        <f aca="false">IF(B4046="","",IF(E4046="Em ajustes",IF(N4046=_xlfn.MINIFS($N$2:$N$5001,$B$2:$B$5001,B4046,$E$2:$E$5001,"Em ajustes"),1,0),0))</f>
        <v/>
      </c>
      <c r="N4046" s="17" t="str">
        <f aca="false">IF(A4046="","",IF(ISNUMBER(A4046),A4046,IFERROR(DATE(VALUE(MID(A4046,7,4)),VALUE(MID(A4046,4,2)),VALUE(MID(A4046,1,2)))+TIME(VALUE(MID(A4046,12,2)),VALUE(MID(A4046,15,2)),VALUE(MID(A4046,18,2))),"")))</f>
        <v/>
      </c>
    </row>
    <row r="4047" customFormat="false" ht="15" hidden="false" customHeight="false" outlineLevel="0" collapsed="false">
      <c r="I4047" s="15" t="str">
        <f aca="false">IF(N4047="","",INT(N4047))</f>
        <v/>
      </c>
      <c r="J4047" s="16" t="str">
        <f aca="false">IF(B4047="","",IF(N4047=_xlfn.MINIFS($N$2:$N$5001,$B$2:$B$5001,B4047),1,0))</f>
        <v/>
      </c>
      <c r="K4047" s="16" t="str">
        <f aca="false">IF(B4047="","",IF(AND(D4047="Formalização",E4047="Concluído"),IF(COUNTIFS($B$2:$B$5001,B4047,$E$2:$E$5001,"Em ajustes",$N$2:$N$5001,"&lt;"&amp;I4047)&gt;0,1,0),0))</f>
        <v/>
      </c>
      <c r="L4047" s="16" t="str">
        <f aca="false">IF(B4047="","",IF(N4047=_xlfn.MAXIFS($N$2:$N$5001,$B$2:$B$5001,B4047,$I$2:$I$5001,I4047),1,0))</f>
        <v/>
      </c>
      <c r="M4047" s="16" t="str">
        <f aca="false">IF(B4047="","",IF(E4047="Em ajustes",IF(N4047=_xlfn.MINIFS($N$2:$N$5001,$B$2:$B$5001,B4047,$E$2:$E$5001,"Em ajustes"),1,0),0))</f>
        <v/>
      </c>
      <c r="N4047" s="17" t="str">
        <f aca="false">IF(A4047="","",IF(ISNUMBER(A4047),A4047,IFERROR(DATE(VALUE(MID(A4047,7,4)),VALUE(MID(A4047,4,2)),VALUE(MID(A4047,1,2)))+TIME(VALUE(MID(A4047,12,2)),VALUE(MID(A4047,15,2)),VALUE(MID(A4047,18,2))),"")))</f>
        <v/>
      </c>
    </row>
    <row r="4048" customFormat="false" ht="15" hidden="false" customHeight="false" outlineLevel="0" collapsed="false">
      <c r="I4048" s="15" t="str">
        <f aca="false">IF(N4048="","",INT(N4048))</f>
        <v/>
      </c>
      <c r="J4048" s="16" t="str">
        <f aca="false">IF(B4048="","",IF(N4048=_xlfn.MINIFS($N$2:$N$5001,$B$2:$B$5001,B4048),1,0))</f>
        <v/>
      </c>
      <c r="K4048" s="16" t="str">
        <f aca="false">IF(B4048="","",IF(AND(D4048="Formalização",E4048="Concluído"),IF(COUNTIFS($B$2:$B$5001,B4048,$E$2:$E$5001,"Em ajustes",$N$2:$N$5001,"&lt;"&amp;I4048)&gt;0,1,0),0))</f>
        <v/>
      </c>
      <c r="L4048" s="16" t="str">
        <f aca="false">IF(B4048="","",IF(N4048=_xlfn.MAXIFS($N$2:$N$5001,$B$2:$B$5001,B4048,$I$2:$I$5001,I4048),1,0))</f>
        <v/>
      </c>
      <c r="M4048" s="16" t="str">
        <f aca="false">IF(B4048="","",IF(E4048="Em ajustes",IF(N4048=_xlfn.MINIFS($N$2:$N$5001,$B$2:$B$5001,B4048,$E$2:$E$5001,"Em ajustes"),1,0),0))</f>
        <v/>
      </c>
      <c r="N4048" s="17" t="str">
        <f aca="false">IF(A4048="","",IF(ISNUMBER(A4048),A4048,IFERROR(DATE(VALUE(MID(A4048,7,4)),VALUE(MID(A4048,4,2)),VALUE(MID(A4048,1,2)))+TIME(VALUE(MID(A4048,12,2)),VALUE(MID(A4048,15,2)),VALUE(MID(A4048,18,2))),"")))</f>
        <v/>
      </c>
    </row>
    <row r="4049" customFormat="false" ht="15" hidden="false" customHeight="false" outlineLevel="0" collapsed="false">
      <c r="I4049" s="15" t="str">
        <f aca="false">IF(N4049="","",INT(N4049))</f>
        <v/>
      </c>
      <c r="J4049" s="16" t="str">
        <f aca="false">IF(B4049="","",IF(N4049=_xlfn.MINIFS($N$2:$N$5001,$B$2:$B$5001,B4049),1,0))</f>
        <v/>
      </c>
      <c r="K4049" s="16" t="str">
        <f aca="false">IF(B4049="","",IF(AND(D4049="Formalização",E4049="Concluído"),IF(COUNTIFS($B$2:$B$5001,B4049,$E$2:$E$5001,"Em ajustes",$N$2:$N$5001,"&lt;"&amp;I4049)&gt;0,1,0),0))</f>
        <v/>
      </c>
      <c r="L4049" s="16" t="str">
        <f aca="false">IF(B4049="","",IF(N4049=_xlfn.MAXIFS($N$2:$N$5001,$B$2:$B$5001,B4049,$I$2:$I$5001,I4049),1,0))</f>
        <v/>
      </c>
      <c r="M4049" s="16" t="str">
        <f aca="false">IF(B4049="","",IF(E4049="Em ajustes",IF(N4049=_xlfn.MINIFS($N$2:$N$5001,$B$2:$B$5001,B4049,$E$2:$E$5001,"Em ajustes"),1,0),0))</f>
        <v/>
      </c>
      <c r="N4049" s="17" t="str">
        <f aca="false">IF(A4049="","",IF(ISNUMBER(A4049),A4049,IFERROR(DATE(VALUE(MID(A4049,7,4)),VALUE(MID(A4049,4,2)),VALUE(MID(A4049,1,2)))+TIME(VALUE(MID(A4049,12,2)),VALUE(MID(A4049,15,2)),VALUE(MID(A4049,18,2))),"")))</f>
        <v/>
      </c>
    </row>
    <row r="4050" customFormat="false" ht="15" hidden="false" customHeight="false" outlineLevel="0" collapsed="false">
      <c r="I4050" s="15" t="str">
        <f aca="false">IF(N4050="","",INT(N4050))</f>
        <v/>
      </c>
      <c r="J4050" s="16" t="str">
        <f aca="false">IF(B4050="","",IF(N4050=_xlfn.MINIFS($N$2:$N$5001,$B$2:$B$5001,B4050),1,0))</f>
        <v/>
      </c>
      <c r="K4050" s="16" t="str">
        <f aca="false">IF(B4050="","",IF(AND(D4050="Formalização",E4050="Concluído"),IF(COUNTIFS($B$2:$B$5001,B4050,$E$2:$E$5001,"Em ajustes",$N$2:$N$5001,"&lt;"&amp;I4050)&gt;0,1,0),0))</f>
        <v/>
      </c>
      <c r="L4050" s="16" t="str">
        <f aca="false">IF(B4050="","",IF(N4050=_xlfn.MAXIFS($N$2:$N$5001,$B$2:$B$5001,B4050,$I$2:$I$5001,I4050),1,0))</f>
        <v/>
      </c>
      <c r="M4050" s="16" t="str">
        <f aca="false">IF(B4050="","",IF(E4050="Em ajustes",IF(N4050=_xlfn.MINIFS($N$2:$N$5001,$B$2:$B$5001,B4050,$E$2:$E$5001,"Em ajustes"),1,0),0))</f>
        <v/>
      </c>
      <c r="N4050" s="17" t="str">
        <f aca="false">IF(A4050="","",IF(ISNUMBER(A4050),A4050,IFERROR(DATE(VALUE(MID(A4050,7,4)),VALUE(MID(A4050,4,2)),VALUE(MID(A4050,1,2)))+TIME(VALUE(MID(A4050,12,2)),VALUE(MID(A4050,15,2)),VALUE(MID(A4050,18,2))),"")))</f>
        <v/>
      </c>
    </row>
    <row r="4051" customFormat="false" ht="15" hidden="false" customHeight="false" outlineLevel="0" collapsed="false">
      <c r="I4051" s="15" t="str">
        <f aca="false">IF(N4051="","",INT(N4051))</f>
        <v/>
      </c>
      <c r="J4051" s="16" t="str">
        <f aca="false">IF(B4051="","",IF(N4051=_xlfn.MINIFS($N$2:$N$5001,$B$2:$B$5001,B4051),1,0))</f>
        <v/>
      </c>
      <c r="K4051" s="16" t="str">
        <f aca="false">IF(B4051="","",IF(AND(D4051="Formalização",E4051="Concluído"),IF(COUNTIFS($B$2:$B$5001,B4051,$E$2:$E$5001,"Em ajustes",$N$2:$N$5001,"&lt;"&amp;I4051)&gt;0,1,0),0))</f>
        <v/>
      </c>
      <c r="L4051" s="16" t="str">
        <f aca="false">IF(B4051="","",IF(N4051=_xlfn.MAXIFS($N$2:$N$5001,$B$2:$B$5001,B4051,$I$2:$I$5001,I4051),1,0))</f>
        <v/>
      </c>
      <c r="M4051" s="16" t="str">
        <f aca="false">IF(B4051="","",IF(E4051="Em ajustes",IF(N4051=_xlfn.MINIFS($N$2:$N$5001,$B$2:$B$5001,B4051,$E$2:$E$5001,"Em ajustes"),1,0),0))</f>
        <v/>
      </c>
      <c r="N4051" s="17" t="str">
        <f aca="false">IF(A4051="","",IF(ISNUMBER(A4051),A4051,IFERROR(DATE(VALUE(MID(A4051,7,4)),VALUE(MID(A4051,4,2)),VALUE(MID(A4051,1,2)))+TIME(VALUE(MID(A4051,12,2)),VALUE(MID(A4051,15,2)),VALUE(MID(A4051,18,2))),"")))</f>
        <v/>
      </c>
    </row>
    <row r="4052" customFormat="false" ht="15" hidden="false" customHeight="false" outlineLevel="0" collapsed="false">
      <c r="I4052" s="15" t="str">
        <f aca="false">IF(N4052="","",INT(N4052))</f>
        <v/>
      </c>
      <c r="J4052" s="16" t="str">
        <f aca="false">IF(B4052="","",IF(N4052=_xlfn.MINIFS($N$2:$N$5001,$B$2:$B$5001,B4052),1,0))</f>
        <v/>
      </c>
      <c r="K4052" s="16" t="str">
        <f aca="false">IF(B4052="","",IF(AND(D4052="Formalização",E4052="Concluído"),IF(COUNTIFS($B$2:$B$5001,B4052,$E$2:$E$5001,"Em ajustes",$N$2:$N$5001,"&lt;"&amp;I4052)&gt;0,1,0),0))</f>
        <v/>
      </c>
      <c r="L4052" s="16" t="str">
        <f aca="false">IF(B4052="","",IF(N4052=_xlfn.MAXIFS($N$2:$N$5001,$B$2:$B$5001,B4052,$I$2:$I$5001,I4052),1,0))</f>
        <v/>
      </c>
      <c r="M4052" s="16" t="str">
        <f aca="false">IF(B4052="","",IF(E4052="Em ajustes",IF(N4052=_xlfn.MINIFS($N$2:$N$5001,$B$2:$B$5001,B4052,$E$2:$E$5001,"Em ajustes"),1,0),0))</f>
        <v/>
      </c>
      <c r="N4052" s="17" t="str">
        <f aca="false">IF(A4052="","",IF(ISNUMBER(A4052),A4052,IFERROR(DATE(VALUE(MID(A4052,7,4)),VALUE(MID(A4052,4,2)),VALUE(MID(A4052,1,2)))+TIME(VALUE(MID(A4052,12,2)),VALUE(MID(A4052,15,2)),VALUE(MID(A4052,18,2))),"")))</f>
        <v/>
      </c>
    </row>
    <row r="4053" customFormat="false" ht="15" hidden="false" customHeight="false" outlineLevel="0" collapsed="false">
      <c r="I4053" s="15" t="str">
        <f aca="false">IF(N4053="","",INT(N4053))</f>
        <v/>
      </c>
      <c r="J4053" s="16" t="str">
        <f aca="false">IF(B4053="","",IF(N4053=_xlfn.MINIFS($N$2:$N$5001,$B$2:$B$5001,B4053),1,0))</f>
        <v/>
      </c>
      <c r="K4053" s="16" t="str">
        <f aca="false">IF(B4053="","",IF(AND(D4053="Formalização",E4053="Concluído"),IF(COUNTIFS($B$2:$B$5001,B4053,$E$2:$E$5001,"Em ajustes",$N$2:$N$5001,"&lt;"&amp;I4053)&gt;0,1,0),0))</f>
        <v/>
      </c>
      <c r="L4053" s="16" t="str">
        <f aca="false">IF(B4053="","",IF(N4053=_xlfn.MAXIFS($N$2:$N$5001,$B$2:$B$5001,B4053,$I$2:$I$5001,I4053),1,0))</f>
        <v/>
      </c>
      <c r="M4053" s="16" t="str">
        <f aca="false">IF(B4053="","",IF(E4053="Em ajustes",IF(N4053=_xlfn.MINIFS($N$2:$N$5001,$B$2:$B$5001,B4053,$E$2:$E$5001,"Em ajustes"),1,0),0))</f>
        <v/>
      </c>
      <c r="N4053" s="17" t="str">
        <f aca="false">IF(A4053="","",IF(ISNUMBER(A4053),A4053,IFERROR(DATE(VALUE(MID(A4053,7,4)),VALUE(MID(A4053,4,2)),VALUE(MID(A4053,1,2)))+TIME(VALUE(MID(A4053,12,2)),VALUE(MID(A4053,15,2)),VALUE(MID(A4053,18,2))),"")))</f>
        <v/>
      </c>
    </row>
    <row r="4054" customFormat="false" ht="15" hidden="false" customHeight="false" outlineLevel="0" collapsed="false">
      <c r="I4054" s="15" t="str">
        <f aca="false">IF(N4054="","",INT(N4054))</f>
        <v/>
      </c>
      <c r="J4054" s="16" t="str">
        <f aca="false">IF(B4054="","",IF(N4054=_xlfn.MINIFS($N$2:$N$5001,$B$2:$B$5001,B4054),1,0))</f>
        <v/>
      </c>
      <c r="K4054" s="16" t="str">
        <f aca="false">IF(B4054="","",IF(AND(D4054="Formalização",E4054="Concluído"),IF(COUNTIFS($B$2:$B$5001,B4054,$E$2:$E$5001,"Em ajustes",$N$2:$N$5001,"&lt;"&amp;I4054)&gt;0,1,0),0))</f>
        <v/>
      </c>
      <c r="L4054" s="16" t="str">
        <f aca="false">IF(B4054="","",IF(N4054=_xlfn.MAXIFS($N$2:$N$5001,$B$2:$B$5001,B4054,$I$2:$I$5001,I4054),1,0))</f>
        <v/>
      </c>
      <c r="M4054" s="16" t="str">
        <f aca="false">IF(B4054="","",IF(E4054="Em ajustes",IF(N4054=_xlfn.MINIFS($N$2:$N$5001,$B$2:$B$5001,B4054,$E$2:$E$5001,"Em ajustes"),1,0),0))</f>
        <v/>
      </c>
      <c r="N4054" s="17" t="str">
        <f aca="false">IF(A4054="","",IF(ISNUMBER(A4054),A4054,IFERROR(DATE(VALUE(MID(A4054,7,4)),VALUE(MID(A4054,4,2)),VALUE(MID(A4054,1,2)))+TIME(VALUE(MID(A4054,12,2)),VALUE(MID(A4054,15,2)),VALUE(MID(A4054,18,2))),"")))</f>
        <v/>
      </c>
    </row>
    <row r="4055" customFormat="false" ht="15" hidden="false" customHeight="false" outlineLevel="0" collapsed="false">
      <c r="I4055" s="15" t="str">
        <f aca="false">IF(N4055="","",INT(N4055))</f>
        <v/>
      </c>
      <c r="J4055" s="16" t="str">
        <f aca="false">IF(B4055="","",IF(N4055=_xlfn.MINIFS($N$2:$N$5001,$B$2:$B$5001,B4055),1,0))</f>
        <v/>
      </c>
      <c r="K4055" s="16" t="str">
        <f aca="false">IF(B4055="","",IF(AND(D4055="Formalização",E4055="Concluído"),IF(COUNTIFS($B$2:$B$5001,B4055,$E$2:$E$5001,"Em ajustes",$N$2:$N$5001,"&lt;"&amp;I4055)&gt;0,1,0),0))</f>
        <v/>
      </c>
      <c r="L4055" s="16" t="str">
        <f aca="false">IF(B4055="","",IF(N4055=_xlfn.MAXIFS($N$2:$N$5001,$B$2:$B$5001,B4055,$I$2:$I$5001,I4055),1,0))</f>
        <v/>
      </c>
      <c r="M4055" s="16" t="str">
        <f aca="false">IF(B4055="","",IF(E4055="Em ajustes",IF(N4055=_xlfn.MINIFS($N$2:$N$5001,$B$2:$B$5001,B4055,$E$2:$E$5001,"Em ajustes"),1,0),0))</f>
        <v/>
      </c>
      <c r="N4055" s="17" t="str">
        <f aca="false">IF(A4055="","",IF(ISNUMBER(A4055),A4055,IFERROR(DATE(VALUE(MID(A4055,7,4)),VALUE(MID(A4055,4,2)),VALUE(MID(A4055,1,2)))+TIME(VALUE(MID(A4055,12,2)),VALUE(MID(A4055,15,2)),VALUE(MID(A4055,18,2))),"")))</f>
        <v/>
      </c>
    </row>
    <row r="4056" customFormat="false" ht="15" hidden="false" customHeight="false" outlineLevel="0" collapsed="false">
      <c r="I4056" s="15" t="str">
        <f aca="false">IF(N4056="","",INT(N4056))</f>
        <v/>
      </c>
      <c r="J4056" s="16" t="str">
        <f aca="false">IF(B4056="","",IF(N4056=_xlfn.MINIFS($N$2:$N$5001,$B$2:$B$5001,B4056),1,0))</f>
        <v/>
      </c>
      <c r="K4056" s="16" t="str">
        <f aca="false">IF(B4056="","",IF(AND(D4056="Formalização",E4056="Concluído"),IF(COUNTIFS($B$2:$B$5001,B4056,$E$2:$E$5001,"Em ajustes",$N$2:$N$5001,"&lt;"&amp;I4056)&gt;0,1,0),0))</f>
        <v/>
      </c>
      <c r="L4056" s="16" t="str">
        <f aca="false">IF(B4056="","",IF(N4056=_xlfn.MAXIFS($N$2:$N$5001,$B$2:$B$5001,B4056,$I$2:$I$5001,I4056),1,0))</f>
        <v/>
      </c>
      <c r="M4056" s="16" t="str">
        <f aca="false">IF(B4056="","",IF(E4056="Em ajustes",IF(N4056=_xlfn.MINIFS($N$2:$N$5001,$B$2:$B$5001,B4056,$E$2:$E$5001,"Em ajustes"),1,0),0))</f>
        <v/>
      </c>
      <c r="N4056" s="17" t="str">
        <f aca="false">IF(A4056="","",IF(ISNUMBER(A4056),A4056,IFERROR(DATE(VALUE(MID(A4056,7,4)),VALUE(MID(A4056,4,2)),VALUE(MID(A4056,1,2)))+TIME(VALUE(MID(A4056,12,2)),VALUE(MID(A4056,15,2)),VALUE(MID(A4056,18,2))),"")))</f>
        <v/>
      </c>
    </row>
    <row r="4057" customFormat="false" ht="15" hidden="false" customHeight="false" outlineLevel="0" collapsed="false">
      <c r="I4057" s="15" t="str">
        <f aca="false">IF(N4057="","",INT(N4057))</f>
        <v/>
      </c>
      <c r="J4057" s="16" t="str">
        <f aca="false">IF(B4057="","",IF(N4057=_xlfn.MINIFS($N$2:$N$5001,$B$2:$B$5001,B4057),1,0))</f>
        <v/>
      </c>
      <c r="K4057" s="16" t="str">
        <f aca="false">IF(B4057="","",IF(AND(D4057="Formalização",E4057="Concluído"),IF(COUNTIFS($B$2:$B$5001,B4057,$E$2:$E$5001,"Em ajustes",$N$2:$N$5001,"&lt;"&amp;I4057)&gt;0,1,0),0))</f>
        <v/>
      </c>
      <c r="L4057" s="16" t="str">
        <f aca="false">IF(B4057="","",IF(N4057=_xlfn.MAXIFS($N$2:$N$5001,$B$2:$B$5001,B4057,$I$2:$I$5001,I4057),1,0))</f>
        <v/>
      </c>
      <c r="M4057" s="16" t="str">
        <f aca="false">IF(B4057="","",IF(E4057="Em ajustes",IF(N4057=_xlfn.MINIFS($N$2:$N$5001,$B$2:$B$5001,B4057,$E$2:$E$5001,"Em ajustes"),1,0),0))</f>
        <v/>
      </c>
      <c r="N4057" s="17" t="str">
        <f aca="false">IF(A4057="","",IF(ISNUMBER(A4057),A4057,IFERROR(DATE(VALUE(MID(A4057,7,4)),VALUE(MID(A4057,4,2)),VALUE(MID(A4057,1,2)))+TIME(VALUE(MID(A4057,12,2)),VALUE(MID(A4057,15,2)),VALUE(MID(A4057,18,2))),"")))</f>
        <v/>
      </c>
    </row>
    <row r="4058" customFormat="false" ht="15" hidden="false" customHeight="false" outlineLevel="0" collapsed="false">
      <c r="I4058" s="15" t="str">
        <f aca="false">IF(N4058="","",INT(N4058))</f>
        <v/>
      </c>
      <c r="J4058" s="16" t="str">
        <f aca="false">IF(B4058="","",IF(N4058=_xlfn.MINIFS($N$2:$N$5001,$B$2:$B$5001,B4058),1,0))</f>
        <v/>
      </c>
      <c r="K4058" s="16" t="str">
        <f aca="false">IF(B4058="","",IF(AND(D4058="Formalização",E4058="Concluído"),IF(COUNTIFS($B$2:$B$5001,B4058,$E$2:$E$5001,"Em ajustes",$N$2:$N$5001,"&lt;"&amp;I4058)&gt;0,1,0),0))</f>
        <v/>
      </c>
      <c r="L4058" s="16" t="str">
        <f aca="false">IF(B4058="","",IF(N4058=_xlfn.MAXIFS($N$2:$N$5001,$B$2:$B$5001,B4058,$I$2:$I$5001,I4058),1,0))</f>
        <v/>
      </c>
      <c r="M4058" s="16" t="str">
        <f aca="false">IF(B4058="","",IF(E4058="Em ajustes",IF(N4058=_xlfn.MINIFS($N$2:$N$5001,$B$2:$B$5001,B4058,$E$2:$E$5001,"Em ajustes"),1,0),0))</f>
        <v/>
      </c>
      <c r="N4058" s="17" t="str">
        <f aca="false">IF(A4058="","",IF(ISNUMBER(A4058),A4058,IFERROR(DATE(VALUE(MID(A4058,7,4)),VALUE(MID(A4058,4,2)),VALUE(MID(A4058,1,2)))+TIME(VALUE(MID(A4058,12,2)),VALUE(MID(A4058,15,2)),VALUE(MID(A4058,18,2))),"")))</f>
        <v/>
      </c>
    </row>
    <row r="4059" customFormat="false" ht="15" hidden="false" customHeight="false" outlineLevel="0" collapsed="false">
      <c r="I4059" s="15" t="str">
        <f aca="false">IF(N4059="","",INT(N4059))</f>
        <v/>
      </c>
      <c r="J4059" s="16" t="str">
        <f aca="false">IF(B4059="","",IF(N4059=_xlfn.MINIFS($N$2:$N$5001,$B$2:$B$5001,B4059),1,0))</f>
        <v/>
      </c>
      <c r="K4059" s="16" t="str">
        <f aca="false">IF(B4059="","",IF(AND(D4059="Formalização",E4059="Concluído"),IF(COUNTIFS($B$2:$B$5001,B4059,$E$2:$E$5001,"Em ajustes",$N$2:$N$5001,"&lt;"&amp;I4059)&gt;0,1,0),0))</f>
        <v/>
      </c>
      <c r="L4059" s="16" t="str">
        <f aca="false">IF(B4059="","",IF(N4059=_xlfn.MAXIFS($N$2:$N$5001,$B$2:$B$5001,B4059,$I$2:$I$5001,I4059),1,0))</f>
        <v/>
      </c>
      <c r="M4059" s="16" t="str">
        <f aca="false">IF(B4059="","",IF(E4059="Em ajustes",IF(N4059=_xlfn.MINIFS($N$2:$N$5001,$B$2:$B$5001,B4059,$E$2:$E$5001,"Em ajustes"),1,0),0))</f>
        <v/>
      </c>
      <c r="N4059" s="17" t="str">
        <f aca="false">IF(A4059="","",IF(ISNUMBER(A4059),A4059,IFERROR(DATE(VALUE(MID(A4059,7,4)),VALUE(MID(A4059,4,2)),VALUE(MID(A4059,1,2)))+TIME(VALUE(MID(A4059,12,2)),VALUE(MID(A4059,15,2)),VALUE(MID(A4059,18,2))),"")))</f>
        <v/>
      </c>
    </row>
    <row r="4060" customFormat="false" ht="15" hidden="false" customHeight="false" outlineLevel="0" collapsed="false">
      <c r="I4060" s="15" t="str">
        <f aca="false">IF(N4060="","",INT(N4060))</f>
        <v/>
      </c>
      <c r="J4060" s="16" t="str">
        <f aca="false">IF(B4060="","",IF(N4060=_xlfn.MINIFS($N$2:$N$5001,$B$2:$B$5001,B4060),1,0))</f>
        <v/>
      </c>
      <c r="K4060" s="16" t="str">
        <f aca="false">IF(B4060="","",IF(AND(D4060="Formalização",E4060="Concluído"),IF(COUNTIFS($B$2:$B$5001,B4060,$E$2:$E$5001,"Em ajustes",$N$2:$N$5001,"&lt;"&amp;I4060)&gt;0,1,0),0))</f>
        <v/>
      </c>
      <c r="L4060" s="16" t="str">
        <f aca="false">IF(B4060="","",IF(N4060=_xlfn.MAXIFS($N$2:$N$5001,$B$2:$B$5001,B4060,$I$2:$I$5001,I4060),1,0))</f>
        <v/>
      </c>
      <c r="M4060" s="16" t="str">
        <f aca="false">IF(B4060="","",IF(E4060="Em ajustes",IF(N4060=_xlfn.MINIFS($N$2:$N$5001,$B$2:$B$5001,B4060,$E$2:$E$5001,"Em ajustes"),1,0),0))</f>
        <v/>
      </c>
      <c r="N4060" s="17" t="str">
        <f aca="false">IF(A4060="","",IF(ISNUMBER(A4060),A4060,IFERROR(DATE(VALUE(MID(A4060,7,4)),VALUE(MID(A4060,4,2)),VALUE(MID(A4060,1,2)))+TIME(VALUE(MID(A4060,12,2)),VALUE(MID(A4060,15,2)),VALUE(MID(A4060,18,2))),"")))</f>
        <v/>
      </c>
    </row>
    <row r="4061" customFormat="false" ht="15" hidden="false" customHeight="false" outlineLevel="0" collapsed="false">
      <c r="I4061" s="15" t="str">
        <f aca="false">IF(N4061="","",INT(N4061))</f>
        <v/>
      </c>
      <c r="J4061" s="16" t="str">
        <f aca="false">IF(B4061="","",IF(N4061=_xlfn.MINIFS($N$2:$N$5001,$B$2:$B$5001,B4061),1,0))</f>
        <v/>
      </c>
      <c r="K4061" s="16" t="str">
        <f aca="false">IF(B4061="","",IF(AND(D4061="Formalização",E4061="Concluído"),IF(COUNTIFS($B$2:$B$5001,B4061,$E$2:$E$5001,"Em ajustes",$N$2:$N$5001,"&lt;"&amp;I4061)&gt;0,1,0),0))</f>
        <v/>
      </c>
      <c r="L4061" s="16" t="str">
        <f aca="false">IF(B4061="","",IF(N4061=_xlfn.MAXIFS($N$2:$N$5001,$B$2:$B$5001,B4061,$I$2:$I$5001,I4061),1,0))</f>
        <v/>
      </c>
      <c r="M4061" s="16" t="str">
        <f aca="false">IF(B4061="","",IF(E4061="Em ajustes",IF(N4061=_xlfn.MINIFS($N$2:$N$5001,$B$2:$B$5001,B4061,$E$2:$E$5001,"Em ajustes"),1,0),0))</f>
        <v/>
      </c>
      <c r="N4061" s="17" t="str">
        <f aca="false">IF(A4061="","",IF(ISNUMBER(A4061),A4061,IFERROR(DATE(VALUE(MID(A4061,7,4)),VALUE(MID(A4061,4,2)),VALUE(MID(A4061,1,2)))+TIME(VALUE(MID(A4061,12,2)),VALUE(MID(A4061,15,2)),VALUE(MID(A4061,18,2))),"")))</f>
        <v/>
      </c>
    </row>
    <row r="4062" customFormat="false" ht="15" hidden="false" customHeight="false" outlineLevel="0" collapsed="false">
      <c r="I4062" s="15" t="str">
        <f aca="false">IF(N4062="","",INT(N4062))</f>
        <v/>
      </c>
      <c r="J4062" s="16" t="str">
        <f aca="false">IF(B4062="","",IF(N4062=_xlfn.MINIFS($N$2:$N$5001,$B$2:$B$5001,B4062),1,0))</f>
        <v/>
      </c>
      <c r="K4062" s="16" t="str">
        <f aca="false">IF(B4062="","",IF(AND(D4062="Formalização",E4062="Concluído"),IF(COUNTIFS($B$2:$B$5001,B4062,$E$2:$E$5001,"Em ajustes",$N$2:$N$5001,"&lt;"&amp;I4062)&gt;0,1,0),0))</f>
        <v/>
      </c>
      <c r="L4062" s="16" t="str">
        <f aca="false">IF(B4062="","",IF(N4062=_xlfn.MAXIFS($N$2:$N$5001,$B$2:$B$5001,B4062,$I$2:$I$5001,I4062),1,0))</f>
        <v/>
      </c>
      <c r="M4062" s="16" t="str">
        <f aca="false">IF(B4062="","",IF(E4062="Em ajustes",IF(N4062=_xlfn.MINIFS($N$2:$N$5001,$B$2:$B$5001,B4062,$E$2:$E$5001,"Em ajustes"),1,0),0))</f>
        <v/>
      </c>
      <c r="N4062" s="17" t="str">
        <f aca="false">IF(A4062="","",IF(ISNUMBER(A4062),A4062,IFERROR(DATE(VALUE(MID(A4062,7,4)),VALUE(MID(A4062,4,2)),VALUE(MID(A4062,1,2)))+TIME(VALUE(MID(A4062,12,2)),VALUE(MID(A4062,15,2)),VALUE(MID(A4062,18,2))),"")))</f>
        <v/>
      </c>
    </row>
    <row r="4063" customFormat="false" ht="15" hidden="false" customHeight="false" outlineLevel="0" collapsed="false">
      <c r="I4063" s="15" t="str">
        <f aca="false">IF(N4063="","",INT(N4063))</f>
        <v/>
      </c>
      <c r="J4063" s="16" t="str">
        <f aca="false">IF(B4063="","",IF(N4063=_xlfn.MINIFS($N$2:$N$5001,$B$2:$B$5001,B4063),1,0))</f>
        <v/>
      </c>
      <c r="K4063" s="16" t="str">
        <f aca="false">IF(B4063="","",IF(AND(D4063="Formalização",E4063="Concluído"),IF(COUNTIFS($B$2:$B$5001,B4063,$E$2:$E$5001,"Em ajustes",$N$2:$N$5001,"&lt;"&amp;I4063)&gt;0,1,0),0))</f>
        <v/>
      </c>
      <c r="L4063" s="16" t="str">
        <f aca="false">IF(B4063="","",IF(N4063=_xlfn.MAXIFS($N$2:$N$5001,$B$2:$B$5001,B4063,$I$2:$I$5001,I4063),1,0))</f>
        <v/>
      </c>
      <c r="M4063" s="16" t="str">
        <f aca="false">IF(B4063="","",IF(E4063="Em ajustes",IF(N4063=_xlfn.MINIFS($N$2:$N$5001,$B$2:$B$5001,B4063,$E$2:$E$5001,"Em ajustes"),1,0),0))</f>
        <v/>
      </c>
      <c r="N4063" s="17" t="str">
        <f aca="false">IF(A4063="","",IF(ISNUMBER(A4063),A4063,IFERROR(DATE(VALUE(MID(A4063,7,4)),VALUE(MID(A4063,4,2)),VALUE(MID(A4063,1,2)))+TIME(VALUE(MID(A4063,12,2)),VALUE(MID(A4063,15,2)),VALUE(MID(A4063,18,2))),"")))</f>
        <v/>
      </c>
    </row>
    <row r="4064" customFormat="false" ht="15" hidden="false" customHeight="false" outlineLevel="0" collapsed="false">
      <c r="I4064" s="15" t="str">
        <f aca="false">IF(N4064="","",INT(N4064))</f>
        <v/>
      </c>
      <c r="J4064" s="16" t="str">
        <f aca="false">IF(B4064="","",IF(N4064=_xlfn.MINIFS($N$2:$N$5001,$B$2:$B$5001,B4064),1,0))</f>
        <v/>
      </c>
      <c r="K4064" s="16" t="str">
        <f aca="false">IF(B4064="","",IF(AND(D4064="Formalização",E4064="Concluído"),IF(COUNTIFS($B$2:$B$5001,B4064,$E$2:$E$5001,"Em ajustes",$N$2:$N$5001,"&lt;"&amp;I4064)&gt;0,1,0),0))</f>
        <v/>
      </c>
      <c r="L4064" s="16" t="str">
        <f aca="false">IF(B4064="","",IF(N4064=_xlfn.MAXIFS($N$2:$N$5001,$B$2:$B$5001,B4064,$I$2:$I$5001,I4064),1,0))</f>
        <v/>
      </c>
      <c r="M4064" s="16" t="str">
        <f aca="false">IF(B4064="","",IF(E4064="Em ajustes",IF(N4064=_xlfn.MINIFS($N$2:$N$5001,$B$2:$B$5001,B4064,$E$2:$E$5001,"Em ajustes"),1,0),0))</f>
        <v/>
      </c>
      <c r="N4064" s="17" t="str">
        <f aca="false">IF(A4064="","",IF(ISNUMBER(A4064),A4064,IFERROR(DATE(VALUE(MID(A4064,7,4)),VALUE(MID(A4064,4,2)),VALUE(MID(A4064,1,2)))+TIME(VALUE(MID(A4064,12,2)),VALUE(MID(A4064,15,2)),VALUE(MID(A4064,18,2))),"")))</f>
        <v/>
      </c>
    </row>
    <row r="4065" customFormat="false" ht="15" hidden="false" customHeight="false" outlineLevel="0" collapsed="false">
      <c r="I4065" s="15" t="str">
        <f aca="false">IF(N4065="","",INT(N4065))</f>
        <v/>
      </c>
      <c r="J4065" s="16" t="str">
        <f aca="false">IF(B4065="","",IF(N4065=_xlfn.MINIFS($N$2:$N$5001,$B$2:$B$5001,B4065),1,0))</f>
        <v/>
      </c>
      <c r="K4065" s="16" t="str">
        <f aca="false">IF(B4065="","",IF(AND(D4065="Formalização",E4065="Concluído"),IF(COUNTIFS($B$2:$B$5001,B4065,$E$2:$E$5001,"Em ajustes",$N$2:$N$5001,"&lt;"&amp;I4065)&gt;0,1,0),0))</f>
        <v/>
      </c>
      <c r="L4065" s="16" t="str">
        <f aca="false">IF(B4065="","",IF(N4065=_xlfn.MAXIFS($N$2:$N$5001,$B$2:$B$5001,B4065,$I$2:$I$5001,I4065),1,0))</f>
        <v/>
      </c>
      <c r="M4065" s="16" t="str">
        <f aca="false">IF(B4065="","",IF(E4065="Em ajustes",IF(N4065=_xlfn.MINIFS($N$2:$N$5001,$B$2:$B$5001,B4065,$E$2:$E$5001,"Em ajustes"),1,0),0))</f>
        <v/>
      </c>
      <c r="N4065" s="17" t="str">
        <f aca="false">IF(A4065="","",IF(ISNUMBER(A4065),A4065,IFERROR(DATE(VALUE(MID(A4065,7,4)),VALUE(MID(A4065,4,2)),VALUE(MID(A4065,1,2)))+TIME(VALUE(MID(A4065,12,2)),VALUE(MID(A4065,15,2)),VALUE(MID(A4065,18,2))),"")))</f>
        <v/>
      </c>
    </row>
    <row r="4066" customFormat="false" ht="15" hidden="false" customHeight="false" outlineLevel="0" collapsed="false">
      <c r="I4066" s="15" t="str">
        <f aca="false">IF(N4066="","",INT(N4066))</f>
        <v/>
      </c>
      <c r="J4066" s="16" t="str">
        <f aca="false">IF(B4066="","",IF(N4066=_xlfn.MINIFS($N$2:$N$5001,$B$2:$B$5001,B4066),1,0))</f>
        <v/>
      </c>
      <c r="K4066" s="16" t="str">
        <f aca="false">IF(B4066="","",IF(AND(D4066="Formalização",E4066="Concluído"),IF(COUNTIFS($B$2:$B$5001,B4066,$E$2:$E$5001,"Em ajustes",$N$2:$N$5001,"&lt;"&amp;I4066)&gt;0,1,0),0))</f>
        <v/>
      </c>
      <c r="L4066" s="16" t="str">
        <f aca="false">IF(B4066="","",IF(N4066=_xlfn.MAXIFS($N$2:$N$5001,$B$2:$B$5001,B4066,$I$2:$I$5001,I4066),1,0))</f>
        <v/>
      </c>
      <c r="M4066" s="16" t="str">
        <f aca="false">IF(B4066="","",IF(E4066="Em ajustes",IF(N4066=_xlfn.MINIFS($N$2:$N$5001,$B$2:$B$5001,B4066,$E$2:$E$5001,"Em ajustes"),1,0),0))</f>
        <v/>
      </c>
      <c r="N4066" s="17" t="str">
        <f aca="false">IF(A4066="","",IF(ISNUMBER(A4066),A4066,IFERROR(DATE(VALUE(MID(A4066,7,4)),VALUE(MID(A4066,4,2)),VALUE(MID(A4066,1,2)))+TIME(VALUE(MID(A4066,12,2)),VALUE(MID(A4066,15,2)),VALUE(MID(A4066,18,2))),"")))</f>
        <v/>
      </c>
    </row>
    <row r="4067" customFormat="false" ht="15" hidden="false" customHeight="false" outlineLevel="0" collapsed="false">
      <c r="I4067" s="15" t="str">
        <f aca="false">IF(N4067="","",INT(N4067))</f>
        <v/>
      </c>
      <c r="J4067" s="16" t="str">
        <f aca="false">IF(B4067="","",IF(N4067=_xlfn.MINIFS($N$2:$N$5001,$B$2:$B$5001,B4067),1,0))</f>
        <v/>
      </c>
      <c r="K4067" s="16" t="str">
        <f aca="false">IF(B4067="","",IF(AND(D4067="Formalização",E4067="Concluído"),IF(COUNTIFS($B$2:$B$5001,B4067,$E$2:$E$5001,"Em ajustes",$N$2:$N$5001,"&lt;"&amp;I4067)&gt;0,1,0),0))</f>
        <v/>
      </c>
      <c r="L4067" s="16" t="str">
        <f aca="false">IF(B4067="","",IF(N4067=_xlfn.MAXIFS($N$2:$N$5001,$B$2:$B$5001,B4067,$I$2:$I$5001,I4067),1,0))</f>
        <v/>
      </c>
      <c r="M4067" s="16" t="str">
        <f aca="false">IF(B4067="","",IF(E4067="Em ajustes",IF(N4067=_xlfn.MINIFS($N$2:$N$5001,$B$2:$B$5001,B4067,$E$2:$E$5001,"Em ajustes"),1,0),0))</f>
        <v/>
      </c>
      <c r="N4067" s="17" t="str">
        <f aca="false">IF(A4067="","",IF(ISNUMBER(A4067),A4067,IFERROR(DATE(VALUE(MID(A4067,7,4)),VALUE(MID(A4067,4,2)),VALUE(MID(A4067,1,2)))+TIME(VALUE(MID(A4067,12,2)),VALUE(MID(A4067,15,2)),VALUE(MID(A4067,18,2))),"")))</f>
        <v/>
      </c>
    </row>
    <row r="4068" customFormat="false" ht="15" hidden="false" customHeight="false" outlineLevel="0" collapsed="false">
      <c r="I4068" s="15" t="str">
        <f aca="false">IF(N4068="","",INT(N4068))</f>
        <v/>
      </c>
      <c r="J4068" s="16" t="str">
        <f aca="false">IF(B4068="","",IF(N4068=_xlfn.MINIFS($N$2:$N$5001,$B$2:$B$5001,B4068),1,0))</f>
        <v/>
      </c>
      <c r="K4068" s="16" t="str">
        <f aca="false">IF(B4068="","",IF(AND(D4068="Formalização",E4068="Concluído"),IF(COUNTIFS($B$2:$B$5001,B4068,$E$2:$E$5001,"Em ajustes",$N$2:$N$5001,"&lt;"&amp;I4068)&gt;0,1,0),0))</f>
        <v/>
      </c>
      <c r="L4068" s="16" t="str">
        <f aca="false">IF(B4068="","",IF(N4068=_xlfn.MAXIFS($N$2:$N$5001,$B$2:$B$5001,B4068,$I$2:$I$5001,I4068),1,0))</f>
        <v/>
      </c>
      <c r="M4068" s="16" t="str">
        <f aca="false">IF(B4068="","",IF(E4068="Em ajustes",IF(N4068=_xlfn.MINIFS($N$2:$N$5001,$B$2:$B$5001,B4068,$E$2:$E$5001,"Em ajustes"),1,0),0))</f>
        <v/>
      </c>
      <c r="N4068" s="17" t="str">
        <f aca="false">IF(A4068="","",IF(ISNUMBER(A4068),A4068,IFERROR(DATE(VALUE(MID(A4068,7,4)),VALUE(MID(A4068,4,2)),VALUE(MID(A4068,1,2)))+TIME(VALUE(MID(A4068,12,2)),VALUE(MID(A4068,15,2)),VALUE(MID(A4068,18,2))),"")))</f>
        <v/>
      </c>
    </row>
    <row r="4069" customFormat="false" ht="15" hidden="false" customHeight="false" outlineLevel="0" collapsed="false">
      <c r="I4069" s="15" t="str">
        <f aca="false">IF(N4069="","",INT(N4069))</f>
        <v/>
      </c>
      <c r="J4069" s="16" t="str">
        <f aca="false">IF(B4069="","",IF(N4069=_xlfn.MINIFS($N$2:$N$5001,$B$2:$B$5001,B4069),1,0))</f>
        <v/>
      </c>
      <c r="K4069" s="16" t="str">
        <f aca="false">IF(B4069="","",IF(AND(D4069="Formalização",E4069="Concluído"),IF(COUNTIFS($B$2:$B$5001,B4069,$E$2:$E$5001,"Em ajustes",$N$2:$N$5001,"&lt;"&amp;I4069)&gt;0,1,0),0))</f>
        <v/>
      </c>
      <c r="L4069" s="16" t="str">
        <f aca="false">IF(B4069="","",IF(N4069=_xlfn.MAXIFS($N$2:$N$5001,$B$2:$B$5001,B4069,$I$2:$I$5001,I4069),1,0))</f>
        <v/>
      </c>
      <c r="M4069" s="16" t="str">
        <f aca="false">IF(B4069="","",IF(E4069="Em ajustes",IF(N4069=_xlfn.MINIFS($N$2:$N$5001,$B$2:$B$5001,B4069,$E$2:$E$5001,"Em ajustes"),1,0),0))</f>
        <v/>
      </c>
      <c r="N4069" s="17" t="str">
        <f aca="false">IF(A4069="","",IF(ISNUMBER(A4069),A4069,IFERROR(DATE(VALUE(MID(A4069,7,4)),VALUE(MID(A4069,4,2)),VALUE(MID(A4069,1,2)))+TIME(VALUE(MID(A4069,12,2)),VALUE(MID(A4069,15,2)),VALUE(MID(A4069,18,2))),"")))</f>
        <v/>
      </c>
    </row>
    <row r="4070" customFormat="false" ht="15" hidden="false" customHeight="false" outlineLevel="0" collapsed="false">
      <c r="I4070" s="15" t="str">
        <f aca="false">IF(N4070="","",INT(N4070))</f>
        <v/>
      </c>
      <c r="J4070" s="16" t="str">
        <f aca="false">IF(B4070="","",IF(N4070=_xlfn.MINIFS($N$2:$N$5001,$B$2:$B$5001,B4070),1,0))</f>
        <v/>
      </c>
      <c r="K4070" s="16" t="str">
        <f aca="false">IF(B4070="","",IF(AND(D4070="Formalização",E4070="Concluído"),IF(COUNTIFS($B$2:$B$5001,B4070,$E$2:$E$5001,"Em ajustes",$N$2:$N$5001,"&lt;"&amp;I4070)&gt;0,1,0),0))</f>
        <v/>
      </c>
      <c r="L4070" s="16" t="str">
        <f aca="false">IF(B4070="","",IF(N4070=_xlfn.MAXIFS($N$2:$N$5001,$B$2:$B$5001,B4070,$I$2:$I$5001,I4070),1,0))</f>
        <v/>
      </c>
      <c r="M4070" s="16" t="str">
        <f aca="false">IF(B4070="","",IF(E4070="Em ajustes",IF(N4070=_xlfn.MINIFS($N$2:$N$5001,$B$2:$B$5001,B4070,$E$2:$E$5001,"Em ajustes"),1,0),0))</f>
        <v/>
      </c>
      <c r="N4070" s="17" t="str">
        <f aca="false">IF(A4070="","",IF(ISNUMBER(A4070),A4070,IFERROR(DATE(VALUE(MID(A4070,7,4)),VALUE(MID(A4070,4,2)),VALUE(MID(A4070,1,2)))+TIME(VALUE(MID(A4070,12,2)),VALUE(MID(A4070,15,2)),VALUE(MID(A4070,18,2))),"")))</f>
        <v/>
      </c>
    </row>
    <row r="4071" customFormat="false" ht="15" hidden="false" customHeight="false" outlineLevel="0" collapsed="false">
      <c r="I4071" s="15" t="str">
        <f aca="false">IF(N4071="","",INT(N4071))</f>
        <v/>
      </c>
      <c r="J4071" s="16" t="str">
        <f aca="false">IF(B4071="","",IF(N4071=_xlfn.MINIFS($N$2:$N$5001,$B$2:$B$5001,B4071),1,0))</f>
        <v/>
      </c>
      <c r="K4071" s="16" t="str">
        <f aca="false">IF(B4071="","",IF(AND(D4071="Formalização",E4071="Concluído"),IF(COUNTIFS($B$2:$B$5001,B4071,$E$2:$E$5001,"Em ajustes",$N$2:$N$5001,"&lt;"&amp;I4071)&gt;0,1,0),0))</f>
        <v/>
      </c>
      <c r="L4071" s="16" t="str">
        <f aca="false">IF(B4071="","",IF(N4071=_xlfn.MAXIFS($N$2:$N$5001,$B$2:$B$5001,B4071,$I$2:$I$5001,I4071),1,0))</f>
        <v/>
      </c>
      <c r="M4071" s="16" t="str">
        <f aca="false">IF(B4071="","",IF(E4071="Em ajustes",IF(N4071=_xlfn.MINIFS($N$2:$N$5001,$B$2:$B$5001,B4071,$E$2:$E$5001,"Em ajustes"),1,0),0))</f>
        <v/>
      </c>
      <c r="N4071" s="17" t="str">
        <f aca="false">IF(A4071="","",IF(ISNUMBER(A4071),A4071,IFERROR(DATE(VALUE(MID(A4071,7,4)),VALUE(MID(A4071,4,2)),VALUE(MID(A4071,1,2)))+TIME(VALUE(MID(A4071,12,2)),VALUE(MID(A4071,15,2)),VALUE(MID(A4071,18,2))),"")))</f>
        <v/>
      </c>
    </row>
    <row r="4072" customFormat="false" ht="15" hidden="false" customHeight="false" outlineLevel="0" collapsed="false">
      <c r="I4072" s="15" t="str">
        <f aca="false">IF(N4072="","",INT(N4072))</f>
        <v/>
      </c>
      <c r="J4072" s="16" t="str">
        <f aca="false">IF(B4072="","",IF(N4072=_xlfn.MINIFS($N$2:$N$5001,$B$2:$B$5001,B4072),1,0))</f>
        <v/>
      </c>
      <c r="K4072" s="16" t="str">
        <f aca="false">IF(B4072="","",IF(AND(D4072="Formalização",E4072="Concluído"),IF(COUNTIFS($B$2:$B$5001,B4072,$E$2:$E$5001,"Em ajustes",$N$2:$N$5001,"&lt;"&amp;I4072)&gt;0,1,0),0))</f>
        <v/>
      </c>
      <c r="L4072" s="16" t="str">
        <f aca="false">IF(B4072="","",IF(N4072=_xlfn.MAXIFS($N$2:$N$5001,$B$2:$B$5001,B4072,$I$2:$I$5001,I4072),1,0))</f>
        <v/>
      </c>
      <c r="M4072" s="16" t="str">
        <f aca="false">IF(B4072="","",IF(E4072="Em ajustes",IF(N4072=_xlfn.MINIFS($N$2:$N$5001,$B$2:$B$5001,B4072,$E$2:$E$5001,"Em ajustes"),1,0),0))</f>
        <v/>
      </c>
      <c r="N4072" s="17" t="str">
        <f aca="false">IF(A4072="","",IF(ISNUMBER(A4072),A4072,IFERROR(DATE(VALUE(MID(A4072,7,4)),VALUE(MID(A4072,4,2)),VALUE(MID(A4072,1,2)))+TIME(VALUE(MID(A4072,12,2)),VALUE(MID(A4072,15,2)),VALUE(MID(A4072,18,2))),"")))</f>
        <v/>
      </c>
    </row>
    <row r="4073" customFormat="false" ht="15" hidden="false" customHeight="false" outlineLevel="0" collapsed="false">
      <c r="I4073" s="15" t="str">
        <f aca="false">IF(N4073="","",INT(N4073))</f>
        <v/>
      </c>
      <c r="J4073" s="16" t="str">
        <f aca="false">IF(B4073="","",IF(N4073=_xlfn.MINIFS($N$2:$N$5001,$B$2:$B$5001,B4073),1,0))</f>
        <v/>
      </c>
      <c r="K4073" s="16" t="str">
        <f aca="false">IF(B4073="","",IF(AND(D4073="Formalização",E4073="Concluído"),IF(COUNTIFS($B$2:$B$5001,B4073,$E$2:$E$5001,"Em ajustes",$N$2:$N$5001,"&lt;"&amp;I4073)&gt;0,1,0),0))</f>
        <v/>
      </c>
      <c r="L4073" s="16" t="str">
        <f aca="false">IF(B4073="","",IF(N4073=_xlfn.MAXIFS($N$2:$N$5001,$B$2:$B$5001,B4073,$I$2:$I$5001,I4073),1,0))</f>
        <v/>
      </c>
      <c r="M4073" s="16" t="str">
        <f aca="false">IF(B4073="","",IF(E4073="Em ajustes",IF(N4073=_xlfn.MINIFS($N$2:$N$5001,$B$2:$B$5001,B4073,$E$2:$E$5001,"Em ajustes"),1,0),0))</f>
        <v/>
      </c>
      <c r="N4073" s="17" t="str">
        <f aca="false">IF(A4073="","",IF(ISNUMBER(A4073),A4073,IFERROR(DATE(VALUE(MID(A4073,7,4)),VALUE(MID(A4073,4,2)),VALUE(MID(A4073,1,2)))+TIME(VALUE(MID(A4073,12,2)),VALUE(MID(A4073,15,2)),VALUE(MID(A4073,18,2))),"")))</f>
        <v/>
      </c>
    </row>
    <row r="4074" customFormat="false" ht="15" hidden="false" customHeight="false" outlineLevel="0" collapsed="false">
      <c r="I4074" s="15" t="str">
        <f aca="false">IF(N4074="","",INT(N4074))</f>
        <v/>
      </c>
      <c r="J4074" s="16" t="str">
        <f aca="false">IF(B4074="","",IF(N4074=_xlfn.MINIFS($N$2:$N$5001,$B$2:$B$5001,B4074),1,0))</f>
        <v/>
      </c>
      <c r="K4074" s="16" t="str">
        <f aca="false">IF(B4074="","",IF(AND(D4074="Formalização",E4074="Concluído"),IF(COUNTIFS($B$2:$B$5001,B4074,$E$2:$E$5001,"Em ajustes",$N$2:$N$5001,"&lt;"&amp;I4074)&gt;0,1,0),0))</f>
        <v/>
      </c>
      <c r="L4074" s="16" t="str">
        <f aca="false">IF(B4074="","",IF(N4074=_xlfn.MAXIFS($N$2:$N$5001,$B$2:$B$5001,B4074,$I$2:$I$5001,I4074),1,0))</f>
        <v/>
      </c>
      <c r="M4074" s="16" t="str">
        <f aca="false">IF(B4074="","",IF(E4074="Em ajustes",IF(N4074=_xlfn.MINIFS($N$2:$N$5001,$B$2:$B$5001,B4074,$E$2:$E$5001,"Em ajustes"),1,0),0))</f>
        <v/>
      </c>
      <c r="N4074" s="17" t="str">
        <f aca="false">IF(A4074="","",IF(ISNUMBER(A4074),A4074,IFERROR(DATE(VALUE(MID(A4074,7,4)),VALUE(MID(A4074,4,2)),VALUE(MID(A4074,1,2)))+TIME(VALUE(MID(A4074,12,2)),VALUE(MID(A4074,15,2)),VALUE(MID(A4074,18,2))),"")))</f>
        <v/>
      </c>
    </row>
    <row r="4075" customFormat="false" ht="15" hidden="false" customHeight="false" outlineLevel="0" collapsed="false">
      <c r="I4075" s="15" t="str">
        <f aca="false">IF(N4075="","",INT(N4075))</f>
        <v/>
      </c>
      <c r="J4075" s="16" t="str">
        <f aca="false">IF(B4075="","",IF(N4075=_xlfn.MINIFS($N$2:$N$5001,$B$2:$B$5001,B4075),1,0))</f>
        <v/>
      </c>
      <c r="K4075" s="16" t="str">
        <f aca="false">IF(B4075="","",IF(AND(D4075="Formalização",E4075="Concluído"),IF(COUNTIFS($B$2:$B$5001,B4075,$E$2:$E$5001,"Em ajustes",$N$2:$N$5001,"&lt;"&amp;I4075)&gt;0,1,0),0))</f>
        <v/>
      </c>
      <c r="L4075" s="16" t="str">
        <f aca="false">IF(B4075="","",IF(N4075=_xlfn.MAXIFS($N$2:$N$5001,$B$2:$B$5001,B4075,$I$2:$I$5001,I4075),1,0))</f>
        <v/>
      </c>
      <c r="M4075" s="16" t="str">
        <f aca="false">IF(B4075="","",IF(E4075="Em ajustes",IF(N4075=_xlfn.MINIFS($N$2:$N$5001,$B$2:$B$5001,B4075,$E$2:$E$5001,"Em ajustes"),1,0),0))</f>
        <v/>
      </c>
      <c r="N4075" s="17" t="str">
        <f aca="false">IF(A4075="","",IF(ISNUMBER(A4075),A4075,IFERROR(DATE(VALUE(MID(A4075,7,4)),VALUE(MID(A4075,4,2)),VALUE(MID(A4075,1,2)))+TIME(VALUE(MID(A4075,12,2)),VALUE(MID(A4075,15,2)),VALUE(MID(A4075,18,2))),"")))</f>
        <v/>
      </c>
    </row>
    <row r="4076" customFormat="false" ht="15" hidden="false" customHeight="false" outlineLevel="0" collapsed="false">
      <c r="I4076" s="15" t="str">
        <f aca="false">IF(N4076="","",INT(N4076))</f>
        <v/>
      </c>
      <c r="J4076" s="16" t="str">
        <f aca="false">IF(B4076="","",IF(N4076=_xlfn.MINIFS($N$2:$N$5001,$B$2:$B$5001,B4076),1,0))</f>
        <v/>
      </c>
      <c r="K4076" s="16" t="str">
        <f aca="false">IF(B4076="","",IF(AND(D4076="Formalização",E4076="Concluído"),IF(COUNTIFS($B$2:$B$5001,B4076,$E$2:$E$5001,"Em ajustes",$N$2:$N$5001,"&lt;"&amp;I4076)&gt;0,1,0),0))</f>
        <v/>
      </c>
      <c r="L4076" s="16" t="str">
        <f aca="false">IF(B4076="","",IF(N4076=_xlfn.MAXIFS($N$2:$N$5001,$B$2:$B$5001,B4076,$I$2:$I$5001,I4076),1,0))</f>
        <v/>
      </c>
      <c r="M4076" s="16" t="str">
        <f aca="false">IF(B4076="","",IF(E4076="Em ajustes",IF(N4076=_xlfn.MINIFS($N$2:$N$5001,$B$2:$B$5001,B4076,$E$2:$E$5001,"Em ajustes"),1,0),0))</f>
        <v/>
      </c>
      <c r="N4076" s="17" t="str">
        <f aca="false">IF(A4076="","",IF(ISNUMBER(A4076),A4076,IFERROR(DATE(VALUE(MID(A4076,7,4)),VALUE(MID(A4076,4,2)),VALUE(MID(A4076,1,2)))+TIME(VALUE(MID(A4076,12,2)),VALUE(MID(A4076,15,2)),VALUE(MID(A4076,18,2))),"")))</f>
        <v/>
      </c>
    </row>
    <row r="4077" customFormat="false" ht="15" hidden="false" customHeight="false" outlineLevel="0" collapsed="false">
      <c r="I4077" s="15" t="str">
        <f aca="false">IF(N4077="","",INT(N4077))</f>
        <v/>
      </c>
      <c r="J4077" s="16" t="str">
        <f aca="false">IF(B4077="","",IF(N4077=_xlfn.MINIFS($N$2:$N$5001,$B$2:$B$5001,B4077),1,0))</f>
        <v/>
      </c>
      <c r="K4077" s="16" t="str">
        <f aca="false">IF(B4077="","",IF(AND(D4077="Formalização",E4077="Concluído"),IF(COUNTIFS($B$2:$B$5001,B4077,$E$2:$E$5001,"Em ajustes",$N$2:$N$5001,"&lt;"&amp;I4077)&gt;0,1,0),0))</f>
        <v/>
      </c>
      <c r="L4077" s="16" t="str">
        <f aca="false">IF(B4077="","",IF(N4077=_xlfn.MAXIFS($N$2:$N$5001,$B$2:$B$5001,B4077,$I$2:$I$5001,I4077),1,0))</f>
        <v/>
      </c>
      <c r="M4077" s="16" t="str">
        <f aca="false">IF(B4077="","",IF(E4077="Em ajustes",IF(N4077=_xlfn.MINIFS($N$2:$N$5001,$B$2:$B$5001,B4077,$E$2:$E$5001,"Em ajustes"),1,0),0))</f>
        <v/>
      </c>
      <c r="N4077" s="17" t="str">
        <f aca="false">IF(A4077="","",IF(ISNUMBER(A4077),A4077,IFERROR(DATE(VALUE(MID(A4077,7,4)),VALUE(MID(A4077,4,2)),VALUE(MID(A4077,1,2)))+TIME(VALUE(MID(A4077,12,2)),VALUE(MID(A4077,15,2)),VALUE(MID(A4077,18,2))),"")))</f>
        <v/>
      </c>
    </row>
    <row r="4078" customFormat="false" ht="15" hidden="false" customHeight="false" outlineLevel="0" collapsed="false">
      <c r="I4078" s="15" t="str">
        <f aca="false">IF(N4078="","",INT(N4078))</f>
        <v/>
      </c>
      <c r="J4078" s="16" t="str">
        <f aca="false">IF(B4078="","",IF(N4078=_xlfn.MINIFS($N$2:$N$5001,$B$2:$B$5001,B4078),1,0))</f>
        <v/>
      </c>
      <c r="K4078" s="16" t="str">
        <f aca="false">IF(B4078="","",IF(AND(D4078="Formalização",E4078="Concluído"),IF(COUNTIFS($B$2:$B$5001,B4078,$E$2:$E$5001,"Em ajustes",$N$2:$N$5001,"&lt;"&amp;I4078)&gt;0,1,0),0))</f>
        <v/>
      </c>
      <c r="L4078" s="16" t="str">
        <f aca="false">IF(B4078="","",IF(N4078=_xlfn.MAXIFS($N$2:$N$5001,$B$2:$B$5001,B4078,$I$2:$I$5001,I4078),1,0))</f>
        <v/>
      </c>
      <c r="M4078" s="16" t="str">
        <f aca="false">IF(B4078="","",IF(E4078="Em ajustes",IF(N4078=_xlfn.MINIFS($N$2:$N$5001,$B$2:$B$5001,B4078,$E$2:$E$5001,"Em ajustes"),1,0),0))</f>
        <v/>
      </c>
      <c r="N4078" s="17" t="str">
        <f aca="false">IF(A4078="","",IF(ISNUMBER(A4078),A4078,IFERROR(DATE(VALUE(MID(A4078,7,4)),VALUE(MID(A4078,4,2)),VALUE(MID(A4078,1,2)))+TIME(VALUE(MID(A4078,12,2)),VALUE(MID(A4078,15,2)),VALUE(MID(A4078,18,2))),"")))</f>
        <v/>
      </c>
    </row>
    <row r="4079" customFormat="false" ht="15" hidden="false" customHeight="false" outlineLevel="0" collapsed="false">
      <c r="I4079" s="15" t="str">
        <f aca="false">IF(N4079="","",INT(N4079))</f>
        <v/>
      </c>
      <c r="J4079" s="16" t="str">
        <f aca="false">IF(B4079="","",IF(N4079=_xlfn.MINIFS($N$2:$N$5001,$B$2:$B$5001,B4079),1,0))</f>
        <v/>
      </c>
      <c r="K4079" s="16" t="str">
        <f aca="false">IF(B4079="","",IF(AND(D4079="Formalização",E4079="Concluído"),IF(COUNTIFS($B$2:$B$5001,B4079,$E$2:$E$5001,"Em ajustes",$N$2:$N$5001,"&lt;"&amp;I4079)&gt;0,1,0),0))</f>
        <v/>
      </c>
      <c r="L4079" s="16" t="str">
        <f aca="false">IF(B4079="","",IF(N4079=_xlfn.MAXIFS($N$2:$N$5001,$B$2:$B$5001,B4079,$I$2:$I$5001,I4079),1,0))</f>
        <v/>
      </c>
      <c r="M4079" s="16" t="str">
        <f aca="false">IF(B4079="","",IF(E4079="Em ajustes",IF(N4079=_xlfn.MINIFS($N$2:$N$5001,$B$2:$B$5001,B4079,$E$2:$E$5001,"Em ajustes"),1,0),0))</f>
        <v/>
      </c>
      <c r="N4079" s="17" t="str">
        <f aca="false">IF(A4079="","",IF(ISNUMBER(A4079),A4079,IFERROR(DATE(VALUE(MID(A4079,7,4)),VALUE(MID(A4079,4,2)),VALUE(MID(A4079,1,2)))+TIME(VALUE(MID(A4079,12,2)),VALUE(MID(A4079,15,2)),VALUE(MID(A4079,18,2))),"")))</f>
        <v/>
      </c>
    </row>
    <row r="4080" customFormat="false" ht="15" hidden="false" customHeight="false" outlineLevel="0" collapsed="false">
      <c r="I4080" s="15" t="str">
        <f aca="false">IF(N4080="","",INT(N4080))</f>
        <v/>
      </c>
      <c r="J4080" s="16" t="str">
        <f aca="false">IF(B4080="","",IF(N4080=_xlfn.MINIFS($N$2:$N$5001,$B$2:$B$5001,B4080),1,0))</f>
        <v/>
      </c>
      <c r="K4080" s="16" t="str">
        <f aca="false">IF(B4080="","",IF(AND(D4080="Formalização",E4080="Concluído"),IF(COUNTIFS($B$2:$B$5001,B4080,$E$2:$E$5001,"Em ajustes",$N$2:$N$5001,"&lt;"&amp;I4080)&gt;0,1,0),0))</f>
        <v/>
      </c>
      <c r="L4080" s="16" t="str">
        <f aca="false">IF(B4080="","",IF(N4080=_xlfn.MAXIFS($N$2:$N$5001,$B$2:$B$5001,B4080,$I$2:$I$5001,I4080),1,0))</f>
        <v/>
      </c>
      <c r="M4080" s="16" t="str">
        <f aca="false">IF(B4080="","",IF(E4080="Em ajustes",IF(N4080=_xlfn.MINIFS($N$2:$N$5001,$B$2:$B$5001,B4080,$E$2:$E$5001,"Em ajustes"),1,0),0))</f>
        <v/>
      </c>
      <c r="N4080" s="17" t="str">
        <f aca="false">IF(A4080="","",IF(ISNUMBER(A4080),A4080,IFERROR(DATE(VALUE(MID(A4080,7,4)),VALUE(MID(A4080,4,2)),VALUE(MID(A4080,1,2)))+TIME(VALUE(MID(A4080,12,2)),VALUE(MID(A4080,15,2)),VALUE(MID(A4080,18,2))),"")))</f>
        <v/>
      </c>
    </row>
    <row r="4081" customFormat="false" ht="15" hidden="false" customHeight="false" outlineLevel="0" collapsed="false">
      <c r="I4081" s="15" t="str">
        <f aca="false">IF(N4081="","",INT(N4081))</f>
        <v/>
      </c>
      <c r="J4081" s="16" t="str">
        <f aca="false">IF(B4081="","",IF(N4081=_xlfn.MINIFS($N$2:$N$5001,$B$2:$B$5001,B4081),1,0))</f>
        <v/>
      </c>
      <c r="K4081" s="16" t="str">
        <f aca="false">IF(B4081="","",IF(AND(D4081="Formalização",E4081="Concluído"),IF(COUNTIFS($B$2:$B$5001,B4081,$E$2:$E$5001,"Em ajustes",$N$2:$N$5001,"&lt;"&amp;I4081)&gt;0,1,0),0))</f>
        <v/>
      </c>
      <c r="L4081" s="16" t="str">
        <f aca="false">IF(B4081="","",IF(N4081=_xlfn.MAXIFS($N$2:$N$5001,$B$2:$B$5001,B4081,$I$2:$I$5001,I4081),1,0))</f>
        <v/>
      </c>
      <c r="M4081" s="16" t="str">
        <f aca="false">IF(B4081="","",IF(E4081="Em ajustes",IF(N4081=_xlfn.MINIFS($N$2:$N$5001,$B$2:$B$5001,B4081,$E$2:$E$5001,"Em ajustes"),1,0),0))</f>
        <v/>
      </c>
      <c r="N4081" s="17" t="str">
        <f aca="false">IF(A4081="","",IF(ISNUMBER(A4081),A4081,IFERROR(DATE(VALUE(MID(A4081,7,4)),VALUE(MID(A4081,4,2)),VALUE(MID(A4081,1,2)))+TIME(VALUE(MID(A4081,12,2)),VALUE(MID(A4081,15,2)),VALUE(MID(A4081,18,2))),"")))</f>
        <v/>
      </c>
    </row>
    <row r="4082" customFormat="false" ht="15" hidden="false" customHeight="false" outlineLevel="0" collapsed="false">
      <c r="I4082" s="15" t="str">
        <f aca="false">IF(N4082="","",INT(N4082))</f>
        <v/>
      </c>
      <c r="J4082" s="16" t="str">
        <f aca="false">IF(B4082="","",IF(N4082=_xlfn.MINIFS($N$2:$N$5001,$B$2:$B$5001,B4082),1,0))</f>
        <v/>
      </c>
      <c r="K4082" s="16" t="str">
        <f aca="false">IF(B4082="","",IF(AND(D4082="Formalização",E4082="Concluído"),IF(COUNTIFS($B$2:$B$5001,B4082,$E$2:$E$5001,"Em ajustes",$N$2:$N$5001,"&lt;"&amp;I4082)&gt;0,1,0),0))</f>
        <v/>
      </c>
      <c r="L4082" s="16" t="str">
        <f aca="false">IF(B4082="","",IF(N4082=_xlfn.MAXIFS($N$2:$N$5001,$B$2:$B$5001,B4082,$I$2:$I$5001,I4082),1,0))</f>
        <v/>
      </c>
      <c r="M4082" s="16" t="str">
        <f aca="false">IF(B4082="","",IF(E4082="Em ajustes",IF(N4082=_xlfn.MINIFS($N$2:$N$5001,$B$2:$B$5001,B4082,$E$2:$E$5001,"Em ajustes"),1,0),0))</f>
        <v/>
      </c>
      <c r="N4082" s="17" t="str">
        <f aca="false">IF(A4082="","",IF(ISNUMBER(A4082),A4082,IFERROR(DATE(VALUE(MID(A4082,7,4)),VALUE(MID(A4082,4,2)),VALUE(MID(A4082,1,2)))+TIME(VALUE(MID(A4082,12,2)),VALUE(MID(A4082,15,2)),VALUE(MID(A4082,18,2))),"")))</f>
        <v/>
      </c>
    </row>
    <row r="4083" customFormat="false" ht="15" hidden="false" customHeight="false" outlineLevel="0" collapsed="false">
      <c r="I4083" s="15" t="str">
        <f aca="false">IF(N4083="","",INT(N4083))</f>
        <v/>
      </c>
      <c r="J4083" s="16" t="str">
        <f aca="false">IF(B4083="","",IF(N4083=_xlfn.MINIFS($N$2:$N$5001,$B$2:$B$5001,B4083),1,0))</f>
        <v/>
      </c>
      <c r="K4083" s="16" t="str">
        <f aca="false">IF(B4083="","",IF(AND(D4083="Formalização",E4083="Concluído"),IF(COUNTIFS($B$2:$B$5001,B4083,$E$2:$E$5001,"Em ajustes",$N$2:$N$5001,"&lt;"&amp;I4083)&gt;0,1,0),0))</f>
        <v/>
      </c>
      <c r="L4083" s="16" t="str">
        <f aca="false">IF(B4083="","",IF(N4083=_xlfn.MAXIFS($N$2:$N$5001,$B$2:$B$5001,B4083,$I$2:$I$5001,I4083),1,0))</f>
        <v/>
      </c>
      <c r="M4083" s="16" t="str">
        <f aca="false">IF(B4083="","",IF(E4083="Em ajustes",IF(N4083=_xlfn.MINIFS($N$2:$N$5001,$B$2:$B$5001,B4083,$E$2:$E$5001,"Em ajustes"),1,0),0))</f>
        <v/>
      </c>
      <c r="N4083" s="17" t="str">
        <f aca="false">IF(A4083="","",IF(ISNUMBER(A4083),A4083,IFERROR(DATE(VALUE(MID(A4083,7,4)),VALUE(MID(A4083,4,2)),VALUE(MID(A4083,1,2)))+TIME(VALUE(MID(A4083,12,2)),VALUE(MID(A4083,15,2)),VALUE(MID(A4083,18,2))),"")))</f>
        <v/>
      </c>
    </row>
    <row r="4084" customFormat="false" ht="15" hidden="false" customHeight="false" outlineLevel="0" collapsed="false">
      <c r="I4084" s="15" t="str">
        <f aca="false">IF(N4084="","",INT(N4084))</f>
        <v/>
      </c>
      <c r="J4084" s="16" t="str">
        <f aca="false">IF(B4084="","",IF(N4084=_xlfn.MINIFS($N$2:$N$5001,$B$2:$B$5001,B4084),1,0))</f>
        <v/>
      </c>
      <c r="K4084" s="16" t="str">
        <f aca="false">IF(B4084="","",IF(AND(D4084="Formalização",E4084="Concluído"),IF(COUNTIFS($B$2:$B$5001,B4084,$E$2:$E$5001,"Em ajustes",$N$2:$N$5001,"&lt;"&amp;I4084)&gt;0,1,0),0))</f>
        <v/>
      </c>
      <c r="L4084" s="16" t="str">
        <f aca="false">IF(B4084="","",IF(N4084=_xlfn.MAXIFS($N$2:$N$5001,$B$2:$B$5001,B4084,$I$2:$I$5001,I4084),1,0))</f>
        <v/>
      </c>
      <c r="M4084" s="16" t="str">
        <f aca="false">IF(B4084="","",IF(E4084="Em ajustes",IF(N4084=_xlfn.MINIFS($N$2:$N$5001,$B$2:$B$5001,B4084,$E$2:$E$5001,"Em ajustes"),1,0),0))</f>
        <v/>
      </c>
      <c r="N4084" s="17" t="str">
        <f aca="false">IF(A4084="","",IF(ISNUMBER(A4084),A4084,IFERROR(DATE(VALUE(MID(A4084,7,4)),VALUE(MID(A4084,4,2)),VALUE(MID(A4084,1,2)))+TIME(VALUE(MID(A4084,12,2)),VALUE(MID(A4084,15,2)),VALUE(MID(A4084,18,2))),"")))</f>
        <v/>
      </c>
    </row>
    <row r="4085" customFormat="false" ht="15" hidden="false" customHeight="false" outlineLevel="0" collapsed="false">
      <c r="I4085" s="15" t="str">
        <f aca="false">IF(N4085="","",INT(N4085))</f>
        <v/>
      </c>
      <c r="J4085" s="16" t="str">
        <f aca="false">IF(B4085="","",IF(N4085=_xlfn.MINIFS($N$2:$N$5001,$B$2:$B$5001,B4085),1,0))</f>
        <v/>
      </c>
      <c r="K4085" s="16" t="str">
        <f aca="false">IF(B4085="","",IF(AND(D4085="Formalização",E4085="Concluído"),IF(COUNTIFS($B$2:$B$5001,B4085,$E$2:$E$5001,"Em ajustes",$N$2:$N$5001,"&lt;"&amp;I4085)&gt;0,1,0),0))</f>
        <v/>
      </c>
      <c r="L4085" s="16" t="str">
        <f aca="false">IF(B4085="","",IF(N4085=_xlfn.MAXIFS($N$2:$N$5001,$B$2:$B$5001,B4085,$I$2:$I$5001,I4085),1,0))</f>
        <v/>
      </c>
      <c r="M4085" s="16" t="str">
        <f aca="false">IF(B4085="","",IF(E4085="Em ajustes",IF(N4085=_xlfn.MINIFS($N$2:$N$5001,$B$2:$B$5001,B4085,$E$2:$E$5001,"Em ajustes"),1,0),0))</f>
        <v/>
      </c>
      <c r="N4085" s="17" t="str">
        <f aca="false">IF(A4085="","",IF(ISNUMBER(A4085),A4085,IFERROR(DATE(VALUE(MID(A4085,7,4)),VALUE(MID(A4085,4,2)),VALUE(MID(A4085,1,2)))+TIME(VALUE(MID(A4085,12,2)),VALUE(MID(A4085,15,2)),VALUE(MID(A4085,18,2))),"")))</f>
        <v/>
      </c>
    </row>
    <row r="4086" customFormat="false" ht="15" hidden="false" customHeight="false" outlineLevel="0" collapsed="false">
      <c r="I4086" s="15" t="str">
        <f aca="false">IF(N4086="","",INT(N4086))</f>
        <v/>
      </c>
      <c r="J4086" s="16" t="str">
        <f aca="false">IF(B4086="","",IF(N4086=_xlfn.MINIFS($N$2:$N$5001,$B$2:$B$5001,B4086),1,0))</f>
        <v/>
      </c>
      <c r="K4086" s="16" t="str">
        <f aca="false">IF(B4086="","",IF(AND(D4086="Formalização",E4086="Concluído"),IF(COUNTIFS($B$2:$B$5001,B4086,$E$2:$E$5001,"Em ajustes",$N$2:$N$5001,"&lt;"&amp;I4086)&gt;0,1,0),0))</f>
        <v/>
      </c>
      <c r="L4086" s="16" t="str">
        <f aca="false">IF(B4086="","",IF(N4086=_xlfn.MAXIFS($N$2:$N$5001,$B$2:$B$5001,B4086,$I$2:$I$5001,I4086),1,0))</f>
        <v/>
      </c>
      <c r="M4086" s="16" t="str">
        <f aca="false">IF(B4086="","",IF(E4086="Em ajustes",IF(N4086=_xlfn.MINIFS($N$2:$N$5001,$B$2:$B$5001,B4086,$E$2:$E$5001,"Em ajustes"),1,0),0))</f>
        <v/>
      </c>
      <c r="N4086" s="17" t="str">
        <f aca="false">IF(A4086="","",IF(ISNUMBER(A4086),A4086,IFERROR(DATE(VALUE(MID(A4086,7,4)),VALUE(MID(A4086,4,2)),VALUE(MID(A4086,1,2)))+TIME(VALUE(MID(A4086,12,2)),VALUE(MID(A4086,15,2)),VALUE(MID(A4086,18,2))),"")))</f>
        <v/>
      </c>
    </row>
    <row r="4087" customFormat="false" ht="15" hidden="false" customHeight="false" outlineLevel="0" collapsed="false">
      <c r="I4087" s="15" t="str">
        <f aca="false">IF(N4087="","",INT(N4087))</f>
        <v/>
      </c>
      <c r="J4087" s="16" t="str">
        <f aca="false">IF(B4087="","",IF(N4087=_xlfn.MINIFS($N$2:$N$5001,$B$2:$B$5001,B4087),1,0))</f>
        <v/>
      </c>
      <c r="K4087" s="16" t="str">
        <f aca="false">IF(B4087="","",IF(AND(D4087="Formalização",E4087="Concluído"),IF(COUNTIFS($B$2:$B$5001,B4087,$E$2:$E$5001,"Em ajustes",$N$2:$N$5001,"&lt;"&amp;I4087)&gt;0,1,0),0))</f>
        <v/>
      </c>
      <c r="L4087" s="16" t="str">
        <f aca="false">IF(B4087="","",IF(N4087=_xlfn.MAXIFS($N$2:$N$5001,$B$2:$B$5001,B4087,$I$2:$I$5001,I4087),1,0))</f>
        <v/>
      </c>
      <c r="M4087" s="16" t="str">
        <f aca="false">IF(B4087="","",IF(E4087="Em ajustes",IF(N4087=_xlfn.MINIFS($N$2:$N$5001,$B$2:$B$5001,B4087,$E$2:$E$5001,"Em ajustes"),1,0),0))</f>
        <v/>
      </c>
      <c r="N4087" s="17" t="str">
        <f aca="false">IF(A4087="","",IF(ISNUMBER(A4087),A4087,IFERROR(DATE(VALUE(MID(A4087,7,4)),VALUE(MID(A4087,4,2)),VALUE(MID(A4087,1,2)))+TIME(VALUE(MID(A4087,12,2)),VALUE(MID(A4087,15,2)),VALUE(MID(A4087,18,2))),"")))</f>
        <v/>
      </c>
    </row>
    <row r="4088" customFormat="false" ht="15" hidden="false" customHeight="false" outlineLevel="0" collapsed="false">
      <c r="I4088" s="15" t="str">
        <f aca="false">IF(N4088="","",INT(N4088))</f>
        <v/>
      </c>
      <c r="J4088" s="16" t="str">
        <f aca="false">IF(B4088="","",IF(N4088=_xlfn.MINIFS($N$2:$N$5001,$B$2:$B$5001,B4088),1,0))</f>
        <v/>
      </c>
      <c r="K4088" s="16" t="str">
        <f aca="false">IF(B4088="","",IF(AND(D4088="Formalização",E4088="Concluído"),IF(COUNTIFS($B$2:$B$5001,B4088,$E$2:$E$5001,"Em ajustes",$N$2:$N$5001,"&lt;"&amp;I4088)&gt;0,1,0),0))</f>
        <v/>
      </c>
      <c r="L4088" s="16" t="str">
        <f aca="false">IF(B4088="","",IF(N4088=_xlfn.MAXIFS($N$2:$N$5001,$B$2:$B$5001,B4088,$I$2:$I$5001,I4088),1,0))</f>
        <v/>
      </c>
      <c r="M4088" s="16" t="str">
        <f aca="false">IF(B4088="","",IF(E4088="Em ajustes",IF(N4088=_xlfn.MINIFS($N$2:$N$5001,$B$2:$B$5001,B4088,$E$2:$E$5001,"Em ajustes"),1,0),0))</f>
        <v/>
      </c>
      <c r="N4088" s="17" t="str">
        <f aca="false">IF(A4088="","",IF(ISNUMBER(A4088),A4088,IFERROR(DATE(VALUE(MID(A4088,7,4)),VALUE(MID(A4088,4,2)),VALUE(MID(A4088,1,2)))+TIME(VALUE(MID(A4088,12,2)),VALUE(MID(A4088,15,2)),VALUE(MID(A4088,18,2))),"")))</f>
        <v/>
      </c>
    </row>
    <row r="4089" customFormat="false" ht="15" hidden="false" customHeight="false" outlineLevel="0" collapsed="false">
      <c r="I4089" s="15" t="str">
        <f aca="false">IF(N4089="","",INT(N4089))</f>
        <v/>
      </c>
      <c r="J4089" s="16" t="str">
        <f aca="false">IF(B4089="","",IF(N4089=_xlfn.MINIFS($N$2:$N$5001,$B$2:$B$5001,B4089),1,0))</f>
        <v/>
      </c>
      <c r="K4089" s="16" t="str">
        <f aca="false">IF(B4089="","",IF(AND(D4089="Formalização",E4089="Concluído"),IF(COUNTIFS($B$2:$B$5001,B4089,$E$2:$E$5001,"Em ajustes",$N$2:$N$5001,"&lt;"&amp;I4089)&gt;0,1,0),0))</f>
        <v/>
      </c>
      <c r="L4089" s="16" t="str">
        <f aca="false">IF(B4089="","",IF(N4089=_xlfn.MAXIFS($N$2:$N$5001,$B$2:$B$5001,B4089,$I$2:$I$5001,I4089),1,0))</f>
        <v/>
      </c>
      <c r="M4089" s="16" t="str">
        <f aca="false">IF(B4089="","",IF(E4089="Em ajustes",IF(N4089=_xlfn.MINIFS($N$2:$N$5001,$B$2:$B$5001,B4089,$E$2:$E$5001,"Em ajustes"),1,0),0))</f>
        <v/>
      </c>
      <c r="N4089" s="17" t="str">
        <f aca="false">IF(A4089="","",IF(ISNUMBER(A4089),A4089,IFERROR(DATE(VALUE(MID(A4089,7,4)),VALUE(MID(A4089,4,2)),VALUE(MID(A4089,1,2)))+TIME(VALUE(MID(A4089,12,2)),VALUE(MID(A4089,15,2)),VALUE(MID(A4089,18,2))),"")))</f>
        <v/>
      </c>
    </row>
    <row r="4090" customFormat="false" ht="15" hidden="false" customHeight="false" outlineLevel="0" collapsed="false">
      <c r="I4090" s="15" t="str">
        <f aca="false">IF(N4090="","",INT(N4090))</f>
        <v/>
      </c>
      <c r="J4090" s="16" t="str">
        <f aca="false">IF(B4090="","",IF(N4090=_xlfn.MINIFS($N$2:$N$5001,$B$2:$B$5001,B4090),1,0))</f>
        <v/>
      </c>
      <c r="K4090" s="16" t="str">
        <f aca="false">IF(B4090="","",IF(AND(D4090="Formalização",E4090="Concluído"),IF(COUNTIFS($B$2:$B$5001,B4090,$E$2:$E$5001,"Em ajustes",$N$2:$N$5001,"&lt;"&amp;I4090)&gt;0,1,0),0))</f>
        <v/>
      </c>
      <c r="L4090" s="16" t="str">
        <f aca="false">IF(B4090="","",IF(N4090=_xlfn.MAXIFS($N$2:$N$5001,$B$2:$B$5001,B4090,$I$2:$I$5001,I4090),1,0))</f>
        <v/>
      </c>
      <c r="M4090" s="16" t="str">
        <f aca="false">IF(B4090="","",IF(E4090="Em ajustes",IF(N4090=_xlfn.MINIFS($N$2:$N$5001,$B$2:$B$5001,B4090,$E$2:$E$5001,"Em ajustes"),1,0),0))</f>
        <v/>
      </c>
      <c r="N4090" s="17" t="str">
        <f aca="false">IF(A4090="","",IF(ISNUMBER(A4090),A4090,IFERROR(DATE(VALUE(MID(A4090,7,4)),VALUE(MID(A4090,4,2)),VALUE(MID(A4090,1,2)))+TIME(VALUE(MID(A4090,12,2)),VALUE(MID(A4090,15,2)),VALUE(MID(A4090,18,2))),"")))</f>
        <v/>
      </c>
    </row>
    <row r="4091" customFormat="false" ht="15" hidden="false" customHeight="false" outlineLevel="0" collapsed="false">
      <c r="I4091" s="15" t="str">
        <f aca="false">IF(N4091="","",INT(N4091))</f>
        <v/>
      </c>
      <c r="J4091" s="16" t="str">
        <f aca="false">IF(B4091="","",IF(N4091=_xlfn.MINIFS($N$2:$N$5001,$B$2:$B$5001,B4091),1,0))</f>
        <v/>
      </c>
      <c r="K4091" s="16" t="str">
        <f aca="false">IF(B4091="","",IF(AND(D4091="Formalização",E4091="Concluído"),IF(COUNTIFS($B$2:$B$5001,B4091,$E$2:$E$5001,"Em ajustes",$N$2:$N$5001,"&lt;"&amp;I4091)&gt;0,1,0),0))</f>
        <v/>
      </c>
      <c r="L4091" s="16" t="str">
        <f aca="false">IF(B4091="","",IF(N4091=_xlfn.MAXIFS($N$2:$N$5001,$B$2:$B$5001,B4091,$I$2:$I$5001,I4091),1,0))</f>
        <v/>
      </c>
      <c r="M4091" s="16" t="str">
        <f aca="false">IF(B4091="","",IF(E4091="Em ajustes",IF(N4091=_xlfn.MINIFS($N$2:$N$5001,$B$2:$B$5001,B4091,$E$2:$E$5001,"Em ajustes"),1,0),0))</f>
        <v/>
      </c>
      <c r="N4091" s="17" t="str">
        <f aca="false">IF(A4091="","",IF(ISNUMBER(A4091),A4091,IFERROR(DATE(VALUE(MID(A4091,7,4)),VALUE(MID(A4091,4,2)),VALUE(MID(A4091,1,2)))+TIME(VALUE(MID(A4091,12,2)),VALUE(MID(A4091,15,2)),VALUE(MID(A4091,18,2))),"")))</f>
        <v/>
      </c>
    </row>
    <row r="4092" customFormat="false" ht="15" hidden="false" customHeight="false" outlineLevel="0" collapsed="false">
      <c r="I4092" s="15" t="str">
        <f aca="false">IF(N4092="","",INT(N4092))</f>
        <v/>
      </c>
      <c r="J4092" s="16" t="str">
        <f aca="false">IF(B4092="","",IF(N4092=_xlfn.MINIFS($N$2:$N$5001,$B$2:$B$5001,B4092),1,0))</f>
        <v/>
      </c>
      <c r="K4092" s="16" t="str">
        <f aca="false">IF(B4092="","",IF(AND(D4092="Formalização",E4092="Concluído"),IF(COUNTIFS($B$2:$B$5001,B4092,$E$2:$E$5001,"Em ajustes",$N$2:$N$5001,"&lt;"&amp;I4092)&gt;0,1,0),0))</f>
        <v/>
      </c>
      <c r="L4092" s="16" t="str">
        <f aca="false">IF(B4092="","",IF(N4092=_xlfn.MAXIFS($N$2:$N$5001,$B$2:$B$5001,B4092,$I$2:$I$5001,I4092),1,0))</f>
        <v/>
      </c>
      <c r="M4092" s="16" t="str">
        <f aca="false">IF(B4092="","",IF(E4092="Em ajustes",IF(N4092=_xlfn.MINIFS($N$2:$N$5001,$B$2:$B$5001,B4092,$E$2:$E$5001,"Em ajustes"),1,0),0))</f>
        <v/>
      </c>
      <c r="N4092" s="17" t="str">
        <f aca="false">IF(A4092="","",IF(ISNUMBER(A4092),A4092,IFERROR(DATE(VALUE(MID(A4092,7,4)),VALUE(MID(A4092,4,2)),VALUE(MID(A4092,1,2)))+TIME(VALUE(MID(A4092,12,2)),VALUE(MID(A4092,15,2)),VALUE(MID(A4092,18,2))),"")))</f>
        <v/>
      </c>
    </row>
    <row r="4093" customFormat="false" ht="15" hidden="false" customHeight="false" outlineLevel="0" collapsed="false">
      <c r="I4093" s="15" t="str">
        <f aca="false">IF(N4093="","",INT(N4093))</f>
        <v/>
      </c>
      <c r="J4093" s="16" t="str">
        <f aca="false">IF(B4093="","",IF(N4093=_xlfn.MINIFS($N$2:$N$5001,$B$2:$B$5001,B4093),1,0))</f>
        <v/>
      </c>
      <c r="K4093" s="16" t="str">
        <f aca="false">IF(B4093="","",IF(AND(D4093="Formalização",E4093="Concluído"),IF(COUNTIFS($B$2:$B$5001,B4093,$E$2:$E$5001,"Em ajustes",$N$2:$N$5001,"&lt;"&amp;I4093)&gt;0,1,0),0))</f>
        <v/>
      </c>
      <c r="L4093" s="16" t="str">
        <f aca="false">IF(B4093="","",IF(N4093=_xlfn.MAXIFS($N$2:$N$5001,$B$2:$B$5001,B4093,$I$2:$I$5001,I4093),1,0))</f>
        <v/>
      </c>
      <c r="M4093" s="16" t="str">
        <f aca="false">IF(B4093="","",IF(E4093="Em ajustes",IF(N4093=_xlfn.MINIFS($N$2:$N$5001,$B$2:$B$5001,B4093,$E$2:$E$5001,"Em ajustes"),1,0),0))</f>
        <v/>
      </c>
      <c r="N4093" s="17" t="str">
        <f aca="false">IF(A4093="","",IF(ISNUMBER(A4093),A4093,IFERROR(DATE(VALUE(MID(A4093,7,4)),VALUE(MID(A4093,4,2)),VALUE(MID(A4093,1,2)))+TIME(VALUE(MID(A4093,12,2)),VALUE(MID(A4093,15,2)),VALUE(MID(A4093,18,2))),"")))</f>
        <v/>
      </c>
    </row>
    <row r="4094" customFormat="false" ht="15" hidden="false" customHeight="false" outlineLevel="0" collapsed="false">
      <c r="I4094" s="15" t="str">
        <f aca="false">IF(N4094="","",INT(N4094))</f>
        <v/>
      </c>
      <c r="J4094" s="16" t="str">
        <f aca="false">IF(B4094="","",IF(N4094=_xlfn.MINIFS($N$2:$N$5001,$B$2:$B$5001,B4094),1,0))</f>
        <v/>
      </c>
      <c r="K4094" s="16" t="str">
        <f aca="false">IF(B4094="","",IF(AND(D4094="Formalização",E4094="Concluído"),IF(COUNTIFS($B$2:$B$5001,B4094,$E$2:$E$5001,"Em ajustes",$N$2:$N$5001,"&lt;"&amp;I4094)&gt;0,1,0),0))</f>
        <v/>
      </c>
      <c r="L4094" s="16" t="str">
        <f aca="false">IF(B4094="","",IF(N4094=_xlfn.MAXIFS($N$2:$N$5001,$B$2:$B$5001,B4094,$I$2:$I$5001,I4094),1,0))</f>
        <v/>
      </c>
      <c r="M4094" s="16" t="str">
        <f aca="false">IF(B4094="","",IF(E4094="Em ajustes",IF(N4094=_xlfn.MINIFS($N$2:$N$5001,$B$2:$B$5001,B4094,$E$2:$E$5001,"Em ajustes"),1,0),0))</f>
        <v/>
      </c>
      <c r="N4094" s="17" t="str">
        <f aca="false">IF(A4094="","",IF(ISNUMBER(A4094),A4094,IFERROR(DATE(VALUE(MID(A4094,7,4)),VALUE(MID(A4094,4,2)),VALUE(MID(A4094,1,2)))+TIME(VALUE(MID(A4094,12,2)),VALUE(MID(A4094,15,2)),VALUE(MID(A4094,18,2))),"")))</f>
        <v/>
      </c>
    </row>
    <row r="4095" customFormat="false" ht="15" hidden="false" customHeight="false" outlineLevel="0" collapsed="false">
      <c r="I4095" s="15" t="str">
        <f aca="false">IF(N4095="","",INT(N4095))</f>
        <v/>
      </c>
      <c r="J4095" s="16" t="str">
        <f aca="false">IF(B4095="","",IF(N4095=_xlfn.MINIFS($N$2:$N$5001,$B$2:$B$5001,B4095),1,0))</f>
        <v/>
      </c>
      <c r="K4095" s="16" t="str">
        <f aca="false">IF(B4095="","",IF(AND(D4095="Formalização",E4095="Concluído"),IF(COUNTIFS($B$2:$B$5001,B4095,$E$2:$E$5001,"Em ajustes",$N$2:$N$5001,"&lt;"&amp;I4095)&gt;0,1,0),0))</f>
        <v/>
      </c>
      <c r="L4095" s="16" t="str">
        <f aca="false">IF(B4095="","",IF(N4095=_xlfn.MAXIFS($N$2:$N$5001,$B$2:$B$5001,B4095,$I$2:$I$5001,I4095),1,0))</f>
        <v/>
      </c>
      <c r="M4095" s="16" t="str">
        <f aca="false">IF(B4095="","",IF(E4095="Em ajustes",IF(N4095=_xlfn.MINIFS($N$2:$N$5001,$B$2:$B$5001,B4095,$E$2:$E$5001,"Em ajustes"),1,0),0))</f>
        <v/>
      </c>
      <c r="N4095" s="17" t="str">
        <f aca="false">IF(A4095="","",IF(ISNUMBER(A4095),A4095,IFERROR(DATE(VALUE(MID(A4095,7,4)),VALUE(MID(A4095,4,2)),VALUE(MID(A4095,1,2)))+TIME(VALUE(MID(A4095,12,2)),VALUE(MID(A4095,15,2)),VALUE(MID(A4095,18,2))),"")))</f>
        <v/>
      </c>
    </row>
    <row r="4096" customFormat="false" ht="15" hidden="false" customHeight="false" outlineLevel="0" collapsed="false">
      <c r="I4096" s="15" t="str">
        <f aca="false">IF(N4096="","",INT(N4096))</f>
        <v/>
      </c>
      <c r="J4096" s="16" t="str">
        <f aca="false">IF(B4096="","",IF(N4096=_xlfn.MINIFS($N$2:$N$5001,$B$2:$B$5001,B4096),1,0))</f>
        <v/>
      </c>
      <c r="K4096" s="16" t="str">
        <f aca="false">IF(B4096="","",IF(AND(D4096="Formalização",E4096="Concluído"),IF(COUNTIFS($B$2:$B$5001,B4096,$E$2:$E$5001,"Em ajustes",$N$2:$N$5001,"&lt;"&amp;I4096)&gt;0,1,0),0))</f>
        <v/>
      </c>
      <c r="L4096" s="16" t="str">
        <f aca="false">IF(B4096="","",IF(N4096=_xlfn.MAXIFS($N$2:$N$5001,$B$2:$B$5001,B4096,$I$2:$I$5001,I4096),1,0))</f>
        <v/>
      </c>
      <c r="M4096" s="16" t="str">
        <f aca="false">IF(B4096="","",IF(E4096="Em ajustes",IF(N4096=_xlfn.MINIFS($N$2:$N$5001,$B$2:$B$5001,B4096,$E$2:$E$5001,"Em ajustes"),1,0),0))</f>
        <v/>
      </c>
      <c r="N4096" s="17" t="str">
        <f aca="false">IF(A4096="","",IF(ISNUMBER(A4096),A4096,IFERROR(DATE(VALUE(MID(A4096,7,4)),VALUE(MID(A4096,4,2)),VALUE(MID(A4096,1,2)))+TIME(VALUE(MID(A4096,12,2)),VALUE(MID(A4096,15,2)),VALUE(MID(A4096,18,2))),"")))</f>
        <v/>
      </c>
    </row>
    <row r="4097" customFormat="false" ht="15" hidden="false" customHeight="false" outlineLevel="0" collapsed="false">
      <c r="I4097" s="15" t="str">
        <f aca="false">IF(N4097="","",INT(N4097))</f>
        <v/>
      </c>
      <c r="J4097" s="16" t="str">
        <f aca="false">IF(B4097="","",IF(N4097=_xlfn.MINIFS($N$2:$N$5001,$B$2:$B$5001,B4097),1,0))</f>
        <v/>
      </c>
      <c r="K4097" s="16" t="str">
        <f aca="false">IF(B4097="","",IF(AND(D4097="Formalização",E4097="Concluído"),IF(COUNTIFS($B$2:$B$5001,B4097,$E$2:$E$5001,"Em ajustes",$N$2:$N$5001,"&lt;"&amp;I4097)&gt;0,1,0),0))</f>
        <v/>
      </c>
      <c r="L4097" s="16" t="str">
        <f aca="false">IF(B4097="","",IF(N4097=_xlfn.MAXIFS($N$2:$N$5001,$B$2:$B$5001,B4097,$I$2:$I$5001,I4097),1,0))</f>
        <v/>
      </c>
      <c r="M4097" s="16" t="str">
        <f aca="false">IF(B4097="","",IF(E4097="Em ajustes",IF(N4097=_xlfn.MINIFS($N$2:$N$5001,$B$2:$B$5001,B4097,$E$2:$E$5001,"Em ajustes"),1,0),0))</f>
        <v/>
      </c>
      <c r="N4097" s="17" t="str">
        <f aca="false">IF(A4097="","",IF(ISNUMBER(A4097),A4097,IFERROR(DATE(VALUE(MID(A4097,7,4)),VALUE(MID(A4097,4,2)),VALUE(MID(A4097,1,2)))+TIME(VALUE(MID(A4097,12,2)),VALUE(MID(A4097,15,2)),VALUE(MID(A4097,18,2))),"")))</f>
        <v/>
      </c>
    </row>
    <row r="4098" customFormat="false" ht="15" hidden="false" customHeight="false" outlineLevel="0" collapsed="false">
      <c r="I4098" s="15" t="str">
        <f aca="false">IF(N4098="","",INT(N4098))</f>
        <v/>
      </c>
      <c r="J4098" s="16" t="str">
        <f aca="false">IF(B4098="","",IF(N4098=_xlfn.MINIFS($N$2:$N$5001,$B$2:$B$5001,B4098),1,0))</f>
        <v/>
      </c>
      <c r="K4098" s="16" t="str">
        <f aca="false">IF(B4098="","",IF(AND(D4098="Formalização",E4098="Concluído"),IF(COUNTIFS($B$2:$B$5001,B4098,$E$2:$E$5001,"Em ajustes",$N$2:$N$5001,"&lt;"&amp;I4098)&gt;0,1,0),0))</f>
        <v/>
      </c>
      <c r="L4098" s="16" t="str">
        <f aca="false">IF(B4098="","",IF(N4098=_xlfn.MAXIFS($N$2:$N$5001,$B$2:$B$5001,B4098,$I$2:$I$5001,I4098),1,0))</f>
        <v/>
      </c>
      <c r="M4098" s="16" t="str">
        <f aca="false">IF(B4098="","",IF(E4098="Em ajustes",IF(N4098=_xlfn.MINIFS($N$2:$N$5001,$B$2:$B$5001,B4098,$E$2:$E$5001,"Em ajustes"),1,0),0))</f>
        <v/>
      </c>
      <c r="N4098" s="17" t="str">
        <f aca="false">IF(A4098="","",IF(ISNUMBER(A4098),A4098,IFERROR(DATE(VALUE(MID(A4098,7,4)),VALUE(MID(A4098,4,2)),VALUE(MID(A4098,1,2)))+TIME(VALUE(MID(A4098,12,2)),VALUE(MID(A4098,15,2)),VALUE(MID(A4098,18,2))),"")))</f>
        <v/>
      </c>
    </row>
    <row r="4099" customFormat="false" ht="15" hidden="false" customHeight="false" outlineLevel="0" collapsed="false">
      <c r="I4099" s="15" t="str">
        <f aca="false">IF(N4099="","",INT(N4099))</f>
        <v/>
      </c>
      <c r="J4099" s="16" t="str">
        <f aca="false">IF(B4099="","",IF(N4099=_xlfn.MINIFS($N$2:$N$5001,$B$2:$B$5001,B4099),1,0))</f>
        <v/>
      </c>
      <c r="K4099" s="16" t="str">
        <f aca="false">IF(B4099="","",IF(AND(D4099="Formalização",E4099="Concluído"),IF(COUNTIFS($B$2:$B$5001,B4099,$E$2:$E$5001,"Em ajustes",$N$2:$N$5001,"&lt;"&amp;I4099)&gt;0,1,0),0))</f>
        <v/>
      </c>
      <c r="L4099" s="16" t="str">
        <f aca="false">IF(B4099="","",IF(N4099=_xlfn.MAXIFS($N$2:$N$5001,$B$2:$B$5001,B4099,$I$2:$I$5001,I4099),1,0))</f>
        <v/>
      </c>
      <c r="M4099" s="16" t="str">
        <f aca="false">IF(B4099="","",IF(E4099="Em ajustes",IF(N4099=_xlfn.MINIFS($N$2:$N$5001,$B$2:$B$5001,B4099,$E$2:$E$5001,"Em ajustes"),1,0),0))</f>
        <v/>
      </c>
      <c r="N4099" s="17" t="str">
        <f aca="false">IF(A4099="","",IF(ISNUMBER(A4099),A4099,IFERROR(DATE(VALUE(MID(A4099,7,4)),VALUE(MID(A4099,4,2)),VALUE(MID(A4099,1,2)))+TIME(VALUE(MID(A4099,12,2)),VALUE(MID(A4099,15,2)),VALUE(MID(A4099,18,2))),"")))</f>
        <v/>
      </c>
    </row>
    <row r="4100" customFormat="false" ht="15" hidden="false" customHeight="false" outlineLevel="0" collapsed="false">
      <c r="I4100" s="15" t="str">
        <f aca="false">IF(N4100="","",INT(N4100))</f>
        <v/>
      </c>
      <c r="J4100" s="16" t="str">
        <f aca="false">IF(B4100="","",IF(N4100=_xlfn.MINIFS($N$2:$N$5001,$B$2:$B$5001,B4100),1,0))</f>
        <v/>
      </c>
      <c r="K4100" s="16" t="str">
        <f aca="false">IF(B4100="","",IF(AND(D4100="Formalização",E4100="Concluído"),IF(COUNTIFS($B$2:$B$5001,B4100,$E$2:$E$5001,"Em ajustes",$N$2:$N$5001,"&lt;"&amp;I4100)&gt;0,1,0),0))</f>
        <v/>
      </c>
      <c r="L4100" s="16" t="str">
        <f aca="false">IF(B4100="","",IF(N4100=_xlfn.MAXIFS($N$2:$N$5001,$B$2:$B$5001,B4100,$I$2:$I$5001,I4100),1,0))</f>
        <v/>
      </c>
      <c r="M4100" s="16" t="str">
        <f aca="false">IF(B4100="","",IF(E4100="Em ajustes",IF(N4100=_xlfn.MINIFS($N$2:$N$5001,$B$2:$B$5001,B4100,$E$2:$E$5001,"Em ajustes"),1,0),0))</f>
        <v/>
      </c>
      <c r="N4100" s="17" t="str">
        <f aca="false">IF(A4100="","",IF(ISNUMBER(A4100),A4100,IFERROR(DATE(VALUE(MID(A4100,7,4)),VALUE(MID(A4100,4,2)),VALUE(MID(A4100,1,2)))+TIME(VALUE(MID(A4100,12,2)),VALUE(MID(A4100,15,2)),VALUE(MID(A4100,18,2))),"")))</f>
        <v/>
      </c>
    </row>
    <row r="4101" customFormat="false" ht="15" hidden="false" customHeight="false" outlineLevel="0" collapsed="false">
      <c r="I4101" s="15" t="str">
        <f aca="false">IF(N4101="","",INT(N4101))</f>
        <v/>
      </c>
      <c r="J4101" s="16" t="str">
        <f aca="false">IF(B4101="","",IF(N4101=_xlfn.MINIFS($N$2:$N$5001,$B$2:$B$5001,B4101),1,0))</f>
        <v/>
      </c>
      <c r="K4101" s="16" t="str">
        <f aca="false">IF(B4101="","",IF(AND(D4101="Formalização",E4101="Concluído"),IF(COUNTIFS($B$2:$B$5001,B4101,$E$2:$E$5001,"Em ajustes",$N$2:$N$5001,"&lt;"&amp;I4101)&gt;0,1,0),0))</f>
        <v/>
      </c>
      <c r="L4101" s="16" t="str">
        <f aca="false">IF(B4101="","",IF(N4101=_xlfn.MAXIFS($N$2:$N$5001,$B$2:$B$5001,B4101,$I$2:$I$5001,I4101),1,0))</f>
        <v/>
      </c>
      <c r="M4101" s="16" t="str">
        <f aca="false">IF(B4101="","",IF(E4101="Em ajustes",IF(N4101=_xlfn.MINIFS($N$2:$N$5001,$B$2:$B$5001,B4101,$E$2:$E$5001,"Em ajustes"),1,0),0))</f>
        <v/>
      </c>
      <c r="N4101" s="17" t="str">
        <f aca="false">IF(A4101="","",IF(ISNUMBER(A4101),A4101,IFERROR(DATE(VALUE(MID(A4101,7,4)),VALUE(MID(A4101,4,2)),VALUE(MID(A4101,1,2)))+TIME(VALUE(MID(A4101,12,2)),VALUE(MID(A4101,15,2)),VALUE(MID(A4101,18,2))),"")))</f>
        <v/>
      </c>
    </row>
    <row r="4102" customFormat="false" ht="15" hidden="false" customHeight="false" outlineLevel="0" collapsed="false">
      <c r="I4102" s="15" t="str">
        <f aca="false">IF(N4102="","",INT(N4102))</f>
        <v/>
      </c>
      <c r="J4102" s="16" t="str">
        <f aca="false">IF(B4102="","",IF(N4102=_xlfn.MINIFS($N$2:$N$5001,$B$2:$B$5001,B4102),1,0))</f>
        <v/>
      </c>
      <c r="K4102" s="16" t="str">
        <f aca="false">IF(B4102="","",IF(AND(D4102="Formalização",E4102="Concluído"),IF(COUNTIFS($B$2:$B$5001,B4102,$E$2:$E$5001,"Em ajustes",$N$2:$N$5001,"&lt;"&amp;I4102)&gt;0,1,0),0))</f>
        <v/>
      </c>
      <c r="L4102" s="16" t="str">
        <f aca="false">IF(B4102="","",IF(N4102=_xlfn.MAXIFS($N$2:$N$5001,$B$2:$B$5001,B4102,$I$2:$I$5001,I4102),1,0))</f>
        <v/>
      </c>
      <c r="M4102" s="16" t="str">
        <f aca="false">IF(B4102="","",IF(E4102="Em ajustes",IF(N4102=_xlfn.MINIFS($N$2:$N$5001,$B$2:$B$5001,B4102,$E$2:$E$5001,"Em ajustes"),1,0),0))</f>
        <v/>
      </c>
      <c r="N4102" s="17" t="str">
        <f aca="false">IF(A4102="","",IF(ISNUMBER(A4102),A4102,IFERROR(DATE(VALUE(MID(A4102,7,4)),VALUE(MID(A4102,4,2)),VALUE(MID(A4102,1,2)))+TIME(VALUE(MID(A4102,12,2)),VALUE(MID(A4102,15,2)),VALUE(MID(A4102,18,2))),"")))</f>
        <v/>
      </c>
    </row>
    <row r="4103" customFormat="false" ht="15" hidden="false" customHeight="false" outlineLevel="0" collapsed="false">
      <c r="I4103" s="15" t="str">
        <f aca="false">IF(N4103="","",INT(N4103))</f>
        <v/>
      </c>
      <c r="J4103" s="16" t="str">
        <f aca="false">IF(B4103="","",IF(N4103=_xlfn.MINIFS($N$2:$N$5001,$B$2:$B$5001,B4103),1,0))</f>
        <v/>
      </c>
      <c r="K4103" s="16" t="str">
        <f aca="false">IF(B4103="","",IF(AND(D4103="Formalização",E4103="Concluído"),IF(COUNTIFS($B$2:$B$5001,B4103,$E$2:$E$5001,"Em ajustes",$N$2:$N$5001,"&lt;"&amp;I4103)&gt;0,1,0),0))</f>
        <v/>
      </c>
      <c r="L4103" s="16" t="str">
        <f aca="false">IF(B4103="","",IF(N4103=_xlfn.MAXIFS($N$2:$N$5001,$B$2:$B$5001,B4103,$I$2:$I$5001,I4103),1,0))</f>
        <v/>
      </c>
      <c r="M4103" s="16" t="str">
        <f aca="false">IF(B4103="","",IF(E4103="Em ajustes",IF(N4103=_xlfn.MINIFS($N$2:$N$5001,$B$2:$B$5001,B4103,$E$2:$E$5001,"Em ajustes"),1,0),0))</f>
        <v/>
      </c>
      <c r="N4103" s="17" t="str">
        <f aca="false">IF(A4103="","",IF(ISNUMBER(A4103),A4103,IFERROR(DATE(VALUE(MID(A4103,7,4)),VALUE(MID(A4103,4,2)),VALUE(MID(A4103,1,2)))+TIME(VALUE(MID(A4103,12,2)),VALUE(MID(A4103,15,2)),VALUE(MID(A4103,18,2))),"")))</f>
        <v/>
      </c>
    </row>
    <row r="4104" customFormat="false" ht="15" hidden="false" customHeight="false" outlineLevel="0" collapsed="false">
      <c r="I4104" s="15" t="str">
        <f aca="false">IF(N4104="","",INT(N4104))</f>
        <v/>
      </c>
      <c r="J4104" s="16" t="str">
        <f aca="false">IF(B4104="","",IF(N4104=_xlfn.MINIFS($N$2:$N$5001,$B$2:$B$5001,B4104),1,0))</f>
        <v/>
      </c>
      <c r="K4104" s="16" t="str">
        <f aca="false">IF(B4104="","",IF(AND(D4104="Formalização",E4104="Concluído"),IF(COUNTIFS($B$2:$B$5001,B4104,$E$2:$E$5001,"Em ajustes",$N$2:$N$5001,"&lt;"&amp;I4104)&gt;0,1,0),0))</f>
        <v/>
      </c>
      <c r="L4104" s="16" t="str">
        <f aca="false">IF(B4104="","",IF(N4104=_xlfn.MAXIFS($N$2:$N$5001,$B$2:$B$5001,B4104,$I$2:$I$5001,I4104),1,0))</f>
        <v/>
      </c>
      <c r="M4104" s="16" t="str">
        <f aca="false">IF(B4104="","",IF(E4104="Em ajustes",IF(N4104=_xlfn.MINIFS($N$2:$N$5001,$B$2:$B$5001,B4104,$E$2:$E$5001,"Em ajustes"),1,0),0))</f>
        <v/>
      </c>
      <c r="N4104" s="17" t="str">
        <f aca="false">IF(A4104="","",IF(ISNUMBER(A4104),A4104,IFERROR(DATE(VALUE(MID(A4104,7,4)),VALUE(MID(A4104,4,2)),VALUE(MID(A4104,1,2)))+TIME(VALUE(MID(A4104,12,2)),VALUE(MID(A4104,15,2)),VALUE(MID(A4104,18,2))),"")))</f>
        <v/>
      </c>
    </row>
    <row r="4105" customFormat="false" ht="15" hidden="false" customHeight="false" outlineLevel="0" collapsed="false">
      <c r="I4105" s="15" t="str">
        <f aca="false">IF(N4105="","",INT(N4105))</f>
        <v/>
      </c>
      <c r="J4105" s="16" t="str">
        <f aca="false">IF(B4105="","",IF(N4105=_xlfn.MINIFS($N$2:$N$5001,$B$2:$B$5001,B4105),1,0))</f>
        <v/>
      </c>
      <c r="K4105" s="16" t="str">
        <f aca="false">IF(B4105="","",IF(AND(D4105="Formalização",E4105="Concluído"),IF(COUNTIFS($B$2:$B$5001,B4105,$E$2:$E$5001,"Em ajustes",$N$2:$N$5001,"&lt;"&amp;I4105)&gt;0,1,0),0))</f>
        <v/>
      </c>
      <c r="L4105" s="16" t="str">
        <f aca="false">IF(B4105="","",IF(N4105=_xlfn.MAXIFS($N$2:$N$5001,$B$2:$B$5001,B4105,$I$2:$I$5001,I4105),1,0))</f>
        <v/>
      </c>
      <c r="M4105" s="16" t="str">
        <f aca="false">IF(B4105="","",IF(E4105="Em ajustes",IF(N4105=_xlfn.MINIFS($N$2:$N$5001,$B$2:$B$5001,B4105,$E$2:$E$5001,"Em ajustes"),1,0),0))</f>
        <v/>
      </c>
      <c r="N4105" s="17" t="str">
        <f aca="false">IF(A4105="","",IF(ISNUMBER(A4105),A4105,IFERROR(DATE(VALUE(MID(A4105,7,4)),VALUE(MID(A4105,4,2)),VALUE(MID(A4105,1,2)))+TIME(VALUE(MID(A4105,12,2)),VALUE(MID(A4105,15,2)),VALUE(MID(A4105,18,2))),"")))</f>
        <v/>
      </c>
    </row>
    <row r="4106" customFormat="false" ht="15" hidden="false" customHeight="false" outlineLevel="0" collapsed="false">
      <c r="I4106" s="15" t="str">
        <f aca="false">IF(N4106="","",INT(N4106))</f>
        <v/>
      </c>
      <c r="J4106" s="16" t="str">
        <f aca="false">IF(B4106="","",IF(N4106=_xlfn.MINIFS($N$2:$N$5001,$B$2:$B$5001,B4106),1,0))</f>
        <v/>
      </c>
      <c r="K4106" s="16" t="str">
        <f aca="false">IF(B4106="","",IF(AND(D4106="Formalização",E4106="Concluído"),IF(COUNTIFS($B$2:$B$5001,B4106,$E$2:$E$5001,"Em ajustes",$N$2:$N$5001,"&lt;"&amp;I4106)&gt;0,1,0),0))</f>
        <v/>
      </c>
      <c r="L4106" s="16" t="str">
        <f aca="false">IF(B4106="","",IF(N4106=_xlfn.MAXIFS($N$2:$N$5001,$B$2:$B$5001,B4106,$I$2:$I$5001,I4106),1,0))</f>
        <v/>
      </c>
      <c r="M4106" s="16" t="str">
        <f aca="false">IF(B4106="","",IF(E4106="Em ajustes",IF(N4106=_xlfn.MINIFS($N$2:$N$5001,$B$2:$B$5001,B4106,$E$2:$E$5001,"Em ajustes"),1,0),0))</f>
        <v/>
      </c>
      <c r="N4106" s="17" t="str">
        <f aca="false">IF(A4106="","",IF(ISNUMBER(A4106),A4106,IFERROR(DATE(VALUE(MID(A4106,7,4)),VALUE(MID(A4106,4,2)),VALUE(MID(A4106,1,2)))+TIME(VALUE(MID(A4106,12,2)),VALUE(MID(A4106,15,2)),VALUE(MID(A4106,18,2))),"")))</f>
        <v/>
      </c>
    </row>
    <row r="4107" customFormat="false" ht="15" hidden="false" customHeight="false" outlineLevel="0" collapsed="false">
      <c r="I4107" s="15" t="str">
        <f aca="false">IF(N4107="","",INT(N4107))</f>
        <v/>
      </c>
      <c r="J4107" s="16" t="str">
        <f aca="false">IF(B4107="","",IF(N4107=_xlfn.MINIFS($N$2:$N$5001,$B$2:$B$5001,B4107),1,0))</f>
        <v/>
      </c>
      <c r="K4107" s="16" t="str">
        <f aca="false">IF(B4107="","",IF(AND(D4107="Formalização",E4107="Concluído"),IF(COUNTIFS($B$2:$B$5001,B4107,$E$2:$E$5001,"Em ajustes",$N$2:$N$5001,"&lt;"&amp;I4107)&gt;0,1,0),0))</f>
        <v/>
      </c>
      <c r="L4107" s="16" t="str">
        <f aca="false">IF(B4107="","",IF(N4107=_xlfn.MAXIFS($N$2:$N$5001,$B$2:$B$5001,B4107,$I$2:$I$5001,I4107),1,0))</f>
        <v/>
      </c>
      <c r="M4107" s="16" t="str">
        <f aca="false">IF(B4107="","",IF(E4107="Em ajustes",IF(N4107=_xlfn.MINIFS($N$2:$N$5001,$B$2:$B$5001,B4107,$E$2:$E$5001,"Em ajustes"),1,0),0))</f>
        <v/>
      </c>
      <c r="N4107" s="17" t="str">
        <f aca="false">IF(A4107="","",IF(ISNUMBER(A4107),A4107,IFERROR(DATE(VALUE(MID(A4107,7,4)),VALUE(MID(A4107,4,2)),VALUE(MID(A4107,1,2)))+TIME(VALUE(MID(A4107,12,2)),VALUE(MID(A4107,15,2)),VALUE(MID(A4107,18,2))),"")))</f>
        <v/>
      </c>
    </row>
    <row r="4108" customFormat="false" ht="15" hidden="false" customHeight="false" outlineLevel="0" collapsed="false">
      <c r="I4108" s="15" t="str">
        <f aca="false">IF(N4108="","",INT(N4108))</f>
        <v/>
      </c>
      <c r="J4108" s="16" t="str">
        <f aca="false">IF(B4108="","",IF(N4108=_xlfn.MINIFS($N$2:$N$5001,$B$2:$B$5001,B4108),1,0))</f>
        <v/>
      </c>
      <c r="K4108" s="16" t="str">
        <f aca="false">IF(B4108="","",IF(AND(D4108="Formalização",E4108="Concluído"),IF(COUNTIFS($B$2:$B$5001,B4108,$E$2:$E$5001,"Em ajustes",$N$2:$N$5001,"&lt;"&amp;I4108)&gt;0,1,0),0))</f>
        <v/>
      </c>
      <c r="L4108" s="16" t="str">
        <f aca="false">IF(B4108="","",IF(N4108=_xlfn.MAXIFS($N$2:$N$5001,$B$2:$B$5001,B4108,$I$2:$I$5001,I4108),1,0))</f>
        <v/>
      </c>
      <c r="M4108" s="16" t="str">
        <f aca="false">IF(B4108="","",IF(E4108="Em ajustes",IF(N4108=_xlfn.MINIFS($N$2:$N$5001,$B$2:$B$5001,B4108,$E$2:$E$5001,"Em ajustes"),1,0),0))</f>
        <v/>
      </c>
      <c r="N4108" s="17" t="str">
        <f aca="false">IF(A4108="","",IF(ISNUMBER(A4108),A4108,IFERROR(DATE(VALUE(MID(A4108,7,4)),VALUE(MID(A4108,4,2)),VALUE(MID(A4108,1,2)))+TIME(VALUE(MID(A4108,12,2)),VALUE(MID(A4108,15,2)),VALUE(MID(A4108,18,2))),"")))</f>
        <v/>
      </c>
    </row>
    <row r="4109" customFormat="false" ht="15" hidden="false" customHeight="false" outlineLevel="0" collapsed="false">
      <c r="I4109" s="15" t="str">
        <f aca="false">IF(N4109="","",INT(N4109))</f>
        <v/>
      </c>
      <c r="J4109" s="16" t="str">
        <f aca="false">IF(B4109="","",IF(N4109=_xlfn.MINIFS($N$2:$N$5001,$B$2:$B$5001,B4109),1,0))</f>
        <v/>
      </c>
      <c r="K4109" s="16" t="str">
        <f aca="false">IF(B4109="","",IF(AND(D4109="Formalização",E4109="Concluído"),IF(COUNTIFS($B$2:$B$5001,B4109,$E$2:$E$5001,"Em ajustes",$N$2:$N$5001,"&lt;"&amp;I4109)&gt;0,1,0),0))</f>
        <v/>
      </c>
      <c r="L4109" s="16" t="str">
        <f aca="false">IF(B4109="","",IF(N4109=_xlfn.MAXIFS($N$2:$N$5001,$B$2:$B$5001,B4109,$I$2:$I$5001,I4109),1,0))</f>
        <v/>
      </c>
      <c r="M4109" s="16" t="str">
        <f aca="false">IF(B4109="","",IF(E4109="Em ajustes",IF(N4109=_xlfn.MINIFS($N$2:$N$5001,$B$2:$B$5001,B4109,$E$2:$E$5001,"Em ajustes"),1,0),0))</f>
        <v/>
      </c>
      <c r="N4109" s="17" t="str">
        <f aca="false">IF(A4109="","",IF(ISNUMBER(A4109),A4109,IFERROR(DATE(VALUE(MID(A4109,7,4)),VALUE(MID(A4109,4,2)),VALUE(MID(A4109,1,2)))+TIME(VALUE(MID(A4109,12,2)),VALUE(MID(A4109,15,2)),VALUE(MID(A4109,18,2))),"")))</f>
        <v/>
      </c>
    </row>
    <row r="4110" customFormat="false" ht="15" hidden="false" customHeight="false" outlineLevel="0" collapsed="false">
      <c r="I4110" s="15" t="str">
        <f aca="false">IF(N4110="","",INT(N4110))</f>
        <v/>
      </c>
      <c r="J4110" s="16" t="str">
        <f aca="false">IF(B4110="","",IF(N4110=_xlfn.MINIFS($N$2:$N$5001,$B$2:$B$5001,B4110),1,0))</f>
        <v/>
      </c>
      <c r="K4110" s="16" t="str">
        <f aca="false">IF(B4110="","",IF(AND(D4110="Formalização",E4110="Concluído"),IF(COUNTIFS($B$2:$B$5001,B4110,$E$2:$E$5001,"Em ajustes",$N$2:$N$5001,"&lt;"&amp;I4110)&gt;0,1,0),0))</f>
        <v/>
      </c>
      <c r="L4110" s="16" t="str">
        <f aca="false">IF(B4110="","",IF(N4110=_xlfn.MAXIFS($N$2:$N$5001,$B$2:$B$5001,B4110,$I$2:$I$5001,I4110),1,0))</f>
        <v/>
      </c>
      <c r="M4110" s="16" t="str">
        <f aca="false">IF(B4110="","",IF(E4110="Em ajustes",IF(N4110=_xlfn.MINIFS($N$2:$N$5001,$B$2:$B$5001,B4110,$E$2:$E$5001,"Em ajustes"),1,0),0))</f>
        <v/>
      </c>
      <c r="N4110" s="17" t="str">
        <f aca="false">IF(A4110="","",IF(ISNUMBER(A4110),A4110,IFERROR(DATE(VALUE(MID(A4110,7,4)),VALUE(MID(A4110,4,2)),VALUE(MID(A4110,1,2)))+TIME(VALUE(MID(A4110,12,2)),VALUE(MID(A4110,15,2)),VALUE(MID(A4110,18,2))),"")))</f>
        <v/>
      </c>
    </row>
    <row r="4111" customFormat="false" ht="15" hidden="false" customHeight="false" outlineLevel="0" collapsed="false">
      <c r="I4111" s="15" t="str">
        <f aca="false">IF(N4111="","",INT(N4111))</f>
        <v/>
      </c>
      <c r="J4111" s="16" t="str">
        <f aca="false">IF(B4111="","",IF(N4111=_xlfn.MINIFS($N$2:$N$5001,$B$2:$B$5001,B4111),1,0))</f>
        <v/>
      </c>
      <c r="K4111" s="16" t="str">
        <f aca="false">IF(B4111="","",IF(AND(D4111="Formalização",E4111="Concluído"),IF(COUNTIFS($B$2:$B$5001,B4111,$E$2:$E$5001,"Em ajustes",$N$2:$N$5001,"&lt;"&amp;I4111)&gt;0,1,0),0))</f>
        <v/>
      </c>
      <c r="L4111" s="16" t="str">
        <f aca="false">IF(B4111="","",IF(N4111=_xlfn.MAXIFS($N$2:$N$5001,$B$2:$B$5001,B4111,$I$2:$I$5001,I4111),1,0))</f>
        <v/>
      </c>
      <c r="M4111" s="16" t="str">
        <f aca="false">IF(B4111="","",IF(E4111="Em ajustes",IF(N4111=_xlfn.MINIFS($N$2:$N$5001,$B$2:$B$5001,B4111,$E$2:$E$5001,"Em ajustes"),1,0),0))</f>
        <v/>
      </c>
      <c r="N4111" s="17" t="str">
        <f aca="false">IF(A4111="","",IF(ISNUMBER(A4111),A4111,IFERROR(DATE(VALUE(MID(A4111,7,4)),VALUE(MID(A4111,4,2)),VALUE(MID(A4111,1,2)))+TIME(VALUE(MID(A4111,12,2)),VALUE(MID(A4111,15,2)),VALUE(MID(A4111,18,2))),"")))</f>
        <v/>
      </c>
    </row>
    <row r="4112" customFormat="false" ht="15" hidden="false" customHeight="false" outlineLevel="0" collapsed="false">
      <c r="I4112" s="15" t="str">
        <f aca="false">IF(N4112="","",INT(N4112))</f>
        <v/>
      </c>
      <c r="J4112" s="16" t="str">
        <f aca="false">IF(B4112="","",IF(N4112=_xlfn.MINIFS($N$2:$N$5001,$B$2:$B$5001,B4112),1,0))</f>
        <v/>
      </c>
      <c r="K4112" s="16" t="str">
        <f aca="false">IF(B4112="","",IF(AND(D4112="Formalização",E4112="Concluído"),IF(COUNTIFS($B$2:$B$5001,B4112,$E$2:$E$5001,"Em ajustes",$N$2:$N$5001,"&lt;"&amp;I4112)&gt;0,1,0),0))</f>
        <v/>
      </c>
      <c r="L4112" s="16" t="str">
        <f aca="false">IF(B4112="","",IF(N4112=_xlfn.MAXIFS($N$2:$N$5001,$B$2:$B$5001,B4112,$I$2:$I$5001,I4112),1,0))</f>
        <v/>
      </c>
      <c r="M4112" s="16" t="str">
        <f aca="false">IF(B4112="","",IF(E4112="Em ajustes",IF(N4112=_xlfn.MINIFS($N$2:$N$5001,$B$2:$B$5001,B4112,$E$2:$E$5001,"Em ajustes"),1,0),0))</f>
        <v/>
      </c>
      <c r="N4112" s="17" t="str">
        <f aca="false">IF(A4112="","",IF(ISNUMBER(A4112),A4112,IFERROR(DATE(VALUE(MID(A4112,7,4)),VALUE(MID(A4112,4,2)),VALUE(MID(A4112,1,2)))+TIME(VALUE(MID(A4112,12,2)),VALUE(MID(A4112,15,2)),VALUE(MID(A4112,18,2))),"")))</f>
        <v/>
      </c>
    </row>
    <row r="4113" customFormat="false" ht="15" hidden="false" customHeight="false" outlineLevel="0" collapsed="false">
      <c r="I4113" s="15" t="str">
        <f aca="false">IF(N4113="","",INT(N4113))</f>
        <v/>
      </c>
      <c r="J4113" s="16" t="str">
        <f aca="false">IF(B4113="","",IF(N4113=_xlfn.MINIFS($N$2:$N$5001,$B$2:$B$5001,B4113),1,0))</f>
        <v/>
      </c>
      <c r="K4113" s="16" t="str">
        <f aca="false">IF(B4113="","",IF(AND(D4113="Formalização",E4113="Concluído"),IF(COUNTIFS($B$2:$B$5001,B4113,$E$2:$E$5001,"Em ajustes",$N$2:$N$5001,"&lt;"&amp;I4113)&gt;0,1,0),0))</f>
        <v/>
      </c>
      <c r="L4113" s="16" t="str">
        <f aca="false">IF(B4113="","",IF(N4113=_xlfn.MAXIFS($N$2:$N$5001,$B$2:$B$5001,B4113,$I$2:$I$5001,I4113),1,0))</f>
        <v/>
      </c>
      <c r="M4113" s="16" t="str">
        <f aca="false">IF(B4113="","",IF(E4113="Em ajustes",IF(N4113=_xlfn.MINIFS($N$2:$N$5001,$B$2:$B$5001,B4113,$E$2:$E$5001,"Em ajustes"),1,0),0))</f>
        <v/>
      </c>
      <c r="N4113" s="17" t="str">
        <f aca="false">IF(A4113="","",IF(ISNUMBER(A4113),A4113,IFERROR(DATE(VALUE(MID(A4113,7,4)),VALUE(MID(A4113,4,2)),VALUE(MID(A4113,1,2)))+TIME(VALUE(MID(A4113,12,2)),VALUE(MID(A4113,15,2)),VALUE(MID(A4113,18,2))),"")))</f>
        <v/>
      </c>
    </row>
    <row r="4114" customFormat="false" ht="15" hidden="false" customHeight="false" outlineLevel="0" collapsed="false">
      <c r="I4114" s="15" t="str">
        <f aca="false">IF(N4114="","",INT(N4114))</f>
        <v/>
      </c>
      <c r="J4114" s="16" t="str">
        <f aca="false">IF(B4114="","",IF(N4114=_xlfn.MINIFS($N$2:$N$5001,$B$2:$B$5001,B4114),1,0))</f>
        <v/>
      </c>
      <c r="K4114" s="16" t="str">
        <f aca="false">IF(B4114="","",IF(AND(D4114="Formalização",E4114="Concluído"),IF(COUNTIFS($B$2:$B$5001,B4114,$E$2:$E$5001,"Em ajustes",$N$2:$N$5001,"&lt;"&amp;I4114)&gt;0,1,0),0))</f>
        <v/>
      </c>
      <c r="L4114" s="16" t="str">
        <f aca="false">IF(B4114="","",IF(N4114=_xlfn.MAXIFS($N$2:$N$5001,$B$2:$B$5001,B4114,$I$2:$I$5001,I4114),1,0))</f>
        <v/>
      </c>
      <c r="M4114" s="16" t="str">
        <f aca="false">IF(B4114="","",IF(E4114="Em ajustes",IF(N4114=_xlfn.MINIFS($N$2:$N$5001,$B$2:$B$5001,B4114,$E$2:$E$5001,"Em ajustes"),1,0),0))</f>
        <v/>
      </c>
      <c r="N4114" s="17" t="str">
        <f aca="false">IF(A4114="","",IF(ISNUMBER(A4114),A4114,IFERROR(DATE(VALUE(MID(A4114,7,4)),VALUE(MID(A4114,4,2)),VALUE(MID(A4114,1,2)))+TIME(VALUE(MID(A4114,12,2)),VALUE(MID(A4114,15,2)),VALUE(MID(A4114,18,2))),"")))</f>
        <v/>
      </c>
    </row>
    <row r="4115" customFormat="false" ht="15" hidden="false" customHeight="false" outlineLevel="0" collapsed="false">
      <c r="I4115" s="15" t="str">
        <f aca="false">IF(N4115="","",INT(N4115))</f>
        <v/>
      </c>
      <c r="J4115" s="16" t="str">
        <f aca="false">IF(B4115="","",IF(N4115=_xlfn.MINIFS($N$2:$N$5001,$B$2:$B$5001,B4115),1,0))</f>
        <v/>
      </c>
      <c r="K4115" s="16" t="str">
        <f aca="false">IF(B4115="","",IF(AND(D4115="Formalização",E4115="Concluído"),IF(COUNTIFS($B$2:$B$5001,B4115,$E$2:$E$5001,"Em ajustes",$N$2:$N$5001,"&lt;"&amp;I4115)&gt;0,1,0),0))</f>
        <v/>
      </c>
      <c r="L4115" s="16" t="str">
        <f aca="false">IF(B4115="","",IF(N4115=_xlfn.MAXIFS($N$2:$N$5001,$B$2:$B$5001,B4115,$I$2:$I$5001,I4115),1,0))</f>
        <v/>
      </c>
      <c r="M4115" s="16" t="str">
        <f aca="false">IF(B4115="","",IF(E4115="Em ajustes",IF(N4115=_xlfn.MINIFS($N$2:$N$5001,$B$2:$B$5001,B4115,$E$2:$E$5001,"Em ajustes"),1,0),0))</f>
        <v/>
      </c>
      <c r="N4115" s="17" t="str">
        <f aca="false">IF(A4115="","",IF(ISNUMBER(A4115),A4115,IFERROR(DATE(VALUE(MID(A4115,7,4)),VALUE(MID(A4115,4,2)),VALUE(MID(A4115,1,2)))+TIME(VALUE(MID(A4115,12,2)),VALUE(MID(A4115,15,2)),VALUE(MID(A4115,18,2))),"")))</f>
        <v/>
      </c>
    </row>
    <row r="4116" customFormat="false" ht="15" hidden="false" customHeight="false" outlineLevel="0" collapsed="false">
      <c r="I4116" s="15" t="str">
        <f aca="false">IF(N4116="","",INT(N4116))</f>
        <v/>
      </c>
      <c r="J4116" s="16" t="str">
        <f aca="false">IF(B4116="","",IF(N4116=_xlfn.MINIFS($N$2:$N$5001,$B$2:$B$5001,B4116),1,0))</f>
        <v/>
      </c>
      <c r="K4116" s="16" t="str">
        <f aca="false">IF(B4116="","",IF(AND(D4116="Formalização",E4116="Concluído"),IF(COUNTIFS($B$2:$B$5001,B4116,$E$2:$E$5001,"Em ajustes",$N$2:$N$5001,"&lt;"&amp;I4116)&gt;0,1,0),0))</f>
        <v/>
      </c>
      <c r="L4116" s="16" t="str">
        <f aca="false">IF(B4116="","",IF(N4116=_xlfn.MAXIFS($N$2:$N$5001,$B$2:$B$5001,B4116,$I$2:$I$5001,I4116),1,0))</f>
        <v/>
      </c>
      <c r="M4116" s="16" t="str">
        <f aca="false">IF(B4116="","",IF(E4116="Em ajustes",IF(N4116=_xlfn.MINIFS($N$2:$N$5001,$B$2:$B$5001,B4116,$E$2:$E$5001,"Em ajustes"),1,0),0))</f>
        <v/>
      </c>
      <c r="N4116" s="17" t="str">
        <f aca="false">IF(A4116="","",IF(ISNUMBER(A4116),A4116,IFERROR(DATE(VALUE(MID(A4116,7,4)),VALUE(MID(A4116,4,2)),VALUE(MID(A4116,1,2)))+TIME(VALUE(MID(A4116,12,2)),VALUE(MID(A4116,15,2)),VALUE(MID(A4116,18,2))),"")))</f>
        <v/>
      </c>
    </row>
    <row r="4117" customFormat="false" ht="15" hidden="false" customHeight="false" outlineLevel="0" collapsed="false">
      <c r="I4117" s="15" t="str">
        <f aca="false">IF(N4117="","",INT(N4117))</f>
        <v/>
      </c>
      <c r="J4117" s="16" t="str">
        <f aca="false">IF(B4117="","",IF(N4117=_xlfn.MINIFS($N$2:$N$5001,$B$2:$B$5001,B4117),1,0))</f>
        <v/>
      </c>
      <c r="K4117" s="16" t="str">
        <f aca="false">IF(B4117="","",IF(AND(D4117="Formalização",E4117="Concluído"),IF(COUNTIFS($B$2:$B$5001,B4117,$E$2:$E$5001,"Em ajustes",$N$2:$N$5001,"&lt;"&amp;I4117)&gt;0,1,0),0))</f>
        <v/>
      </c>
      <c r="L4117" s="16" t="str">
        <f aca="false">IF(B4117="","",IF(N4117=_xlfn.MAXIFS($N$2:$N$5001,$B$2:$B$5001,B4117,$I$2:$I$5001,I4117),1,0))</f>
        <v/>
      </c>
      <c r="M4117" s="16" t="str">
        <f aca="false">IF(B4117="","",IF(E4117="Em ajustes",IF(N4117=_xlfn.MINIFS($N$2:$N$5001,$B$2:$B$5001,B4117,$E$2:$E$5001,"Em ajustes"),1,0),0))</f>
        <v/>
      </c>
      <c r="N4117" s="17" t="str">
        <f aca="false">IF(A4117="","",IF(ISNUMBER(A4117),A4117,IFERROR(DATE(VALUE(MID(A4117,7,4)),VALUE(MID(A4117,4,2)),VALUE(MID(A4117,1,2)))+TIME(VALUE(MID(A4117,12,2)),VALUE(MID(A4117,15,2)),VALUE(MID(A4117,18,2))),"")))</f>
        <v/>
      </c>
    </row>
    <row r="4118" customFormat="false" ht="15" hidden="false" customHeight="false" outlineLevel="0" collapsed="false">
      <c r="I4118" s="15" t="str">
        <f aca="false">IF(N4118="","",INT(N4118))</f>
        <v/>
      </c>
      <c r="J4118" s="16" t="str">
        <f aca="false">IF(B4118="","",IF(N4118=_xlfn.MINIFS($N$2:$N$5001,$B$2:$B$5001,B4118),1,0))</f>
        <v/>
      </c>
      <c r="K4118" s="16" t="str">
        <f aca="false">IF(B4118="","",IF(AND(D4118="Formalização",E4118="Concluído"),IF(COUNTIFS($B$2:$B$5001,B4118,$E$2:$E$5001,"Em ajustes",$N$2:$N$5001,"&lt;"&amp;I4118)&gt;0,1,0),0))</f>
        <v/>
      </c>
      <c r="L4118" s="16" t="str">
        <f aca="false">IF(B4118="","",IF(N4118=_xlfn.MAXIFS($N$2:$N$5001,$B$2:$B$5001,B4118,$I$2:$I$5001,I4118),1,0))</f>
        <v/>
      </c>
      <c r="M4118" s="16" t="str">
        <f aca="false">IF(B4118="","",IF(E4118="Em ajustes",IF(N4118=_xlfn.MINIFS($N$2:$N$5001,$B$2:$B$5001,B4118,$E$2:$E$5001,"Em ajustes"),1,0),0))</f>
        <v/>
      </c>
      <c r="N4118" s="17" t="str">
        <f aca="false">IF(A4118="","",IF(ISNUMBER(A4118),A4118,IFERROR(DATE(VALUE(MID(A4118,7,4)),VALUE(MID(A4118,4,2)),VALUE(MID(A4118,1,2)))+TIME(VALUE(MID(A4118,12,2)),VALUE(MID(A4118,15,2)),VALUE(MID(A4118,18,2))),"")))</f>
        <v/>
      </c>
    </row>
    <row r="4119" customFormat="false" ht="15" hidden="false" customHeight="false" outlineLevel="0" collapsed="false">
      <c r="I4119" s="15" t="str">
        <f aca="false">IF(N4119="","",INT(N4119))</f>
        <v/>
      </c>
      <c r="J4119" s="16" t="str">
        <f aca="false">IF(B4119="","",IF(N4119=_xlfn.MINIFS($N$2:$N$5001,$B$2:$B$5001,B4119),1,0))</f>
        <v/>
      </c>
      <c r="K4119" s="16" t="str">
        <f aca="false">IF(B4119="","",IF(AND(D4119="Formalização",E4119="Concluído"),IF(COUNTIFS($B$2:$B$5001,B4119,$E$2:$E$5001,"Em ajustes",$N$2:$N$5001,"&lt;"&amp;I4119)&gt;0,1,0),0))</f>
        <v/>
      </c>
      <c r="L4119" s="16" t="str">
        <f aca="false">IF(B4119="","",IF(N4119=_xlfn.MAXIFS($N$2:$N$5001,$B$2:$B$5001,B4119,$I$2:$I$5001,I4119),1,0))</f>
        <v/>
      </c>
      <c r="M4119" s="16" t="str">
        <f aca="false">IF(B4119="","",IF(E4119="Em ajustes",IF(N4119=_xlfn.MINIFS($N$2:$N$5001,$B$2:$B$5001,B4119,$E$2:$E$5001,"Em ajustes"),1,0),0))</f>
        <v/>
      </c>
      <c r="N4119" s="17" t="str">
        <f aca="false">IF(A4119="","",IF(ISNUMBER(A4119),A4119,IFERROR(DATE(VALUE(MID(A4119,7,4)),VALUE(MID(A4119,4,2)),VALUE(MID(A4119,1,2)))+TIME(VALUE(MID(A4119,12,2)),VALUE(MID(A4119,15,2)),VALUE(MID(A4119,18,2))),"")))</f>
        <v/>
      </c>
    </row>
    <row r="4120" customFormat="false" ht="15" hidden="false" customHeight="false" outlineLevel="0" collapsed="false">
      <c r="I4120" s="15" t="str">
        <f aca="false">IF(N4120="","",INT(N4120))</f>
        <v/>
      </c>
      <c r="J4120" s="16" t="str">
        <f aca="false">IF(B4120="","",IF(N4120=_xlfn.MINIFS($N$2:$N$5001,$B$2:$B$5001,B4120),1,0))</f>
        <v/>
      </c>
      <c r="K4120" s="16" t="str">
        <f aca="false">IF(B4120="","",IF(AND(D4120="Formalização",E4120="Concluído"),IF(COUNTIFS($B$2:$B$5001,B4120,$E$2:$E$5001,"Em ajustes",$N$2:$N$5001,"&lt;"&amp;I4120)&gt;0,1,0),0))</f>
        <v/>
      </c>
      <c r="L4120" s="16" t="str">
        <f aca="false">IF(B4120="","",IF(N4120=_xlfn.MAXIFS($N$2:$N$5001,$B$2:$B$5001,B4120,$I$2:$I$5001,I4120),1,0))</f>
        <v/>
      </c>
      <c r="M4120" s="16" t="str">
        <f aca="false">IF(B4120="","",IF(E4120="Em ajustes",IF(N4120=_xlfn.MINIFS($N$2:$N$5001,$B$2:$B$5001,B4120,$E$2:$E$5001,"Em ajustes"),1,0),0))</f>
        <v/>
      </c>
      <c r="N4120" s="17" t="str">
        <f aca="false">IF(A4120="","",IF(ISNUMBER(A4120),A4120,IFERROR(DATE(VALUE(MID(A4120,7,4)),VALUE(MID(A4120,4,2)),VALUE(MID(A4120,1,2)))+TIME(VALUE(MID(A4120,12,2)),VALUE(MID(A4120,15,2)),VALUE(MID(A4120,18,2))),"")))</f>
        <v/>
      </c>
    </row>
    <row r="4121" customFormat="false" ht="15" hidden="false" customHeight="false" outlineLevel="0" collapsed="false">
      <c r="I4121" s="15" t="str">
        <f aca="false">IF(N4121="","",INT(N4121))</f>
        <v/>
      </c>
      <c r="J4121" s="16" t="str">
        <f aca="false">IF(B4121="","",IF(N4121=_xlfn.MINIFS($N$2:$N$5001,$B$2:$B$5001,B4121),1,0))</f>
        <v/>
      </c>
      <c r="K4121" s="16" t="str">
        <f aca="false">IF(B4121="","",IF(AND(D4121="Formalização",E4121="Concluído"),IF(COUNTIFS($B$2:$B$5001,B4121,$E$2:$E$5001,"Em ajustes",$N$2:$N$5001,"&lt;"&amp;I4121)&gt;0,1,0),0))</f>
        <v/>
      </c>
      <c r="L4121" s="16" t="str">
        <f aca="false">IF(B4121="","",IF(N4121=_xlfn.MAXIFS($N$2:$N$5001,$B$2:$B$5001,B4121,$I$2:$I$5001,I4121),1,0))</f>
        <v/>
      </c>
      <c r="M4121" s="16" t="str">
        <f aca="false">IF(B4121="","",IF(E4121="Em ajustes",IF(N4121=_xlfn.MINIFS($N$2:$N$5001,$B$2:$B$5001,B4121,$E$2:$E$5001,"Em ajustes"),1,0),0))</f>
        <v/>
      </c>
      <c r="N4121" s="17" t="str">
        <f aca="false">IF(A4121="","",IF(ISNUMBER(A4121),A4121,IFERROR(DATE(VALUE(MID(A4121,7,4)),VALUE(MID(A4121,4,2)),VALUE(MID(A4121,1,2)))+TIME(VALUE(MID(A4121,12,2)),VALUE(MID(A4121,15,2)),VALUE(MID(A4121,18,2))),"")))</f>
        <v/>
      </c>
    </row>
    <row r="4122" customFormat="false" ht="15" hidden="false" customHeight="false" outlineLevel="0" collapsed="false">
      <c r="I4122" s="15" t="str">
        <f aca="false">IF(N4122="","",INT(N4122))</f>
        <v/>
      </c>
      <c r="J4122" s="16" t="str">
        <f aca="false">IF(B4122="","",IF(N4122=_xlfn.MINIFS($N$2:$N$5001,$B$2:$B$5001,B4122),1,0))</f>
        <v/>
      </c>
      <c r="K4122" s="16" t="str">
        <f aca="false">IF(B4122="","",IF(AND(D4122="Formalização",E4122="Concluído"),IF(COUNTIFS($B$2:$B$5001,B4122,$E$2:$E$5001,"Em ajustes",$N$2:$N$5001,"&lt;"&amp;I4122)&gt;0,1,0),0))</f>
        <v/>
      </c>
      <c r="L4122" s="16" t="str">
        <f aca="false">IF(B4122="","",IF(N4122=_xlfn.MAXIFS($N$2:$N$5001,$B$2:$B$5001,B4122,$I$2:$I$5001,I4122),1,0))</f>
        <v/>
      </c>
      <c r="M4122" s="16" t="str">
        <f aca="false">IF(B4122="","",IF(E4122="Em ajustes",IF(N4122=_xlfn.MINIFS($N$2:$N$5001,$B$2:$B$5001,B4122,$E$2:$E$5001,"Em ajustes"),1,0),0))</f>
        <v/>
      </c>
      <c r="N4122" s="17" t="str">
        <f aca="false">IF(A4122="","",IF(ISNUMBER(A4122),A4122,IFERROR(DATE(VALUE(MID(A4122,7,4)),VALUE(MID(A4122,4,2)),VALUE(MID(A4122,1,2)))+TIME(VALUE(MID(A4122,12,2)),VALUE(MID(A4122,15,2)),VALUE(MID(A4122,18,2))),"")))</f>
        <v/>
      </c>
    </row>
    <row r="4123" customFormat="false" ht="15" hidden="false" customHeight="false" outlineLevel="0" collapsed="false">
      <c r="I4123" s="15" t="str">
        <f aca="false">IF(N4123="","",INT(N4123))</f>
        <v/>
      </c>
      <c r="J4123" s="16" t="str">
        <f aca="false">IF(B4123="","",IF(N4123=_xlfn.MINIFS($N$2:$N$5001,$B$2:$B$5001,B4123),1,0))</f>
        <v/>
      </c>
      <c r="K4123" s="16" t="str">
        <f aca="false">IF(B4123="","",IF(AND(D4123="Formalização",E4123="Concluído"),IF(COUNTIFS($B$2:$B$5001,B4123,$E$2:$E$5001,"Em ajustes",$N$2:$N$5001,"&lt;"&amp;I4123)&gt;0,1,0),0))</f>
        <v/>
      </c>
      <c r="L4123" s="16" t="str">
        <f aca="false">IF(B4123="","",IF(N4123=_xlfn.MAXIFS($N$2:$N$5001,$B$2:$B$5001,B4123,$I$2:$I$5001,I4123),1,0))</f>
        <v/>
      </c>
      <c r="M4123" s="16" t="str">
        <f aca="false">IF(B4123="","",IF(E4123="Em ajustes",IF(N4123=_xlfn.MINIFS($N$2:$N$5001,$B$2:$B$5001,B4123,$E$2:$E$5001,"Em ajustes"),1,0),0))</f>
        <v/>
      </c>
      <c r="N4123" s="17" t="str">
        <f aca="false">IF(A4123="","",IF(ISNUMBER(A4123),A4123,IFERROR(DATE(VALUE(MID(A4123,7,4)),VALUE(MID(A4123,4,2)),VALUE(MID(A4123,1,2)))+TIME(VALUE(MID(A4123,12,2)),VALUE(MID(A4123,15,2)),VALUE(MID(A4123,18,2))),"")))</f>
        <v/>
      </c>
    </row>
    <row r="4124" customFormat="false" ht="15" hidden="false" customHeight="false" outlineLevel="0" collapsed="false">
      <c r="I4124" s="15" t="str">
        <f aca="false">IF(N4124="","",INT(N4124))</f>
        <v/>
      </c>
      <c r="J4124" s="16" t="str">
        <f aca="false">IF(B4124="","",IF(N4124=_xlfn.MINIFS($N$2:$N$5001,$B$2:$B$5001,B4124),1,0))</f>
        <v/>
      </c>
      <c r="K4124" s="16" t="str">
        <f aca="false">IF(B4124="","",IF(AND(D4124="Formalização",E4124="Concluído"),IF(COUNTIFS($B$2:$B$5001,B4124,$E$2:$E$5001,"Em ajustes",$N$2:$N$5001,"&lt;"&amp;I4124)&gt;0,1,0),0))</f>
        <v/>
      </c>
      <c r="L4124" s="16" t="str">
        <f aca="false">IF(B4124="","",IF(N4124=_xlfn.MAXIFS($N$2:$N$5001,$B$2:$B$5001,B4124,$I$2:$I$5001,I4124),1,0))</f>
        <v/>
      </c>
      <c r="M4124" s="16" t="str">
        <f aca="false">IF(B4124="","",IF(E4124="Em ajustes",IF(N4124=_xlfn.MINIFS($N$2:$N$5001,$B$2:$B$5001,B4124,$E$2:$E$5001,"Em ajustes"),1,0),0))</f>
        <v/>
      </c>
      <c r="N4124" s="17" t="str">
        <f aca="false">IF(A4124="","",IF(ISNUMBER(A4124),A4124,IFERROR(DATE(VALUE(MID(A4124,7,4)),VALUE(MID(A4124,4,2)),VALUE(MID(A4124,1,2)))+TIME(VALUE(MID(A4124,12,2)),VALUE(MID(A4124,15,2)),VALUE(MID(A4124,18,2))),"")))</f>
        <v/>
      </c>
    </row>
    <row r="4125" customFormat="false" ht="15" hidden="false" customHeight="false" outlineLevel="0" collapsed="false">
      <c r="I4125" s="15" t="str">
        <f aca="false">IF(N4125="","",INT(N4125))</f>
        <v/>
      </c>
      <c r="J4125" s="16" t="str">
        <f aca="false">IF(B4125="","",IF(N4125=_xlfn.MINIFS($N$2:$N$5001,$B$2:$B$5001,B4125),1,0))</f>
        <v/>
      </c>
      <c r="K4125" s="16" t="str">
        <f aca="false">IF(B4125="","",IF(AND(D4125="Formalização",E4125="Concluído"),IF(COUNTIFS($B$2:$B$5001,B4125,$E$2:$E$5001,"Em ajustes",$N$2:$N$5001,"&lt;"&amp;I4125)&gt;0,1,0),0))</f>
        <v/>
      </c>
      <c r="L4125" s="16" t="str">
        <f aca="false">IF(B4125="","",IF(N4125=_xlfn.MAXIFS($N$2:$N$5001,$B$2:$B$5001,B4125,$I$2:$I$5001,I4125),1,0))</f>
        <v/>
      </c>
      <c r="M4125" s="16" t="str">
        <f aca="false">IF(B4125="","",IF(E4125="Em ajustes",IF(N4125=_xlfn.MINIFS($N$2:$N$5001,$B$2:$B$5001,B4125,$E$2:$E$5001,"Em ajustes"),1,0),0))</f>
        <v/>
      </c>
      <c r="N4125" s="17" t="str">
        <f aca="false">IF(A4125="","",IF(ISNUMBER(A4125),A4125,IFERROR(DATE(VALUE(MID(A4125,7,4)),VALUE(MID(A4125,4,2)),VALUE(MID(A4125,1,2)))+TIME(VALUE(MID(A4125,12,2)),VALUE(MID(A4125,15,2)),VALUE(MID(A4125,18,2))),"")))</f>
        <v/>
      </c>
    </row>
    <row r="4126" customFormat="false" ht="15" hidden="false" customHeight="false" outlineLevel="0" collapsed="false">
      <c r="I4126" s="15" t="str">
        <f aca="false">IF(N4126="","",INT(N4126))</f>
        <v/>
      </c>
      <c r="J4126" s="16" t="str">
        <f aca="false">IF(B4126="","",IF(N4126=_xlfn.MINIFS($N$2:$N$5001,$B$2:$B$5001,B4126),1,0))</f>
        <v/>
      </c>
      <c r="K4126" s="16" t="str">
        <f aca="false">IF(B4126="","",IF(AND(D4126="Formalização",E4126="Concluído"),IF(COUNTIFS($B$2:$B$5001,B4126,$E$2:$E$5001,"Em ajustes",$N$2:$N$5001,"&lt;"&amp;I4126)&gt;0,1,0),0))</f>
        <v/>
      </c>
      <c r="L4126" s="16" t="str">
        <f aca="false">IF(B4126="","",IF(N4126=_xlfn.MAXIFS($N$2:$N$5001,$B$2:$B$5001,B4126,$I$2:$I$5001,I4126),1,0))</f>
        <v/>
      </c>
      <c r="M4126" s="16" t="str">
        <f aca="false">IF(B4126="","",IF(E4126="Em ajustes",IF(N4126=_xlfn.MINIFS($N$2:$N$5001,$B$2:$B$5001,B4126,$E$2:$E$5001,"Em ajustes"),1,0),0))</f>
        <v/>
      </c>
      <c r="N4126" s="17" t="str">
        <f aca="false">IF(A4126="","",IF(ISNUMBER(A4126),A4126,IFERROR(DATE(VALUE(MID(A4126,7,4)),VALUE(MID(A4126,4,2)),VALUE(MID(A4126,1,2)))+TIME(VALUE(MID(A4126,12,2)),VALUE(MID(A4126,15,2)),VALUE(MID(A4126,18,2))),"")))</f>
        <v/>
      </c>
    </row>
    <row r="4127" customFormat="false" ht="15" hidden="false" customHeight="false" outlineLevel="0" collapsed="false">
      <c r="I4127" s="15" t="str">
        <f aca="false">IF(N4127="","",INT(N4127))</f>
        <v/>
      </c>
      <c r="J4127" s="16" t="str">
        <f aca="false">IF(B4127="","",IF(N4127=_xlfn.MINIFS($N$2:$N$5001,$B$2:$B$5001,B4127),1,0))</f>
        <v/>
      </c>
      <c r="K4127" s="16" t="str">
        <f aca="false">IF(B4127="","",IF(AND(D4127="Formalização",E4127="Concluído"),IF(COUNTIFS($B$2:$B$5001,B4127,$E$2:$E$5001,"Em ajustes",$N$2:$N$5001,"&lt;"&amp;I4127)&gt;0,1,0),0))</f>
        <v/>
      </c>
      <c r="L4127" s="16" t="str">
        <f aca="false">IF(B4127="","",IF(N4127=_xlfn.MAXIFS($N$2:$N$5001,$B$2:$B$5001,B4127,$I$2:$I$5001,I4127),1,0))</f>
        <v/>
      </c>
      <c r="M4127" s="16" t="str">
        <f aca="false">IF(B4127="","",IF(E4127="Em ajustes",IF(N4127=_xlfn.MINIFS($N$2:$N$5001,$B$2:$B$5001,B4127,$E$2:$E$5001,"Em ajustes"),1,0),0))</f>
        <v/>
      </c>
      <c r="N4127" s="17" t="str">
        <f aca="false">IF(A4127="","",IF(ISNUMBER(A4127),A4127,IFERROR(DATE(VALUE(MID(A4127,7,4)),VALUE(MID(A4127,4,2)),VALUE(MID(A4127,1,2)))+TIME(VALUE(MID(A4127,12,2)),VALUE(MID(A4127,15,2)),VALUE(MID(A4127,18,2))),"")))</f>
        <v/>
      </c>
    </row>
    <row r="4128" customFormat="false" ht="15" hidden="false" customHeight="false" outlineLevel="0" collapsed="false">
      <c r="I4128" s="15" t="str">
        <f aca="false">IF(N4128="","",INT(N4128))</f>
        <v/>
      </c>
      <c r="J4128" s="16" t="str">
        <f aca="false">IF(B4128="","",IF(N4128=_xlfn.MINIFS($N$2:$N$5001,$B$2:$B$5001,B4128),1,0))</f>
        <v/>
      </c>
      <c r="K4128" s="16" t="str">
        <f aca="false">IF(B4128="","",IF(AND(D4128="Formalização",E4128="Concluído"),IF(COUNTIFS($B$2:$B$5001,B4128,$E$2:$E$5001,"Em ajustes",$N$2:$N$5001,"&lt;"&amp;I4128)&gt;0,1,0),0))</f>
        <v/>
      </c>
      <c r="L4128" s="16" t="str">
        <f aca="false">IF(B4128="","",IF(N4128=_xlfn.MAXIFS($N$2:$N$5001,$B$2:$B$5001,B4128,$I$2:$I$5001,I4128),1,0))</f>
        <v/>
      </c>
      <c r="M4128" s="16" t="str">
        <f aca="false">IF(B4128="","",IF(E4128="Em ajustes",IF(N4128=_xlfn.MINIFS($N$2:$N$5001,$B$2:$B$5001,B4128,$E$2:$E$5001,"Em ajustes"),1,0),0))</f>
        <v/>
      </c>
      <c r="N4128" s="17" t="str">
        <f aca="false">IF(A4128="","",IF(ISNUMBER(A4128),A4128,IFERROR(DATE(VALUE(MID(A4128,7,4)),VALUE(MID(A4128,4,2)),VALUE(MID(A4128,1,2)))+TIME(VALUE(MID(A4128,12,2)),VALUE(MID(A4128,15,2)),VALUE(MID(A4128,18,2))),"")))</f>
        <v/>
      </c>
    </row>
    <row r="4129" customFormat="false" ht="15" hidden="false" customHeight="false" outlineLevel="0" collapsed="false">
      <c r="I4129" s="15" t="str">
        <f aca="false">IF(N4129="","",INT(N4129))</f>
        <v/>
      </c>
      <c r="J4129" s="16" t="str">
        <f aca="false">IF(B4129="","",IF(N4129=_xlfn.MINIFS($N$2:$N$5001,$B$2:$B$5001,B4129),1,0))</f>
        <v/>
      </c>
      <c r="K4129" s="16" t="str">
        <f aca="false">IF(B4129="","",IF(AND(D4129="Formalização",E4129="Concluído"),IF(COUNTIFS($B$2:$B$5001,B4129,$E$2:$E$5001,"Em ajustes",$N$2:$N$5001,"&lt;"&amp;I4129)&gt;0,1,0),0))</f>
        <v/>
      </c>
      <c r="L4129" s="16" t="str">
        <f aca="false">IF(B4129="","",IF(N4129=_xlfn.MAXIFS($N$2:$N$5001,$B$2:$B$5001,B4129,$I$2:$I$5001,I4129),1,0))</f>
        <v/>
      </c>
      <c r="M4129" s="16" t="str">
        <f aca="false">IF(B4129="","",IF(E4129="Em ajustes",IF(N4129=_xlfn.MINIFS($N$2:$N$5001,$B$2:$B$5001,B4129,$E$2:$E$5001,"Em ajustes"),1,0),0))</f>
        <v/>
      </c>
      <c r="N4129" s="17" t="str">
        <f aca="false">IF(A4129="","",IF(ISNUMBER(A4129),A4129,IFERROR(DATE(VALUE(MID(A4129,7,4)),VALUE(MID(A4129,4,2)),VALUE(MID(A4129,1,2)))+TIME(VALUE(MID(A4129,12,2)),VALUE(MID(A4129,15,2)),VALUE(MID(A4129,18,2))),"")))</f>
        <v/>
      </c>
    </row>
    <row r="4130" customFormat="false" ht="15" hidden="false" customHeight="false" outlineLevel="0" collapsed="false">
      <c r="I4130" s="15" t="str">
        <f aca="false">IF(N4130="","",INT(N4130))</f>
        <v/>
      </c>
      <c r="J4130" s="16" t="str">
        <f aca="false">IF(B4130="","",IF(N4130=_xlfn.MINIFS($N$2:$N$5001,$B$2:$B$5001,B4130),1,0))</f>
        <v/>
      </c>
      <c r="K4130" s="16" t="str">
        <f aca="false">IF(B4130="","",IF(AND(D4130="Formalização",E4130="Concluído"),IF(COUNTIFS($B$2:$B$5001,B4130,$E$2:$E$5001,"Em ajustes",$N$2:$N$5001,"&lt;"&amp;I4130)&gt;0,1,0),0))</f>
        <v/>
      </c>
      <c r="L4130" s="16" t="str">
        <f aca="false">IF(B4130="","",IF(N4130=_xlfn.MAXIFS($N$2:$N$5001,$B$2:$B$5001,B4130,$I$2:$I$5001,I4130),1,0))</f>
        <v/>
      </c>
      <c r="M4130" s="16" t="str">
        <f aca="false">IF(B4130="","",IF(E4130="Em ajustes",IF(N4130=_xlfn.MINIFS($N$2:$N$5001,$B$2:$B$5001,B4130,$E$2:$E$5001,"Em ajustes"),1,0),0))</f>
        <v/>
      </c>
      <c r="N4130" s="17" t="str">
        <f aca="false">IF(A4130="","",IF(ISNUMBER(A4130),A4130,IFERROR(DATE(VALUE(MID(A4130,7,4)),VALUE(MID(A4130,4,2)),VALUE(MID(A4130,1,2)))+TIME(VALUE(MID(A4130,12,2)),VALUE(MID(A4130,15,2)),VALUE(MID(A4130,18,2))),"")))</f>
        <v/>
      </c>
    </row>
    <row r="4131" customFormat="false" ht="15" hidden="false" customHeight="false" outlineLevel="0" collapsed="false">
      <c r="I4131" s="15" t="str">
        <f aca="false">IF(N4131="","",INT(N4131))</f>
        <v/>
      </c>
      <c r="J4131" s="16" t="str">
        <f aca="false">IF(B4131="","",IF(N4131=_xlfn.MINIFS($N$2:$N$5001,$B$2:$B$5001,B4131),1,0))</f>
        <v/>
      </c>
      <c r="K4131" s="16" t="str">
        <f aca="false">IF(B4131="","",IF(AND(D4131="Formalização",E4131="Concluído"),IF(COUNTIFS($B$2:$B$5001,B4131,$E$2:$E$5001,"Em ajustes",$N$2:$N$5001,"&lt;"&amp;I4131)&gt;0,1,0),0))</f>
        <v/>
      </c>
      <c r="L4131" s="16" t="str">
        <f aca="false">IF(B4131="","",IF(N4131=_xlfn.MAXIFS($N$2:$N$5001,$B$2:$B$5001,B4131,$I$2:$I$5001,I4131),1,0))</f>
        <v/>
      </c>
      <c r="M4131" s="16" t="str">
        <f aca="false">IF(B4131="","",IF(E4131="Em ajustes",IF(N4131=_xlfn.MINIFS($N$2:$N$5001,$B$2:$B$5001,B4131,$E$2:$E$5001,"Em ajustes"),1,0),0))</f>
        <v/>
      </c>
      <c r="N4131" s="17" t="str">
        <f aca="false">IF(A4131="","",IF(ISNUMBER(A4131),A4131,IFERROR(DATE(VALUE(MID(A4131,7,4)),VALUE(MID(A4131,4,2)),VALUE(MID(A4131,1,2)))+TIME(VALUE(MID(A4131,12,2)),VALUE(MID(A4131,15,2)),VALUE(MID(A4131,18,2))),"")))</f>
        <v/>
      </c>
    </row>
    <row r="4132" customFormat="false" ht="15" hidden="false" customHeight="false" outlineLevel="0" collapsed="false">
      <c r="I4132" s="15" t="str">
        <f aca="false">IF(N4132="","",INT(N4132))</f>
        <v/>
      </c>
      <c r="J4132" s="16" t="str">
        <f aca="false">IF(B4132="","",IF(N4132=_xlfn.MINIFS($N$2:$N$5001,$B$2:$B$5001,B4132),1,0))</f>
        <v/>
      </c>
      <c r="K4132" s="16" t="str">
        <f aca="false">IF(B4132="","",IF(AND(D4132="Formalização",E4132="Concluído"),IF(COUNTIFS($B$2:$B$5001,B4132,$E$2:$E$5001,"Em ajustes",$N$2:$N$5001,"&lt;"&amp;I4132)&gt;0,1,0),0))</f>
        <v/>
      </c>
      <c r="L4132" s="16" t="str">
        <f aca="false">IF(B4132="","",IF(N4132=_xlfn.MAXIFS($N$2:$N$5001,$B$2:$B$5001,B4132,$I$2:$I$5001,I4132),1,0))</f>
        <v/>
      </c>
      <c r="M4132" s="16" t="str">
        <f aca="false">IF(B4132="","",IF(E4132="Em ajustes",IF(N4132=_xlfn.MINIFS($N$2:$N$5001,$B$2:$B$5001,B4132,$E$2:$E$5001,"Em ajustes"),1,0),0))</f>
        <v/>
      </c>
      <c r="N4132" s="17" t="str">
        <f aca="false">IF(A4132="","",IF(ISNUMBER(A4132),A4132,IFERROR(DATE(VALUE(MID(A4132,7,4)),VALUE(MID(A4132,4,2)),VALUE(MID(A4132,1,2)))+TIME(VALUE(MID(A4132,12,2)),VALUE(MID(A4132,15,2)),VALUE(MID(A4132,18,2))),"")))</f>
        <v/>
      </c>
    </row>
    <row r="4133" customFormat="false" ht="15" hidden="false" customHeight="false" outlineLevel="0" collapsed="false">
      <c r="I4133" s="15" t="str">
        <f aca="false">IF(N4133="","",INT(N4133))</f>
        <v/>
      </c>
      <c r="J4133" s="16" t="str">
        <f aca="false">IF(B4133="","",IF(N4133=_xlfn.MINIFS($N$2:$N$5001,$B$2:$B$5001,B4133),1,0))</f>
        <v/>
      </c>
      <c r="K4133" s="16" t="str">
        <f aca="false">IF(B4133="","",IF(AND(D4133="Formalização",E4133="Concluído"),IF(COUNTIFS($B$2:$B$5001,B4133,$E$2:$E$5001,"Em ajustes",$N$2:$N$5001,"&lt;"&amp;I4133)&gt;0,1,0),0))</f>
        <v/>
      </c>
      <c r="L4133" s="16" t="str">
        <f aca="false">IF(B4133="","",IF(N4133=_xlfn.MAXIFS($N$2:$N$5001,$B$2:$B$5001,B4133,$I$2:$I$5001,I4133),1,0))</f>
        <v/>
      </c>
      <c r="M4133" s="16" t="str">
        <f aca="false">IF(B4133="","",IF(E4133="Em ajustes",IF(N4133=_xlfn.MINIFS($N$2:$N$5001,$B$2:$B$5001,B4133,$E$2:$E$5001,"Em ajustes"),1,0),0))</f>
        <v/>
      </c>
      <c r="N4133" s="17" t="str">
        <f aca="false">IF(A4133="","",IF(ISNUMBER(A4133),A4133,IFERROR(DATE(VALUE(MID(A4133,7,4)),VALUE(MID(A4133,4,2)),VALUE(MID(A4133,1,2)))+TIME(VALUE(MID(A4133,12,2)),VALUE(MID(A4133,15,2)),VALUE(MID(A4133,18,2))),"")))</f>
        <v/>
      </c>
    </row>
    <row r="4134" customFormat="false" ht="15" hidden="false" customHeight="false" outlineLevel="0" collapsed="false">
      <c r="I4134" s="15" t="str">
        <f aca="false">IF(N4134="","",INT(N4134))</f>
        <v/>
      </c>
      <c r="J4134" s="16" t="str">
        <f aca="false">IF(B4134="","",IF(N4134=_xlfn.MINIFS($N$2:$N$5001,$B$2:$B$5001,B4134),1,0))</f>
        <v/>
      </c>
      <c r="K4134" s="16" t="str">
        <f aca="false">IF(B4134="","",IF(AND(D4134="Formalização",E4134="Concluído"),IF(COUNTIFS($B$2:$B$5001,B4134,$E$2:$E$5001,"Em ajustes",$N$2:$N$5001,"&lt;"&amp;I4134)&gt;0,1,0),0))</f>
        <v/>
      </c>
      <c r="L4134" s="16" t="str">
        <f aca="false">IF(B4134="","",IF(N4134=_xlfn.MAXIFS($N$2:$N$5001,$B$2:$B$5001,B4134,$I$2:$I$5001,I4134),1,0))</f>
        <v/>
      </c>
      <c r="M4134" s="16" t="str">
        <f aca="false">IF(B4134="","",IF(E4134="Em ajustes",IF(N4134=_xlfn.MINIFS($N$2:$N$5001,$B$2:$B$5001,B4134,$E$2:$E$5001,"Em ajustes"),1,0),0))</f>
        <v/>
      </c>
      <c r="N4134" s="17" t="str">
        <f aca="false">IF(A4134="","",IF(ISNUMBER(A4134),A4134,IFERROR(DATE(VALUE(MID(A4134,7,4)),VALUE(MID(A4134,4,2)),VALUE(MID(A4134,1,2)))+TIME(VALUE(MID(A4134,12,2)),VALUE(MID(A4134,15,2)),VALUE(MID(A4134,18,2))),"")))</f>
        <v/>
      </c>
    </row>
    <row r="4135" customFormat="false" ht="15" hidden="false" customHeight="false" outlineLevel="0" collapsed="false">
      <c r="I4135" s="15" t="str">
        <f aca="false">IF(N4135="","",INT(N4135))</f>
        <v/>
      </c>
      <c r="J4135" s="16" t="str">
        <f aca="false">IF(B4135="","",IF(N4135=_xlfn.MINIFS($N$2:$N$5001,$B$2:$B$5001,B4135),1,0))</f>
        <v/>
      </c>
      <c r="K4135" s="16" t="str">
        <f aca="false">IF(B4135="","",IF(AND(D4135="Formalização",E4135="Concluído"),IF(COUNTIFS($B$2:$B$5001,B4135,$E$2:$E$5001,"Em ajustes",$N$2:$N$5001,"&lt;"&amp;I4135)&gt;0,1,0),0))</f>
        <v/>
      </c>
      <c r="L4135" s="16" t="str">
        <f aca="false">IF(B4135="","",IF(N4135=_xlfn.MAXIFS($N$2:$N$5001,$B$2:$B$5001,B4135,$I$2:$I$5001,I4135),1,0))</f>
        <v/>
      </c>
      <c r="M4135" s="16" t="str">
        <f aca="false">IF(B4135="","",IF(E4135="Em ajustes",IF(N4135=_xlfn.MINIFS($N$2:$N$5001,$B$2:$B$5001,B4135,$E$2:$E$5001,"Em ajustes"),1,0),0))</f>
        <v/>
      </c>
      <c r="N4135" s="17" t="str">
        <f aca="false">IF(A4135="","",IF(ISNUMBER(A4135),A4135,IFERROR(DATE(VALUE(MID(A4135,7,4)),VALUE(MID(A4135,4,2)),VALUE(MID(A4135,1,2)))+TIME(VALUE(MID(A4135,12,2)),VALUE(MID(A4135,15,2)),VALUE(MID(A4135,18,2))),"")))</f>
        <v/>
      </c>
    </row>
    <row r="4136" customFormat="false" ht="15" hidden="false" customHeight="false" outlineLevel="0" collapsed="false">
      <c r="I4136" s="15" t="str">
        <f aca="false">IF(N4136="","",INT(N4136))</f>
        <v/>
      </c>
      <c r="J4136" s="16" t="str">
        <f aca="false">IF(B4136="","",IF(N4136=_xlfn.MINIFS($N$2:$N$5001,$B$2:$B$5001,B4136),1,0))</f>
        <v/>
      </c>
      <c r="K4136" s="16" t="str">
        <f aca="false">IF(B4136="","",IF(AND(D4136="Formalização",E4136="Concluído"),IF(COUNTIFS($B$2:$B$5001,B4136,$E$2:$E$5001,"Em ajustes",$N$2:$N$5001,"&lt;"&amp;I4136)&gt;0,1,0),0))</f>
        <v/>
      </c>
      <c r="L4136" s="16" t="str">
        <f aca="false">IF(B4136="","",IF(N4136=_xlfn.MAXIFS($N$2:$N$5001,$B$2:$B$5001,B4136,$I$2:$I$5001,I4136),1,0))</f>
        <v/>
      </c>
      <c r="M4136" s="16" t="str">
        <f aca="false">IF(B4136="","",IF(E4136="Em ajustes",IF(N4136=_xlfn.MINIFS($N$2:$N$5001,$B$2:$B$5001,B4136,$E$2:$E$5001,"Em ajustes"),1,0),0))</f>
        <v/>
      </c>
      <c r="N4136" s="17" t="str">
        <f aca="false">IF(A4136="","",IF(ISNUMBER(A4136),A4136,IFERROR(DATE(VALUE(MID(A4136,7,4)),VALUE(MID(A4136,4,2)),VALUE(MID(A4136,1,2)))+TIME(VALUE(MID(A4136,12,2)),VALUE(MID(A4136,15,2)),VALUE(MID(A4136,18,2))),"")))</f>
        <v/>
      </c>
    </row>
    <row r="4137" customFormat="false" ht="15" hidden="false" customHeight="false" outlineLevel="0" collapsed="false">
      <c r="I4137" s="15" t="str">
        <f aca="false">IF(N4137="","",INT(N4137))</f>
        <v/>
      </c>
      <c r="J4137" s="16" t="str">
        <f aca="false">IF(B4137="","",IF(N4137=_xlfn.MINIFS($N$2:$N$5001,$B$2:$B$5001,B4137),1,0))</f>
        <v/>
      </c>
      <c r="K4137" s="16" t="str">
        <f aca="false">IF(B4137="","",IF(AND(D4137="Formalização",E4137="Concluído"),IF(COUNTIFS($B$2:$B$5001,B4137,$E$2:$E$5001,"Em ajustes",$N$2:$N$5001,"&lt;"&amp;I4137)&gt;0,1,0),0))</f>
        <v/>
      </c>
      <c r="L4137" s="16" t="str">
        <f aca="false">IF(B4137="","",IF(N4137=_xlfn.MAXIFS($N$2:$N$5001,$B$2:$B$5001,B4137,$I$2:$I$5001,I4137),1,0))</f>
        <v/>
      </c>
      <c r="M4137" s="16" t="str">
        <f aca="false">IF(B4137="","",IF(E4137="Em ajustes",IF(N4137=_xlfn.MINIFS($N$2:$N$5001,$B$2:$B$5001,B4137,$E$2:$E$5001,"Em ajustes"),1,0),0))</f>
        <v/>
      </c>
      <c r="N4137" s="17" t="str">
        <f aca="false">IF(A4137="","",IF(ISNUMBER(A4137),A4137,IFERROR(DATE(VALUE(MID(A4137,7,4)),VALUE(MID(A4137,4,2)),VALUE(MID(A4137,1,2)))+TIME(VALUE(MID(A4137,12,2)),VALUE(MID(A4137,15,2)),VALUE(MID(A4137,18,2))),"")))</f>
        <v/>
      </c>
    </row>
    <row r="4138" customFormat="false" ht="15" hidden="false" customHeight="false" outlineLevel="0" collapsed="false">
      <c r="I4138" s="15" t="str">
        <f aca="false">IF(N4138="","",INT(N4138))</f>
        <v/>
      </c>
      <c r="J4138" s="16" t="str">
        <f aca="false">IF(B4138="","",IF(N4138=_xlfn.MINIFS($N$2:$N$5001,$B$2:$B$5001,B4138),1,0))</f>
        <v/>
      </c>
      <c r="K4138" s="16" t="str">
        <f aca="false">IF(B4138="","",IF(AND(D4138="Formalização",E4138="Concluído"),IF(COUNTIFS($B$2:$B$5001,B4138,$E$2:$E$5001,"Em ajustes",$N$2:$N$5001,"&lt;"&amp;I4138)&gt;0,1,0),0))</f>
        <v/>
      </c>
      <c r="L4138" s="16" t="str">
        <f aca="false">IF(B4138="","",IF(N4138=_xlfn.MAXIFS($N$2:$N$5001,$B$2:$B$5001,B4138,$I$2:$I$5001,I4138),1,0))</f>
        <v/>
      </c>
      <c r="M4138" s="16" t="str">
        <f aca="false">IF(B4138="","",IF(E4138="Em ajustes",IF(N4138=_xlfn.MINIFS($N$2:$N$5001,$B$2:$B$5001,B4138,$E$2:$E$5001,"Em ajustes"),1,0),0))</f>
        <v/>
      </c>
      <c r="N4138" s="17" t="str">
        <f aca="false">IF(A4138="","",IF(ISNUMBER(A4138),A4138,IFERROR(DATE(VALUE(MID(A4138,7,4)),VALUE(MID(A4138,4,2)),VALUE(MID(A4138,1,2)))+TIME(VALUE(MID(A4138,12,2)),VALUE(MID(A4138,15,2)),VALUE(MID(A4138,18,2))),"")))</f>
        <v/>
      </c>
    </row>
    <row r="4139" customFormat="false" ht="15" hidden="false" customHeight="false" outlineLevel="0" collapsed="false">
      <c r="I4139" s="15" t="str">
        <f aca="false">IF(N4139="","",INT(N4139))</f>
        <v/>
      </c>
      <c r="J4139" s="16" t="str">
        <f aca="false">IF(B4139="","",IF(N4139=_xlfn.MINIFS($N$2:$N$5001,$B$2:$B$5001,B4139),1,0))</f>
        <v/>
      </c>
      <c r="K4139" s="16" t="str">
        <f aca="false">IF(B4139="","",IF(AND(D4139="Formalização",E4139="Concluído"),IF(COUNTIFS($B$2:$B$5001,B4139,$E$2:$E$5001,"Em ajustes",$N$2:$N$5001,"&lt;"&amp;I4139)&gt;0,1,0),0))</f>
        <v/>
      </c>
      <c r="L4139" s="16" t="str">
        <f aca="false">IF(B4139="","",IF(N4139=_xlfn.MAXIFS($N$2:$N$5001,$B$2:$B$5001,B4139,$I$2:$I$5001,I4139),1,0))</f>
        <v/>
      </c>
      <c r="M4139" s="16" t="str">
        <f aca="false">IF(B4139="","",IF(E4139="Em ajustes",IF(N4139=_xlfn.MINIFS($N$2:$N$5001,$B$2:$B$5001,B4139,$E$2:$E$5001,"Em ajustes"),1,0),0))</f>
        <v/>
      </c>
      <c r="N4139" s="17" t="str">
        <f aca="false">IF(A4139="","",IF(ISNUMBER(A4139),A4139,IFERROR(DATE(VALUE(MID(A4139,7,4)),VALUE(MID(A4139,4,2)),VALUE(MID(A4139,1,2)))+TIME(VALUE(MID(A4139,12,2)),VALUE(MID(A4139,15,2)),VALUE(MID(A4139,18,2))),"")))</f>
        <v/>
      </c>
    </row>
    <row r="4140" customFormat="false" ht="15" hidden="false" customHeight="false" outlineLevel="0" collapsed="false">
      <c r="I4140" s="15" t="str">
        <f aca="false">IF(N4140="","",INT(N4140))</f>
        <v/>
      </c>
      <c r="J4140" s="16" t="str">
        <f aca="false">IF(B4140="","",IF(N4140=_xlfn.MINIFS($N$2:$N$5001,$B$2:$B$5001,B4140),1,0))</f>
        <v/>
      </c>
      <c r="K4140" s="16" t="str">
        <f aca="false">IF(B4140="","",IF(AND(D4140="Formalização",E4140="Concluído"),IF(COUNTIFS($B$2:$B$5001,B4140,$E$2:$E$5001,"Em ajustes",$N$2:$N$5001,"&lt;"&amp;I4140)&gt;0,1,0),0))</f>
        <v/>
      </c>
      <c r="L4140" s="16" t="str">
        <f aca="false">IF(B4140="","",IF(N4140=_xlfn.MAXIFS($N$2:$N$5001,$B$2:$B$5001,B4140,$I$2:$I$5001,I4140),1,0))</f>
        <v/>
      </c>
      <c r="M4140" s="16" t="str">
        <f aca="false">IF(B4140="","",IF(E4140="Em ajustes",IF(N4140=_xlfn.MINIFS($N$2:$N$5001,$B$2:$B$5001,B4140,$E$2:$E$5001,"Em ajustes"),1,0),0))</f>
        <v/>
      </c>
      <c r="N4140" s="17" t="str">
        <f aca="false">IF(A4140="","",IF(ISNUMBER(A4140),A4140,IFERROR(DATE(VALUE(MID(A4140,7,4)),VALUE(MID(A4140,4,2)),VALUE(MID(A4140,1,2)))+TIME(VALUE(MID(A4140,12,2)),VALUE(MID(A4140,15,2)),VALUE(MID(A4140,18,2))),"")))</f>
        <v/>
      </c>
    </row>
    <row r="4141" customFormat="false" ht="15" hidden="false" customHeight="false" outlineLevel="0" collapsed="false">
      <c r="I4141" s="15" t="str">
        <f aca="false">IF(N4141="","",INT(N4141))</f>
        <v/>
      </c>
      <c r="J4141" s="16" t="str">
        <f aca="false">IF(B4141="","",IF(N4141=_xlfn.MINIFS($N$2:$N$5001,$B$2:$B$5001,B4141),1,0))</f>
        <v/>
      </c>
      <c r="K4141" s="16" t="str">
        <f aca="false">IF(B4141="","",IF(AND(D4141="Formalização",E4141="Concluído"),IF(COUNTIFS($B$2:$B$5001,B4141,$E$2:$E$5001,"Em ajustes",$N$2:$N$5001,"&lt;"&amp;I4141)&gt;0,1,0),0))</f>
        <v/>
      </c>
      <c r="L4141" s="16" t="str">
        <f aca="false">IF(B4141="","",IF(N4141=_xlfn.MAXIFS($N$2:$N$5001,$B$2:$B$5001,B4141,$I$2:$I$5001,I4141),1,0))</f>
        <v/>
      </c>
      <c r="M4141" s="16" t="str">
        <f aca="false">IF(B4141="","",IF(E4141="Em ajustes",IF(N4141=_xlfn.MINIFS($N$2:$N$5001,$B$2:$B$5001,B4141,$E$2:$E$5001,"Em ajustes"),1,0),0))</f>
        <v/>
      </c>
      <c r="N4141" s="17" t="str">
        <f aca="false">IF(A4141="","",IF(ISNUMBER(A4141),A4141,IFERROR(DATE(VALUE(MID(A4141,7,4)),VALUE(MID(A4141,4,2)),VALUE(MID(A4141,1,2)))+TIME(VALUE(MID(A4141,12,2)),VALUE(MID(A4141,15,2)),VALUE(MID(A4141,18,2))),"")))</f>
        <v/>
      </c>
    </row>
    <row r="4142" customFormat="false" ht="15" hidden="false" customHeight="false" outlineLevel="0" collapsed="false">
      <c r="I4142" s="15" t="str">
        <f aca="false">IF(N4142="","",INT(N4142))</f>
        <v/>
      </c>
      <c r="J4142" s="16" t="str">
        <f aca="false">IF(B4142="","",IF(N4142=_xlfn.MINIFS($N$2:$N$5001,$B$2:$B$5001,B4142),1,0))</f>
        <v/>
      </c>
      <c r="K4142" s="16" t="str">
        <f aca="false">IF(B4142="","",IF(AND(D4142="Formalização",E4142="Concluído"),IF(COUNTIFS($B$2:$B$5001,B4142,$E$2:$E$5001,"Em ajustes",$N$2:$N$5001,"&lt;"&amp;I4142)&gt;0,1,0),0))</f>
        <v/>
      </c>
      <c r="L4142" s="16" t="str">
        <f aca="false">IF(B4142="","",IF(N4142=_xlfn.MAXIFS($N$2:$N$5001,$B$2:$B$5001,B4142,$I$2:$I$5001,I4142),1,0))</f>
        <v/>
      </c>
      <c r="M4142" s="16" t="str">
        <f aca="false">IF(B4142="","",IF(E4142="Em ajustes",IF(N4142=_xlfn.MINIFS($N$2:$N$5001,$B$2:$B$5001,B4142,$E$2:$E$5001,"Em ajustes"),1,0),0))</f>
        <v/>
      </c>
      <c r="N4142" s="17" t="str">
        <f aca="false">IF(A4142="","",IF(ISNUMBER(A4142),A4142,IFERROR(DATE(VALUE(MID(A4142,7,4)),VALUE(MID(A4142,4,2)),VALUE(MID(A4142,1,2)))+TIME(VALUE(MID(A4142,12,2)),VALUE(MID(A4142,15,2)),VALUE(MID(A4142,18,2))),"")))</f>
        <v/>
      </c>
    </row>
    <row r="4143" customFormat="false" ht="15" hidden="false" customHeight="false" outlineLevel="0" collapsed="false">
      <c r="I4143" s="15" t="str">
        <f aca="false">IF(N4143="","",INT(N4143))</f>
        <v/>
      </c>
      <c r="J4143" s="16" t="str">
        <f aca="false">IF(B4143="","",IF(N4143=_xlfn.MINIFS($N$2:$N$5001,$B$2:$B$5001,B4143),1,0))</f>
        <v/>
      </c>
      <c r="K4143" s="16" t="str">
        <f aca="false">IF(B4143="","",IF(AND(D4143="Formalização",E4143="Concluído"),IF(COUNTIFS($B$2:$B$5001,B4143,$E$2:$E$5001,"Em ajustes",$N$2:$N$5001,"&lt;"&amp;I4143)&gt;0,1,0),0))</f>
        <v/>
      </c>
      <c r="L4143" s="16" t="str">
        <f aca="false">IF(B4143="","",IF(N4143=_xlfn.MAXIFS($N$2:$N$5001,$B$2:$B$5001,B4143,$I$2:$I$5001,I4143),1,0))</f>
        <v/>
      </c>
      <c r="M4143" s="16" t="str">
        <f aca="false">IF(B4143="","",IF(E4143="Em ajustes",IF(N4143=_xlfn.MINIFS($N$2:$N$5001,$B$2:$B$5001,B4143,$E$2:$E$5001,"Em ajustes"),1,0),0))</f>
        <v/>
      </c>
      <c r="N4143" s="17" t="str">
        <f aca="false">IF(A4143="","",IF(ISNUMBER(A4143),A4143,IFERROR(DATE(VALUE(MID(A4143,7,4)),VALUE(MID(A4143,4,2)),VALUE(MID(A4143,1,2)))+TIME(VALUE(MID(A4143,12,2)),VALUE(MID(A4143,15,2)),VALUE(MID(A4143,18,2))),"")))</f>
        <v/>
      </c>
    </row>
    <row r="4144" customFormat="false" ht="15" hidden="false" customHeight="false" outlineLevel="0" collapsed="false">
      <c r="I4144" s="15" t="str">
        <f aca="false">IF(N4144="","",INT(N4144))</f>
        <v/>
      </c>
      <c r="J4144" s="16" t="str">
        <f aca="false">IF(B4144="","",IF(N4144=_xlfn.MINIFS($N$2:$N$5001,$B$2:$B$5001,B4144),1,0))</f>
        <v/>
      </c>
      <c r="K4144" s="16" t="str">
        <f aca="false">IF(B4144="","",IF(AND(D4144="Formalização",E4144="Concluído"),IF(COUNTIFS($B$2:$B$5001,B4144,$E$2:$E$5001,"Em ajustes",$N$2:$N$5001,"&lt;"&amp;I4144)&gt;0,1,0),0))</f>
        <v/>
      </c>
      <c r="L4144" s="16" t="str">
        <f aca="false">IF(B4144="","",IF(N4144=_xlfn.MAXIFS($N$2:$N$5001,$B$2:$B$5001,B4144,$I$2:$I$5001,I4144),1,0))</f>
        <v/>
      </c>
      <c r="M4144" s="16" t="str">
        <f aca="false">IF(B4144="","",IF(E4144="Em ajustes",IF(N4144=_xlfn.MINIFS($N$2:$N$5001,$B$2:$B$5001,B4144,$E$2:$E$5001,"Em ajustes"),1,0),0))</f>
        <v/>
      </c>
      <c r="N4144" s="17" t="str">
        <f aca="false">IF(A4144="","",IF(ISNUMBER(A4144),A4144,IFERROR(DATE(VALUE(MID(A4144,7,4)),VALUE(MID(A4144,4,2)),VALUE(MID(A4144,1,2)))+TIME(VALUE(MID(A4144,12,2)),VALUE(MID(A4144,15,2)),VALUE(MID(A4144,18,2))),"")))</f>
        <v/>
      </c>
    </row>
    <row r="4145" customFormat="false" ht="15" hidden="false" customHeight="false" outlineLevel="0" collapsed="false">
      <c r="I4145" s="15" t="str">
        <f aca="false">IF(N4145="","",INT(N4145))</f>
        <v/>
      </c>
      <c r="J4145" s="16" t="str">
        <f aca="false">IF(B4145="","",IF(N4145=_xlfn.MINIFS($N$2:$N$5001,$B$2:$B$5001,B4145),1,0))</f>
        <v/>
      </c>
      <c r="K4145" s="16" t="str">
        <f aca="false">IF(B4145="","",IF(AND(D4145="Formalização",E4145="Concluído"),IF(COUNTIFS($B$2:$B$5001,B4145,$E$2:$E$5001,"Em ajustes",$N$2:$N$5001,"&lt;"&amp;I4145)&gt;0,1,0),0))</f>
        <v/>
      </c>
      <c r="L4145" s="16" t="str">
        <f aca="false">IF(B4145="","",IF(N4145=_xlfn.MAXIFS($N$2:$N$5001,$B$2:$B$5001,B4145,$I$2:$I$5001,I4145),1,0))</f>
        <v/>
      </c>
      <c r="M4145" s="16" t="str">
        <f aca="false">IF(B4145="","",IF(E4145="Em ajustes",IF(N4145=_xlfn.MINIFS($N$2:$N$5001,$B$2:$B$5001,B4145,$E$2:$E$5001,"Em ajustes"),1,0),0))</f>
        <v/>
      </c>
      <c r="N4145" s="17" t="str">
        <f aca="false">IF(A4145="","",IF(ISNUMBER(A4145),A4145,IFERROR(DATE(VALUE(MID(A4145,7,4)),VALUE(MID(A4145,4,2)),VALUE(MID(A4145,1,2)))+TIME(VALUE(MID(A4145,12,2)),VALUE(MID(A4145,15,2)),VALUE(MID(A4145,18,2))),"")))</f>
        <v/>
      </c>
    </row>
    <row r="4146" customFormat="false" ht="15" hidden="false" customHeight="false" outlineLevel="0" collapsed="false">
      <c r="I4146" s="15" t="str">
        <f aca="false">IF(N4146="","",INT(N4146))</f>
        <v/>
      </c>
      <c r="J4146" s="16" t="str">
        <f aca="false">IF(B4146="","",IF(N4146=_xlfn.MINIFS($N$2:$N$5001,$B$2:$B$5001,B4146),1,0))</f>
        <v/>
      </c>
      <c r="K4146" s="16" t="str">
        <f aca="false">IF(B4146="","",IF(AND(D4146="Formalização",E4146="Concluído"),IF(COUNTIFS($B$2:$B$5001,B4146,$E$2:$E$5001,"Em ajustes",$N$2:$N$5001,"&lt;"&amp;I4146)&gt;0,1,0),0))</f>
        <v/>
      </c>
      <c r="L4146" s="16" t="str">
        <f aca="false">IF(B4146="","",IF(N4146=_xlfn.MAXIFS($N$2:$N$5001,$B$2:$B$5001,B4146,$I$2:$I$5001,I4146),1,0))</f>
        <v/>
      </c>
      <c r="M4146" s="16" t="str">
        <f aca="false">IF(B4146="","",IF(E4146="Em ajustes",IF(N4146=_xlfn.MINIFS($N$2:$N$5001,$B$2:$B$5001,B4146,$E$2:$E$5001,"Em ajustes"),1,0),0))</f>
        <v/>
      </c>
      <c r="N4146" s="17" t="str">
        <f aca="false">IF(A4146="","",IF(ISNUMBER(A4146),A4146,IFERROR(DATE(VALUE(MID(A4146,7,4)),VALUE(MID(A4146,4,2)),VALUE(MID(A4146,1,2)))+TIME(VALUE(MID(A4146,12,2)),VALUE(MID(A4146,15,2)),VALUE(MID(A4146,18,2))),"")))</f>
        <v/>
      </c>
    </row>
    <row r="4147" customFormat="false" ht="15" hidden="false" customHeight="false" outlineLevel="0" collapsed="false">
      <c r="I4147" s="15" t="str">
        <f aca="false">IF(N4147="","",INT(N4147))</f>
        <v/>
      </c>
      <c r="J4147" s="16" t="str">
        <f aca="false">IF(B4147="","",IF(N4147=_xlfn.MINIFS($N$2:$N$5001,$B$2:$B$5001,B4147),1,0))</f>
        <v/>
      </c>
      <c r="K4147" s="16" t="str">
        <f aca="false">IF(B4147="","",IF(AND(D4147="Formalização",E4147="Concluído"),IF(COUNTIFS($B$2:$B$5001,B4147,$E$2:$E$5001,"Em ajustes",$N$2:$N$5001,"&lt;"&amp;I4147)&gt;0,1,0),0))</f>
        <v/>
      </c>
      <c r="L4147" s="16" t="str">
        <f aca="false">IF(B4147="","",IF(N4147=_xlfn.MAXIFS($N$2:$N$5001,$B$2:$B$5001,B4147,$I$2:$I$5001,I4147),1,0))</f>
        <v/>
      </c>
      <c r="M4147" s="16" t="str">
        <f aca="false">IF(B4147="","",IF(E4147="Em ajustes",IF(N4147=_xlfn.MINIFS($N$2:$N$5001,$B$2:$B$5001,B4147,$E$2:$E$5001,"Em ajustes"),1,0),0))</f>
        <v/>
      </c>
      <c r="N4147" s="17" t="str">
        <f aca="false">IF(A4147="","",IF(ISNUMBER(A4147),A4147,IFERROR(DATE(VALUE(MID(A4147,7,4)),VALUE(MID(A4147,4,2)),VALUE(MID(A4147,1,2)))+TIME(VALUE(MID(A4147,12,2)),VALUE(MID(A4147,15,2)),VALUE(MID(A4147,18,2))),"")))</f>
        <v/>
      </c>
    </row>
    <row r="4148" customFormat="false" ht="15" hidden="false" customHeight="false" outlineLevel="0" collapsed="false">
      <c r="I4148" s="15" t="str">
        <f aca="false">IF(N4148="","",INT(N4148))</f>
        <v/>
      </c>
      <c r="J4148" s="16" t="str">
        <f aca="false">IF(B4148="","",IF(N4148=_xlfn.MINIFS($N$2:$N$5001,$B$2:$B$5001,B4148),1,0))</f>
        <v/>
      </c>
      <c r="K4148" s="16" t="str">
        <f aca="false">IF(B4148="","",IF(AND(D4148="Formalização",E4148="Concluído"),IF(COUNTIFS($B$2:$B$5001,B4148,$E$2:$E$5001,"Em ajustes",$N$2:$N$5001,"&lt;"&amp;I4148)&gt;0,1,0),0))</f>
        <v/>
      </c>
      <c r="L4148" s="16" t="str">
        <f aca="false">IF(B4148="","",IF(N4148=_xlfn.MAXIFS($N$2:$N$5001,$B$2:$B$5001,B4148,$I$2:$I$5001,I4148),1,0))</f>
        <v/>
      </c>
      <c r="M4148" s="16" t="str">
        <f aca="false">IF(B4148="","",IF(E4148="Em ajustes",IF(N4148=_xlfn.MINIFS($N$2:$N$5001,$B$2:$B$5001,B4148,$E$2:$E$5001,"Em ajustes"),1,0),0))</f>
        <v/>
      </c>
      <c r="N4148" s="17" t="str">
        <f aca="false">IF(A4148="","",IF(ISNUMBER(A4148),A4148,IFERROR(DATE(VALUE(MID(A4148,7,4)),VALUE(MID(A4148,4,2)),VALUE(MID(A4148,1,2)))+TIME(VALUE(MID(A4148,12,2)),VALUE(MID(A4148,15,2)),VALUE(MID(A4148,18,2))),"")))</f>
        <v/>
      </c>
    </row>
    <row r="4149" customFormat="false" ht="15" hidden="false" customHeight="false" outlineLevel="0" collapsed="false">
      <c r="I4149" s="15" t="str">
        <f aca="false">IF(N4149="","",INT(N4149))</f>
        <v/>
      </c>
      <c r="J4149" s="16" t="str">
        <f aca="false">IF(B4149="","",IF(N4149=_xlfn.MINIFS($N$2:$N$5001,$B$2:$B$5001,B4149),1,0))</f>
        <v/>
      </c>
      <c r="K4149" s="16" t="str">
        <f aca="false">IF(B4149="","",IF(AND(D4149="Formalização",E4149="Concluído"),IF(COUNTIFS($B$2:$B$5001,B4149,$E$2:$E$5001,"Em ajustes",$N$2:$N$5001,"&lt;"&amp;I4149)&gt;0,1,0),0))</f>
        <v/>
      </c>
      <c r="L4149" s="16" t="str">
        <f aca="false">IF(B4149="","",IF(N4149=_xlfn.MAXIFS($N$2:$N$5001,$B$2:$B$5001,B4149,$I$2:$I$5001,I4149),1,0))</f>
        <v/>
      </c>
      <c r="M4149" s="16" t="str">
        <f aca="false">IF(B4149="","",IF(E4149="Em ajustes",IF(N4149=_xlfn.MINIFS($N$2:$N$5001,$B$2:$B$5001,B4149,$E$2:$E$5001,"Em ajustes"),1,0),0))</f>
        <v/>
      </c>
      <c r="N4149" s="17" t="str">
        <f aca="false">IF(A4149="","",IF(ISNUMBER(A4149),A4149,IFERROR(DATE(VALUE(MID(A4149,7,4)),VALUE(MID(A4149,4,2)),VALUE(MID(A4149,1,2)))+TIME(VALUE(MID(A4149,12,2)),VALUE(MID(A4149,15,2)),VALUE(MID(A4149,18,2))),"")))</f>
        <v/>
      </c>
    </row>
    <row r="4150" customFormat="false" ht="15" hidden="false" customHeight="false" outlineLevel="0" collapsed="false">
      <c r="I4150" s="15" t="str">
        <f aca="false">IF(N4150="","",INT(N4150))</f>
        <v/>
      </c>
      <c r="J4150" s="16" t="str">
        <f aca="false">IF(B4150="","",IF(N4150=_xlfn.MINIFS($N$2:$N$5001,$B$2:$B$5001,B4150),1,0))</f>
        <v/>
      </c>
      <c r="K4150" s="16" t="str">
        <f aca="false">IF(B4150="","",IF(AND(D4150="Formalização",E4150="Concluído"),IF(COUNTIFS($B$2:$B$5001,B4150,$E$2:$E$5001,"Em ajustes",$N$2:$N$5001,"&lt;"&amp;I4150)&gt;0,1,0),0))</f>
        <v/>
      </c>
      <c r="L4150" s="16" t="str">
        <f aca="false">IF(B4150="","",IF(N4150=_xlfn.MAXIFS($N$2:$N$5001,$B$2:$B$5001,B4150,$I$2:$I$5001,I4150),1,0))</f>
        <v/>
      </c>
      <c r="M4150" s="16" t="str">
        <f aca="false">IF(B4150="","",IF(E4150="Em ajustes",IF(N4150=_xlfn.MINIFS($N$2:$N$5001,$B$2:$B$5001,B4150,$E$2:$E$5001,"Em ajustes"),1,0),0))</f>
        <v/>
      </c>
      <c r="N4150" s="17" t="str">
        <f aca="false">IF(A4150="","",IF(ISNUMBER(A4150),A4150,IFERROR(DATE(VALUE(MID(A4150,7,4)),VALUE(MID(A4150,4,2)),VALUE(MID(A4150,1,2)))+TIME(VALUE(MID(A4150,12,2)),VALUE(MID(A4150,15,2)),VALUE(MID(A4150,18,2))),"")))</f>
        <v/>
      </c>
    </row>
    <row r="4151" customFormat="false" ht="15" hidden="false" customHeight="false" outlineLevel="0" collapsed="false">
      <c r="I4151" s="15" t="str">
        <f aca="false">IF(N4151="","",INT(N4151))</f>
        <v/>
      </c>
      <c r="J4151" s="16" t="str">
        <f aca="false">IF(B4151="","",IF(N4151=_xlfn.MINIFS($N$2:$N$5001,$B$2:$B$5001,B4151),1,0))</f>
        <v/>
      </c>
      <c r="K4151" s="16" t="str">
        <f aca="false">IF(B4151="","",IF(AND(D4151="Formalização",E4151="Concluído"),IF(COUNTIFS($B$2:$B$5001,B4151,$E$2:$E$5001,"Em ajustes",$N$2:$N$5001,"&lt;"&amp;I4151)&gt;0,1,0),0))</f>
        <v/>
      </c>
      <c r="L4151" s="16" t="str">
        <f aca="false">IF(B4151="","",IF(N4151=_xlfn.MAXIFS($N$2:$N$5001,$B$2:$B$5001,B4151,$I$2:$I$5001,I4151),1,0))</f>
        <v/>
      </c>
      <c r="M4151" s="16" t="str">
        <f aca="false">IF(B4151="","",IF(E4151="Em ajustes",IF(N4151=_xlfn.MINIFS($N$2:$N$5001,$B$2:$B$5001,B4151,$E$2:$E$5001,"Em ajustes"),1,0),0))</f>
        <v/>
      </c>
      <c r="N4151" s="17" t="str">
        <f aca="false">IF(A4151="","",IF(ISNUMBER(A4151),A4151,IFERROR(DATE(VALUE(MID(A4151,7,4)),VALUE(MID(A4151,4,2)),VALUE(MID(A4151,1,2)))+TIME(VALUE(MID(A4151,12,2)),VALUE(MID(A4151,15,2)),VALUE(MID(A4151,18,2))),"")))</f>
        <v/>
      </c>
    </row>
    <row r="4152" customFormat="false" ht="15" hidden="false" customHeight="false" outlineLevel="0" collapsed="false">
      <c r="I4152" s="15" t="str">
        <f aca="false">IF(N4152="","",INT(N4152))</f>
        <v/>
      </c>
      <c r="J4152" s="16" t="str">
        <f aca="false">IF(B4152="","",IF(N4152=_xlfn.MINIFS($N$2:$N$5001,$B$2:$B$5001,B4152),1,0))</f>
        <v/>
      </c>
      <c r="K4152" s="16" t="str">
        <f aca="false">IF(B4152="","",IF(AND(D4152="Formalização",E4152="Concluído"),IF(COUNTIFS($B$2:$B$5001,B4152,$E$2:$E$5001,"Em ajustes",$N$2:$N$5001,"&lt;"&amp;I4152)&gt;0,1,0),0))</f>
        <v/>
      </c>
      <c r="L4152" s="16" t="str">
        <f aca="false">IF(B4152="","",IF(N4152=_xlfn.MAXIFS($N$2:$N$5001,$B$2:$B$5001,B4152,$I$2:$I$5001,I4152),1,0))</f>
        <v/>
      </c>
      <c r="M4152" s="16" t="str">
        <f aca="false">IF(B4152="","",IF(E4152="Em ajustes",IF(N4152=_xlfn.MINIFS($N$2:$N$5001,$B$2:$B$5001,B4152,$E$2:$E$5001,"Em ajustes"),1,0),0))</f>
        <v/>
      </c>
      <c r="N4152" s="17" t="str">
        <f aca="false">IF(A4152="","",IF(ISNUMBER(A4152),A4152,IFERROR(DATE(VALUE(MID(A4152,7,4)),VALUE(MID(A4152,4,2)),VALUE(MID(A4152,1,2)))+TIME(VALUE(MID(A4152,12,2)),VALUE(MID(A4152,15,2)),VALUE(MID(A4152,18,2))),"")))</f>
        <v/>
      </c>
    </row>
    <row r="4153" customFormat="false" ht="15" hidden="false" customHeight="false" outlineLevel="0" collapsed="false">
      <c r="I4153" s="15" t="str">
        <f aca="false">IF(N4153="","",INT(N4153))</f>
        <v/>
      </c>
      <c r="J4153" s="16" t="str">
        <f aca="false">IF(B4153="","",IF(N4153=_xlfn.MINIFS($N$2:$N$5001,$B$2:$B$5001,B4153),1,0))</f>
        <v/>
      </c>
      <c r="K4153" s="16" t="str">
        <f aca="false">IF(B4153="","",IF(AND(D4153="Formalização",E4153="Concluído"),IF(COUNTIFS($B$2:$B$5001,B4153,$E$2:$E$5001,"Em ajustes",$N$2:$N$5001,"&lt;"&amp;I4153)&gt;0,1,0),0))</f>
        <v/>
      </c>
      <c r="L4153" s="16" t="str">
        <f aca="false">IF(B4153="","",IF(N4153=_xlfn.MAXIFS($N$2:$N$5001,$B$2:$B$5001,B4153,$I$2:$I$5001,I4153),1,0))</f>
        <v/>
      </c>
      <c r="M4153" s="16" t="str">
        <f aca="false">IF(B4153="","",IF(E4153="Em ajustes",IF(N4153=_xlfn.MINIFS($N$2:$N$5001,$B$2:$B$5001,B4153,$E$2:$E$5001,"Em ajustes"),1,0),0))</f>
        <v/>
      </c>
      <c r="N4153" s="17" t="str">
        <f aca="false">IF(A4153="","",IF(ISNUMBER(A4153),A4153,IFERROR(DATE(VALUE(MID(A4153,7,4)),VALUE(MID(A4153,4,2)),VALUE(MID(A4153,1,2)))+TIME(VALUE(MID(A4153,12,2)),VALUE(MID(A4153,15,2)),VALUE(MID(A4153,18,2))),"")))</f>
        <v/>
      </c>
    </row>
    <row r="4154" customFormat="false" ht="15" hidden="false" customHeight="false" outlineLevel="0" collapsed="false">
      <c r="I4154" s="15" t="str">
        <f aca="false">IF(N4154="","",INT(N4154))</f>
        <v/>
      </c>
      <c r="J4154" s="16" t="str">
        <f aca="false">IF(B4154="","",IF(N4154=_xlfn.MINIFS($N$2:$N$5001,$B$2:$B$5001,B4154),1,0))</f>
        <v/>
      </c>
      <c r="K4154" s="16" t="str">
        <f aca="false">IF(B4154="","",IF(AND(D4154="Formalização",E4154="Concluído"),IF(COUNTIFS($B$2:$B$5001,B4154,$E$2:$E$5001,"Em ajustes",$N$2:$N$5001,"&lt;"&amp;I4154)&gt;0,1,0),0))</f>
        <v/>
      </c>
      <c r="L4154" s="16" t="str">
        <f aca="false">IF(B4154="","",IF(N4154=_xlfn.MAXIFS($N$2:$N$5001,$B$2:$B$5001,B4154,$I$2:$I$5001,I4154),1,0))</f>
        <v/>
      </c>
      <c r="M4154" s="16" t="str">
        <f aca="false">IF(B4154="","",IF(E4154="Em ajustes",IF(N4154=_xlfn.MINIFS($N$2:$N$5001,$B$2:$B$5001,B4154,$E$2:$E$5001,"Em ajustes"),1,0),0))</f>
        <v/>
      </c>
      <c r="N4154" s="17" t="str">
        <f aca="false">IF(A4154="","",IF(ISNUMBER(A4154),A4154,IFERROR(DATE(VALUE(MID(A4154,7,4)),VALUE(MID(A4154,4,2)),VALUE(MID(A4154,1,2)))+TIME(VALUE(MID(A4154,12,2)),VALUE(MID(A4154,15,2)),VALUE(MID(A4154,18,2))),"")))</f>
        <v/>
      </c>
    </row>
    <row r="4155" customFormat="false" ht="15" hidden="false" customHeight="false" outlineLevel="0" collapsed="false">
      <c r="I4155" s="15" t="str">
        <f aca="false">IF(N4155="","",INT(N4155))</f>
        <v/>
      </c>
      <c r="J4155" s="16" t="str">
        <f aca="false">IF(B4155="","",IF(N4155=_xlfn.MINIFS($N$2:$N$5001,$B$2:$B$5001,B4155),1,0))</f>
        <v/>
      </c>
      <c r="K4155" s="16" t="str">
        <f aca="false">IF(B4155="","",IF(AND(D4155="Formalização",E4155="Concluído"),IF(COUNTIFS($B$2:$B$5001,B4155,$E$2:$E$5001,"Em ajustes",$N$2:$N$5001,"&lt;"&amp;I4155)&gt;0,1,0),0))</f>
        <v/>
      </c>
      <c r="L4155" s="16" t="str">
        <f aca="false">IF(B4155="","",IF(N4155=_xlfn.MAXIFS($N$2:$N$5001,$B$2:$B$5001,B4155,$I$2:$I$5001,I4155),1,0))</f>
        <v/>
      </c>
      <c r="M4155" s="16" t="str">
        <f aca="false">IF(B4155="","",IF(E4155="Em ajustes",IF(N4155=_xlfn.MINIFS($N$2:$N$5001,$B$2:$B$5001,B4155,$E$2:$E$5001,"Em ajustes"),1,0),0))</f>
        <v/>
      </c>
      <c r="N4155" s="17" t="str">
        <f aca="false">IF(A4155="","",IF(ISNUMBER(A4155),A4155,IFERROR(DATE(VALUE(MID(A4155,7,4)),VALUE(MID(A4155,4,2)),VALUE(MID(A4155,1,2)))+TIME(VALUE(MID(A4155,12,2)),VALUE(MID(A4155,15,2)),VALUE(MID(A4155,18,2))),"")))</f>
        <v/>
      </c>
    </row>
    <row r="4156" customFormat="false" ht="15" hidden="false" customHeight="false" outlineLevel="0" collapsed="false">
      <c r="I4156" s="15" t="str">
        <f aca="false">IF(N4156="","",INT(N4156))</f>
        <v/>
      </c>
      <c r="J4156" s="16" t="str">
        <f aca="false">IF(B4156="","",IF(N4156=_xlfn.MINIFS($N$2:$N$5001,$B$2:$B$5001,B4156),1,0))</f>
        <v/>
      </c>
      <c r="K4156" s="16" t="str">
        <f aca="false">IF(B4156="","",IF(AND(D4156="Formalização",E4156="Concluído"),IF(COUNTIFS($B$2:$B$5001,B4156,$E$2:$E$5001,"Em ajustes",$N$2:$N$5001,"&lt;"&amp;I4156)&gt;0,1,0),0))</f>
        <v/>
      </c>
      <c r="L4156" s="16" t="str">
        <f aca="false">IF(B4156="","",IF(N4156=_xlfn.MAXIFS($N$2:$N$5001,$B$2:$B$5001,B4156,$I$2:$I$5001,I4156),1,0))</f>
        <v/>
      </c>
      <c r="M4156" s="16" t="str">
        <f aca="false">IF(B4156="","",IF(E4156="Em ajustes",IF(N4156=_xlfn.MINIFS($N$2:$N$5001,$B$2:$B$5001,B4156,$E$2:$E$5001,"Em ajustes"),1,0),0))</f>
        <v/>
      </c>
      <c r="N4156" s="17" t="str">
        <f aca="false">IF(A4156="","",IF(ISNUMBER(A4156),A4156,IFERROR(DATE(VALUE(MID(A4156,7,4)),VALUE(MID(A4156,4,2)),VALUE(MID(A4156,1,2)))+TIME(VALUE(MID(A4156,12,2)),VALUE(MID(A4156,15,2)),VALUE(MID(A4156,18,2))),"")))</f>
        <v/>
      </c>
    </row>
    <row r="4157" customFormat="false" ht="15" hidden="false" customHeight="false" outlineLevel="0" collapsed="false">
      <c r="I4157" s="15" t="str">
        <f aca="false">IF(N4157="","",INT(N4157))</f>
        <v/>
      </c>
      <c r="J4157" s="16" t="str">
        <f aca="false">IF(B4157="","",IF(N4157=_xlfn.MINIFS($N$2:$N$5001,$B$2:$B$5001,B4157),1,0))</f>
        <v/>
      </c>
      <c r="K4157" s="16" t="str">
        <f aca="false">IF(B4157="","",IF(AND(D4157="Formalização",E4157="Concluído"),IF(COUNTIFS($B$2:$B$5001,B4157,$E$2:$E$5001,"Em ajustes",$N$2:$N$5001,"&lt;"&amp;I4157)&gt;0,1,0),0))</f>
        <v/>
      </c>
      <c r="L4157" s="16" t="str">
        <f aca="false">IF(B4157="","",IF(N4157=_xlfn.MAXIFS($N$2:$N$5001,$B$2:$B$5001,B4157,$I$2:$I$5001,I4157),1,0))</f>
        <v/>
      </c>
      <c r="M4157" s="16" t="str">
        <f aca="false">IF(B4157="","",IF(E4157="Em ajustes",IF(N4157=_xlfn.MINIFS($N$2:$N$5001,$B$2:$B$5001,B4157,$E$2:$E$5001,"Em ajustes"),1,0),0))</f>
        <v/>
      </c>
      <c r="N4157" s="17" t="str">
        <f aca="false">IF(A4157="","",IF(ISNUMBER(A4157),A4157,IFERROR(DATE(VALUE(MID(A4157,7,4)),VALUE(MID(A4157,4,2)),VALUE(MID(A4157,1,2)))+TIME(VALUE(MID(A4157,12,2)),VALUE(MID(A4157,15,2)),VALUE(MID(A4157,18,2))),"")))</f>
        <v/>
      </c>
    </row>
    <row r="4158" customFormat="false" ht="15" hidden="false" customHeight="false" outlineLevel="0" collapsed="false">
      <c r="I4158" s="15" t="str">
        <f aca="false">IF(N4158="","",INT(N4158))</f>
        <v/>
      </c>
      <c r="J4158" s="16" t="str">
        <f aca="false">IF(B4158="","",IF(N4158=_xlfn.MINIFS($N$2:$N$5001,$B$2:$B$5001,B4158),1,0))</f>
        <v/>
      </c>
      <c r="K4158" s="16" t="str">
        <f aca="false">IF(B4158="","",IF(AND(D4158="Formalização",E4158="Concluído"),IF(COUNTIFS($B$2:$B$5001,B4158,$E$2:$E$5001,"Em ajustes",$N$2:$N$5001,"&lt;"&amp;I4158)&gt;0,1,0),0))</f>
        <v/>
      </c>
      <c r="L4158" s="16" t="str">
        <f aca="false">IF(B4158="","",IF(N4158=_xlfn.MAXIFS($N$2:$N$5001,$B$2:$B$5001,B4158,$I$2:$I$5001,I4158),1,0))</f>
        <v/>
      </c>
      <c r="M4158" s="16" t="str">
        <f aca="false">IF(B4158="","",IF(E4158="Em ajustes",IF(N4158=_xlfn.MINIFS($N$2:$N$5001,$B$2:$B$5001,B4158,$E$2:$E$5001,"Em ajustes"),1,0),0))</f>
        <v/>
      </c>
      <c r="N4158" s="17" t="str">
        <f aca="false">IF(A4158="","",IF(ISNUMBER(A4158),A4158,IFERROR(DATE(VALUE(MID(A4158,7,4)),VALUE(MID(A4158,4,2)),VALUE(MID(A4158,1,2)))+TIME(VALUE(MID(A4158,12,2)),VALUE(MID(A4158,15,2)),VALUE(MID(A4158,18,2))),"")))</f>
        <v/>
      </c>
    </row>
    <row r="4159" customFormat="false" ht="15" hidden="false" customHeight="false" outlineLevel="0" collapsed="false">
      <c r="I4159" s="15" t="str">
        <f aca="false">IF(N4159="","",INT(N4159))</f>
        <v/>
      </c>
      <c r="J4159" s="16" t="str">
        <f aca="false">IF(B4159="","",IF(N4159=_xlfn.MINIFS($N$2:$N$5001,$B$2:$B$5001,B4159),1,0))</f>
        <v/>
      </c>
      <c r="K4159" s="16" t="str">
        <f aca="false">IF(B4159="","",IF(AND(D4159="Formalização",E4159="Concluído"),IF(COUNTIFS($B$2:$B$5001,B4159,$E$2:$E$5001,"Em ajustes",$N$2:$N$5001,"&lt;"&amp;I4159)&gt;0,1,0),0))</f>
        <v/>
      </c>
      <c r="L4159" s="16" t="str">
        <f aca="false">IF(B4159="","",IF(N4159=_xlfn.MAXIFS($N$2:$N$5001,$B$2:$B$5001,B4159,$I$2:$I$5001,I4159),1,0))</f>
        <v/>
      </c>
      <c r="M4159" s="16" t="str">
        <f aca="false">IF(B4159="","",IF(E4159="Em ajustes",IF(N4159=_xlfn.MINIFS($N$2:$N$5001,$B$2:$B$5001,B4159,$E$2:$E$5001,"Em ajustes"),1,0),0))</f>
        <v/>
      </c>
      <c r="N4159" s="17" t="str">
        <f aca="false">IF(A4159="","",IF(ISNUMBER(A4159),A4159,IFERROR(DATE(VALUE(MID(A4159,7,4)),VALUE(MID(A4159,4,2)),VALUE(MID(A4159,1,2)))+TIME(VALUE(MID(A4159,12,2)),VALUE(MID(A4159,15,2)),VALUE(MID(A4159,18,2))),"")))</f>
        <v/>
      </c>
    </row>
    <row r="4160" customFormat="false" ht="15" hidden="false" customHeight="false" outlineLevel="0" collapsed="false">
      <c r="I4160" s="15" t="str">
        <f aca="false">IF(N4160="","",INT(N4160))</f>
        <v/>
      </c>
      <c r="J4160" s="16" t="str">
        <f aca="false">IF(B4160="","",IF(N4160=_xlfn.MINIFS($N$2:$N$5001,$B$2:$B$5001,B4160),1,0))</f>
        <v/>
      </c>
      <c r="K4160" s="16" t="str">
        <f aca="false">IF(B4160="","",IF(AND(D4160="Formalização",E4160="Concluído"),IF(COUNTIFS($B$2:$B$5001,B4160,$E$2:$E$5001,"Em ajustes",$N$2:$N$5001,"&lt;"&amp;I4160)&gt;0,1,0),0))</f>
        <v/>
      </c>
      <c r="L4160" s="16" t="str">
        <f aca="false">IF(B4160="","",IF(N4160=_xlfn.MAXIFS($N$2:$N$5001,$B$2:$B$5001,B4160,$I$2:$I$5001,I4160),1,0))</f>
        <v/>
      </c>
      <c r="M4160" s="16" t="str">
        <f aca="false">IF(B4160="","",IF(E4160="Em ajustes",IF(N4160=_xlfn.MINIFS($N$2:$N$5001,$B$2:$B$5001,B4160,$E$2:$E$5001,"Em ajustes"),1,0),0))</f>
        <v/>
      </c>
      <c r="N4160" s="17" t="str">
        <f aca="false">IF(A4160="","",IF(ISNUMBER(A4160),A4160,IFERROR(DATE(VALUE(MID(A4160,7,4)),VALUE(MID(A4160,4,2)),VALUE(MID(A4160,1,2)))+TIME(VALUE(MID(A4160,12,2)),VALUE(MID(A4160,15,2)),VALUE(MID(A4160,18,2))),"")))</f>
        <v/>
      </c>
    </row>
    <row r="4161" customFormat="false" ht="15" hidden="false" customHeight="false" outlineLevel="0" collapsed="false">
      <c r="I4161" s="15" t="str">
        <f aca="false">IF(N4161="","",INT(N4161))</f>
        <v/>
      </c>
      <c r="J4161" s="16" t="str">
        <f aca="false">IF(B4161="","",IF(N4161=_xlfn.MINIFS($N$2:$N$5001,$B$2:$B$5001,B4161),1,0))</f>
        <v/>
      </c>
      <c r="K4161" s="16" t="str">
        <f aca="false">IF(B4161="","",IF(AND(D4161="Formalização",E4161="Concluído"),IF(COUNTIFS($B$2:$B$5001,B4161,$E$2:$E$5001,"Em ajustes",$N$2:$N$5001,"&lt;"&amp;I4161)&gt;0,1,0),0))</f>
        <v/>
      </c>
      <c r="L4161" s="16" t="str">
        <f aca="false">IF(B4161="","",IF(N4161=_xlfn.MAXIFS($N$2:$N$5001,$B$2:$B$5001,B4161,$I$2:$I$5001,I4161),1,0))</f>
        <v/>
      </c>
      <c r="M4161" s="16" t="str">
        <f aca="false">IF(B4161="","",IF(E4161="Em ajustes",IF(N4161=_xlfn.MINIFS($N$2:$N$5001,$B$2:$B$5001,B4161,$E$2:$E$5001,"Em ajustes"),1,0),0))</f>
        <v/>
      </c>
      <c r="N4161" s="17" t="str">
        <f aca="false">IF(A4161="","",IF(ISNUMBER(A4161),A4161,IFERROR(DATE(VALUE(MID(A4161,7,4)),VALUE(MID(A4161,4,2)),VALUE(MID(A4161,1,2)))+TIME(VALUE(MID(A4161,12,2)),VALUE(MID(A4161,15,2)),VALUE(MID(A4161,18,2))),"")))</f>
        <v/>
      </c>
    </row>
    <row r="4162" customFormat="false" ht="15" hidden="false" customHeight="false" outlineLevel="0" collapsed="false">
      <c r="I4162" s="15" t="str">
        <f aca="false">IF(N4162="","",INT(N4162))</f>
        <v/>
      </c>
      <c r="J4162" s="16" t="str">
        <f aca="false">IF(B4162="","",IF(N4162=_xlfn.MINIFS($N$2:$N$5001,$B$2:$B$5001,B4162),1,0))</f>
        <v/>
      </c>
      <c r="K4162" s="16" t="str">
        <f aca="false">IF(B4162="","",IF(AND(D4162="Formalização",E4162="Concluído"),IF(COUNTIFS($B$2:$B$5001,B4162,$E$2:$E$5001,"Em ajustes",$N$2:$N$5001,"&lt;"&amp;I4162)&gt;0,1,0),0))</f>
        <v/>
      </c>
      <c r="L4162" s="16" t="str">
        <f aca="false">IF(B4162="","",IF(N4162=_xlfn.MAXIFS($N$2:$N$5001,$B$2:$B$5001,B4162,$I$2:$I$5001,I4162),1,0))</f>
        <v/>
      </c>
      <c r="M4162" s="16" t="str">
        <f aca="false">IF(B4162="","",IF(E4162="Em ajustes",IF(N4162=_xlfn.MINIFS($N$2:$N$5001,$B$2:$B$5001,B4162,$E$2:$E$5001,"Em ajustes"),1,0),0))</f>
        <v/>
      </c>
      <c r="N4162" s="17" t="str">
        <f aca="false">IF(A4162="","",IF(ISNUMBER(A4162),A4162,IFERROR(DATE(VALUE(MID(A4162,7,4)),VALUE(MID(A4162,4,2)),VALUE(MID(A4162,1,2)))+TIME(VALUE(MID(A4162,12,2)),VALUE(MID(A4162,15,2)),VALUE(MID(A4162,18,2))),"")))</f>
        <v/>
      </c>
    </row>
    <row r="4163" customFormat="false" ht="15" hidden="false" customHeight="false" outlineLevel="0" collapsed="false">
      <c r="I4163" s="15" t="str">
        <f aca="false">IF(N4163="","",INT(N4163))</f>
        <v/>
      </c>
      <c r="J4163" s="16" t="str">
        <f aca="false">IF(B4163="","",IF(N4163=_xlfn.MINIFS($N$2:$N$5001,$B$2:$B$5001,B4163),1,0))</f>
        <v/>
      </c>
      <c r="K4163" s="16" t="str">
        <f aca="false">IF(B4163="","",IF(AND(D4163="Formalização",E4163="Concluído"),IF(COUNTIFS($B$2:$B$5001,B4163,$E$2:$E$5001,"Em ajustes",$N$2:$N$5001,"&lt;"&amp;I4163)&gt;0,1,0),0))</f>
        <v/>
      </c>
      <c r="L4163" s="16" t="str">
        <f aca="false">IF(B4163="","",IF(N4163=_xlfn.MAXIFS($N$2:$N$5001,$B$2:$B$5001,B4163,$I$2:$I$5001,I4163),1,0))</f>
        <v/>
      </c>
      <c r="M4163" s="16" t="str">
        <f aca="false">IF(B4163="","",IF(E4163="Em ajustes",IF(N4163=_xlfn.MINIFS($N$2:$N$5001,$B$2:$B$5001,B4163,$E$2:$E$5001,"Em ajustes"),1,0),0))</f>
        <v/>
      </c>
      <c r="N4163" s="17" t="str">
        <f aca="false">IF(A4163="","",IF(ISNUMBER(A4163),A4163,IFERROR(DATE(VALUE(MID(A4163,7,4)),VALUE(MID(A4163,4,2)),VALUE(MID(A4163,1,2)))+TIME(VALUE(MID(A4163,12,2)),VALUE(MID(A4163,15,2)),VALUE(MID(A4163,18,2))),"")))</f>
        <v/>
      </c>
    </row>
    <row r="4164" customFormat="false" ht="15" hidden="false" customHeight="false" outlineLevel="0" collapsed="false">
      <c r="I4164" s="15" t="str">
        <f aca="false">IF(N4164="","",INT(N4164))</f>
        <v/>
      </c>
      <c r="J4164" s="16" t="str">
        <f aca="false">IF(B4164="","",IF(N4164=_xlfn.MINIFS($N$2:$N$5001,$B$2:$B$5001,B4164),1,0))</f>
        <v/>
      </c>
      <c r="K4164" s="16" t="str">
        <f aca="false">IF(B4164="","",IF(AND(D4164="Formalização",E4164="Concluído"),IF(COUNTIFS($B$2:$B$5001,B4164,$E$2:$E$5001,"Em ajustes",$N$2:$N$5001,"&lt;"&amp;I4164)&gt;0,1,0),0))</f>
        <v/>
      </c>
      <c r="L4164" s="16" t="str">
        <f aca="false">IF(B4164="","",IF(N4164=_xlfn.MAXIFS($N$2:$N$5001,$B$2:$B$5001,B4164,$I$2:$I$5001,I4164),1,0))</f>
        <v/>
      </c>
      <c r="M4164" s="16" t="str">
        <f aca="false">IF(B4164="","",IF(E4164="Em ajustes",IF(N4164=_xlfn.MINIFS($N$2:$N$5001,$B$2:$B$5001,B4164,$E$2:$E$5001,"Em ajustes"),1,0),0))</f>
        <v/>
      </c>
      <c r="N4164" s="17" t="str">
        <f aca="false">IF(A4164="","",IF(ISNUMBER(A4164),A4164,IFERROR(DATE(VALUE(MID(A4164,7,4)),VALUE(MID(A4164,4,2)),VALUE(MID(A4164,1,2)))+TIME(VALUE(MID(A4164,12,2)),VALUE(MID(A4164,15,2)),VALUE(MID(A4164,18,2))),"")))</f>
        <v/>
      </c>
    </row>
    <row r="4165" customFormat="false" ht="15" hidden="false" customHeight="false" outlineLevel="0" collapsed="false">
      <c r="I4165" s="15" t="str">
        <f aca="false">IF(N4165="","",INT(N4165))</f>
        <v/>
      </c>
      <c r="J4165" s="16" t="str">
        <f aca="false">IF(B4165="","",IF(N4165=_xlfn.MINIFS($N$2:$N$5001,$B$2:$B$5001,B4165),1,0))</f>
        <v/>
      </c>
      <c r="K4165" s="16" t="str">
        <f aca="false">IF(B4165="","",IF(AND(D4165="Formalização",E4165="Concluído"),IF(COUNTIFS($B$2:$B$5001,B4165,$E$2:$E$5001,"Em ajustes",$N$2:$N$5001,"&lt;"&amp;I4165)&gt;0,1,0),0))</f>
        <v/>
      </c>
      <c r="L4165" s="16" t="str">
        <f aca="false">IF(B4165="","",IF(N4165=_xlfn.MAXIFS($N$2:$N$5001,$B$2:$B$5001,B4165,$I$2:$I$5001,I4165),1,0))</f>
        <v/>
      </c>
      <c r="M4165" s="16" t="str">
        <f aca="false">IF(B4165="","",IF(E4165="Em ajustes",IF(N4165=_xlfn.MINIFS($N$2:$N$5001,$B$2:$B$5001,B4165,$E$2:$E$5001,"Em ajustes"),1,0),0))</f>
        <v/>
      </c>
      <c r="N4165" s="17" t="str">
        <f aca="false">IF(A4165="","",IF(ISNUMBER(A4165),A4165,IFERROR(DATE(VALUE(MID(A4165,7,4)),VALUE(MID(A4165,4,2)),VALUE(MID(A4165,1,2)))+TIME(VALUE(MID(A4165,12,2)),VALUE(MID(A4165,15,2)),VALUE(MID(A4165,18,2))),"")))</f>
        <v/>
      </c>
    </row>
    <row r="4166" customFormat="false" ht="15" hidden="false" customHeight="false" outlineLevel="0" collapsed="false">
      <c r="I4166" s="15" t="str">
        <f aca="false">IF(N4166="","",INT(N4166))</f>
        <v/>
      </c>
      <c r="J4166" s="16" t="str">
        <f aca="false">IF(B4166="","",IF(N4166=_xlfn.MINIFS($N$2:$N$5001,$B$2:$B$5001,B4166),1,0))</f>
        <v/>
      </c>
      <c r="K4166" s="16" t="str">
        <f aca="false">IF(B4166="","",IF(AND(D4166="Formalização",E4166="Concluído"),IF(COUNTIFS($B$2:$B$5001,B4166,$E$2:$E$5001,"Em ajustes",$N$2:$N$5001,"&lt;"&amp;I4166)&gt;0,1,0),0))</f>
        <v/>
      </c>
      <c r="L4166" s="16" t="str">
        <f aca="false">IF(B4166="","",IF(N4166=_xlfn.MAXIFS($N$2:$N$5001,$B$2:$B$5001,B4166,$I$2:$I$5001,I4166),1,0))</f>
        <v/>
      </c>
      <c r="M4166" s="16" t="str">
        <f aca="false">IF(B4166="","",IF(E4166="Em ajustes",IF(N4166=_xlfn.MINIFS($N$2:$N$5001,$B$2:$B$5001,B4166,$E$2:$E$5001,"Em ajustes"),1,0),0))</f>
        <v/>
      </c>
      <c r="N4166" s="17" t="str">
        <f aca="false">IF(A4166="","",IF(ISNUMBER(A4166),A4166,IFERROR(DATE(VALUE(MID(A4166,7,4)),VALUE(MID(A4166,4,2)),VALUE(MID(A4166,1,2)))+TIME(VALUE(MID(A4166,12,2)),VALUE(MID(A4166,15,2)),VALUE(MID(A4166,18,2))),"")))</f>
        <v/>
      </c>
    </row>
    <row r="4167" customFormat="false" ht="15" hidden="false" customHeight="false" outlineLevel="0" collapsed="false">
      <c r="I4167" s="15" t="str">
        <f aca="false">IF(N4167="","",INT(N4167))</f>
        <v/>
      </c>
      <c r="J4167" s="16" t="str">
        <f aca="false">IF(B4167="","",IF(N4167=_xlfn.MINIFS($N$2:$N$5001,$B$2:$B$5001,B4167),1,0))</f>
        <v/>
      </c>
      <c r="K4167" s="16" t="str">
        <f aca="false">IF(B4167="","",IF(AND(D4167="Formalização",E4167="Concluído"),IF(COUNTIFS($B$2:$B$5001,B4167,$E$2:$E$5001,"Em ajustes",$N$2:$N$5001,"&lt;"&amp;I4167)&gt;0,1,0),0))</f>
        <v/>
      </c>
      <c r="L4167" s="16" t="str">
        <f aca="false">IF(B4167="","",IF(N4167=_xlfn.MAXIFS($N$2:$N$5001,$B$2:$B$5001,B4167,$I$2:$I$5001,I4167),1,0))</f>
        <v/>
      </c>
      <c r="M4167" s="16" t="str">
        <f aca="false">IF(B4167="","",IF(E4167="Em ajustes",IF(N4167=_xlfn.MINIFS($N$2:$N$5001,$B$2:$B$5001,B4167,$E$2:$E$5001,"Em ajustes"),1,0),0))</f>
        <v/>
      </c>
      <c r="N4167" s="17" t="str">
        <f aca="false">IF(A4167="","",IF(ISNUMBER(A4167),A4167,IFERROR(DATE(VALUE(MID(A4167,7,4)),VALUE(MID(A4167,4,2)),VALUE(MID(A4167,1,2)))+TIME(VALUE(MID(A4167,12,2)),VALUE(MID(A4167,15,2)),VALUE(MID(A4167,18,2))),"")))</f>
        <v/>
      </c>
    </row>
    <row r="4168" customFormat="false" ht="15" hidden="false" customHeight="false" outlineLevel="0" collapsed="false">
      <c r="I4168" s="15" t="str">
        <f aca="false">IF(N4168="","",INT(N4168))</f>
        <v/>
      </c>
      <c r="J4168" s="16" t="str">
        <f aca="false">IF(B4168="","",IF(N4168=_xlfn.MINIFS($N$2:$N$5001,$B$2:$B$5001,B4168),1,0))</f>
        <v/>
      </c>
      <c r="K4168" s="16" t="str">
        <f aca="false">IF(B4168="","",IF(AND(D4168="Formalização",E4168="Concluído"),IF(COUNTIFS($B$2:$B$5001,B4168,$E$2:$E$5001,"Em ajustes",$N$2:$N$5001,"&lt;"&amp;I4168)&gt;0,1,0),0))</f>
        <v/>
      </c>
      <c r="L4168" s="16" t="str">
        <f aca="false">IF(B4168="","",IF(N4168=_xlfn.MAXIFS($N$2:$N$5001,$B$2:$B$5001,B4168,$I$2:$I$5001,I4168),1,0))</f>
        <v/>
      </c>
      <c r="M4168" s="16" t="str">
        <f aca="false">IF(B4168="","",IF(E4168="Em ajustes",IF(N4168=_xlfn.MINIFS($N$2:$N$5001,$B$2:$B$5001,B4168,$E$2:$E$5001,"Em ajustes"),1,0),0))</f>
        <v/>
      </c>
      <c r="N4168" s="17" t="str">
        <f aca="false">IF(A4168="","",IF(ISNUMBER(A4168),A4168,IFERROR(DATE(VALUE(MID(A4168,7,4)),VALUE(MID(A4168,4,2)),VALUE(MID(A4168,1,2)))+TIME(VALUE(MID(A4168,12,2)),VALUE(MID(A4168,15,2)),VALUE(MID(A4168,18,2))),"")))</f>
        <v/>
      </c>
    </row>
    <row r="4169" customFormat="false" ht="15" hidden="false" customHeight="false" outlineLevel="0" collapsed="false">
      <c r="I4169" s="15" t="str">
        <f aca="false">IF(N4169="","",INT(N4169))</f>
        <v/>
      </c>
      <c r="J4169" s="16" t="str">
        <f aca="false">IF(B4169="","",IF(N4169=_xlfn.MINIFS($N$2:$N$5001,$B$2:$B$5001,B4169),1,0))</f>
        <v/>
      </c>
      <c r="K4169" s="16" t="str">
        <f aca="false">IF(B4169="","",IF(AND(D4169="Formalização",E4169="Concluído"),IF(COUNTIFS($B$2:$B$5001,B4169,$E$2:$E$5001,"Em ajustes",$N$2:$N$5001,"&lt;"&amp;I4169)&gt;0,1,0),0))</f>
        <v/>
      </c>
      <c r="L4169" s="16" t="str">
        <f aca="false">IF(B4169="","",IF(N4169=_xlfn.MAXIFS($N$2:$N$5001,$B$2:$B$5001,B4169,$I$2:$I$5001,I4169),1,0))</f>
        <v/>
      </c>
      <c r="M4169" s="16" t="str">
        <f aca="false">IF(B4169="","",IF(E4169="Em ajustes",IF(N4169=_xlfn.MINIFS($N$2:$N$5001,$B$2:$B$5001,B4169,$E$2:$E$5001,"Em ajustes"),1,0),0))</f>
        <v/>
      </c>
      <c r="N4169" s="17" t="str">
        <f aca="false">IF(A4169="","",IF(ISNUMBER(A4169),A4169,IFERROR(DATE(VALUE(MID(A4169,7,4)),VALUE(MID(A4169,4,2)),VALUE(MID(A4169,1,2)))+TIME(VALUE(MID(A4169,12,2)),VALUE(MID(A4169,15,2)),VALUE(MID(A4169,18,2))),"")))</f>
        <v/>
      </c>
    </row>
    <row r="4170" customFormat="false" ht="15" hidden="false" customHeight="false" outlineLevel="0" collapsed="false">
      <c r="I4170" s="15" t="str">
        <f aca="false">IF(N4170="","",INT(N4170))</f>
        <v/>
      </c>
      <c r="J4170" s="16" t="str">
        <f aca="false">IF(B4170="","",IF(N4170=_xlfn.MINIFS($N$2:$N$5001,$B$2:$B$5001,B4170),1,0))</f>
        <v/>
      </c>
      <c r="K4170" s="16" t="str">
        <f aca="false">IF(B4170="","",IF(AND(D4170="Formalização",E4170="Concluído"),IF(COUNTIFS($B$2:$B$5001,B4170,$E$2:$E$5001,"Em ajustes",$N$2:$N$5001,"&lt;"&amp;I4170)&gt;0,1,0),0))</f>
        <v/>
      </c>
      <c r="L4170" s="16" t="str">
        <f aca="false">IF(B4170="","",IF(N4170=_xlfn.MAXIFS($N$2:$N$5001,$B$2:$B$5001,B4170,$I$2:$I$5001,I4170),1,0))</f>
        <v/>
      </c>
      <c r="M4170" s="16" t="str">
        <f aca="false">IF(B4170="","",IF(E4170="Em ajustes",IF(N4170=_xlfn.MINIFS($N$2:$N$5001,$B$2:$B$5001,B4170,$E$2:$E$5001,"Em ajustes"),1,0),0))</f>
        <v/>
      </c>
      <c r="N4170" s="17" t="str">
        <f aca="false">IF(A4170="","",IF(ISNUMBER(A4170),A4170,IFERROR(DATE(VALUE(MID(A4170,7,4)),VALUE(MID(A4170,4,2)),VALUE(MID(A4170,1,2)))+TIME(VALUE(MID(A4170,12,2)),VALUE(MID(A4170,15,2)),VALUE(MID(A4170,18,2))),"")))</f>
        <v/>
      </c>
    </row>
    <row r="4171" customFormat="false" ht="15" hidden="false" customHeight="false" outlineLevel="0" collapsed="false">
      <c r="I4171" s="15" t="str">
        <f aca="false">IF(N4171="","",INT(N4171))</f>
        <v/>
      </c>
      <c r="J4171" s="16" t="str">
        <f aca="false">IF(B4171="","",IF(N4171=_xlfn.MINIFS($N$2:$N$5001,$B$2:$B$5001,B4171),1,0))</f>
        <v/>
      </c>
      <c r="K4171" s="16" t="str">
        <f aca="false">IF(B4171="","",IF(AND(D4171="Formalização",E4171="Concluído"),IF(COUNTIFS($B$2:$B$5001,B4171,$E$2:$E$5001,"Em ajustes",$N$2:$N$5001,"&lt;"&amp;I4171)&gt;0,1,0),0))</f>
        <v/>
      </c>
      <c r="L4171" s="16" t="str">
        <f aca="false">IF(B4171="","",IF(N4171=_xlfn.MAXIFS($N$2:$N$5001,$B$2:$B$5001,B4171,$I$2:$I$5001,I4171),1,0))</f>
        <v/>
      </c>
      <c r="M4171" s="16" t="str">
        <f aca="false">IF(B4171="","",IF(E4171="Em ajustes",IF(N4171=_xlfn.MINIFS($N$2:$N$5001,$B$2:$B$5001,B4171,$E$2:$E$5001,"Em ajustes"),1,0),0))</f>
        <v/>
      </c>
      <c r="N4171" s="17" t="str">
        <f aca="false">IF(A4171="","",IF(ISNUMBER(A4171),A4171,IFERROR(DATE(VALUE(MID(A4171,7,4)),VALUE(MID(A4171,4,2)),VALUE(MID(A4171,1,2)))+TIME(VALUE(MID(A4171,12,2)),VALUE(MID(A4171,15,2)),VALUE(MID(A4171,18,2))),"")))</f>
        <v/>
      </c>
    </row>
    <row r="4172" customFormat="false" ht="15" hidden="false" customHeight="false" outlineLevel="0" collapsed="false">
      <c r="I4172" s="15" t="str">
        <f aca="false">IF(N4172="","",INT(N4172))</f>
        <v/>
      </c>
      <c r="J4172" s="16" t="str">
        <f aca="false">IF(B4172="","",IF(N4172=_xlfn.MINIFS($N$2:$N$5001,$B$2:$B$5001,B4172),1,0))</f>
        <v/>
      </c>
      <c r="K4172" s="16" t="str">
        <f aca="false">IF(B4172="","",IF(AND(D4172="Formalização",E4172="Concluído"),IF(COUNTIFS($B$2:$B$5001,B4172,$E$2:$E$5001,"Em ajustes",$N$2:$N$5001,"&lt;"&amp;I4172)&gt;0,1,0),0))</f>
        <v/>
      </c>
      <c r="L4172" s="16" t="str">
        <f aca="false">IF(B4172="","",IF(N4172=_xlfn.MAXIFS($N$2:$N$5001,$B$2:$B$5001,B4172,$I$2:$I$5001,I4172),1,0))</f>
        <v/>
      </c>
      <c r="M4172" s="16" t="str">
        <f aca="false">IF(B4172="","",IF(E4172="Em ajustes",IF(N4172=_xlfn.MINIFS($N$2:$N$5001,$B$2:$B$5001,B4172,$E$2:$E$5001,"Em ajustes"),1,0),0))</f>
        <v/>
      </c>
      <c r="N4172" s="17" t="str">
        <f aca="false">IF(A4172="","",IF(ISNUMBER(A4172),A4172,IFERROR(DATE(VALUE(MID(A4172,7,4)),VALUE(MID(A4172,4,2)),VALUE(MID(A4172,1,2)))+TIME(VALUE(MID(A4172,12,2)),VALUE(MID(A4172,15,2)),VALUE(MID(A4172,18,2))),"")))</f>
        <v/>
      </c>
    </row>
    <row r="4173" customFormat="false" ht="15" hidden="false" customHeight="false" outlineLevel="0" collapsed="false">
      <c r="I4173" s="15" t="str">
        <f aca="false">IF(N4173="","",INT(N4173))</f>
        <v/>
      </c>
      <c r="J4173" s="16" t="str">
        <f aca="false">IF(B4173="","",IF(N4173=_xlfn.MINIFS($N$2:$N$5001,$B$2:$B$5001,B4173),1,0))</f>
        <v/>
      </c>
      <c r="K4173" s="16" t="str">
        <f aca="false">IF(B4173="","",IF(AND(D4173="Formalização",E4173="Concluído"),IF(COUNTIFS($B$2:$B$5001,B4173,$E$2:$E$5001,"Em ajustes",$N$2:$N$5001,"&lt;"&amp;I4173)&gt;0,1,0),0))</f>
        <v/>
      </c>
      <c r="L4173" s="16" t="str">
        <f aca="false">IF(B4173="","",IF(N4173=_xlfn.MAXIFS($N$2:$N$5001,$B$2:$B$5001,B4173,$I$2:$I$5001,I4173),1,0))</f>
        <v/>
      </c>
      <c r="M4173" s="16" t="str">
        <f aca="false">IF(B4173="","",IF(E4173="Em ajustes",IF(N4173=_xlfn.MINIFS($N$2:$N$5001,$B$2:$B$5001,B4173,$E$2:$E$5001,"Em ajustes"),1,0),0))</f>
        <v/>
      </c>
      <c r="N4173" s="17" t="str">
        <f aca="false">IF(A4173="","",IF(ISNUMBER(A4173),A4173,IFERROR(DATE(VALUE(MID(A4173,7,4)),VALUE(MID(A4173,4,2)),VALUE(MID(A4173,1,2)))+TIME(VALUE(MID(A4173,12,2)),VALUE(MID(A4173,15,2)),VALUE(MID(A4173,18,2))),"")))</f>
        <v/>
      </c>
    </row>
    <row r="4174" customFormat="false" ht="15" hidden="false" customHeight="false" outlineLevel="0" collapsed="false">
      <c r="I4174" s="15" t="str">
        <f aca="false">IF(N4174="","",INT(N4174))</f>
        <v/>
      </c>
      <c r="J4174" s="16" t="str">
        <f aca="false">IF(B4174="","",IF(N4174=_xlfn.MINIFS($N$2:$N$5001,$B$2:$B$5001,B4174),1,0))</f>
        <v/>
      </c>
      <c r="K4174" s="16" t="str">
        <f aca="false">IF(B4174="","",IF(AND(D4174="Formalização",E4174="Concluído"),IF(COUNTIFS($B$2:$B$5001,B4174,$E$2:$E$5001,"Em ajustes",$N$2:$N$5001,"&lt;"&amp;I4174)&gt;0,1,0),0))</f>
        <v/>
      </c>
      <c r="L4174" s="16" t="str">
        <f aca="false">IF(B4174="","",IF(N4174=_xlfn.MAXIFS($N$2:$N$5001,$B$2:$B$5001,B4174,$I$2:$I$5001,I4174),1,0))</f>
        <v/>
      </c>
      <c r="M4174" s="16" t="str">
        <f aca="false">IF(B4174="","",IF(E4174="Em ajustes",IF(N4174=_xlfn.MINIFS($N$2:$N$5001,$B$2:$B$5001,B4174,$E$2:$E$5001,"Em ajustes"),1,0),0))</f>
        <v/>
      </c>
      <c r="N4174" s="17" t="str">
        <f aca="false">IF(A4174="","",IF(ISNUMBER(A4174),A4174,IFERROR(DATE(VALUE(MID(A4174,7,4)),VALUE(MID(A4174,4,2)),VALUE(MID(A4174,1,2)))+TIME(VALUE(MID(A4174,12,2)),VALUE(MID(A4174,15,2)),VALUE(MID(A4174,18,2))),"")))</f>
        <v/>
      </c>
    </row>
    <row r="4175" customFormat="false" ht="15" hidden="false" customHeight="false" outlineLevel="0" collapsed="false">
      <c r="I4175" s="15" t="str">
        <f aca="false">IF(N4175="","",INT(N4175))</f>
        <v/>
      </c>
      <c r="J4175" s="16" t="str">
        <f aca="false">IF(B4175="","",IF(N4175=_xlfn.MINIFS($N$2:$N$5001,$B$2:$B$5001,B4175),1,0))</f>
        <v/>
      </c>
      <c r="K4175" s="16" t="str">
        <f aca="false">IF(B4175="","",IF(AND(D4175="Formalização",E4175="Concluído"),IF(COUNTIFS($B$2:$B$5001,B4175,$E$2:$E$5001,"Em ajustes",$N$2:$N$5001,"&lt;"&amp;I4175)&gt;0,1,0),0))</f>
        <v/>
      </c>
      <c r="L4175" s="16" t="str">
        <f aca="false">IF(B4175="","",IF(N4175=_xlfn.MAXIFS($N$2:$N$5001,$B$2:$B$5001,B4175,$I$2:$I$5001,I4175),1,0))</f>
        <v/>
      </c>
      <c r="M4175" s="16" t="str">
        <f aca="false">IF(B4175="","",IF(E4175="Em ajustes",IF(N4175=_xlfn.MINIFS($N$2:$N$5001,$B$2:$B$5001,B4175,$E$2:$E$5001,"Em ajustes"),1,0),0))</f>
        <v/>
      </c>
      <c r="N4175" s="17" t="str">
        <f aca="false">IF(A4175="","",IF(ISNUMBER(A4175),A4175,IFERROR(DATE(VALUE(MID(A4175,7,4)),VALUE(MID(A4175,4,2)),VALUE(MID(A4175,1,2)))+TIME(VALUE(MID(A4175,12,2)),VALUE(MID(A4175,15,2)),VALUE(MID(A4175,18,2))),"")))</f>
        <v/>
      </c>
    </row>
    <row r="4176" customFormat="false" ht="15" hidden="false" customHeight="false" outlineLevel="0" collapsed="false">
      <c r="I4176" s="15" t="str">
        <f aca="false">IF(N4176="","",INT(N4176))</f>
        <v/>
      </c>
      <c r="J4176" s="16" t="str">
        <f aca="false">IF(B4176="","",IF(N4176=_xlfn.MINIFS($N$2:$N$5001,$B$2:$B$5001,B4176),1,0))</f>
        <v/>
      </c>
      <c r="K4176" s="16" t="str">
        <f aca="false">IF(B4176="","",IF(AND(D4176="Formalização",E4176="Concluído"),IF(COUNTIFS($B$2:$B$5001,B4176,$E$2:$E$5001,"Em ajustes",$N$2:$N$5001,"&lt;"&amp;I4176)&gt;0,1,0),0))</f>
        <v/>
      </c>
      <c r="L4176" s="16" t="str">
        <f aca="false">IF(B4176="","",IF(N4176=_xlfn.MAXIFS($N$2:$N$5001,$B$2:$B$5001,B4176,$I$2:$I$5001,I4176),1,0))</f>
        <v/>
      </c>
      <c r="M4176" s="16" t="str">
        <f aca="false">IF(B4176="","",IF(E4176="Em ajustes",IF(N4176=_xlfn.MINIFS($N$2:$N$5001,$B$2:$B$5001,B4176,$E$2:$E$5001,"Em ajustes"),1,0),0))</f>
        <v/>
      </c>
      <c r="N4176" s="17" t="str">
        <f aca="false">IF(A4176="","",IF(ISNUMBER(A4176),A4176,IFERROR(DATE(VALUE(MID(A4176,7,4)),VALUE(MID(A4176,4,2)),VALUE(MID(A4176,1,2)))+TIME(VALUE(MID(A4176,12,2)),VALUE(MID(A4176,15,2)),VALUE(MID(A4176,18,2))),"")))</f>
        <v/>
      </c>
    </row>
    <row r="4177" customFormat="false" ht="15" hidden="false" customHeight="false" outlineLevel="0" collapsed="false">
      <c r="I4177" s="15" t="str">
        <f aca="false">IF(N4177="","",INT(N4177))</f>
        <v/>
      </c>
      <c r="J4177" s="16" t="str">
        <f aca="false">IF(B4177="","",IF(N4177=_xlfn.MINIFS($N$2:$N$5001,$B$2:$B$5001,B4177),1,0))</f>
        <v/>
      </c>
      <c r="K4177" s="16" t="str">
        <f aca="false">IF(B4177="","",IF(AND(D4177="Formalização",E4177="Concluído"),IF(COUNTIFS($B$2:$B$5001,B4177,$E$2:$E$5001,"Em ajustes",$N$2:$N$5001,"&lt;"&amp;I4177)&gt;0,1,0),0))</f>
        <v/>
      </c>
      <c r="L4177" s="16" t="str">
        <f aca="false">IF(B4177="","",IF(N4177=_xlfn.MAXIFS($N$2:$N$5001,$B$2:$B$5001,B4177,$I$2:$I$5001,I4177),1,0))</f>
        <v/>
      </c>
      <c r="M4177" s="16" t="str">
        <f aca="false">IF(B4177="","",IF(E4177="Em ajustes",IF(N4177=_xlfn.MINIFS($N$2:$N$5001,$B$2:$B$5001,B4177,$E$2:$E$5001,"Em ajustes"),1,0),0))</f>
        <v/>
      </c>
      <c r="N4177" s="17" t="str">
        <f aca="false">IF(A4177="","",IF(ISNUMBER(A4177),A4177,IFERROR(DATE(VALUE(MID(A4177,7,4)),VALUE(MID(A4177,4,2)),VALUE(MID(A4177,1,2)))+TIME(VALUE(MID(A4177,12,2)),VALUE(MID(A4177,15,2)),VALUE(MID(A4177,18,2))),"")))</f>
        <v/>
      </c>
    </row>
    <row r="4178" customFormat="false" ht="15" hidden="false" customHeight="false" outlineLevel="0" collapsed="false">
      <c r="I4178" s="15" t="str">
        <f aca="false">IF(N4178="","",INT(N4178))</f>
        <v/>
      </c>
      <c r="J4178" s="16" t="str">
        <f aca="false">IF(B4178="","",IF(N4178=_xlfn.MINIFS($N$2:$N$5001,$B$2:$B$5001,B4178),1,0))</f>
        <v/>
      </c>
      <c r="K4178" s="16" t="str">
        <f aca="false">IF(B4178="","",IF(AND(D4178="Formalização",E4178="Concluído"),IF(COUNTIFS($B$2:$B$5001,B4178,$E$2:$E$5001,"Em ajustes",$N$2:$N$5001,"&lt;"&amp;I4178)&gt;0,1,0),0))</f>
        <v/>
      </c>
      <c r="L4178" s="16" t="str">
        <f aca="false">IF(B4178="","",IF(N4178=_xlfn.MAXIFS($N$2:$N$5001,$B$2:$B$5001,B4178,$I$2:$I$5001,I4178),1,0))</f>
        <v/>
      </c>
      <c r="M4178" s="16" t="str">
        <f aca="false">IF(B4178="","",IF(E4178="Em ajustes",IF(N4178=_xlfn.MINIFS($N$2:$N$5001,$B$2:$B$5001,B4178,$E$2:$E$5001,"Em ajustes"),1,0),0))</f>
        <v/>
      </c>
      <c r="N4178" s="17" t="str">
        <f aca="false">IF(A4178="","",IF(ISNUMBER(A4178),A4178,IFERROR(DATE(VALUE(MID(A4178,7,4)),VALUE(MID(A4178,4,2)),VALUE(MID(A4178,1,2)))+TIME(VALUE(MID(A4178,12,2)),VALUE(MID(A4178,15,2)),VALUE(MID(A4178,18,2))),"")))</f>
        <v/>
      </c>
    </row>
    <row r="4179" customFormat="false" ht="15" hidden="false" customHeight="false" outlineLevel="0" collapsed="false">
      <c r="I4179" s="15" t="str">
        <f aca="false">IF(N4179="","",INT(N4179))</f>
        <v/>
      </c>
      <c r="J4179" s="16" t="str">
        <f aca="false">IF(B4179="","",IF(N4179=_xlfn.MINIFS($N$2:$N$5001,$B$2:$B$5001,B4179),1,0))</f>
        <v/>
      </c>
      <c r="K4179" s="16" t="str">
        <f aca="false">IF(B4179="","",IF(AND(D4179="Formalização",E4179="Concluído"),IF(COUNTIFS($B$2:$B$5001,B4179,$E$2:$E$5001,"Em ajustes",$N$2:$N$5001,"&lt;"&amp;I4179)&gt;0,1,0),0))</f>
        <v/>
      </c>
      <c r="L4179" s="16" t="str">
        <f aca="false">IF(B4179="","",IF(N4179=_xlfn.MAXIFS($N$2:$N$5001,$B$2:$B$5001,B4179,$I$2:$I$5001,I4179),1,0))</f>
        <v/>
      </c>
      <c r="M4179" s="16" t="str">
        <f aca="false">IF(B4179="","",IF(E4179="Em ajustes",IF(N4179=_xlfn.MINIFS($N$2:$N$5001,$B$2:$B$5001,B4179,$E$2:$E$5001,"Em ajustes"),1,0),0))</f>
        <v/>
      </c>
      <c r="N4179" s="17" t="str">
        <f aca="false">IF(A4179="","",IF(ISNUMBER(A4179),A4179,IFERROR(DATE(VALUE(MID(A4179,7,4)),VALUE(MID(A4179,4,2)),VALUE(MID(A4179,1,2)))+TIME(VALUE(MID(A4179,12,2)),VALUE(MID(A4179,15,2)),VALUE(MID(A4179,18,2))),"")))</f>
        <v/>
      </c>
    </row>
    <row r="4180" customFormat="false" ht="15" hidden="false" customHeight="false" outlineLevel="0" collapsed="false">
      <c r="I4180" s="15" t="str">
        <f aca="false">IF(N4180="","",INT(N4180))</f>
        <v/>
      </c>
      <c r="J4180" s="16" t="str">
        <f aca="false">IF(B4180="","",IF(N4180=_xlfn.MINIFS($N$2:$N$5001,$B$2:$B$5001,B4180),1,0))</f>
        <v/>
      </c>
      <c r="K4180" s="16" t="str">
        <f aca="false">IF(B4180="","",IF(AND(D4180="Formalização",E4180="Concluído"),IF(COUNTIFS($B$2:$B$5001,B4180,$E$2:$E$5001,"Em ajustes",$N$2:$N$5001,"&lt;"&amp;I4180)&gt;0,1,0),0))</f>
        <v/>
      </c>
      <c r="L4180" s="16" t="str">
        <f aca="false">IF(B4180="","",IF(N4180=_xlfn.MAXIFS($N$2:$N$5001,$B$2:$B$5001,B4180,$I$2:$I$5001,I4180),1,0))</f>
        <v/>
      </c>
      <c r="M4180" s="16" t="str">
        <f aca="false">IF(B4180="","",IF(E4180="Em ajustes",IF(N4180=_xlfn.MINIFS($N$2:$N$5001,$B$2:$B$5001,B4180,$E$2:$E$5001,"Em ajustes"),1,0),0))</f>
        <v/>
      </c>
      <c r="N4180" s="17" t="str">
        <f aca="false">IF(A4180="","",IF(ISNUMBER(A4180),A4180,IFERROR(DATE(VALUE(MID(A4180,7,4)),VALUE(MID(A4180,4,2)),VALUE(MID(A4180,1,2)))+TIME(VALUE(MID(A4180,12,2)),VALUE(MID(A4180,15,2)),VALUE(MID(A4180,18,2))),"")))</f>
        <v/>
      </c>
    </row>
    <row r="4181" customFormat="false" ht="15" hidden="false" customHeight="false" outlineLevel="0" collapsed="false">
      <c r="I4181" s="15" t="str">
        <f aca="false">IF(N4181="","",INT(N4181))</f>
        <v/>
      </c>
      <c r="J4181" s="16" t="str">
        <f aca="false">IF(B4181="","",IF(N4181=_xlfn.MINIFS($N$2:$N$5001,$B$2:$B$5001,B4181),1,0))</f>
        <v/>
      </c>
      <c r="K4181" s="16" t="str">
        <f aca="false">IF(B4181="","",IF(AND(D4181="Formalização",E4181="Concluído"),IF(COUNTIFS($B$2:$B$5001,B4181,$E$2:$E$5001,"Em ajustes",$N$2:$N$5001,"&lt;"&amp;I4181)&gt;0,1,0),0))</f>
        <v/>
      </c>
      <c r="L4181" s="16" t="str">
        <f aca="false">IF(B4181="","",IF(N4181=_xlfn.MAXIFS($N$2:$N$5001,$B$2:$B$5001,B4181,$I$2:$I$5001,I4181),1,0))</f>
        <v/>
      </c>
      <c r="M4181" s="16" t="str">
        <f aca="false">IF(B4181="","",IF(E4181="Em ajustes",IF(N4181=_xlfn.MINIFS($N$2:$N$5001,$B$2:$B$5001,B4181,$E$2:$E$5001,"Em ajustes"),1,0),0))</f>
        <v/>
      </c>
      <c r="N4181" s="17" t="str">
        <f aca="false">IF(A4181="","",IF(ISNUMBER(A4181),A4181,IFERROR(DATE(VALUE(MID(A4181,7,4)),VALUE(MID(A4181,4,2)),VALUE(MID(A4181,1,2)))+TIME(VALUE(MID(A4181,12,2)),VALUE(MID(A4181,15,2)),VALUE(MID(A4181,18,2))),"")))</f>
        <v/>
      </c>
    </row>
    <row r="4182" customFormat="false" ht="15" hidden="false" customHeight="false" outlineLevel="0" collapsed="false">
      <c r="I4182" s="15" t="str">
        <f aca="false">IF(N4182="","",INT(N4182))</f>
        <v/>
      </c>
      <c r="J4182" s="16" t="str">
        <f aca="false">IF(B4182="","",IF(N4182=_xlfn.MINIFS($N$2:$N$5001,$B$2:$B$5001,B4182),1,0))</f>
        <v/>
      </c>
      <c r="K4182" s="16" t="str">
        <f aca="false">IF(B4182="","",IF(AND(D4182="Formalização",E4182="Concluído"),IF(COUNTIFS($B$2:$B$5001,B4182,$E$2:$E$5001,"Em ajustes",$N$2:$N$5001,"&lt;"&amp;I4182)&gt;0,1,0),0))</f>
        <v/>
      </c>
      <c r="L4182" s="16" t="str">
        <f aca="false">IF(B4182="","",IF(N4182=_xlfn.MAXIFS($N$2:$N$5001,$B$2:$B$5001,B4182,$I$2:$I$5001,I4182),1,0))</f>
        <v/>
      </c>
      <c r="M4182" s="16" t="str">
        <f aca="false">IF(B4182="","",IF(E4182="Em ajustes",IF(N4182=_xlfn.MINIFS($N$2:$N$5001,$B$2:$B$5001,B4182,$E$2:$E$5001,"Em ajustes"),1,0),0))</f>
        <v/>
      </c>
      <c r="N4182" s="17" t="str">
        <f aca="false">IF(A4182="","",IF(ISNUMBER(A4182),A4182,IFERROR(DATE(VALUE(MID(A4182,7,4)),VALUE(MID(A4182,4,2)),VALUE(MID(A4182,1,2)))+TIME(VALUE(MID(A4182,12,2)),VALUE(MID(A4182,15,2)),VALUE(MID(A4182,18,2))),"")))</f>
        <v/>
      </c>
    </row>
    <row r="4183" customFormat="false" ht="15" hidden="false" customHeight="false" outlineLevel="0" collapsed="false">
      <c r="I4183" s="15" t="str">
        <f aca="false">IF(N4183="","",INT(N4183))</f>
        <v/>
      </c>
      <c r="J4183" s="16" t="str">
        <f aca="false">IF(B4183="","",IF(N4183=_xlfn.MINIFS($N$2:$N$5001,$B$2:$B$5001,B4183),1,0))</f>
        <v/>
      </c>
      <c r="K4183" s="16" t="str">
        <f aca="false">IF(B4183="","",IF(AND(D4183="Formalização",E4183="Concluído"),IF(COUNTIFS($B$2:$B$5001,B4183,$E$2:$E$5001,"Em ajustes",$N$2:$N$5001,"&lt;"&amp;I4183)&gt;0,1,0),0))</f>
        <v/>
      </c>
      <c r="L4183" s="16" t="str">
        <f aca="false">IF(B4183="","",IF(N4183=_xlfn.MAXIFS($N$2:$N$5001,$B$2:$B$5001,B4183,$I$2:$I$5001,I4183),1,0))</f>
        <v/>
      </c>
      <c r="M4183" s="16" t="str">
        <f aca="false">IF(B4183="","",IF(E4183="Em ajustes",IF(N4183=_xlfn.MINIFS($N$2:$N$5001,$B$2:$B$5001,B4183,$E$2:$E$5001,"Em ajustes"),1,0),0))</f>
        <v/>
      </c>
      <c r="N4183" s="17" t="str">
        <f aca="false">IF(A4183="","",IF(ISNUMBER(A4183),A4183,IFERROR(DATE(VALUE(MID(A4183,7,4)),VALUE(MID(A4183,4,2)),VALUE(MID(A4183,1,2)))+TIME(VALUE(MID(A4183,12,2)),VALUE(MID(A4183,15,2)),VALUE(MID(A4183,18,2))),"")))</f>
        <v/>
      </c>
    </row>
    <row r="4184" customFormat="false" ht="15" hidden="false" customHeight="false" outlineLevel="0" collapsed="false">
      <c r="I4184" s="15" t="str">
        <f aca="false">IF(N4184="","",INT(N4184))</f>
        <v/>
      </c>
      <c r="J4184" s="16" t="str">
        <f aca="false">IF(B4184="","",IF(N4184=_xlfn.MINIFS($N$2:$N$5001,$B$2:$B$5001,B4184),1,0))</f>
        <v/>
      </c>
      <c r="K4184" s="16" t="str">
        <f aca="false">IF(B4184="","",IF(AND(D4184="Formalização",E4184="Concluído"),IF(COUNTIFS($B$2:$B$5001,B4184,$E$2:$E$5001,"Em ajustes",$N$2:$N$5001,"&lt;"&amp;I4184)&gt;0,1,0),0))</f>
        <v/>
      </c>
      <c r="L4184" s="16" t="str">
        <f aca="false">IF(B4184="","",IF(N4184=_xlfn.MAXIFS($N$2:$N$5001,$B$2:$B$5001,B4184,$I$2:$I$5001,I4184),1,0))</f>
        <v/>
      </c>
      <c r="M4184" s="16" t="str">
        <f aca="false">IF(B4184="","",IF(E4184="Em ajustes",IF(N4184=_xlfn.MINIFS($N$2:$N$5001,$B$2:$B$5001,B4184,$E$2:$E$5001,"Em ajustes"),1,0),0))</f>
        <v/>
      </c>
      <c r="N4184" s="17" t="str">
        <f aca="false">IF(A4184="","",IF(ISNUMBER(A4184),A4184,IFERROR(DATE(VALUE(MID(A4184,7,4)),VALUE(MID(A4184,4,2)),VALUE(MID(A4184,1,2)))+TIME(VALUE(MID(A4184,12,2)),VALUE(MID(A4184,15,2)),VALUE(MID(A4184,18,2))),"")))</f>
        <v/>
      </c>
    </row>
    <row r="4185" customFormat="false" ht="15" hidden="false" customHeight="false" outlineLevel="0" collapsed="false">
      <c r="I4185" s="15" t="str">
        <f aca="false">IF(N4185="","",INT(N4185))</f>
        <v/>
      </c>
      <c r="J4185" s="16" t="str">
        <f aca="false">IF(B4185="","",IF(N4185=_xlfn.MINIFS($N$2:$N$5001,$B$2:$B$5001,B4185),1,0))</f>
        <v/>
      </c>
      <c r="K4185" s="16" t="str">
        <f aca="false">IF(B4185="","",IF(AND(D4185="Formalização",E4185="Concluído"),IF(COUNTIFS($B$2:$B$5001,B4185,$E$2:$E$5001,"Em ajustes",$N$2:$N$5001,"&lt;"&amp;I4185)&gt;0,1,0),0))</f>
        <v/>
      </c>
      <c r="L4185" s="16" t="str">
        <f aca="false">IF(B4185="","",IF(N4185=_xlfn.MAXIFS($N$2:$N$5001,$B$2:$B$5001,B4185,$I$2:$I$5001,I4185),1,0))</f>
        <v/>
      </c>
      <c r="M4185" s="16" t="str">
        <f aca="false">IF(B4185="","",IF(E4185="Em ajustes",IF(N4185=_xlfn.MINIFS($N$2:$N$5001,$B$2:$B$5001,B4185,$E$2:$E$5001,"Em ajustes"),1,0),0))</f>
        <v/>
      </c>
      <c r="N4185" s="17" t="str">
        <f aca="false">IF(A4185="","",IF(ISNUMBER(A4185),A4185,IFERROR(DATE(VALUE(MID(A4185,7,4)),VALUE(MID(A4185,4,2)),VALUE(MID(A4185,1,2)))+TIME(VALUE(MID(A4185,12,2)),VALUE(MID(A4185,15,2)),VALUE(MID(A4185,18,2))),"")))</f>
        <v/>
      </c>
    </row>
    <row r="4186" customFormat="false" ht="15" hidden="false" customHeight="false" outlineLevel="0" collapsed="false">
      <c r="I4186" s="15" t="str">
        <f aca="false">IF(N4186="","",INT(N4186))</f>
        <v/>
      </c>
      <c r="J4186" s="16" t="str">
        <f aca="false">IF(B4186="","",IF(N4186=_xlfn.MINIFS($N$2:$N$5001,$B$2:$B$5001,B4186),1,0))</f>
        <v/>
      </c>
      <c r="K4186" s="16" t="str">
        <f aca="false">IF(B4186="","",IF(AND(D4186="Formalização",E4186="Concluído"),IF(COUNTIFS($B$2:$B$5001,B4186,$E$2:$E$5001,"Em ajustes",$N$2:$N$5001,"&lt;"&amp;I4186)&gt;0,1,0),0))</f>
        <v/>
      </c>
      <c r="L4186" s="16" t="str">
        <f aca="false">IF(B4186="","",IF(N4186=_xlfn.MAXIFS($N$2:$N$5001,$B$2:$B$5001,B4186,$I$2:$I$5001,I4186),1,0))</f>
        <v/>
      </c>
      <c r="M4186" s="16" t="str">
        <f aca="false">IF(B4186="","",IF(E4186="Em ajustes",IF(N4186=_xlfn.MINIFS($N$2:$N$5001,$B$2:$B$5001,B4186,$E$2:$E$5001,"Em ajustes"),1,0),0))</f>
        <v/>
      </c>
      <c r="N4186" s="17" t="str">
        <f aca="false">IF(A4186="","",IF(ISNUMBER(A4186),A4186,IFERROR(DATE(VALUE(MID(A4186,7,4)),VALUE(MID(A4186,4,2)),VALUE(MID(A4186,1,2)))+TIME(VALUE(MID(A4186,12,2)),VALUE(MID(A4186,15,2)),VALUE(MID(A4186,18,2))),"")))</f>
        <v/>
      </c>
    </row>
    <row r="4187" customFormat="false" ht="15" hidden="false" customHeight="false" outlineLevel="0" collapsed="false">
      <c r="I4187" s="15" t="str">
        <f aca="false">IF(N4187="","",INT(N4187))</f>
        <v/>
      </c>
      <c r="J4187" s="16" t="str">
        <f aca="false">IF(B4187="","",IF(N4187=_xlfn.MINIFS($N$2:$N$5001,$B$2:$B$5001,B4187),1,0))</f>
        <v/>
      </c>
      <c r="K4187" s="16" t="str">
        <f aca="false">IF(B4187="","",IF(AND(D4187="Formalização",E4187="Concluído"),IF(COUNTIFS($B$2:$B$5001,B4187,$E$2:$E$5001,"Em ajustes",$N$2:$N$5001,"&lt;"&amp;I4187)&gt;0,1,0),0))</f>
        <v/>
      </c>
      <c r="L4187" s="16" t="str">
        <f aca="false">IF(B4187="","",IF(N4187=_xlfn.MAXIFS($N$2:$N$5001,$B$2:$B$5001,B4187,$I$2:$I$5001,I4187),1,0))</f>
        <v/>
      </c>
      <c r="M4187" s="16" t="str">
        <f aca="false">IF(B4187="","",IF(E4187="Em ajustes",IF(N4187=_xlfn.MINIFS($N$2:$N$5001,$B$2:$B$5001,B4187,$E$2:$E$5001,"Em ajustes"),1,0),0))</f>
        <v/>
      </c>
      <c r="N4187" s="17" t="str">
        <f aca="false">IF(A4187="","",IF(ISNUMBER(A4187),A4187,IFERROR(DATE(VALUE(MID(A4187,7,4)),VALUE(MID(A4187,4,2)),VALUE(MID(A4187,1,2)))+TIME(VALUE(MID(A4187,12,2)),VALUE(MID(A4187,15,2)),VALUE(MID(A4187,18,2))),"")))</f>
        <v/>
      </c>
    </row>
    <row r="4188" customFormat="false" ht="15" hidden="false" customHeight="false" outlineLevel="0" collapsed="false">
      <c r="I4188" s="15" t="str">
        <f aca="false">IF(N4188="","",INT(N4188))</f>
        <v/>
      </c>
      <c r="J4188" s="16" t="str">
        <f aca="false">IF(B4188="","",IF(N4188=_xlfn.MINIFS($N$2:$N$5001,$B$2:$B$5001,B4188),1,0))</f>
        <v/>
      </c>
      <c r="K4188" s="16" t="str">
        <f aca="false">IF(B4188="","",IF(AND(D4188="Formalização",E4188="Concluído"),IF(COUNTIFS($B$2:$B$5001,B4188,$E$2:$E$5001,"Em ajustes",$N$2:$N$5001,"&lt;"&amp;I4188)&gt;0,1,0),0))</f>
        <v/>
      </c>
      <c r="L4188" s="16" t="str">
        <f aca="false">IF(B4188="","",IF(N4188=_xlfn.MAXIFS($N$2:$N$5001,$B$2:$B$5001,B4188,$I$2:$I$5001,I4188),1,0))</f>
        <v/>
      </c>
      <c r="M4188" s="16" t="str">
        <f aca="false">IF(B4188="","",IF(E4188="Em ajustes",IF(N4188=_xlfn.MINIFS($N$2:$N$5001,$B$2:$B$5001,B4188,$E$2:$E$5001,"Em ajustes"),1,0),0))</f>
        <v/>
      </c>
      <c r="N4188" s="17" t="str">
        <f aca="false">IF(A4188="","",IF(ISNUMBER(A4188),A4188,IFERROR(DATE(VALUE(MID(A4188,7,4)),VALUE(MID(A4188,4,2)),VALUE(MID(A4188,1,2)))+TIME(VALUE(MID(A4188,12,2)),VALUE(MID(A4188,15,2)),VALUE(MID(A4188,18,2))),"")))</f>
        <v/>
      </c>
    </row>
    <row r="4189" customFormat="false" ht="15" hidden="false" customHeight="false" outlineLevel="0" collapsed="false">
      <c r="I4189" s="15" t="str">
        <f aca="false">IF(N4189="","",INT(N4189))</f>
        <v/>
      </c>
      <c r="J4189" s="16" t="str">
        <f aca="false">IF(B4189="","",IF(N4189=_xlfn.MINIFS($N$2:$N$5001,$B$2:$B$5001,B4189),1,0))</f>
        <v/>
      </c>
      <c r="K4189" s="16" t="str">
        <f aca="false">IF(B4189="","",IF(AND(D4189="Formalização",E4189="Concluído"),IF(COUNTIFS($B$2:$B$5001,B4189,$E$2:$E$5001,"Em ajustes",$N$2:$N$5001,"&lt;"&amp;I4189)&gt;0,1,0),0))</f>
        <v/>
      </c>
      <c r="L4189" s="16" t="str">
        <f aca="false">IF(B4189="","",IF(N4189=_xlfn.MAXIFS($N$2:$N$5001,$B$2:$B$5001,B4189,$I$2:$I$5001,I4189),1,0))</f>
        <v/>
      </c>
      <c r="M4189" s="16" t="str">
        <f aca="false">IF(B4189="","",IF(E4189="Em ajustes",IF(N4189=_xlfn.MINIFS($N$2:$N$5001,$B$2:$B$5001,B4189,$E$2:$E$5001,"Em ajustes"),1,0),0))</f>
        <v/>
      </c>
      <c r="N4189" s="17" t="str">
        <f aca="false">IF(A4189="","",IF(ISNUMBER(A4189),A4189,IFERROR(DATE(VALUE(MID(A4189,7,4)),VALUE(MID(A4189,4,2)),VALUE(MID(A4189,1,2)))+TIME(VALUE(MID(A4189,12,2)),VALUE(MID(A4189,15,2)),VALUE(MID(A4189,18,2))),"")))</f>
        <v/>
      </c>
    </row>
    <row r="4190" customFormat="false" ht="15" hidden="false" customHeight="false" outlineLevel="0" collapsed="false">
      <c r="I4190" s="15" t="str">
        <f aca="false">IF(N4190="","",INT(N4190))</f>
        <v/>
      </c>
      <c r="J4190" s="16" t="str">
        <f aca="false">IF(B4190="","",IF(N4190=_xlfn.MINIFS($N$2:$N$5001,$B$2:$B$5001,B4190),1,0))</f>
        <v/>
      </c>
      <c r="K4190" s="16" t="str">
        <f aca="false">IF(B4190="","",IF(AND(D4190="Formalização",E4190="Concluído"),IF(COUNTIFS($B$2:$B$5001,B4190,$E$2:$E$5001,"Em ajustes",$N$2:$N$5001,"&lt;"&amp;I4190)&gt;0,1,0),0))</f>
        <v/>
      </c>
      <c r="L4190" s="16" t="str">
        <f aca="false">IF(B4190="","",IF(N4190=_xlfn.MAXIFS($N$2:$N$5001,$B$2:$B$5001,B4190,$I$2:$I$5001,I4190),1,0))</f>
        <v/>
      </c>
      <c r="M4190" s="16" t="str">
        <f aca="false">IF(B4190="","",IF(E4190="Em ajustes",IF(N4190=_xlfn.MINIFS($N$2:$N$5001,$B$2:$B$5001,B4190,$E$2:$E$5001,"Em ajustes"),1,0),0))</f>
        <v/>
      </c>
      <c r="N4190" s="17" t="str">
        <f aca="false">IF(A4190="","",IF(ISNUMBER(A4190),A4190,IFERROR(DATE(VALUE(MID(A4190,7,4)),VALUE(MID(A4190,4,2)),VALUE(MID(A4190,1,2)))+TIME(VALUE(MID(A4190,12,2)),VALUE(MID(A4190,15,2)),VALUE(MID(A4190,18,2))),"")))</f>
        <v/>
      </c>
    </row>
    <row r="4191" customFormat="false" ht="15" hidden="false" customHeight="false" outlineLevel="0" collapsed="false">
      <c r="I4191" s="15" t="str">
        <f aca="false">IF(N4191="","",INT(N4191))</f>
        <v/>
      </c>
      <c r="J4191" s="16" t="str">
        <f aca="false">IF(B4191="","",IF(N4191=_xlfn.MINIFS($N$2:$N$5001,$B$2:$B$5001,B4191),1,0))</f>
        <v/>
      </c>
      <c r="K4191" s="16" t="str">
        <f aca="false">IF(B4191="","",IF(AND(D4191="Formalização",E4191="Concluído"),IF(COUNTIFS($B$2:$B$5001,B4191,$E$2:$E$5001,"Em ajustes",$N$2:$N$5001,"&lt;"&amp;I4191)&gt;0,1,0),0))</f>
        <v/>
      </c>
      <c r="L4191" s="16" t="str">
        <f aca="false">IF(B4191="","",IF(N4191=_xlfn.MAXIFS($N$2:$N$5001,$B$2:$B$5001,B4191,$I$2:$I$5001,I4191),1,0))</f>
        <v/>
      </c>
      <c r="M4191" s="16" t="str">
        <f aca="false">IF(B4191="","",IF(E4191="Em ajustes",IF(N4191=_xlfn.MINIFS($N$2:$N$5001,$B$2:$B$5001,B4191,$E$2:$E$5001,"Em ajustes"),1,0),0))</f>
        <v/>
      </c>
      <c r="N4191" s="17" t="str">
        <f aca="false">IF(A4191="","",IF(ISNUMBER(A4191),A4191,IFERROR(DATE(VALUE(MID(A4191,7,4)),VALUE(MID(A4191,4,2)),VALUE(MID(A4191,1,2)))+TIME(VALUE(MID(A4191,12,2)),VALUE(MID(A4191,15,2)),VALUE(MID(A4191,18,2))),"")))</f>
        <v/>
      </c>
    </row>
    <row r="4192" customFormat="false" ht="15" hidden="false" customHeight="false" outlineLevel="0" collapsed="false">
      <c r="I4192" s="15" t="str">
        <f aca="false">IF(N4192="","",INT(N4192))</f>
        <v/>
      </c>
      <c r="J4192" s="16" t="str">
        <f aca="false">IF(B4192="","",IF(N4192=_xlfn.MINIFS($N$2:$N$5001,$B$2:$B$5001,B4192),1,0))</f>
        <v/>
      </c>
      <c r="K4192" s="16" t="str">
        <f aca="false">IF(B4192="","",IF(AND(D4192="Formalização",E4192="Concluído"),IF(COUNTIFS($B$2:$B$5001,B4192,$E$2:$E$5001,"Em ajustes",$N$2:$N$5001,"&lt;"&amp;I4192)&gt;0,1,0),0))</f>
        <v/>
      </c>
      <c r="L4192" s="16" t="str">
        <f aca="false">IF(B4192="","",IF(N4192=_xlfn.MAXIFS($N$2:$N$5001,$B$2:$B$5001,B4192,$I$2:$I$5001,I4192),1,0))</f>
        <v/>
      </c>
      <c r="M4192" s="16" t="str">
        <f aca="false">IF(B4192="","",IF(E4192="Em ajustes",IF(N4192=_xlfn.MINIFS($N$2:$N$5001,$B$2:$B$5001,B4192,$E$2:$E$5001,"Em ajustes"),1,0),0))</f>
        <v/>
      </c>
      <c r="N4192" s="17" t="str">
        <f aca="false">IF(A4192="","",IF(ISNUMBER(A4192),A4192,IFERROR(DATE(VALUE(MID(A4192,7,4)),VALUE(MID(A4192,4,2)),VALUE(MID(A4192,1,2)))+TIME(VALUE(MID(A4192,12,2)),VALUE(MID(A4192,15,2)),VALUE(MID(A4192,18,2))),"")))</f>
        <v/>
      </c>
    </row>
    <row r="4193" customFormat="false" ht="15" hidden="false" customHeight="false" outlineLevel="0" collapsed="false">
      <c r="I4193" s="15" t="str">
        <f aca="false">IF(N4193="","",INT(N4193))</f>
        <v/>
      </c>
      <c r="J4193" s="16" t="str">
        <f aca="false">IF(B4193="","",IF(N4193=_xlfn.MINIFS($N$2:$N$5001,$B$2:$B$5001,B4193),1,0))</f>
        <v/>
      </c>
      <c r="K4193" s="16" t="str">
        <f aca="false">IF(B4193="","",IF(AND(D4193="Formalização",E4193="Concluído"),IF(COUNTIFS($B$2:$B$5001,B4193,$E$2:$E$5001,"Em ajustes",$N$2:$N$5001,"&lt;"&amp;I4193)&gt;0,1,0),0))</f>
        <v/>
      </c>
      <c r="L4193" s="16" t="str">
        <f aca="false">IF(B4193="","",IF(N4193=_xlfn.MAXIFS($N$2:$N$5001,$B$2:$B$5001,B4193,$I$2:$I$5001,I4193),1,0))</f>
        <v/>
      </c>
      <c r="M4193" s="16" t="str">
        <f aca="false">IF(B4193="","",IF(E4193="Em ajustes",IF(N4193=_xlfn.MINIFS($N$2:$N$5001,$B$2:$B$5001,B4193,$E$2:$E$5001,"Em ajustes"),1,0),0))</f>
        <v/>
      </c>
      <c r="N4193" s="17" t="str">
        <f aca="false">IF(A4193="","",IF(ISNUMBER(A4193),A4193,IFERROR(DATE(VALUE(MID(A4193,7,4)),VALUE(MID(A4193,4,2)),VALUE(MID(A4193,1,2)))+TIME(VALUE(MID(A4193,12,2)),VALUE(MID(A4193,15,2)),VALUE(MID(A4193,18,2))),"")))</f>
        <v/>
      </c>
    </row>
    <row r="4194" customFormat="false" ht="15" hidden="false" customHeight="false" outlineLevel="0" collapsed="false">
      <c r="I4194" s="15" t="str">
        <f aca="false">IF(N4194="","",INT(N4194))</f>
        <v/>
      </c>
      <c r="J4194" s="16" t="str">
        <f aca="false">IF(B4194="","",IF(N4194=_xlfn.MINIFS($N$2:$N$5001,$B$2:$B$5001,B4194),1,0))</f>
        <v/>
      </c>
      <c r="K4194" s="16" t="str">
        <f aca="false">IF(B4194="","",IF(AND(D4194="Formalização",E4194="Concluído"),IF(COUNTIFS($B$2:$B$5001,B4194,$E$2:$E$5001,"Em ajustes",$N$2:$N$5001,"&lt;"&amp;I4194)&gt;0,1,0),0))</f>
        <v/>
      </c>
      <c r="L4194" s="16" t="str">
        <f aca="false">IF(B4194="","",IF(N4194=_xlfn.MAXIFS($N$2:$N$5001,$B$2:$B$5001,B4194,$I$2:$I$5001,I4194),1,0))</f>
        <v/>
      </c>
      <c r="M4194" s="16" t="str">
        <f aca="false">IF(B4194="","",IF(E4194="Em ajustes",IF(N4194=_xlfn.MINIFS($N$2:$N$5001,$B$2:$B$5001,B4194,$E$2:$E$5001,"Em ajustes"),1,0),0))</f>
        <v/>
      </c>
      <c r="N4194" s="17" t="str">
        <f aca="false">IF(A4194="","",IF(ISNUMBER(A4194),A4194,IFERROR(DATE(VALUE(MID(A4194,7,4)),VALUE(MID(A4194,4,2)),VALUE(MID(A4194,1,2)))+TIME(VALUE(MID(A4194,12,2)),VALUE(MID(A4194,15,2)),VALUE(MID(A4194,18,2))),"")))</f>
        <v/>
      </c>
    </row>
    <row r="4195" customFormat="false" ht="15" hidden="false" customHeight="false" outlineLevel="0" collapsed="false">
      <c r="I4195" s="15" t="str">
        <f aca="false">IF(N4195="","",INT(N4195))</f>
        <v/>
      </c>
      <c r="J4195" s="16" t="str">
        <f aca="false">IF(B4195="","",IF(N4195=_xlfn.MINIFS($N$2:$N$5001,$B$2:$B$5001,B4195),1,0))</f>
        <v/>
      </c>
      <c r="K4195" s="16" t="str">
        <f aca="false">IF(B4195="","",IF(AND(D4195="Formalização",E4195="Concluído"),IF(COUNTIFS($B$2:$B$5001,B4195,$E$2:$E$5001,"Em ajustes",$N$2:$N$5001,"&lt;"&amp;I4195)&gt;0,1,0),0))</f>
        <v/>
      </c>
      <c r="L4195" s="16" t="str">
        <f aca="false">IF(B4195="","",IF(N4195=_xlfn.MAXIFS($N$2:$N$5001,$B$2:$B$5001,B4195,$I$2:$I$5001,I4195),1,0))</f>
        <v/>
      </c>
      <c r="M4195" s="16" t="str">
        <f aca="false">IF(B4195="","",IF(E4195="Em ajustes",IF(N4195=_xlfn.MINIFS($N$2:$N$5001,$B$2:$B$5001,B4195,$E$2:$E$5001,"Em ajustes"),1,0),0))</f>
        <v/>
      </c>
      <c r="N4195" s="17" t="str">
        <f aca="false">IF(A4195="","",IF(ISNUMBER(A4195),A4195,IFERROR(DATE(VALUE(MID(A4195,7,4)),VALUE(MID(A4195,4,2)),VALUE(MID(A4195,1,2)))+TIME(VALUE(MID(A4195,12,2)),VALUE(MID(A4195,15,2)),VALUE(MID(A4195,18,2))),"")))</f>
        <v/>
      </c>
    </row>
    <row r="4196" customFormat="false" ht="15" hidden="false" customHeight="false" outlineLevel="0" collapsed="false">
      <c r="I4196" s="15" t="str">
        <f aca="false">IF(N4196="","",INT(N4196))</f>
        <v/>
      </c>
      <c r="J4196" s="16" t="str">
        <f aca="false">IF(B4196="","",IF(N4196=_xlfn.MINIFS($N$2:$N$5001,$B$2:$B$5001,B4196),1,0))</f>
        <v/>
      </c>
      <c r="K4196" s="16" t="str">
        <f aca="false">IF(B4196="","",IF(AND(D4196="Formalização",E4196="Concluído"),IF(COUNTIFS($B$2:$B$5001,B4196,$E$2:$E$5001,"Em ajustes",$N$2:$N$5001,"&lt;"&amp;I4196)&gt;0,1,0),0))</f>
        <v/>
      </c>
      <c r="L4196" s="16" t="str">
        <f aca="false">IF(B4196="","",IF(N4196=_xlfn.MAXIFS($N$2:$N$5001,$B$2:$B$5001,B4196,$I$2:$I$5001,I4196),1,0))</f>
        <v/>
      </c>
      <c r="M4196" s="16" t="str">
        <f aca="false">IF(B4196="","",IF(E4196="Em ajustes",IF(N4196=_xlfn.MINIFS($N$2:$N$5001,$B$2:$B$5001,B4196,$E$2:$E$5001,"Em ajustes"),1,0),0))</f>
        <v/>
      </c>
      <c r="N4196" s="17" t="str">
        <f aca="false">IF(A4196="","",IF(ISNUMBER(A4196),A4196,IFERROR(DATE(VALUE(MID(A4196,7,4)),VALUE(MID(A4196,4,2)),VALUE(MID(A4196,1,2)))+TIME(VALUE(MID(A4196,12,2)),VALUE(MID(A4196,15,2)),VALUE(MID(A4196,18,2))),"")))</f>
        <v/>
      </c>
    </row>
    <row r="4197" customFormat="false" ht="15" hidden="false" customHeight="false" outlineLevel="0" collapsed="false">
      <c r="I4197" s="15" t="str">
        <f aca="false">IF(N4197="","",INT(N4197))</f>
        <v/>
      </c>
      <c r="J4197" s="16" t="str">
        <f aca="false">IF(B4197="","",IF(N4197=_xlfn.MINIFS($N$2:$N$5001,$B$2:$B$5001,B4197),1,0))</f>
        <v/>
      </c>
      <c r="K4197" s="16" t="str">
        <f aca="false">IF(B4197="","",IF(AND(D4197="Formalização",E4197="Concluído"),IF(COUNTIFS($B$2:$B$5001,B4197,$E$2:$E$5001,"Em ajustes",$N$2:$N$5001,"&lt;"&amp;I4197)&gt;0,1,0),0))</f>
        <v/>
      </c>
      <c r="L4197" s="16" t="str">
        <f aca="false">IF(B4197="","",IF(N4197=_xlfn.MAXIFS($N$2:$N$5001,$B$2:$B$5001,B4197,$I$2:$I$5001,I4197),1,0))</f>
        <v/>
      </c>
      <c r="M4197" s="16" t="str">
        <f aca="false">IF(B4197="","",IF(E4197="Em ajustes",IF(N4197=_xlfn.MINIFS($N$2:$N$5001,$B$2:$B$5001,B4197,$E$2:$E$5001,"Em ajustes"),1,0),0))</f>
        <v/>
      </c>
      <c r="N4197" s="17" t="str">
        <f aca="false">IF(A4197="","",IF(ISNUMBER(A4197),A4197,IFERROR(DATE(VALUE(MID(A4197,7,4)),VALUE(MID(A4197,4,2)),VALUE(MID(A4197,1,2)))+TIME(VALUE(MID(A4197,12,2)),VALUE(MID(A4197,15,2)),VALUE(MID(A4197,18,2))),"")))</f>
        <v/>
      </c>
    </row>
    <row r="4198" customFormat="false" ht="15" hidden="false" customHeight="false" outlineLevel="0" collapsed="false">
      <c r="I4198" s="15" t="str">
        <f aca="false">IF(N4198="","",INT(N4198))</f>
        <v/>
      </c>
      <c r="J4198" s="16" t="str">
        <f aca="false">IF(B4198="","",IF(N4198=_xlfn.MINIFS($N$2:$N$5001,$B$2:$B$5001,B4198),1,0))</f>
        <v/>
      </c>
      <c r="K4198" s="16" t="str">
        <f aca="false">IF(B4198="","",IF(AND(D4198="Formalização",E4198="Concluído"),IF(COUNTIFS($B$2:$B$5001,B4198,$E$2:$E$5001,"Em ajustes",$N$2:$N$5001,"&lt;"&amp;I4198)&gt;0,1,0),0))</f>
        <v/>
      </c>
      <c r="L4198" s="16" t="str">
        <f aca="false">IF(B4198="","",IF(N4198=_xlfn.MAXIFS($N$2:$N$5001,$B$2:$B$5001,B4198,$I$2:$I$5001,I4198),1,0))</f>
        <v/>
      </c>
      <c r="M4198" s="16" t="str">
        <f aca="false">IF(B4198="","",IF(E4198="Em ajustes",IF(N4198=_xlfn.MINIFS($N$2:$N$5001,$B$2:$B$5001,B4198,$E$2:$E$5001,"Em ajustes"),1,0),0))</f>
        <v/>
      </c>
      <c r="N4198" s="17" t="str">
        <f aca="false">IF(A4198="","",IF(ISNUMBER(A4198),A4198,IFERROR(DATE(VALUE(MID(A4198,7,4)),VALUE(MID(A4198,4,2)),VALUE(MID(A4198,1,2)))+TIME(VALUE(MID(A4198,12,2)),VALUE(MID(A4198,15,2)),VALUE(MID(A4198,18,2))),"")))</f>
        <v/>
      </c>
    </row>
    <row r="4199" customFormat="false" ht="15" hidden="false" customHeight="false" outlineLevel="0" collapsed="false">
      <c r="I4199" s="15" t="str">
        <f aca="false">IF(N4199="","",INT(N4199))</f>
        <v/>
      </c>
      <c r="J4199" s="16" t="str">
        <f aca="false">IF(B4199="","",IF(N4199=_xlfn.MINIFS($N$2:$N$5001,$B$2:$B$5001,B4199),1,0))</f>
        <v/>
      </c>
      <c r="K4199" s="16" t="str">
        <f aca="false">IF(B4199="","",IF(AND(D4199="Formalização",E4199="Concluído"),IF(COUNTIFS($B$2:$B$5001,B4199,$E$2:$E$5001,"Em ajustes",$N$2:$N$5001,"&lt;"&amp;I4199)&gt;0,1,0),0))</f>
        <v/>
      </c>
      <c r="L4199" s="16" t="str">
        <f aca="false">IF(B4199="","",IF(N4199=_xlfn.MAXIFS($N$2:$N$5001,$B$2:$B$5001,B4199,$I$2:$I$5001,I4199),1,0))</f>
        <v/>
      </c>
      <c r="M4199" s="16" t="str">
        <f aca="false">IF(B4199="","",IF(E4199="Em ajustes",IF(N4199=_xlfn.MINIFS($N$2:$N$5001,$B$2:$B$5001,B4199,$E$2:$E$5001,"Em ajustes"),1,0),0))</f>
        <v/>
      </c>
      <c r="N4199" s="17" t="str">
        <f aca="false">IF(A4199="","",IF(ISNUMBER(A4199),A4199,IFERROR(DATE(VALUE(MID(A4199,7,4)),VALUE(MID(A4199,4,2)),VALUE(MID(A4199,1,2)))+TIME(VALUE(MID(A4199,12,2)),VALUE(MID(A4199,15,2)),VALUE(MID(A4199,18,2))),"")))</f>
        <v/>
      </c>
    </row>
    <row r="4200" customFormat="false" ht="15" hidden="false" customHeight="false" outlineLevel="0" collapsed="false">
      <c r="I4200" s="15" t="str">
        <f aca="false">IF(N4200="","",INT(N4200))</f>
        <v/>
      </c>
      <c r="J4200" s="16" t="str">
        <f aca="false">IF(B4200="","",IF(N4200=_xlfn.MINIFS($N$2:$N$5001,$B$2:$B$5001,B4200),1,0))</f>
        <v/>
      </c>
      <c r="K4200" s="16" t="str">
        <f aca="false">IF(B4200="","",IF(AND(D4200="Formalização",E4200="Concluído"),IF(COUNTIFS($B$2:$B$5001,B4200,$E$2:$E$5001,"Em ajustes",$N$2:$N$5001,"&lt;"&amp;I4200)&gt;0,1,0),0))</f>
        <v/>
      </c>
      <c r="L4200" s="16" t="str">
        <f aca="false">IF(B4200="","",IF(N4200=_xlfn.MAXIFS($N$2:$N$5001,$B$2:$B$5001,B4200,$I$2:$I$5001,I4200),1,0))</f>
        <v/>
      </c>
      <c r="M4200" s="16" t="str">
        <f aca="false">IF(B4200="","",IF(E4200="Em ajustes",IF(N4200=_xlfn.MINIFS($N$2:$N$5001,$B$2:$B$5001,B4200,$E$2:$E$5001,"Em ajustes"),1,0),0))</f>
        <v/>
      </c>
      <c r="N4200" s="17" t="str">
        <f aca="false">IF(A4200="","",IF(ISNUMBER(A4200),A4200,IFERROR(DATE(VALUE(MID(A4200,7,4)),VALUE(MID(A4200,4,2)),VALUE(MID(A4200,1,2)))+TIME(VALUE(MID(A4200,12,2)),VALUE(MID(A4200,15,2)),VALUE(MID(A4200,18,2))),"")))</f>
        <v/>
      </c>
    </row>
    <row r="4201" customFormat="false" ht="15" hidden="false" customHeight="false" outlineLevel="0" collapsed="false">
      <c r="I4201" s="15" t="str">
        <f aca="false">IF(N4201="","",INT(N4201))</f>
        <v/>
      </c>
      <c r="J4201" s="16" t="str">
        <f aca="false">IF(B4201="","",IF(N4201=_xlfn.MINIFS($N$2:$N$5001,$B$2:$B$5001,B4201),1,0))</f>
        <v/>
      </c>
      <c r="K4201" s="16" t="str">
        <f aca="false">IF(B4201="","",IF(AND(D4201="Formalização",E4201="Concluído"),IF(COUNTIFS($B$2:$B$5001,B4201,$E$2:$E$5001,"Em ajustes",$N$2:$N$5001,"&lt;"&amp;I4201)&gt;0,1,0),0))</f>
        <v/>
      </c>
      <c r="L4201" s="16" t="str">
        <f aca="false">IF(B4201="","",IF(N4201=_xlfn.MAXIFS($N$2:$N$5001,$B$2:$B$5001,B4201,$I$2:$I$5001,I4201),1,0))</f>
        <v/>
      </c>
      <c r="M4201" s="16" t="str">
        <f aca="false">IF(B4201="","",IF(E4201="Em ajustes",IF(N4201=_xlfn.MINIFS($N$2:$N$5001,$B$2:$B$5001,B4201,$E$2:$E$5001,"Em ajustes"),1,0),0))</f>
        <v/>
      </c>
      <c r="N4201" s="17" t="str">
        <f aca="false">IF(A4201="","",IF(ISNUMBER(A4201),A4201,IFERROR(DATE(VALUE(MID(A4201,7,4)),VALUE(MID(A4201,4,2)),VALUE(MID(A4201,1,2)))+TIME(VALUE(MID(A4201,12,2)),VALUE(MID(A4201,15,2)),VALUE(MID(A4201,18,2))),"")))</f>
        <v/>
      </c>
    </row>
    <row r="4202" customFormat="false" ht="15" hidden="false" customHeight="false" outlineLevel="0" collapsed="false">
      <c r="I4202" s="15" t="str">
        <f aca="false">IF(N4202="","",INT(N4202))</f>
        <v/>
      </c>
      <c r="J4202" s="16" t="str">
        <f aca="false">IF(B4202="","",IF(N4202=_xlfn.MINIFS($N$2:$N$5001,$B$2:$B$5001,B4202),1,0))</f>
        <v/>
      </c>
      <c r="K4202" s="16" t="str">
        <f aca="false">IF(B4202="","",IF(AND(D4202="Formalização",E4202="Concluído"),IF(COUNTIFS($B$2:$B$5001,B4202,$E$2:$E$5001,"Em ajustes",$N$2:$N$5001,"&lt;"&amp;I4202)&gt;0,1,0),0))</f>
        <v/>
      </c>
      <c r="L4202" s="16" t="str">
        <f aca="false">IF(B4202="","",IF(N4202=_xlfn.MAXIFS($N$2:$N$5001,$B$2:$B$5001,B4202,$I$2:$I$5001,I4202),1,0))</f>
        <v/>
      </c>
      <c r="M4202" s="16" t="str">
        <f aca="false">IF(B4202="","",IF(E4202="Em ajustes",IF(N4202=_xlfn.MINIFS($N$2:$N$5001,$B$2:$B$5001,B4202,$E$2:$E$5001,"Em ajustes"),1,0),0))</f>
        <v/>
      </c>
      <c r="N4202" s="17" t="str">
        <f aca="false">IF(A4202="","",IF(ISNUMBER(A4202),A4202,IFERROR(DATE(VALUE(MID(A4202,7,4)),VALUE(MID(A4202,4,2)),VALUE(MID(A4202,1,2)))+TIME(VALUE(MID(A4202,12,2)),VALUE(MID(A4202,15,2)),VALUE(MID(A4202,18,2))),"")))</f>
        <v/>
      </c>
    </row>
    <row r="4203" customFormat="false" ht="15" hidden="false" customHeight="false" outlineLevel="0" collapsed="false">
      <c r="I4203" s="15" t="str">
        <f aca="false">IF(N4203="","",INT(N4203))</f>
        <v/>
      </c>
      <c r="J4203" s="16" t="str">
        <f aca="false">IF(B4203="","",IF(N4203=_xlfn.MINIFS($N$2:$N$5001,$B$2:$B$5001,B4203),1,0))</f>
        <v/>
      </c>
      <c r="K4203" s="16" t="str">
        <f aca="false">IF(B4203="","",IF(AND(D4203="Formalização",E4203="Concluído"),IF(COUNTIFS($B$2:$B$5001,B4203,$E$2:$E$5001,"Em ajustes",$N$2:$N$5001,"&lt;"&amp;I4203)&gt;0,1,0),0))</f>
        <v/>
      </c>
      <c r="L4203" s="16" t="str">
        <f aca="false">IF(B4203="","",IF(N4203=_xlfn.MAXIFS($N$2:$N$5001,$B$2:$B$5001,B4203,$I$2:$I$5001,I4203),1,0))</f>
        <v/>
      </c>
      <c r="M4203" s="16" t="str">
        <f aca="false">IF(B4203="","",IF(E4203="Em ajustes",IF(N4203=_xlfn.MINIFS($N$2:$N$5001,$B$2:$B$5001,B4203,$E$2:$E$5001,"Em ajustes"),1,0),0))</f>
        <v/>
      </c>
      <c r="N4203" s="17" t="str">
        <f aca="false">IF(A4203="","",IF(ISNUMBER(A4203),A4203,IFERROR(DATE(VALUE(MID(A4203,7,4)),VALUE(MID(A4203,4,2)),VALUE(MID(A4203,1,2)))+TIME(VALUE(MID(A4203,12,2)),VALUE(MID(A4203,15,2)),VALUE(MID(A4203,18,2))),"")))</f>
        <v/>
      </c>
    </row>
    <row r="4204" customFormat="false" ht="15" hidden="false" customHeight="false" outlineLevel="0" collapsed="false">
      <c r="I4204" s="15" t="str">
        <f aca="false">IF(N4204="","",INT(N4204))</f>
        <v/>
      </c>
      <c r="J4204" s="16" t="str">
        <f aca="false">IF(B4204="","",IF(N4204=_xlfn.MINIFS($N$2:$N$5001,$B$2:$B$5001,B4204),1,0))</f>
        <v/>
      </c>
      <c r="K4204" s="16" t="str">
        <f aca="false">IF(B4204="","",IF(AND(D4204="Formalização",E4204="Concluído"),IF(COUNTIFS($B$2:$B$5001,B4204,$E$2:$E$5001,"Em ajustes",$N$2:$N$5001,"&lt;"&amp;I4204)&gt;0,1,0),0))</f>
        <v/>
      </c>
      <c r="L4204" s="16" t="str">
        <f aca="false">IF(B4204="","",IF(N4204=_xlfn.MAXIFS($N$2:$N$5001,$B$2:$B$5001,B4204,$I$2:$I$5001,I4204),1,0))</f>
        <v/>
      </c>
      <c r="M4204" s="16" t="str">
        <f aca="false">IF(B4204="","",IF(E4204="Em ajustes",IF(N4204=_xlfn.MINIFS($N$2:$N$5001,$B$2:$B$5001,B4204,$E$2:$E$5001,"Em ajustes"),1,0),0))</f>
        <v/>
      </c>
      <c r="N4204" s="17" t="str">
        <f aca="false">IF(A4204="","",IF(ISNUMBER(A4204),A4204,IFERROR(DATE(VALUE(MID(A4204,7,4)),VALUE(MID(A4204,4,2)),VALUE(MID(A4204,1,2)))+TIME(VALUE(MID(A4204,12,2)),VALUE(MID(A4204,15,2)),VALUE(MID(A4204,18,2))),"")))</f>
        <v/>
      </c>
    </row>
    <row r="4205" customFormat="false" ht="15" hidden="false" customHeight="false" outlineLevel="0" collapsed="false">
      <c r="I4205" s="15" t="str">
        <f aca="false">IF(N4205="","",INT(N4205))</f>
        <v/>
      </c>
      <c r="J4205" s="16" t="str">
        <f aca="false">IF(B4205="","",IF(N4205=_xlfn.MINIFS($N$2:$N$5001,$B$2:$B$5001,B4205),1,0))</f>
        <v/>
      </c>
      <c r="K4205" s="16" t="str">
        <f aca="false">IF(B4205="","",IF(AND(D4205="Formalização",E4205="Concluído"),IF(COUNTIFS($B$2:$B$5001,B4205,$E$2:$E$5001,"Em ajustes",$N$2:$N$5001,"&lt;"&amp;I4205)&gt;0,1,0),0))</f>
        <v/>
      </c>
      <c r="L4205" s="16" t="str">
        <f aca="false">IF(B4205="","",IF(N4205=_xlfn.MAXIFS($N$2:$N$5001,$B$2:$B$5001,B4205,$I$2:$I$5001,I4205),1,0))</f>
        <v/>
      </c>
      <c r="M4205" s="16" t="str">
        <f aca="false">IF(B4205="","",IF(E4205="Em ajustes",IF(N4205=_xlfn.MINIFS($N$2:$N$5001,$B$2:$B$5001,B4205,$E$2:$E$5001,"Em ajustes"),1,0),0))</f>
        <v/>
      </c>
      <c r="N4205" s="17" t="str">
        <f aca="false">IF(A4205="","",IF(ISNUMBER(A4205),A4205,IFERROR(DATE(VALUE(MID(A4205,7,4)),VALUE(MID(A4205,4,2)),VALUE(MID(A4205,1,2)))+TIME(VALUE(MID(A4205,12,2)),VALUE(MID(A4205,15,2)),VALUE(MID(A4205,18,2))),"")))</f>
        <v/>
      </c>
    </row>
    <row r="4206" customFormat="false" ht="15" hidden="false" customHeight="false" outlineLevel="0" collapsed="false">
      <c r="I4206" s="15" t="str">
        <f aca="false">IF(N4206="","",INT(N4206))</f>
        <v/>
      </c>
      <c r="J4206" s="16" t="str">
        <f aca="false">IF(B4206="","",IF(N4206=_xlfn.MINIFS($N$2:$N$5001,$B$2:$B$5001,B4206),1,0))</f>
        <v/>
      </c>
      <c r="K4206" s="16" t="str">
        <f aca="false">IF(B4206="","",IF(AND(D4206="Formalização",E4206="Concluído"),IF(COUNTIFS($B$2:$B$5001,B4206,$E$2:$E$5001,"Em ajustes",$N$2:$N$5001,"&lt;"&amp;I4206)&gt;0,1,0),0))</f>
        <v/>
      </c>
      <c r="L4206" s="16" t="str">
        <f aca="false">IF(B4206="","",IF(N4206=_xlfn.MAXIFS($N$2:$N$5001,$B$2:$B$5001,B4206,$I$2:$I$5001,I4206),1,0))</f>
        <v/>
      </c>
      <c r="M4206" s="16" t="str">
        <f aca="false">IF(B4206="","",IF(E4206="Em ajustes",IF(N4206=_xlfn.MINIFS($N$2:$N$5001,$B$2:$B$5001,B4206,$E$2:$E$5001,"Em ajustes"),1,0),0))</f>
        <v/>
      </c>
      <c r="N4206" s="17" t="str">
        <f aca="false">IF(A4206="","",IF(ISNUMBER(A4206),A4206,IFERROR(DATE(VALUE(MID(A4206,7,4)),VALUE(MID(A4206,4,2)),VALUE(MID(A4206,1,2)))+TIME(VALUE(MID(A4206,12,2)),VALUE(MID(A4206,15,2)),VALUE(MID(A4206,18,2))),"")))</f>
        <v/>
      </c>
    </row>
    <row r="4207" customFormat="false" ht="15" hidden="false" customHeight="false" outlineLevel="0" collapsed="false">
      <c r="I4207" s="15" t="str">
        <f aca="false">IF(N4207="","",INT(N4207))</f>
        <v/>
      </c>
      <c r="J4207" s="16" t="str">
        <f aca="false">IF(B4207="","",IF(N4207=_xlfn.MINIFS($N$2:$N$5001,$B$2:$B$5001,B4207),1,0))</f>
        <v/>
      </c>
      <c r="K4207" s="16" t="str">
        <f aca="false">IF(B4207="","",IF(AND(D4207="Formalização",E4207="Concluído"),IF(COUNTIFS($B$2:$B$5001,B4207,$E$2:$E$5001,"Em ajustes",$N$2:$N$5001,"&lt;"&amp;I4207)&gt;0,1,0),0))</f>
        <v/>
      </c>
      <c r="L4207" s="16" t="str">
        <f aca="false">IF(B4207="","",IF(N4207=_xlfn.MAXIFS($N$2:$N$5001,$B$2:$B$5001,B4207,$I$2:$I$5001,I4207),1,0))</f>
        <v/>
      </c>
      <c r="M4207" s="16" t="str">
        <f aca="false">IF(B4207="","",IF(E4207="Em ajustes",IF(N4207=_xlfn.MINIFS($N$2:$N$5001,$B$2:$B$5001,B4207,$E$2:$E$5001,"Em ajustes"),1,0),0))</f>
        <v/>
      </c>
      <c r="N4207" s="17" t="str">
        <f aca="false">IF(A4207="","",IF(ISNUMBER(A4207),A4207,IFERROR(DATE(VALUE(MID(A4207,7,4)),VALUE(MID(A4207,4,2)),VALUE(MID(A4207,1,2)))+TIME(VALUE(MID(A4207,12,2)),VALUE(MID(A4207,15,2)),VALUE(MID(A4207,18,2))),"")))</f>
        <v/>
      </c>
    </row>
    <row r="4208" customFormat="false" ht="15" hidden="false" customHeight="false" outlineLevel="0" collapsed="false">
      <c r="I4208" s="15" t="str">
        <f aca="false">IF(N4208="","",INT(N4208))</f>
        <v/>
      </c>
      <c r="J4208" s="16" t="str">
        <f aca="false">IF(B4208="","",IF(N4208=_xlfn.MINIFS($N$2:$N$5001,$B$2:$B$5001,B4208),1,0))</f>
        <v/>
      </c>
      <c r="K4208" s="16" t="str">
        <f aca="false">IF(B4208="","",IF(AND(D4208="Formalização",E4208="Concluído"),IF(COUNTIFS($B$2:$B$5001,B4208,$E$2:$E$5001,"Em ajustes",$N$2:$N$5001,"&lt;"&amp;I4208)&gt;0,1,0),0))</f>
        <v/>
      </c>
      <c r="L4208" s="16" t="str">
        <f aca="false">IF(B4208="","",IF(N4208=_xlfn.MAXIFS($N$2:$N$5001,$B$2:$B$5001,B4208,$I$2:$I$5001,I4208),1,0))</f>
        <v/>
      </c>
      <c r="M4208" s="16" t="str">
        <f aca="false">IF(B4208="","",IF(E4208="Em ajustes",IF(N4208=_xlfn.MINIFS($N$2:$N$5001,$B$2:$B$5001,B4208,$E$2:$E$5001,"Em ajustes"),1,0),0))</f>
        <v/>
      </c>
      <c r="N4208" s="17" t="str">
        <f aca="false">IF(A4208="","",IF(ISNUMBER(A4208),A4208,IFERROR(DATE(VALUE(MID(A4208,7,4)),VALUE(MID(A4208,4,2)),VALUE(MID(A4208,1,2)))+TIME(VALUE(MID(A4208,12,2)),VALUE(MID(A4208,15,2)),VALUE(MID(A4208,18,2))),"")))</f>
        <v/>
      </c>
    </row>
    <row r="4209" customFormat="false" ht="15" hidden="false" customHeight="false" outlineLevel="0" collapsed="false">
      <c r="I4209" s="15" t="str">
        <f aca="false">IF(N4209="","",INT(N4209))</f>
        <v/>
      </c>
      <c r="J4209" s="16" t="str">
        <f aca="false">IF(B4209="","",IF(N4209=_xlfn.MINIFS($N$2:$N$5001,$B$2:$B$5001,B4209),1,0))</f>
        <v/>
      </c>
      <c r="K4209" s="16" t="str">
        <f aca="false">IF(B4209="","",IF(AND(D4209="Formalização",E4209="Concluído"),IF(COUNTIFS($B$2:$B$5001,B4209,$E$2:$E$5001,"Em ajustes",$N$2:$N$5001,"&lt;"&amp;I4209)&gt;0,1,0),0))</f>
        <v/>
      </c>
      <c r="L4209" s="16" t="str">
        <f aca="false">IF(B4209="","",IF(N4209=_xlfn.MAXIFS($N$2:$N$5001,$B$2:$B$5001,B4209,$I$2:$I$5001,I4209),1,0))</f>
        <v/>
      </c>
      <c r="M4209" s="16" t="str">
        <f aca="false">IF(B4209="","",IF(E4209="Em ajustes",IF(N4209=_xlfn.MINIFS($N$2:$N$5001,$B$2:$B$5001,B4209,$E$2:$E$5001,"Em ajustes"),1,0),0))</f>
        <v/>
      </c>
      <c r="N4209" s="17" t="str">
        <f aca="false">IF(A4209="","",IF(ISNUMBER(A4209),A4209,IFERROR(DATE(VALUE(MID(A4209,7,4)),VALUE(MID(A4209,4,2)),VALUE(MID(A4209,1,2)))+TIME(VALUE(MID(A4209,12,2)),VALUE(MID(A4209,15,2)),VALUE(MID(A4209,18,2))),"")))</f>
        <v/>
      </c>
    </row>
    <row r="4210" customFormat="false" ht="15" hidden="false" customHeight="false" outlineLevel="0" collapsed="false">
      <c r="I4210" s="15" t="str">
        <f aca="false">IF(N4210="","",INT(N4210))</f>
        <v/>
      </c>
      <c r="J4210" s="16" t="str">
        <f aca="false">IF(B4210="","",IF(N4210=_xlfn.MINIFS($N$2:$N$5001,$B$2:$B$5001,B4210),1,0))</f>
        <v/>
      </c>
      <c r="K4210" s="16" t="str">
        <f aca="false">IF(B4210="","",IF(AND(D4210="Formalização",E4210="Concluído"),IF(COUNTIFS($B$2:$B$5001,B4210,$E$2:$E$5001,"Em ajustes",$N$2:$N$5001,"&lt;"&amp;I4210)&gt;0,1,0),0))</f>
        <v/>
      </c>
      <c r="L4210" s="16" t="str">
        <f aca="false">IF(B4210="","",IF(N4210=_xlfn.MAXIFS($N$2:$N$5001,$B$2:$B$5001,B4210,$I$2:$I$5001,I4210),1,0))</f>
        <v/>
      </c>
      <c r="M4210" s="16" t="str">
        <f aca="false">IF(B4210="","",IF(E4210="Em ajustes",IF(N4210=_xlfn.MINIFS($N$2:$N$5001,$B$2:$B$5001,B4210,$E$2:$E$5001,"Em ajustes"),1,0),0))</f>
        <v/>
      </c>
      <c r="N4210" s="17" t="str">
        <f aca="false">IF(A4210="","",IF(ISNUMBER(A4210),A4210,IFERROR(DATE(VALUE(MID(A4210,7,4)),VALUE(MID(A4210,4,2)),VALUE(MID(A4210,1,2)))+TIME(VALUE(MID(A4210,12,2)),VALUE(MID(A4210,15,2)),VALUE(MID(A4210,18,2))),"")))</f>
        <v/>
      </c>
    </row>
    <row r="4211" customFormat="false" ht="15" hidden="false" customHeight="false" outlineLevel="0" collapsed="false">
      <c r="I4211" s="15" t="str">
        <f aca="false">IF(N4211="","",INT(N4211))</f>
        <v/>
      </c>
      <c r="J4211" s="16" t="str">
        <f aca="false">IF(B4211="","",IF(N4211=_xlfn.MINIFS($N$2:$N$5001,$B$2:$B$5001,B4211),1,0))</f>
        <v/>
      </c>
      <c r="K4211" s="16" t="str">
        <f aca="false">IF(B4211="","",IF(AND(D4211="Formalização",E4211="Concluído"),IF(COUNTIFS($B$2:$B$5001,B4211,$E$2:$E$5001,"Em ajustes",$N$2:$N$5001,"&lt;"&amp;I4211)&gt;0,1,0),0))</f>
        <v/>
      </c>
      <c r="L4211" s="16" t="str">
        <f aca="false">IF(B4211="","",IF(N4211=_xlfn.MAXIFS($N$2:$N$5001,$B$2:$B$5001,B4211,$I$2:$I$5001,I4211),1,0))</f>
        <v/>
      </c>
      <c r="M4211" s="16" t="str">
        <f aca="false">IF(B4211="","",IF(E4211="Em ajustes",IF(N4211=_xlfn.MINIFS($N$2:$N$5001,$B$2:$B$5001,B4211,$E$2:$E$5001,"Em ajustes"),1,0),0))</f>
        <v/>
      </c>
      <c r="N4211" s="17" t="str">
        <f aca="false">IF(A4211="","",IF(ISNUMBER(A4211),A4211,IFERROR(DATE(VALUE(MID(A4211,7,4)),VALUE(MID(A4211,4,2)),VALUE(MID(A4211,1,2)))+TIME(VALUE(MID(A4211,12,2)),VALUE(MID(A4211,15,2)),VALUE(MID(A4211,18,2))),"")))</f>
        <v/>
      </c>
    </row>
    <row r="4212" customFormat="false" ht="15" hidden="false" customHeight="false" outlineLevel="0" collapsed="false">
      <c r="I4212" s="15" t="str">
        <f aca="false">IF(N4212="","",INT(N4212))</f>
        <v/>
      </c>
      <c r="J4212" s="16" t="str">
        <f aca="false">IF(B4212="","",IF(N4212=_xlfn.MINIFS($N$2:$N$5001,$B$2:$B$5001,B4212),1,0))</f>
        <v/>
      </c>
      <c r="K4212" s="16" t="str">
        <f aca="false">IF(B4212="","",IF(AND(D4212="Formalização",E4212="Concluído"),IF(COUNTIFS($B$2:$B$5001,B4212,$E$2:$E$5001,"Em ajustes",$N$2:$N$5001,"&lt;"&amp;I4212)&gt;0,1,0),0))</f>
        <v/>
      </c>
      <c r="L4212" s="16" t="str">
        <f aca="false">IF(B4212="","",IF(N4212=_xlfn.MAXIFS($N$2:$N$5001,$B$2:$B$5001,B4212,$I$2:$I$5001,I4212),1,0))</f>
        <v/>
      </c>
      <c r="M4212" s="16" t="str">
        <f aca="false">IF(B4212="","",IF(E4212="Em ajustes",IF(N4212=_xlfn.MINIFS($N$2:$N$5001,$B$2:$B$5001,B4212,$E$2:$E$5001,"Em ajustes"),1,0),0))</f>
        <v/>
      </c>
      <c r="N4212" s="17" t="str">
        <f aca="false">IF(A4212="","",IF(ISNUMBER(A4212),A4212,IFERROR(DATE(VALUE(MID(A4212,7,4)),VALUE(MID(A4212,4,2)),VALUE(MID(A4212,1,2)))+TIME(VALUE(MID(A4212,12,2)),VALUE(MID(A4212,15,2)),VALUE(MID(A4212,18,2))),"")))</f>
        <v/>
      </c>
    </row>
    <row r="4213" customFormat="false" ht="15" hidden="false" customHeight="false" outlineLevel="0" collapsed="false">
      <c r="I4213" s="15" t="str">
        <f aca="false">IF(N4213="","",INT(N4213))</f>
        <v/>
      </c>
      <c r="J4213" s="16" t="str">
        <f aca="false">IF(B4213="","",IF(N4213=_xlfn.MINIFS($N$2:$N$5001,$B$2:$B$5001,B4213),1,0))</f>
        <v/>
      </c>
      <c r="K4213" s="16" t="str">
        <f aca="false">IF(B4213="","",IF(AND(D4213="Formalização",E4213="Concluído"),IF(COUNTIFS($B$2:$B$5001,B4213,$E$2:$E$5001,"Em ajustes",$N$2:$N$5001,"&lt;"&amp;I4213)&gt;0,1,0),0))</f>
        <v/>
      </c>
      <c r="L4213" s="16" t="str">
        <f aca="false">IF(B4213="","",IF(N4213=_xlfn.MAXIFS($N$2:$N$5001,$B$2:$B$5001,B4213,$I$2:$I$5001,I4213),1,0))</f>
        <v/>
      </c>
      <c r="M4213" s="16" t="str">
        <f aca="false">IF(B4213="","",IF(E4213="Em ajustes",IF(N4213=_xlfn.MINIFS($N$2:$N$5001,$B$2:$B$5001,B4213,$E$2:$E$5001,"Em ajustes"),1,0),0))</f>
        <v/>
      </c>
      <c r="N4213" s="17" t="str">
        <f aca="false">IF(A4213="","",IF(ISNUMBER(A4213),A4213,IFERROR(DATE(VALUE(MID(A4213,7,4)),VALUE(MID(A4213,4,2)),VALUE(MID(A4213,1,2)))+TIME(VALUE(MID(A4213,12,2)),VALUE(MID(A4213,15,2)),VALUE(MID(A4213,18,2))),"")))</f>
        <v/>
      </c>
    </row>
    <row r="4214" customFormat="false" ht="15" hidden="false" customHeight="false" outlineLevel="0" collapsed="false">
      <c r="I4214" s="15" t="str">
        <f aca="false">IF(N4214="","",INT(N4214))</f>
        <v/>
      </c>
      <c r="J4214" s="16" t="str">
        <f aca="false">IF(B4214="","",IF(N4214=_xlfn.MINIFS($N$2:$N$5001,$B$2:$B$5001,B4214),1,0))</f>
        <v/>
      </c>
      <c r="K4214" s="16" t="str">
        <f aca="false">IF(B4214="","",IF(AND(D4214="Formalização",E4214="Concluído"),IF(COUNTIFS($B$2:$B$5001,B4214,$E$2:$E$5001,"Em ajustes",$N$2:$N$5001,"&lt;"&amp;I4214)&gt;0,1,0),0))</f>
        <v/>
      </c>
      <c r="L4214" s="16" t="str">
        <f aca="false">IF(B4214="","",IF(N4214=_xlfn.MAXIFS($N$2:$N$5001,$B$2:$B$5001,B4214,$I$2:$I$5001,I4214),1,0))</f>
        <v/>
      </c>
      <c r="M4214" s="16" t="str">
        <f aca="false">IF(B4214="","",IF(E4214="Em ajustes",IF(N4214=_xlfn.MINIFS($N$2:$N$5001,$B$2:$B$5001,B4214,$E$2:$E$5001,"Em ajustes"),1,0),0))</f>
        <v/>
      </c>
      <c r="N4214" s="17" t="str">
        <f aca="false">IF(A4214="","",IF(ISNUMBER(A4214),A4214,IFERROR(DATE(VALUE(MID(A4214,7,4)),VALUE(MID(A4214,4,2)),VALUE(MID(A4214,1,2)))+TIME(VALUE(MID(A4214,12,2)),VALUE(MID(A4214,15,2)),VALUE(MID(A4214,18,2))),"")))</f>
        <v/>
      </c>
    </row>
    <row r="4215" customFormat="false" ht="15" hidden="false" customHeight="false" outlineLevel="0" collapsed="false">
      <c r="I4215" s="15" t="str">
        <f aca="false">IF(N4215="","",INT(N4215))</f>
        <v/>
      </c>
      <c r="J4215" s="16" t="str">
        <f aca="false">IF(B4215="","",IF(N4215=_xlfn.MINIFS($N$2:$N$5001,$B$2:$B$5001,B4215),1,0))</f>
        <v/>
      </c>
      <c r="K4215" s="16" t="str">
        <f aca="false">IF(B4215="","",IF(AND(D4215="Formalização",E4215="Concluído"),IF(COUNTIFS($B$2:$B$5001,B4215,$E$2:$E$5001,"Em ajustes",$N$2:$N$5001,"&lt;"&amp;I4215)&gt;0,1,0),0))</f>
        <v/>
      </c>
      <c r="L4215" s="16" t="str">
        <f aca="false">IF(B4215="","",IF(N4215=_xlfn.MAXIFS($N$2:$N$5001,$B$2:$B$5001,B4215,$I$2:$I$5001,I4215),1,0))</f>
        <v/>
      </c>
      <c r="M4215" s="16" t="str">
        <f aca="false">IF(B4215="","",IF(E4215="Em ajustes",IF(N4215=_xlfn.MINIFS($N$2:$N$5001,$B$2:$B$5001,B4215,$E$2:$E$5001,"Em ajustes"),1,0),0))</f>
        <v/>
      </c>
      <c r="N4215" s="17" t="str">
        <f aca="false">IF(A4215="","",IF(ISNUMBER(A4215),A4215,IFERROR(DATE(VALUE(MID(A4215,7,4)),VALUE(MID(A4215,4,2)),VALUE(MID(A4215,1,2)))+TIME(VALUE(MID(A4215,12,2)),VALUE(MID(A4215,15,2)),VALUE(MID(A4215,18,2))),"")))</f>
        <v/>
      </c>
    </row>
    <row r="4216" customFormat="false" ht="15" hidden="false" customHeight="false" outlineLevel="0" collapsed="false">
      <c r="I4216" s="15" t="str">
        <f aca="false">IF(N4216="","",INT(N4216))</f>
        <v/>
      </c>
      <c r="J4216" s="16" t="str">
        <f aca="false">IF(B4216="","",IF(N4216=_xlfn.MINIFS($N$2:$N$5001,$B$2:$B$5001,B4216),1,0))</f>
        <v/>
      </c>
      <c r="K4216" s="16" t="str">
        <f aca="false">IF(B4216="","",IF(AND(D4216="Formalização",E4216="Concluído"),IF(COUNTIFS($B$2:$B$5001,B4216,$E$2:$E$5001,"Em ajustes",$N$2:$N$5001,"&lt;"&amp;I4216)&gt;0,1,0),0))</f>
        <v/>
      </c>
      <c r="L4216" s="16" t="str">
        <f aca="false">IF(B4216="","",IF(N4216=_xlfn.MAXIFS($N$2:$N$5001,$B$2:$B$5001,B4216,$I$2:$I$5001,I4216),1,0))</f>
        <v/>
      </c>
      <c r="M4216" s="16" t="str">
        <f aca="false">IF(B4216="","",IF(E4216="Em ajustes",IF(N4216=_xlfn.MINIFS($N$2:$N$5001,$B$2:$B$5001,B4216,$E$2:$E$5001,"Em ajustes"),1,0),0))</f>
        <v/>
      </c>
      <c r="N4216" s="17" t="str">
        <f aca="false">IF(A4216="","",IF(ISNUMBER(A4216),A4216,IFERROR(DATE(VALUE(MID(A4216,7,4)),VALUE(MID(A4216,4,2)),VALUE(MID(A4216,1,2)))+TIME(VALUE(MID(A4216,12,2)),VALUE(MID(A4216,15,2)),VALUE(MID(A4216,18,2))),"")))</f>
        <v/>
      </c>
    </row>
    <row r="4217" customFormat="false" ht="15" hidden="false" customHeight="false" outlineLevel="0" collapsed="false">
      <c r="I4217" s="15" t="str">
        <f aca="false">IF(N4217="","",INT(N4217))</f>
        <v/>
      </c>
      <c r="J4217" s="16" t="str">
        <f aca="false">IF(B4217="","",IF(N4217=_xlfn.MINIFS($N$2:$N$5001,$B$2:$B$5001,B4217),1,0))</f>
        <v/>
      </c>
      <c r="K4217" s="16" t="str">
        <f aca="false">IF(B4217="","",IF(AND(D4217="Formalização",E4217="Concluído"),IF(COUNTIFS($B$2:$B$5001,B4217,$E$2:$E$5001,"Em ajustes",$N$2:$N$5001,"&lt;"&amp;I4217)&gt;0,1,0),0))</f>
        <v/>
      </c>
      <c r="L4217" s="16" t="str">
        <f aca="false">IF(B4217="","",IF(N4217=_xlfn.MAXIFS($N$2:$N$5001,$B$2:$B$5001,B4217,$I$2:$I$5001,I4217),1,0))</f>
        <v/>
      </c>
      <c r="M4217" s="16" t="str">
        <f aca="false">IF(B4217="","",IF(E4217="Em ajustes",IF(N4217=_xlfn.MINIFS($N$2:$N$5001,$B$2:$B$5001,B4217,$E$2:$E$5001,"Em ajustes"),1,0),0))</f>
        <v/>
      </c>
      <c r="N4217" s="17" t="str">
        <f aca="false">IF(A4217="","",IF(ISNUMBER(A4217),A4217,IFERROR(DATE(VALUE(MID(A4217,7,4)),VALUE(MID(A4217,4,2)),VALUE(MID(A4217,1,2)))+TIME(VALUE(MID(A4217,12,2)),VALUE(MID(A4217,15,2)),VALUE(MID(A4217,18,2))),"")))</f>
        <v/>
      </c>
    </row>
    <row r="4218" customFormat="false" ht="15" hidden="false" customHeight="false" outlineLevel="0" collapsed="false">
      <c r="I4218" s="15" t="str">
        <f aca="false">IF(N4218="","",INT(N4218))</f>
        <v/>
      </c>
      <c r="J4218" s="16" t="str">
        <f aca="false">IF(B4218="","",IF(N4218=_xlfn.MINIFS($N$2:$N$5001,$B$2:$B$5001,B4218),1,0))</f>
        <v/>
      </c>
      <c r="K4218" s="16" t="str">
        <f aca="false">IF(B4218="","",IF(AND(D4218="Formalização",E4218="Concluído"),IF(COUNTIFS($B$2:$B$5001,B4218,$E$2:$E$5001,"Em ajustes",$N$2:$N$5001,"&lt;"&amp;I4218)&gt;0,1,0),0))</f>
        <v/>
      </c>
      <c r="L4218" s="16" t="str">
        <f aca="false">IF(B4218="","",IF(N4218=_xlfn.MAXIFS($N$2:$N$5001,$B$2:$B$5001,B4218,$I$2:$I$5001,I4218),1,0))</f>
        <v/>
      </c>
      <c r="M4218" s="16" t="str">
        <f aca="false">IF(B4218="","",IF(E4218="Em ajustes",IF(N4218=_xlfn.MINIFS($N$2:$N$5001,$B$2:$B$5001,B4218,$E$2:$E$5001,"Em ajustes"),1,0),0))</f>
        <v/>
      </c>
      <c r="N4218" s="17" t="str">
        <f aca="false">IF(A4218="","",IF(ISNUMBER(A4218),A4218,IFERROR(DATE(VALUE(MID(A4218,7,4)),VALUE(MID(A4218,4,2)),VALUE(MID(A4218,1,2)))+TIME(VALUE(MID(A4218,12,2)),VALUE(MID(A4218,15,2)),VALUE(MID(A4218,18,2))),"")))</f>
        <v/>
      </c>
    </row>
    <row r="4219" customFormat="false" ht="15" hidden="false" customHeight="false" outlineLevel="0" collapsed="false">
      <c r="I4219" s="15" t="str">
        <f aca="false">IF(N4219="","",INT(N4219))</f>
        <v/>
      </c>
      <c r="J4219" s="16" t="str">
        <f aca="false">IF(B4219="","",IF(N4219=_xlfn.MINIFS($N$2:$N$5001,$B$2:$B$5001,B4219),1,0))</f>
        <v/>
      </c>
      <c r="K4219" s="16" t="str">
        <f aca="false">IF(B4219="","",IF(AND(D4219="Formalização",E4219="Concluído"),IF(COUNTIFS($B$2:$B$5001,B4219,$E$2:$E$5001,"Em ajustes",$N$2:$N$5001,"&lt;"&amp;I4219)&gt;0,1,0),0))</f>
        <v/>
      </c>
      <c r="L4219" s="16" t="str">
        <f aca="false">IF(B4219="","",IF(N4219=_xlfn.MAXIFS($N$2:$N$5001,$B$2:$B$5001,B4219,$I$2:$I$5001,I4219),1,0))</f>
        <v/>
      </c>
      <c r="M4219" s="16" t="str">
        <f aca="false">IF(B4219="","",IF(E4219="Em ajustes",IF(N4219=_xlfn.MINIFS($N$2:$N$5001,$B$2:$B$5001,B4219,$E$2:$E$5001,"Em ajustes"),1,0),0))</f>
        <v/>
      </c>
      <c r="N4219" s="17" t="str">
        <f aca="false">IF(A4219="","",IF(ISNUMBER(A4219),A4219,IFERROR(DATE(VALUE(MID(A4219,7,4)),VALUE(MID(A4219,4,2)),VALUE(MID(A4219,1,2)))+TIME(VALUE(MID(A4219,12,2)),VALUE(MID(A4219,15,2)),VALUE(MID(A4219,18,2))),"")))</f>
        <v/>
      </c>
    </row>
    <row r="4220" customFormat="false" ht="15" hidden="false" customHeight="false" outlineLevel="0" collapsed="false">
      <c r="I4220" s="15" t="str">
        <f aca="false">IF(N4220="","",INT(N4220))</f>
        <v/>
      </c>
      <c r="J4220" s="16" t="str">
        <f aca="false">IF(B4220="","",IF(N4220=_xlfn.MINIFS($N$2:$N$5001,$B$2:$B$5001,B4220),1,0))</f>
        <v/>
      </c>
      <c r="K4220" s="16" t="str">
        <f aca="false">IF(B4220="","",IF(AND(D4220="Formalização",E4220="Concluído"),IF(COUNTIFS($B$2:$B$5001,B4220,$E$2:$E$5001,"Em ajustes",$N$2:$N$5001,"&lt;"&amp;I4220)&gt;0,1,0),0))</f>
        <v/>
      </c>
      <c r="L4220" s="16" t="str">
        <f aca="false">IF(B4220="","",IF(N4220=_xlfn.MAXIFS($N$2:$N$5001,$B$2:$B$5001,B4220,$I$2:$I$5001,I4220),1,0))</f>
        <v/>
      </c>
      <c r="M4220" s="16" t="str">
        <f aca="false">IF(B4220="","",IF(E4220="Em ajustes",IF(N4220=_xlfn.MINIFS($N$2:$N$5001,$B$2:$B$5001,B4220,$E$2:$E$5001,"Em ajustes"),1,0),0))</f>
        <v/>
      </c>
      <c r="N4220" s="17" t="str">
        <f aca="false">IF(A4220="","",IF(ISNUMBER(A4220),A4220,IFERROR(DATE(VALUE(MID(A4220,7,4)),VALUE(MID(A4220,4,2)),VALUE(MID(A4220,1,2)))+TIME(VALUE(MID(A4220,12,2)),VALUE(MID(A4220,15,2)),VALUE(MID(A4220,18,2))),"")))</f>
        <v/>
      </c>
    </row>
    <row r="4221" customFormat="false" ht="15" hidden="false" customHeight="false" outlineLevel="0" collapsed="false">
      <c r="I4221" s="15" t="str">
        <f aca="false">IF(N4221="","",INT(N4221))</f>
        <v/>
      </c>
      <c r="J4221" s="16" t="str">
        <f aca="false">IF(B4221="","",IF(N4221=_xlfn.MINIFS($N$2:$N$5001,$B$2:$B$5001,B4221),1,0))</f>
        <v/>
      </c>
      <c r="K4221" s="16" t="str">
        <f aca="false">IF(B4221="","",IF(AND(D4221="Formalização",E4221="Concluído"),IF(COUNTIFS($B$2:$B$5001,B4221,$E$2:$E$5001,"Em ajustes",$N$2:$N$5001,"&lt;"&amp;I4221)&gt;0,1,0),0))</f>
        <v/>
      </c>
      <c r="L4221" s="16" t="str">
        <f aca="false">IF(B4221="","",IF(N4221=_xlfn.MAXIFS($N$2:$N$5001,$B$2:$B$5001,B4221,$I$2:$I$5001,I4221),1,0))</f>
        <v/>
      </c>
      <c r="M4221" s="16" t="str">
        <f aca="false">IF(B4221="","",IF(E4221="Em ajustes",IF(N4221=_xlfn.MINIFS($N$2:$N$5001,$B$2:$B$5001,B4221,$E$2:$E$5001,"Em ajustes"),1,0),0))</f>
        <v/>
      </c>
      <c r="N4221" s="17" t="str">
        <f aca="false">IF(A4221="","",IF(ISNUMBER(A4221),A4221,IFERROR(DATE(VALUE(MID(A4221,7,4)),VALUE(MID(A4221,4,2)),VALUE(MID(A4221,1,2)))+TIME(VALUE(MID(A4221,12,2)),VALUE(MID(A4221,15,2)),VALUE(MID(A4221,18,2))),"")))</f>
        <v/>
      </c>
    </row>
    <row r="4222" customFormat="false" ht="15" hidden="false" customHeight="false" outlineLevel="0" collapsed="false">
      <c r="I4222" s="15" t="str">
        <f aca="false">IF(N4222="","",INT(N4222))</f>
        <v/>
      </c>
      <c r="J4222" s="16" t="str">
        <f aca="false">IF(B4222="","",IF(N4222=_xlfn.MINIFS($N$2:$N$5001,$B$2:$B$5001,B4222),1,0))</f>
        <v/>
      </c>
      <c r="K4222" s="16" t="str">
        <f aca="false">IF(B4222="","",IF(AND(D4222="Formalização",E4222="Concluído"),IF(COUNTIFS($B$2:$B$5001,B4222,$E$2:$E$5001,"Em ajustes",$N$2:$N$5001,"&lt;"&amp;I4222)&gt;0,1,0),0))</f>
        <v/>
      </c>
      <c r="L4222" s="16" t="str">
        <f aca="false">IF(B4222="","",IF(N4222=_xlfn.MAXIFS($N$2:$N$5001,$B$2:$B$5001,B4222,$I$2:$I$5001,I4222),1,0))</f>
        <v/>
      </c>
      <c r="M4222" s="16" t="str">
        <f aca="false">IF(B4222="","",IF(E4222="Em ajustes",IF(N4222=_xlfn.MINIFS($N$2:$N$5001,$B$2:$B$5001,B4222,$E$2:$E$5001,"Em ajustes"),1,0),0))</f>
        <v/>
      </c>
      <c r="N4222" s="17" t="str">
        <f aca="false">IF(A4222="","",IF(ISNUMBER(A4222),A4222,IFERROR(DATE(VALUE(MID(A4222,7,4)),VALUE(MID(A4222,4,2)),VALUE(MID(A4222,1,2)))+TIME(VALUE(MID(A4222,12,2)),VALUE(MID(A4222,15,2)),VALUE(MID(A4222,18,2))),"")))</f>
        <v/>
      </c>
    </row>
    <row r="4223" customFormat="false" ht="15" hidden="false" customHeight="false" outlineLevel="0" collapsed="false">
      <c r="I4223" s="15" t="str">
        <f aca="false">IF(N4223="","",INT(N4223))</f>
        <v/>
      </c>
      <c r="J4223" s="16" t="str">
        <f aca="false">IF(B4223="","",IF(N4223=_xlfn.MINIFS($N$2:$N$5001,$B$2:$B$5001,B4223),1,0))</f>
        <v/>
      </c>
      <c r="K4223" s="16" t="str">
        <f aca="false">IF(B4223="","",IF(AND(D4223="Formalização",E4223="Concluído"),IF(COUNTIFS($B$2:$B$5001,B4223,$E$2:$E$5001,"Em ajustes",$N$2:$N$5001,"&lt;"&amp;I4223)&gt;0,1,0),0))</f>
        <v/>
      </c>
      <c r="L4223" s="16" t="str">
        <f aca="false">IF(B4223="","",IF(N4223=_xlfn.MAXIFS($N$2:$N$5001,$B$2:$B$5001,B4223,$I$2:$I$5001,I4223),1,0))</f>
        <v/>
      </c>
      <c r="M4223" s="16" t="str">
        <f aca="false">IF(B4223="","",IF(E4223="Em ajustes",IF(N4223=_xlfn.MINIFS($N$2:$N$5001,$B$2:$B$5001,B4223,$E$2:$E$5001,"Em ajustes"),1,0),0))</f>
        <v/>
      </c>
      <c r="N4223" s="17" t="str">
        <f aca="false">IF(A4223="","",IF(ISNUMBER(A4223),A4223,IFERROR(DATE(VALUE(MID(A4223,7,4)),VALUE(MID(A4223,4,2)),VALUE(MID(A4223,1,2)))+TIME(VALUE(MID(A4223,12,2)),VALUE(MID(A4223,15,2)),VALUE(MID(A4223,18,2))),"")))</f>
        <v/>
      </c>
    </row>
    <row r="4224" customFormat="false" ht="15" hidden="false" customHeight="false" outlineLevel="0" collapsed="false">
      <c r="I4224" s="15" t="str">
        <f aca="false">IF(N4224="","",INT(N4224))</f>
        <v/>
      </c>
      <c r="J4224" s="16" t="str">
        <f aca="false">IF(B4224="","",IF(N4224=_xlfn.MINIFS($N$2:$N$5001,$B$2:$B$5001,B4224),1,0))</f>
        <v/>
      </c>
      <c r="K4224" s="16" t="str">
        <f aca="false">IF(B4224="","",IF(AND(D4224="Formalização",E4224="Concluído"),IF(COUNTIFS($B$2:$B$5001,B4224,$E$2:$E$5001,"Em ajustes",$N$2:$N$5001,"&lt;"&amp;I4224)&gt;0,1,0),0))</f>
        <v/>
      </c>
      <c r="L4224" s="16" t="str">
        <f aca="false">IF(B4224="","",IF(N4224=_xlfn.MAXIFS($N$2:$N$5001,$B$2:$B$5001,B4224,$I$2:$I$5001,I4224),1,0))</f>
        <v/>
      </c>
      <c r="M4224" s="16" t="str">
        <f aca="false">IF(B4224="","",IF(E4224="Em ajustes",IF(N4224=_xlfn.MINIFS($N$2:$N$5001,$B$2:$B$5001,B4224,$E$2:$E$5001,"Em ajustes"),1,0),0))</f>
        <v/>
      </c>
      <c r="N4224" s="17" t="str">
        <f aca="false">IF(A4224="","",IF(ISNUMBER(A4224),A4224,IFERROR(DATE(VALUE(MID(A4224,7,4)),VALUE(MID(A4224,4,2)),VALUE(MID(A4224,1,2)))+TIME(VALUE(MID(A4224,12,2)),VALUE(MID(A4224,15,2)),VALUE(MID(A4224,18,2))),"")))</f>
        <v/>
      </c>
    </row>
    <row r="4225" customFormat="false" ht="15" hidden="false" customHeight="false" outlineLevel="0" collapsed="false">
      <c r="I4225" s="15" t="str">
        <f aca="false">IF(N4225="","",INT(N4225))</f>
        <v/>
      </c>
      <c r="J4225" s="16" t="str">
        <f aca="false">IF(B4225="","",IF(N4225=_xlfn.MINIFS($N$2:$N$5001,$B$2:$B$5001,B4225),1,0))</f>
        <v/>
      </c>
      <c r="K4225" s="16" t="str">
        <f aca="false">IF(B4225="","",IF(AND(D4225="Formalização",E4225="Concluído"),IF(COUNTIFS($B$2:$B$5001,B4225,$E$2:$E$5001,"Em ajustes",$N$2:$N$5001,"&lt;"&amp;I4225)&gt;0,1,0),0))</f>
        <v/>
      </c>
      <c r="L4225" s="16" t="str">
        <f aca="false">IF(B4225="","",IF(N4225=_xlfn.MAXIFS($N$2:$N$5001,$B$2:$B$5001,B4225,$I$2:$I$5001,I4225),1,0))</f>
        <v/>
      </c>
      <c r="M4225" s="16" t="str">
        <f aca="false">IF(B4225="","",IF(E4225="Em ajustes",IF(N4225=_xlfn.MINIFS($N$2:$N$5001,$B$2:$B$5001,B4225,$E$2:$E$5001,"Em ajustes"),1,0),0))</f>
        <v/>
      </c>
      <c r="N4225" s="17" t="str">
        <f aca="false">IF(A4225="","",IF(ISNUMBER(A4225),A4225,IFERROR(DATE(VALUE(MID(A4225,7,4)),VALUE(MID(A4225,4,2)),VALUE(MID(A4225,1,2)))+TIME(VALUE(MID(A4225,12,2)),VALUE(MID(A4225,15,2)),VALUE(MID(A4225,18,2))),"")))</f>
        <v/>
      </c>
    </row>
    <row r="4226" customFormat="false" ht="15" hidden="false" customHeight="false" outlineLevel="0" collapsed="false">
      <c r="I4226" s="15" t="str">
        <f aca="false">IF(N4226="","",INT(N4226))</f>
        <v/>
      </c>
      <c r="J4226" s="16" t="str">
        <f aca="false">IF(B4226="","",IF(N4226=_xlfn.MINIFS($N$2:$N$5001,$B$2:$B$5001,B4226),1,0))</f>
        <v/>
      </c>
      <c r="K4226" s="16" t="str">
        <f aca="false">IF(B4226="","",IF(AND(D4226="Formalização",E4226="Concluído"),IF(COUNTIFS($B$2:$B$5001,B4226,$E$2:$E$5001,"Em ajustes",$N$2:$N$5001,"&lt;"&amp;I4226)&gt;0,1,0),0))</f>
        <v/>
      </c>
      <c r="L4226" s="16" t="str">
        <f aca="false">IF(B4226="","",IF(N4226=_xlfn.MAXIFS($N$2:$N$5001,$B$2:$B$5001,B4226,$I$2:$I$5001,I4226),1,0))</f>
        <v/>
      </c>
      <c r="M4226" s="16" t="str">
        <f aca="false">IF(B4226="","",IF(E4226="Em ajustes",IF(N4226=_xlfn.MINIFS($N$2:$N$5001,$B$2:$B$5001,B4226,$E$2:$E$5001,"Em ajustes"),1,0),0))</f>
        <v/>
      </c>
      <c r="N4226" s="17" t="str">
        <f aca="false">IF(A4226="","",IF(ISNUMBER(A4226),A4226,IFERROR(DATE(VALUE(MID(A4226,7,4)),VALUE(MID(A4226,4,2)),VALUE(MID(A4226,1,2)))+TIME(VALUE(MID(A4226,12,2)),VALUE(MID(A4226,15,2)),VALUE(MID(A4226,18,2))),"")))</f>
        <v/>
      </c>
    </row>
    <row r="4227" customFormat="false" ht="15" hidden="false" customHeight="false" outlineLevel="0" collapsed="false">
      <c r="I4227" s="15" t="str">
        <f aca="false">IF(N4227="","",INT(N4227))</f>
        <v/>
      </c>
      <c r="J4227" s="16" t="str">
        <f aca="false">IF(B4227="","",IF(N4227=_xlfn.MINIFS($N$2:$N$5001,$B$2:$B$5001,B4227),1,0))</f>
        <v/>
      </c>
      <c r="K4227" s="16" t="str">
        <f aca="false">IF(B4227="","",IF(AND(D4227="Formalização",E4227="Concluído"),IF(COUNTIFS($B$2:$B$5001,B4227,$E$2:$E$5001,"Em ajustes",$N$2:$N$5001,"&lt;"&amp;I4227)&gt;0,1,0),0))</f>
        <v/>
      </c>
      <c r="L4227" s="16" t="str">
        <f aca="false">IF(B4227="","",IF(N4227=_xlfn.MAXIFS($N$2:$N$5001,$B$2:$B$5001,B4227,$I$2:$I$5001,I4227),1,0))</f>
        <v/>
      </c>
      <c r="M4227" s="16" t="str">
        <f aca="false">IF(B4227="","",IF(E4227="Em ajustes",IF(N4227=_xlfn.MINIFS($N$2:$N$5001,$B$2:$B$5001,B4227,$E$2:$E$5001,"Em ajustes"),1,0),0))</f>
        <v/>
      </c>
      <c r="N4227" s="17" t="str">
        <f aca="false">IF(A4227="","",IF(ISNUMBER(A4227),A4227,IFERROR(DATE(VALUE(MID(A4227,7,4)),VALUE(MID(A4227,4,2)),VALUE(MID(A4227,1,2)))+TIME(VALUE(MID(A4227,12,2)),VALUE(MID(A4227,15,2)),VALUE(MID(A4227,18,2))),"")))</f>
        <v/>
      </c>
    </row>
    <row r="4228" customFormat="false" ht="15" hidden="false" customHeight="false" outlineLevel="0" collapsed="false">
      <c r="I4228" s="15" t="str">
        <f aca="false">IF(N4228="","",INT(N4228))</f>
        <v/>
      </c>
      <c r="J4228" s="16" t="str">
        <f aca="false">IF(B4228="","",IF(N4228=_xlfn.MINIFS($N$2:$N$5001,$B$2:$B$5001,B4228),1,0))</f>
        <v/>
      </c>
      <c r="K4228" s="16" t="str">
        <f aca="false">IF(B4228="","",IF(AND(D4228="Formalização",E4228="Concluído"),IF(COUNTIFS($B$2:$B$5001,B4228,$E$2:$E$5001,"Em ajustes",$N$2:$N$5001,"&lt;"&amp;I4228)&gt;0,1,0),0))</f>
        <v/>
      </c>
      <c r="L4228" s="16" t="str">
        <f aca="false">IF(B4228="","",IF(N4228=_xlfn.MAXIFS($N$2:$N$5001,$B$2:$B$5001,B4228,$I$2:$I$5001,I4228),1,0))</f>
        <v/>
      </c>
      <c r="M4228" s="16" t="str">
        <f aca="false">IF(B4228="","",IF(E4228="Em ajustes",IF(N4228=_xlfn.MINIFS($N$2:$N$5001,$B$2:$B$5001,B4228,$E$2:$E$5001,"Em ajustes"),1,0),0))</f>
        <v/>
      </c>
      <c r="N4228" s="17" t="str">
        <f aca="false">IF(A4228="","",IF(ISNUMBER(A4228),A4228,IFERROR(DATE(VALUE(MID(A4228,7,4)),VALUE(MID(A4228,4,2)),VALUE(MID(A4228,1,2)))+TIME(VALUE(MID(A4228,12,2)),VALUE(MID(A4228,15,2)),VALUE(MID(A4228,18,2))),"")))</f>
        <v/>
      </c>
    </row>
    <row r="4229" customFormat="false" ht="15" hidden="false" customHeight="false" outlineLevel="0" collapsed="false">
      <c r="I4229" s="15" t="str">
        <f aca="false">IF(N4229="","",INT(N4229))</f>
        <v/>
      </c>
      <c r="J4229" s="16" t="str">
        <f aca="false">IF(B4229="","",IF(N4229=_xlfn.MINIFS($N$2:$N$5001,$B$2:$B$5001,B4229),1,0))</f>
        <v/>
      </c>
      <c r="K4229" s="16" t="str">
        <f aca="false">IF(B4229="","",IF(AND(D4229="Formalização",E4229="Concluído"),IF(COUNTIFS($B$2:$B$5001,B4229,$E$2:$E$5001,"Em ajustes",$N$2:$N$5001,"&lt;"&amp;I4229)&gt;0,1,0),0))</f>
        <v/>
      </c>
      <c r="L4229" s="16" t="str">
        <f aca="false">IF(B4229="","",IF(N4229=_xlfn.MAXIFS($N$2:$N$5001,$B$2:$B$5001,B4229,$I$2:$I$5001,I4229),1,0))</f>
        <v/>
      </c>
      <c r="M4229" s="16" t="str">
        <f aca="false">IF(B4229="","",IF(E4229="Em ajustes",IF(N4229=_xlfn.MINIFS($N$2:$N$5001,$B$2:$B$5001,B4229,$E$2:$E$5001,"Em ajustes"),1,0),0))</f>
        <v/>
      </c>
      <c r="N4229" s="17" t="str">
        <f aca="false">IF(A4229="","",IF(ISNUMBER(A4229),A4229,IFERROR(DATE(VALUE(MID(A4229,7,4)),VALUE(MID(A4229,4,2)),VALUE(MID(A4229,1,2)))+TIME(VALUE(MID(A4229,12,2)),VALUE(MID(A4229,15,2)),VALUE(MID(A4229,18,2))),"")))</f>
        <v/>
      </c>
    </row>
    <row r="4230" customFormat="false" ht="15" hidden="false" customHeight="false" outlineLevel="0" collapsed="false">
      <c r="I4230" s="15" t="str">
        <f aca="false">IF(N4230="","",INT(N4230))</f>
        <v/>
      </c>
      <c r="J4230" s="16" t="str">
        <f aca="false">IF(B4230="","",IF(N4230=_xlfn.MINIFS($N$2:$N$5001,$B$2:$B$5001,B4230),1,0))</f>
        <v/>
      </c>
      <c r="K4230" s="16" t="str">
        <f aca="false">IF(B4230="","",IF(AND(D4230="Formalização",E4230="Concluído"),IF(COUNTIFS($B$2:$B$5001,B4230,$E$2:$E$5001,"Em ajustes",$N$2:$N$5001,"&lt;"&amp;I4230)&gt;0,1,0),0))</f>
        <v/>
      </c>
      <c r="L4230" s="16" t="str">
        <f aca="false">IF(B4230="","",IF(N4230=_xlfn.MAXIFS($N$2:$N$5001,$B$2:$B$5001,B4230,$I$2:$I$5001,I4230),1,0))</f>
        <v/>
      </c>
      <c r="M4230" s="16" t="str">
        <f aca="false">IF(B4230="","",IF(E4230="Em ajustes",IF(N4230=_xlfn.MINIFS($N$2:$N$5001,$B$2:$B$5001,B4230,$E$2:$E$5001,"Em ajustes"),1,0),0))</f>
        <v/>
      </c>
      <c r="N4230" s="17" t="str">
        <f aca="false">IF(A4230="","",IF(ISNUMBER(A4230),A4230,IFERROR(DATE(VALUE(MID(A4230,7,4)),VALUE(MID(A4230,4,2)),VALUE(MID(A4230,1,2)))+TIME(VALUE(MID(A4230,12,2)),VALUE(MID(A4230,15,2)),VALUE(MID(A4230,18,2))),"")))</f>
        <v/>
      </c>
    </row>
    <row r="4231" customFormat="false" ht="15" hidden="false" customHeight="false" outlineLevel="0" collapsed="false">
      <c r="I4231" s="15" t="str">
        <f aca="false">IF(N4231="","",INT(N4231))</f>
        <v/>
      </c>
      <c r="J4231" s="16" t="str">
        <f aca="false">IF(B4231="","",IF(N4231=_xlfn.MINIFS($N$2:$N$5001,$B$2:$B$5001,B4231),1,0))</f>
        <v/>
      </c>
      <c r="K4231" s="16" t="str">
        <f aca="false">IF(B4231="","",IF(AND(D4231="Formalização",E4231="Concluído"),IF(COUNTIFS($B$2:$B$5001,B4231,$E$2:$E$5001,"Em ajustes",$N$2:$N$5001,"&lt;"&amp;I4231)&gt;0,1,0),0))</f>
        <v/>
      </c>
      <c r="L4231" s="16" t="str">
        <f aca="false">IF(B4231="","",IF(N4231=_xlfn.MAXIFS($N$2:$N$5001,$B$2:$B$5001,B4231,$I$2:$I$5001,I4231),1,0))</f>
        <v/>
      </c>
      <c r="M4231" s="16" t="str">
        <f aca="false">IF(B4231="","",IF(E4231="Em ajustes",IF(N4231=_xlfn.MINIFS($N$2:$N$5001,$B$2:$B$5001,B4231,$E$2:$E$5001,"Em ajustes"),1,0),0))</f>
        <v/>
      </c>
      <c r="N4231" s="17" t="str">
        <f aca="false">IF(A4231="","",IF(ISNUMBER(A4231),A4231,IFERROR(DATE(VALUE(MID(A4231,7,4)),VALUE(MID(A4231,4,2)),VALUE(MID(A4231,1,2)))+TIME(VALUE(MID(A4231,12,2)),VALUE(MID(A4231,15,2)),VALUE(MID(A4231,18,2))),"")))</f>
        <v/>
      </c>
    </row>
    <row r="4232" customFormat="false" ht="15" hidden="false" customHeight="false" outlineLevel="0" collapsed="false">
      <c r="I4232" s="15" t="str">
        <f aca="false">IF(N4232="","",INT(N4232))</f>
        <v/>
      </c>
      <c r="J4232" s="16" t="str">
        <f aca="false">IF(B4232="","",IF(N4232=_xlfn.MINIFS($N$2:$N$5001,$B$2:$B$5001,B4232),1,0))</f>
        <v/>
      </c>
      <c r="K4232" s="16" t="str">
        <f aca="false">IF(B4232="","",IF(AND(D4232="Formalização",E4232="Concluído"),IF(COUNTIFS($B$2:$B$5001,B4232,$E$2:$E$5001,"Em ajustes",$N$2:$N$5001,"&lt;"&amp;I4232)&gt;0,1,0),0))</f>
        <v/>
      </c>
      <c r="L4232" s="16" t="str">
        <f aca="false">IF(B4232="","",IF(N4232=_xlfn.MAXIFS($N$2:$N$5001,$B$2:$B$5001,B4232,$I$2:$I$5001,I4232),1,0))</f>
        <v/>
      </c>
      <c r="M4232" s="16" t="str">
        <f aca="false">IF(B4232="","",IF(E4232="Em ajustes",IF(N4232=_xlfn.MINIFS($N$2:$N$5001,$B$2:$B$5001,B4232,$E$2:$E$5001,"Em ajustes"),1,0),0))</f>
        <v/>
      </c>
      <c r="N4232" s="17" t="str">
        <f aca="false">IF(A4232="","",IF(ISNUMBER(A4232),A4232,IFERROR(DATE(VALUE(MID(A4232,7,4)),VALUE(MID(A4232,4,2)),VALUE(MID(A4232,1,2)))+TIME(VALUE(MID(A4232,12,2)),VALUE(MID(A4232,15,2)),VALUE(MID(A4232,18,2))),"")))</f>
        <v/>
      </c>
    </row>
    <row r="4233" customFormat="false" ht="15" hidden="false" customHeight="false" outlineLevel="0" collapsed="false">
      <c r="I4233" s="15" t="str">
        <f aca="false">IF(N4233="","",INT(N4233))</f>
        <v/>
      </c>
      <c r="J4233" s="16" t="str">
        <f aca="false">IF(B4233="","",IF(N4233=_xlfn.MINIFS($N$2:$N$5001,$B$2:$B$5001,B4233),1,0))</f>
        <v/>
      </c>
      <c r="K4233" s="16" t="str">
        <f aca="false">IF(B4233="","",IF(AND(D4233="Formalização",E4233="Concluído"),IF(COUNTIFS($B$2:$B$5001,B4233,$E$2:$E$5001,"Em ajustes",$N$2:$N$5001,"&lt;"&amp;I4233)&gt;0,1,0),0))</f>
        <v/>
      </c>
      <c r="L4233" s="16" t="str">
        <f aca="false">IF(B4233="","",IF(N4233=_xlfn.MAXIFS($N$2:$N$5001,$B$2:$B$5001,B4233,$I$2:$I$5001,I4233),1,0))</f>
        <v/>
      </c>
      <c r="M4233" s="16" t="str">
        <f aca="false">IF(B4233="","",IF(E4233="Em ajustes",IF(N4233=_xlfn.MINIFS($N$2:$N$5001,$B$2:$B$5001,B4233,$E$2:$E$5001,"Em ajustes"),1,0),0))</f>
        <v/>
      </c>
      <c r="N4233" s="17" t="str">
        <f aca="false">IF(A4233="","",IF(ISNUMBER(A4233),A4233,IFERROR(DATE(VALUE(MID(A4233,7,4)),VALUE(MID(A4233,4,2)),VALUE(MID(A4233,1,2)))+TIME(VALUE(MID(A4233,12,2)),VALUE(MID(A4233,15,2)),VALUE(MID(A4233,18,2))),"")))</f>
        <v/>
      </c>
    </row>
    <row r="4234" customFormat="false" ht="15" hidden="false" customHeight="false" outlineLevel="0" collapsed="false">
      <c r="I4234" s="15" t="str">
        <f aca="false">IF(N4234="","",INT(N4234))</f>
        <v/>
      </c>
      <c r="J4234" s="16" t="str">
        <f aca="false">IF(B4234="","",IF(N4234=_xlfn.MINIFS($N$2:$N$5001,$B$2:$B$5001,B4234),1,0))</f>
        <v/>
      </c>
      <c r="K4234" s="16" t="str">
        <f aca="false">IF(B4234="","",IF(AND(D4234="Formalização",E4234="Concluído"),IF(COUNTIFS($B$2:$B$5001,B4234,$E$2:$E$5001,"Em ajustes",$N$2:$N$5001,"&lt;"&amp;I4234)&gt;0,1,0),0))</f>
        <v/>
      </c>
      <c r="L4234" s="16" t="str">
        <f aca="false">IF(B4234="","",IF(N4234=_xlfn.MAXIFS($N$2:$N$5001,$B$2:$B$5001,B4234,$I$2:$I$5001,I4234),1,0))</f>
        <v/>
      </c>
      <c r="M4234" s="16" t="str">
        <f aca="false">IF(B4234="","",IF(E4234="Em ajustes",IF(N4234=_xlfn.MINIFS($N$2:$N$5001,$B$2:$B$5001,B4234,$E$2:$E$5001,"Em ajustes"),1,0),0))</f>
        <v/>
      </c>
      <c r="N4234" s="17" t="str">
        <f aca="false">IF(A4234="","",IF(ISNUMBER(A4234),A4234,IFERROR(DATE(VALUE(MID(A4234,7,4)),VALUE(MID(A4234,4,2)),VALUE(MID(A4234,1,2)))+TIME(VALUE(MID(A4234,12,2)),VALUE(MID(A4234,15,2)),VALUE(MID(A4234,18,2))),"")))</f>
        <v/>
      </c>
    </row>
    <row r="4235" customFormat="false" ht="15" hidden="false" customHeight="false" outlineLevel="0" collapsed="false">
      <c r="I4235" s="15" t="str">
        <f aca="false">IF(N4235="","",INT(N4235))</f>
        <v/>
      </c>
      <c r="J4235" s="16" t="str">
        <f aca="false">IF(B4235="","",IF(N4235=_xlfn.MINIFS($N$2:$N$5001,$B$2:$B$5001,B4235),1,0))</f>
        <v/>
      </c>
      <c r="K4235" s="16" t="str">
        <f aca="false">IF(B4235="","",IF(AND(D4235="Formalização",E4235="Concluído"),IF(COUNTIFS($B$2:$B$5001,B4235,$E$2:$E$5001,"Em ajustes",$N$2:$N$5001,"&lt;"&amp;I4235)&gt;0,1,0),0))</f>
        <v/>
      </c>
      <c r="L4235" s="16" t="str">
        <f aca="false">IF(B4235="","",IF(N4235=_xlfn.MAXIFS($N$2:$N$5001,$B$2:$B$5001,B4235,$I$2:$I$5001,I4235),1,0))</f>
        <v/>
      </c>
      <c r="M4235" s="16" t="str">
        <f aca="false">IF(B4235="","",IF(E4235="Em ajustes",IF(N4235=_xlfn.MINIFS($N$2:$N$5001,$B$2:$B$5001,B4235,$E$2:$E$5001,"Em ajustes"),1,0),0))</f>
        <v/>
      </c>
      <c r="N4235" s="17" t="str">
        <f aca="false">IF(A4235="","",IF(ISNUMBER(A4235),A4235,IFERROR(DATE(VALUE(MID(A4235,7,4)),VALUE(MID(A4235,4,2)),VALUE(MID(A4235,1,2)))+TIME(VALUE(MID(A4235,12,2)),VALUE(MID(A4235,15,2)),VALUE(MID(A4235,18,2))),"")))</f>
        <v/>
      </c>
    </row>
    <row r="4236" customFormat="false" ht="15" hidden="false" customHeight="false" outlineLevel="0" collapsed="false">
      <c r="I4236" s="15" t="str">
        <f aca="false">IF(N4236="","",INT(N4236))</f>
        <v/>
      </c>
      <c r="J4236" s="16" t="str">
        <f aca="false">IF(B4236="","",IF(N4236=_xlfn.MINIFS($N$2:$N$5001,$B$2:$B$5001,B4236),1,0))</f>
        <v/>
      </c>
      <c r="K4236" s="16" t="str">
        <f aca="false">IF(B4236="","",IF(AND(D4236="Formalização",E4236="Concluído"),IF(COUNTIFS($B$2:$B$5001,B4236,$E$2:$E$5001,"Em ajustes",$N$2:$N$5001,"&lt;"&amp;I4236)&gt;0,1,0),0))</f>
        <v/>
      </c>
      <c r="L4236" s="16" t="str">
        <f aca="false">IF(B4236="","",IF(N4236=_xlfn.MAXIFS($N$2:$N$5001,$B$2:$B$5001,B4236,$I$2:$I$5001,I4236),1,0))</f>
        <v/>
      </c>
      <c r="M4236" s="16" t="str">
        <f aca="false">IF(B4236="","",IF(E4236="Em ajustes",IF(N4236=_xlfn.MINIFS($N$2:$N$5001,$B$2:$B$5001,B4236,$E$2:$E$5001,"Em ajustes"),1,0),0))</f>
        <v/>
      </c>
      <c r="N4236" s="17" t="str">
        <f aca="false">IF(A4236="","",IF(ISNUMBER(A4236),A4236,IFERROR(DATE(VALUE(MID(A4236,7,4)),VALUE(MID(A4236,4,2)),VALUE(MID(A4236,1,2)))+TIME(VALUE(MID(A4236,12,2)),VALUE(MID(A4236,15,2)),VALUE(MID(A4236,18,2))),"")))</f>
        <v/>
      </c>
    </row>
    <row r="4237" customFormat="false" ht="15" hidden="false" customHeight="false" outlineLevel="0" collapsed="false">
      <c r="I4237" s="15" t="str">
        <f aca="false">IF(N4237="","",INT(N4237))</f>
        <v/>
      </c>
      <c r="J4237" s="16" t="str">
        <f aca="false">IF(B4237="","",IF(N4237=_xlfn.MINIFS($N$2:$N$5001,$B$2:$B$5001,B4237),1,0))</f>
        <v/>
      </c>
      <c r="K4237" s="16" t="str">
        <f aca="false">IF(B4237="","",IF(AND(D4237="Formalização",E4237="Concluído"),IF(COUNTIFS($B$2:$B$5001,B4237,$E$2:$E$5001,"Em ajustes",$N$2:$N$5001,"&lt;"&amp;I4237)&gt;0,1,0),0))</f>
        <v/>
      </c>
      <c r="L4237" s="16" t="str">
        <f aca="false">IF(B4237="","",IF(N4237=_xlfn.MAXIFS($N$2:$N$5001,$B$2:$B$5001,B4237,$I$2:$I$5001,I4237),1,0))</f>
        <v/>
      </c>
      <c r="M4237" s="16" t="str">
        <f aca="false">IF(B4237="","",IF(E4237="Em ajustes",IF(N4237=_xlfn.MINIFS($N$2:$N$5001,$B$2:$B$5001,B4237,$E$2:$E$5001,"Em ajustes"),1,0),0))</f>
        <v/>
      </c>
      <c r="N4237" s="17" t="str">
        <f aca="false">IF(A4237="","",IF(ISNUMBER(A4237),A4237,IFERROR(DATE(VALUE(MID(A4237,7,4)),VALUE(MID(A4237,4,2)),VALUE(MID(A4237,1,2)))+TIME(VALUE(MID(A4237,12,2)),VALUE(MID(A4237,15,2)),VALUE(MID(A4237,18,2))),"")))</f>
        <v/>
      </c>
    </row>
    <row r="4238" customFormat="false" ht="15" hidden="false" customHeight="false" outlineLevel="0" collapsed="false">
      <c r="I4238" s="15" t="str">
        <f aca="false">IF(N4238="","",INT(N4238))</f>
        <v/>
      </c>
      <c r="J4238" s="16" t="str">
        <f aca="false">IF(B4238="","",IF(N4238=_xlfn.MINIFS($N$2:$N$5001,$B$2:$B$5001,B4238),1,0))</f>
        <v/>
      </c>
      <c r="K4238" s="16" t="str">
        <f aca="false">IF(B4238="","",IF(AND(D4238="Formalização",E4238="Concluído"),IF(COUNTIFS($B$2:$B$5001,B4238,$E$2:$E$5001,"Em ajustes",$N$2:$N$5001,"&lt;"&amp;I4238)&gt;0,1,0),0))</f>
        <v/>
      </c>
      <c r="L4238" s="16" t="str">
        <f aca="false">IF(B4238="","",IF(N4238=_xlfn.MAXIFS($N$2:$N$5001,$B$2:$B$5001,B4238,$I$2:$I$5001,I4238),1,0))</f>
        <v/>
      </c>
      <c r="M4238" s="16" t="str">
        <f aca="false">IF(B4238="","",IF(E4238="Em ajustes",IF(N4238=_xlfn.MINIFS($N$2:$N$5001,$B$2:$B$5001,B4238,$E$2:$E$5001,"Em ajustes"),1,0),0))</f>
        <v/>
      </c>
      <c r="N4238" s="17" t="str">
        <f aca="false">IF(A4238="","",IF(ISNUMBER(A4238),A4238,IFERROR(DATE(VALUE(MID(A4238,7,4)),VALUE(MID(A4238,4,2)),VALUE(MID(A4238,1,2)))+TIME(VALUE(MID(A4238,12,2)),VALUE(MID(A4238,15,2)),VALUE(MID(A4238,18,2))),"")))</f>
        <v/>
      </c>
    </row>
    <row r="4239" customFormat="false" ht="15" hidden="false" customHeight="false" outlineLevel="0" collapsed="false">
      <c r="I4239" s="15" t="str">
        <f aca="false">IF(N4239="","",INT(N4239))</f>
        <v/>
      </c>
      <c r="J4239" s="16" t="str">
        <f aca="false">IF(B4239="","",IF(N4239=_xlfn.MINIFS($N$2:$N$5001,$B$2:$B$5001,B4239),1,0))</f>
        <v/>
      </c>
      <c r="K4239" s="16" t="str">
        <f aca="false">IF(B4239="","",IF(AND(D4239="Formalização",E4239="Concluído"),IF(COUNTIFS($B$2:$B$5001,B4239,$E$2:$E$5001,"Em ajustes",$N$2:$N$5001,"&lt;"&amp;I4239)&gt;0,1,0),0))</f>
        <v/>
      </c>
      <c r="L4239" s="16" t="str">
        <f aca="false">IF(B4239="","",IF(N4239=_xlfn.MAXIFS($N$2:$N$5001,$B$2:$B$5001,B4239,$I$2:$I$5001,I4239),1,0))</f>
        <v/>
      </c>
      <c r="M4239" s="16" t="str">
        <f aca="false">IF(B4239="","",IF(E4239="Em ajustes",IF(N4239=_xlfn.MINIFS($N$2:$N$5001,$B$2:$B$5001,B4239,$E$2:$E$5001,"Em ajustes"),1,0),0))</f>
        <v/>
      </c>
      <c r="N4239" s="17" t="str">
        <f aca="false">IF(A4239="","",IF(ISNUMBER(A4239),A4239,IFERROR(DATE(VALUE(MID(A4239,7,4)),VALUE(MID(A4239,4,2)),VALUE(MID(A4239,1,2)))+TIME(VALUE(MID(A4239,12,2)),VALUE(MID(A4239,15,2)),VALUE(MID(A4239,18,2))),"")))</f>
        <v/>
      </c>
    </row>
    <row r="4240" customFormat="false" ht="15" hidden="false" customHeight="false" outlineLevel="0" collapsed="false">
      <c r="I4240" s="15" t="str">
        <f aca="false">IF(N4240="","",INT(N4240))</f>
        <v/>
      </c>
      <c r="J4240" s="16" t="str">
        <f aca="false">IF(B4240="","",IF(N4240=_xlfn.MINIFS($N$2:$N$5001,$B$2:$B$5001,B4240),1,0))</f>
        <v/>
      </c>
      <c r="K4240" s="16" t="str">
        <f aca="false">IF(B4240="","",IF(AND(D4240="Formalização",E4240="Concluído"),IF(COUNTIFS($B$2:$B$5001,B4240,$E$2:$E$5001,"Em ajustes",$N$2:$N$5001,"&lt;"&amp;I4240)&gt;0,1,0),0))</f>
        <v/>
      </c>
      <c r="L4240" s="16" t="str">
        <f aca="false">IF(B4240="","",IF(N4240=_xlfn.MAXIFS($N$2:$N$5001,$B$2:$B$5001,B4240,$I$2:$I$5001,I4240),1,0))</f>
        <v/>
      </c>
      <c r="M4240" s="16" t="str">
        <f aca="false">IF(B4240="","",IF(E4240="Em ajustes",IF(N4240=_xlfn.MINIFS($N$2:$N$5001,$B$2:$B$5001,B4240,$E$2:$E$5001,"Em ajustes"),1,0),0))</f>
        <v/>
      </c>
      <c r="N4240" s="17" t="str">
        <f aca="false">IF(A4240="","",IF(ISNUMBER(A4240),A4240,IFERROR(DATE(VALUE(MID(A4240,7,4)),VALUE(MID(A4240,4,2)),VALUE(MID(A4240,1,2)))+TIME(VALUE(MID(A4240,12,2)),VALUE(MID(A4240,15,2)),VALUE(MID(A4240,18,2))),"")))</f>
        <v/>
      </c>
    </row>
    <row r="4241" customFormat="false" ht="15" hidden="false" customHeight="false" outlineLevel="0" collapsed="false">
      <c r="I4241" s="15" t="str">
        <f aca="false">IF(N4241="","",INT(N4241))</f>
        <v/>
      </c>
      <c r="J4241" s="16" t="str">
        <f aca="false">IF(B4241="","",IF(N4241=_xlfn.MINIFS($N$2:$N$5001,$B$2:$B$5001,B4241),1,0))</f>
        <v/>
      </c>
      <c r="K4241" s="16" t="str">
        <f aca="false">IF(B4241="","",IF(AND(D4241="Formalização",E4241="Concluído"),IF(COUNTIFS($B$2:$B$5001,B4241,$E$2:$E$5001,"Em ajustes",$N$2:$N$5001,"&lt;"&amp;I4241)&gt;0,1,0),0))</f>
        <v/>
      </c>
      <c r="L4241" s="16" t="str">
        <f aca="false">IF(B4241="","",IF(N4241=_xlfn.MAXIFS($N$2:$N$5001,$B$2:$B$5001,B4241,$I$2:$I$5001,I4241),1,0))</f>
        <v/>
      </c>
      <c r="M4241" s="16" t="str">
        <f aca="false">IF(B4241="","",IF(E4241="Em ajustes",IF(N4241=_xlfn.MINIFS($N$2:$N$5001,$B$2:$B$5001,B4241,$E$2:$E$5001,"Em ajustes"),1,0),0))</f>
        <v/>
      </c>
      <c r="N4241" s="17" t="str">
        <f aca="false">IF(A4241="","",IF(ISNUMBER(A4241),A4241,IFERROR(DATE(VALUE(MID(A4241,7,4)),VALUE(MID(A4241,4,2)),VALUE(MID(A4241,1,2)))+TIME(VALUE(MID(A4241,12,2)),VALUE(MID(A4241,15,2)),VALUE(MID(A4241,18,2))),"")))</f>
        <v/>
      </c>
    </row>
    <row r="4242" customFormat="false" ht="15" hidden="false" customHeight="false" outlineLevel="0" collapsed="false">
      <c r="I4242" s="15" t="str">
        <f aca="false">IF(N4242="","",INT(N4242))</f>
        <v/>
      </c>
      <c r="J4242" s="16" t="str">
        <f aca="false">IF(B4242="","",IF(N4242=_xlfn.MINIFS($N$2:$N$5001,$B$2:$B$5001,B4242),1,0))</f>
        <v/>
      </c>
      <c r="K4242" s="16" t="str">
        <f aca="false">IF(B4242="","",IF(AND(D4242="Formalização",E4242="Concluído"),IF(COUNTIFS($B$2:$B$5001,B4242,$E$2:$E$5001,"Em ajustes",$N$2:$N$5001,"&lt;"&amp;I4242)&gt;0,1,0),0))</f>
        <v/>
      </c>
      <c r="L4242" s="16" t="str">
        <f aca="false">IF(B4242="","",IF(N4242=_xlfn.MAXIFS($N$2:$N$5001,$B$2:$B$5001,B4242,$I$2:$I$5001,I4242),1,0))</f>
        <v/>
      </c>
      <c r="M4242" s="16" t="str">
        <f aca="false">IF(B4242="","",IF(E4242="Em ajustes",IF(N4242=_xlfn.MINIFS($N$2:$N$5001,$B$2:$B$5001,B4242,$E$2:$E$5001,"Em ajustes"),1,0),0))</f>
        <v/>
      </c>
      <c r="N4242" s="17" t="str">
        <f aca="false">IF(A4242="","",IF(ISNUMBER(A4242),A4242,IFERROR(DATE(VALUE(MID(A4242,7,4)),VALUE(MID(A4242,4,2)),VALUE(MID(A4242,1,2)))+TIME(VALUE(MID(A4242,12,2)),VALUE(MID(A4242,15,2)),VALUE(MID(A4242,18,2))),"")))</f>
        <v/>
      </c>
    </row>
    <row r="4243" customFormat="false" ht="15" hidden="false" customHeight="false" outlineLevel="0" collapsed="false">
      <c r="I4243" s="15" t="str">
        <f aca="false">IF(N4243="","",INT(N4243))</f>
        <v/>
      </c>
      <c r="J4243" s="16" t="str">
        <f aca="false">IF(B4243="","",IF(N4243=_xlfn.MINIFS($N$2:$N$5001,$B$2:$B$5001,B4243),1,0))</f>
        <v/>
      </c>
      <c r="K4243" s="16" t="str">
        <f aca="false">IF(B4243="","",IF(AND(D4243="Formalização",E4243="Concluído"),IF(COUNTIFS($B$2:$B$5001,B4243,$E$2:$E$5001,"Em ajustes",$N$2:$N$5001,"&lt;"&amp;I4243)&gt;0,1,0),0))</f>
        <v/>
      </c>
      <c r="L4243" s="16" t="str">
        <f aca="false">IF(B4243="","",IF(N4243=_xlfn.MAXIFS($N$2:$N$5001,$B$2:$B$5001,B4243,$I$2:$I$5001,I4243),1,0))</f>
        <v/>
      </c>
      <c r="M4243" s="16" t="str">
        <f aca="false">IF(B4243="","",IF(E4243="Em ajustes",IF(N4243=_xlfn.MINIFS($N$2:$N$5001,$B$2:$B$5001,B4243,$E$2:$E$5001,"Em ajustes"),1,0),0))</f>
        <v/>
      </c>
      <c r="N4243" s="17" t="str">
        <f aca="false">IF(A4243="","",IF(ISNUMBER(A4243),A4243,IFERROR(DATE(VALUE(MID(A4243,7,4)),VALUE(MID(A4243,4,2)),VALUE(MID(A4243,1,2)))+TIME(VALUE(MID(A4243,12,2)),VALUE(MID(A4243,15,2)),VALUE(MID(A4243,18,2))),"")))</f>
        <v/>
      </c>
    </row>
    <row r="4244" customFormat="false" ht="15" hidden="false" customHeight="false" outlineLevel="0" collapsed="false">
      <c r="I4244" s="15" t="str">
        <f aca="false">IF(N4244="","",INT(N4244))</f>
        <v/>
      </c>
      <c r="J4244" s="16" t="str">
        <f aca="false">IF(B4244="","",IF(N4244=_xlfn.MINIFS($N$2:$N$5001,$B$2:$B$5001,B4244),1,0))</f>
        <v/>
      </c>
      <c r="K4244" s="16" t="str">
        <f aca="false">IF(B4244="","",IF(AND(D4244="Formalização",E4244="Concluído"),IF(COUNTIFS($B$2:$B$5001,B4244,$E$2:$E$5001,"Em ajustes",$N$2:$N$5001,"&lt;"&amp;I4244)&gt;0,1,0),0))</f>
        <v/>
      </c>
      <c r="L4244" s="16" t="str">
        <f aca="false">IF(B4244="","",IF(N4244=_xlfn.MAXIFS($N$2:$N$5001,$B$2:$B$5001,B4244,$I$2:$I$5001,I4244),1,0))</f>
        <v/>
      </c>
      <c r="M4244" s="16" t="str">
        <f aca="false">IF(B4244="","",IF(E4244="Em ajustes",IF(N4244=_xlfn.MINIFS($N$2:$N$5001,$B$2:$B$5001,B4244,$E$2:$E$5001,"Em ajustes"),1,0),0))</f>
        <v/>
      </c>
      <c r="N4244" s="17" t="str">
        <f aca="false">IF(A4244="","",IF(ISNUMBER(A4244),A4244,IFERROR(DATE(VALUE(MID(A4244,7,4)),VALUE(MID(A4244,4,2)),VALUE(MID(A4244,1,2)))+TIME(VALUE(MID(A4244,12,2)),VALUE(MID(A4244,15,2)),VALUE(MID(A4244,18,2))),"")))</f>
        <v/>
      </c>
    </row>
    <row r="4245" customFormat="false" ht="15" hidden="false" customHeight="false" outlineLevel="0" collapsed="false">
      <c r="I4245" s="15" t="str">
        <f aca="false">IF(N4245="","",INT(N4245))</f>
        <v/>
      </c>
      <c r="J4245" s="16" t="str">
        <f aca="false">IF(B4245="","",IF(N4245=_xlfn.MINIFS($N$2:$N$5001,$B$2:$B$5001,B4245),1,0))</f>
        <v/>
      </c>
      <c r="K4245" s="16" t="str">
        <f aca="false">IF(B4245="","",IF(AND(D4245="Formalização",E4245="Concluído"),IF(COUNTIFS($B$2:$B$5001,B4245,$E$2:$E$5001,"Em ajustes",$N$2:$N$5001,"&lt;"&amp;I4245)&gt;0,1,0),0))</f>
        <v/>
      </c>
      <c r="L4245" s="16" t="str">
        <f aca="false">IF(B4245="","",IF(N4245=_xlfn.MAXIFS($N$2:$N$5001,$B$2:$B$5001,B4245,$I$2:$I$5001,I4245),1,0))</f>
        <v/>
      </c>
      <c r="M4245" s="16" t="str">
        <f aca="false">IF(B4245="","",IF(E4245="Em ajustes",IF(N4245=_xlfn.MINIFS($N$2:$N$5001,$B$2:$B$5001,B4245,$E$2:$E$5001,"Em ajustes"),1,0),0))</f>
        <v/>
      </c>
      <c r="N4245" s="17" t="str">
        <f aca="false">IF(A4245="","",IF(ISNUMBER(A4245),A4245,IFERROR(DATE(VALUE(MID(A4245,7,4)),VALUE(MID(A4245,4,2)),VALUE(MID(A4245,1,2)))+TIME(VALUE(MID(A4245,12,2)),VALUE(MID(A4245,15,2)),VALUE(MID(A4245,18,2))),"")))</f>
        <v/>
      </c>
    </row>
    <row r="4246" customFormat="false" ht="15" hidden="false" customHeight="false" outlineLevel="0" collapsed="false">
      <c r="I4246" s="15" t="str">
        <f aca="false">IF(N4246="","",INT(N4246))</f>
        <v/>
      </c>
      <c r="J4246" s="16" t="str">
        <f aca="false">IF(B4246="","",IF(N4246=_xlfn.MINIFS($N$2:$N$5001,$B$2:$B$5001,B4246),1,0))</f>
        <v/>
      </c>
      <c r="K4246" s="16" t="str">
        <f aca="false">IF(B4246="","",IF(AND(D4246="Formalização",E4246="Concluído"),IF(COUNTIFS($B$2:$B$5001,B4246,$E$2:$E$5001,"Em ajustes",$N$2:$N$5001,"&lt;"&amp;I4246)&gt;0,1,0),0))</f>
        <v/>
      </c>
      <c r="L4246" s="16" t="str">
        <f aca="false">IF(B4246="","",IF(N4246=_xlfn.MAXIFS($N$2:$N$5001,$B$2:$B$5001,B4246,$I$2:$I$5001,I4246),1,0))</f>
        <v/>
      </c>
      <c r="M4246" s="16" t="str">
        <f aca="false">IF(B4246="","",IF(E4246="Em ajustes",IF(N4246=_xlfn.MINIFS($N$2:$N$5001,$B$2:$B$5001,B4246,$E$2:$E$5001,"Em ajustes"),1,0),0))</f>
        <v/>
      </c>
      <c r="N4246" s="17" t="str">
        <f aca="false">IF(A4246="","",IF(ISNUMBER(A4246),A4246,IFERROR(DATE(VALUE(MID(A4246,7,4)),VALUE(MID(A4246,4,2)),VALUE(MID(A4246,1,2)))+TIME(VALUE(MID(A4246,12,2)),VALUE(MID(A4246,15,2)),VALUE(MID(A4246,18,2))),"")))</f>
        <v/>
      </c>
    </row>
    <row r="4247" customFormat="false" ht="15" hidden="false" customHeight="false" outlineLevel="0" collapsed="false">
      <c r="I4247" s="15" t="str">
        <f aca="false">IF(N4247="","",INT(N4247))</f>
        <v/>
      </c>
      <c r="J4247" s="16" t="str">
        <f aca="false">IF(B4247="","",IF(N4247=_xlfn.MINIFS($N$2:$N$5001,$B$2:$B$5001,B4247),1,0))</f>
        <v/>
      </c>
      <c r="K4247" s="16" t="str">
        <f aca="false">IF(B4247="","",IF(AND(D4247="Formalização",E4247="Concluído"),IF(COUNTIFS($B$2:$B$5001,B4247,$E$2:$E$5001,"Em ajustes",$N$2:$N$5001,"&lt;"&amp;I4247)&gt;0,1,0),0))</f>
        <v/>
      </c>
      <c r="L4247" s="16" t="str">
        <f aca="false">IF(B4247="","",IF(N4247=_xlfn.MAXIFS($N$2:$N$5001,$B$2:$B$5001,B4247,$I$2:$I$5001,I4247),1,0))</f>
        <v/>
      </c>
      <c r="M4247" s="16" t="str">
        <f aca="false">IF(B4247="","",IF(E4247="Em ajustes",IF(N4247=_xlfn.MINIFS($N$2:$N$5001,$B$2:$B$5001,B4247,$E$2:$E$5001,"Em ajustes"),1,0),0))</f>
        <v/>
      </c>
      <c r="N4247" s="17" t="str">
        <f aca="false">IF(A4247="","",IF(ISNUMBER(A4247),A4247,IFERROR(DATE(VALUE(MID(A4247,7,4)),VALUE(MID(A4247,4,2)),VALUE(MID(A4247,1,2)))+TIME(VALUE(MID(A4247,12,2)),VALUE(MID(A4247,15,2)),VALUE(MID(A4247,18,2))),"")))</f>
        <v/>
      </c>
    </row>
    <row r="4248" customFormat="false" ht="15" hidden="false" customHeight="false" outlineLevel="0" collapsed="false">
      <c r="I4248" s="15" t="str">
        <f aca="false">IF(N4248="","",INT(N4248))</f>
        <v/>
      </c>
      <c r="J4248" s="16" t="str">
        <f aca="false">IF(B4248="","",IF(N4248=_xlfn.MINIFS($N$2:$N$5001,$B$2:$B$5001,B4248),1,0))</f>
        <v/>
      </c>
      <c r="K4248" s="16" t="str">
        <f aca="false">IF(B4248="","",IF(AND(D4248="Formalização",E4248="Concluído"),IF(COUNTIFS($B$2:$B$5001,B4248,$E$2:$E$5001,"Em ajustes",$N$2:$N$5001,"&lt;"&amp;I4248)&gt;0,1,0),0))</f>
        <v/>
      </c>
      <c r="L4248" s="16" t="str">
        <f aca="false">IF(B4248="","",IF(N4248=_xlfn.MAXIFS($N$2:$N$5001,$B$2:$B$5001,B4248,$I$2:$I$5001,I4248),1,0))</f>
        <v/>
      </c>
      <c r="M4248" s="16" t="str">
        <f aca="false">IF(B4248="","",IF(E4248="Em ajustes",IF(N4248=_xlfn.MINIFS($N$2:$N$5001,$B$2:$B$5001,B4248,$E$2:$E$5001,"Em ajustes"),1,0),0))</f>
        <v/>
      </c>
      <c r="N4248" s="17" t="str">
        <f aca="false">IF(A4248="","",IF(ISNUMBER(A4248),A4248,IFERROR(DATE(VALUE(MID(A4248,7,4)),VALUE(MID(A4248,4,2)),VALUE(MID(A4248,1,2)))+TIME(VALUE(MID(A4248,12,2)),VALUE(MID(A4248,15,2)),VALUE(MID(A4248,18,2))),"")))</f>
        <v/>
      </c>
    </row>
    <row r="4249" customFormat="false" ht="15" hidden="false" customHeight="false" outlineLevel="0" collapsed="false">
      <c r="I4249" s="15" t="str">
        <f aca="false">IF(N4249="","",INT(N4249))</f>
        <v/>
      </c>
      <c r="J4249" s="16" t="str">
        <f aca="false">IF(B4249="","",IF(N4249=_xlfn.MINIFS($N$2:$N$5001,$B$2:$B$5001,B4249),1,0))</f>
        <v/>
      </c>
      <c r="K4249" s="16" t="str">
        <f aca="false">IF(B4249="","",IF(AND(D4249="Formalização",E4249="Concluído"),IF(COUNTIFS($B$2:$B$5001,B4249,$E$2:$E$5001,"Em ajustes",$N$2:$N$5001,"&lt;"&amp;I4249)&gt;0,1,0),0))</f>
        <v/>
      </c>
      <c r="L4249" s="16" t="str">
        <f aca="false">IF(B4249="","",IF(N4249=_xlfn.MAXIFS($N$2:$N$5001,$B$2:$B$5001,B4249,$I$2:$I$5001,I4249),1,0))</f>
        <v/>
      </c>
      <c r="M4249" s="16" t="str">
        <f aca="false">IF(B4249="","",IF(E4249="Em ajustes",IF(N4249=_xlfn.MINIFS($N$2:$N$5001,$B$2:$B$5001,B4249,$E$2:$E$5001,"Em ajustes"),1,0),0))</f>
        <v/>
      </c>
      <c r="N4249" s="17" t="str">
        <f aca="false">IF(A4249="","",IF(ISNUMBER(A4249),A4249,IFERROR(DATE(VALUE(MID(A4249,7,4)),VALUE(MID(A4249,4,2)),VALUE(MID(A4249,1,2)))+TIME(VALUE(MID(A4249,12,2)),VALUE(MID(A4249,15,2)),VALUE(MID(A4249,18,2))),"")))</f>
        <v/>
      </c>
    </row>
    <row r="4250" customFormat="false" ht="15" hidden="false" customHeight="false" outlineLevel="0" collapsed="false">
      <c r="I4250" s="15" t="str">
        <f aca="false">IF(N4250="","",INT(N4250))</f>
        <v/>
      </c>
      <c r="J4250" s="16" t="str">
        <f aca="false">IF(B4250="","",IF(N4250=_xlfn.MINIFS($N$2:$N$5001,$B$2:$B$5001,B4250),1,0))</f>
        <v/>
      </c>
      <c r="K4250" s="16" t="str">
        <f aca="false">IF(B4250="","",IF(AND(D4250="Formalização",E4250="Concluído"),IF(COUNTIFS($B$2:$B$5001,B4250,$E$2:$E$5001,"Em ajustes",$N$2:$N$5001,"&lt;"&amp;I4250)&gt;0,1,0),0))</f>
        <v/>
      </c>
      <c r="L4250" s="16" t="str">
        <f aca="false">IF(B4250="","",IF(N4250=_xlfn.MAXIFS($N$2:$N$5001,$B$2:$B$5001,B4250,$I$2:$I$5001,I4250),1,0))</f>
        <v/>
      </c>
      <c r="M4250" s="16" t="str">
        <f aca="false">IF(B4250="","",IF(E4250="Em ajustes",IF(N4250=_xlfn.MINIFS($N$2:$N$5001,$B$2:$B$5001,B4250,$E$2:$E$5001,"Em ajustes"),1,0),0))</f>
        <v/>
      </c>
      <c r="N4250" s="17" t="str">
        <f aca="false">IF(A4250="","",IF(ISNUMBER(A4250),A4250,IFERROR(DATE(VALUE(MID(A4250,7,4)),VALUE(MID(A4250,4,2)),VALUE(MID(A4250,1,2)))+TIME(VALUE(MID(A4250,12,2)),VALUE(MID(A4250,15,2)),VALUE(MID(A4250,18,2))),"")))</f>
        <v/>
      </c>
    </row>
    <row r="4251" customFormat="false" ht="15" hidden="false" customHeight="false" outlineLevel="0" collapsed="false">
      <c r="I4251" s="15" t="str">
        <f aca="false">IF(N4251="","",INT(N4251))</f>
        <v/>
      </c>
      <c r="J4251" s="16" t="str">
        <f aca="false">IF(B4251="","",IF(N4251=_xlfn.MINIFS($N$2:$N$5001,$B$2:$B$5001,B4251),1,0))</f>
        <v/>
      </c>
      <c r="K4251" s="16" t="str">
        <f aca="false">IF(B4251="","",IF(AND(D4251="Formalização",E4251="Concluído"),IF(COUNTIFS($B$2:$B$5001,B4251,$E$2:$E$5001,"Em ajustes",$N$2:$N$5001,"&lt;"&amp;I4251)&gt;0,1,0),0))</f>
        <v/>
      </c>
      <c r="L4251" s="16" t="str">
        <f aca="false">IF(B4251="","",IF(N4251=_xlfn.MAXIFS($N$2:$N$5001,$B$2:$B$5001,B4251,$I$2:$I$5001,I4251),1,0))</f>
        <v/>
      </c>
      <c r="M4251" s="16" t="str">
        <f aca="false">IF(B4251="","",IF(E4251="Em ajustes",IF(N4251=_xlfn.MINIFS($N$2:$N$5001,$B$2:$B$5001,B4251,$E$2:$E$5001,"Em ajustes"),1,0),0))</f>
        <v/>
      </c>
      <c r="N4251" s="17" t="str">
        <f aca="false">IF(A4251="","",IF(ISNUMBER(A4251),A4251,IFERROR(DATE(VALUE(MID(A4251,7,4)),VALUE(MID(A4251,4,2)),VALUE(MID(A4251,1,2)))+TIME(VALUE(MID(A4251,12,2)),VALUE(MID(A4251,15,2)),VALUE(MID(A4251,18,2))),"")))</f>
        <v/>
      </c>
    </row>
    <row r="4252" customFormat="false" ht="15" hidden="false" customHeight="false" outlineLevel="0" collapsed="false">
      <c r="I4252" s="15" t="str">
        <f aca="false">IF(N4252="","",INT(N4252))</f>
        <v/>
      </c>
      <c r="J4252" s="16" t="str">
        <f aca="false">IF(B4252="","",IF(N4252=_xlfn.MINIFS($N$2:$N$5001,$B$2:$B$5001,B4252),1,0))</f>
        <v/>
      </c>
      <c r="K4252" s="16" t="str">
        <f aca="false">IF(B4252="","",IF(AND(D4252="Formalização",E4252="Concluído"),IF(COUNTIFS($B$2:$B$5001,B4252,$E$2:$E$5001,"Em ajustes",$N$2:$N$5001,"&lt;"&amp;I4252)&gt;0,1,0),0))</f>
        <v/>
      </c>
      <c r="L4252" s="16" t="str">
        <f aca="false">IF(B4252="","",IF(N4252=_xlfn.MAXIFS($N$2:$N$5001,$B$2:$B$5001,B4252,$I$2:$I$5001,I4252),1,0))</f>
        <v/>
      </c>
      <c r="M4252" s="16" t="str">
        <f aca="false">IF(B4252="","",IF(E4252="Em ajustes",IF(N4252=_xlfn.MINIFS($N$2:$N$5001,$B$2:$B$5001,B4252,$E$2:$E$5001,"Em ajustes"),1,0),0))</f>
        <v/>
      </c>
      <c r="N4252" s="17" t="str">
        <f aca="false">IF(A4252="","",IF(ISNUMBER(A4252),A4252,IFERROR(DATE(VALUE(MID(A4252,7,4)),VALUE(MID(A4252,4,2)),VALUE(MID(A4252,1,2)))+TIME(VALUE(MID(A4252,12,2)),VALUE(MID(A4252,15,2)),VALUE(MID(A4252,18,2))),"")))</f>
        <v/>
      </c>
    </row>
    <row r="4253" customFormat="false" ht="15" hidden="false" customHeight="false" outlineLevel="0" collapsed="false">
      <c r="I4253" s="15" t="str">
        <f aca="false">IF(N4253="","",INT(N4253))</f>
        <v/>
      </c>
      <c r="J4253" s="16" t="str">
        <f aca="false">IF(B4253="","",IF(N4253=_xlfn.MINIFS($N$2:$N$5001,$B$2:$B$5001,B4253),1,0))</f>
        <v/>
      </c>
      <c r="K4253" s="16" t="str">
        <f aca="false">IF(B4253="","",IF(AND(D4253="Formalização",E4253="Concluído"),IF(COUNTIFS($B$2:$B$5001,B4253,$E$2:$E$5001,"Em ajustes",$N$2:$N$5001,"&lt;"&amp;I4253)&gt;0,1,0),0))</f>
        <v/>
      </c>
      <c r="L4253" s="16" t="str">
        <f aca="false">IF(B4253="","",IF(N4253=_xlfn.MAXIFS($N$2:$N$5001,$B$2:$B$5001,B4253,$I$2:$I$5001,I4253),1,0))</f>
        <v/>
      </c>
      <c r="M4253" s="16" t="str">
        <f aca="false">IF(B4253="","",IF(E4253="Em ajustes",IF(N4253=_xlfn.MINIFS($N$2:$N$5001,$B$2:$B$5001,B4253,$E$2:$E$5001,"Em ajustes"),1,0),0))</f>
        <v/>
      </c>
      <c r="N4253" s="17" t="str">
        <f aca="false">IF(A4253="","",IF(ISNUMBER(A4253),A4253,IFERROR(DATE(VALUE(MID(A4253,7,4)),VALUE(MID(A4253,4,2)),VALUE(MID(A4253,1,2)))+TIME(VALUE(MID(A4253,12,2)),VALUE(MID(A4253,15,2)),VALUE(MID(A4253,18,2))),"")))</f>
        <v/>
      </c>
    </row>
    <row r="4254" customFormat="false" ht="15" hidden="false" customHeight="false" outlineLevel="0" collapsed="false">
      <c r="I4254" s="15" t="str">
        <f aca="false">IF(N4254="","",INT(N4254))</f>
        <v/>
      </c>
      <c r="J4254" s="16" t="str">
        <f aca="false">IF(B4254="","",IF(N4254=_xlfn.MINIFS($N$2:$N$5001,$B$2:$B$5001,B4254),1,0))</f>
        <v/>
      </c>
      <c r="K4254" s="16" t="str">
        <f aca="false">IF(B4254="","",IF(AND(D4254="Formalização",E4254="Concluído"),IF(COUNTIFS($B$2:$B$5001,B4254,$E$2:$E$5001,"Em ajustes",$N$2:$N$5001,"&lt;"&amp;I4254)&gt;0,1,0),0))</f>
        <v/>
      </c>
      <c r="L4254" s="16" t="str">
        <f aca="false">IF(B4254="","",IF(N4254=_xlfn.MAXIFS($N$2:$N$5001,$B$2:$B$5001,B4254,$I$2:$I$5001,I4254),1,0))</f>
        <v/>
      </c>
      <c r="M4254" s="16" t="str">
        <f aca="false">IF(B4254="","",IF(E4254="Em ajustes",IF(N4254=_xlfn.MINIFS($N$2:$N$5001,$B$2:$B$5001,B4254,$E$2:$E$5001,"Em ajustes"),1,0),0))</f>
        <v/>
      </c>
      <c r="N4254" s="17" t="str">
        <f aca="false">IF(A4254="","",IF(ISNUMBER(A4254),A4254,IFERROR(DATE(VALUE(MID(A4254,7,4)),VALUE(MID(A4254,4,2)),VALUE(MID(A4254,1,2)))+TIME(VALUE(MID(A4254,12,2)),VALUE(MID(A4254,15,2)),VALUE(MID(A4254,18,2))),"")))</f>
        <v/>
      </c>
    </row>
    <row r="4255" customFormat="false" ht="15" hidden="false" customHeight="false" outlineLevel="0" collapsed="false">
      <c r="I4255" s="15" t="str">
        <f aca="false">IF(N4255="","",INT(N4255))</f>
        <v/>
      </c>
      <c r="J4255" s="16" t="str">
        <f aca="false">IF(B4255="","",IF(N4255=_xlfn.MINIFS($N$2:$N$5001,$B$2:$B$5001,B4255),1,0))</f>
        <v/>
      </c>
      <c r="K4255" s="16" t="str">
        <f aca="false">IF(B4255="","",IF(AND(D4255="Formalização",E4255="Concluído"),IF(COUNTIFS($B$2:$B$5001,B4255,$E$2:$E$5001,"Em ajustes",$N$2:$N$5001,"&lt;"&amp;I4255)&gt;0,1,0),0))</f>
        <v/>
      </c>
      <c r="L4255" s="16" t="str">
        <f aca="false">IF(B4255="","",IF(N4255=_xlfn.MAXIFS($N$2:$N$5001,$B$2:$B$5001,B4255,$I$2:$I$5001,I4255),1,0))</f>
        <v/>
      </c>
      <c r="M4255" s="16" t="str">
        <f aca="false">IF(B4255="","",IF(E4255="Em ajustes",IF(N4255=_xlfn.MINIFS($N$2:$N$5001,$B$2:$B$5001,B4255,$E$2:$E$5001,"Em ajustes"),1,0),0))</f>
        <v/>
      </c>
      <c r="N4255" s="17" t="str">
        <f aca="false">IF(A4255="","",IF(ISNUMBER(A4255),A4255,IFERROR(DATE(VALUE(MID(A4255,7,4)),VALUE(MID(A4255,4,2)),VALUE(MID(A4255,1,2)))+TIME(VALUE(MID(A4255,12,2)),VALUE(MID(A4255,15,2)),VALUE(MID(A4255,18,2))),"")))</f>
        <v/>
      </c>
    </row>
    <row r="4256" customFormat="false" ht="15" hidden="false" customHeight="false" outlineLevel="0" collapsed="false">
      <c r="I4256" s="15" t="str">
        <f aca="false">IF(N4256="","",INT(N4256))</f>
        <v/>
      </c>
      <c r="J4256" s="16" t="str">
        <f aca="false">IF(B4256="","",IF(N4256=_xlfn.MINIFS($N$2:$N$5001,$B$2:$B$5001,B4256),1,0))</f>
        <v/>
      </c>
      <c r="K4256" s="16" t="str">
        <f aca="false">IF(B4256="","",IF(AND(D4256="Formalização",E4256="Concluído"),IF(COUNTIFS($B$2:$B$5001,B4256,$E$2:$E$5001,"Em ajustes",$N$2:$N$5001,"&lt;"&amp;I4256)&gt;0,1,0),0))</f>
        <v/>
      </c>
      <c r="L4256" s="16" t="str">
        <f aca="false">IF(B4256="","",IF(N4256=_xlfn.MAXIFS($N$2:$N$5001,$B$2:$B$5001,B4256,$I$2:$I$5001,I4256),1,0))</f>
        <v/>
      </c>
      <c r="M4256" s="16" t="str">
        <f aca="false">IF(B4256="","",IF(E4256="Em ajustes",IF(N4256=_xlfn.MINIFS($N$2:$N$5001,$B$2:$B$5001,B4256,$E$2:$E$5001,"Em ajustes"),1,0),0))</f>
        <v/>
      </c>
      <c r="N4256" s="17" t="str">
        <f aca="false">IF(A4256="","",IF(ISNUMBER(A4256),A4256,IFERROR(DATE(VALUE(MID(A4256,7,4)),VALUE(MID(A4256,4,2)),VALUE(MID(A4256,1,2)))+TIME(VALUE(MID(A4256,12,2)),VALUE(MID(A4256,15,2)),VALUE(MID(A4256,18,2))),"")))</f>
        <v/>
      </c>
    </row>
    <row r="4257" customFormat="false" ht="15" hidden="false" customHeight="false" outlineLevel="0" collapsed="false">
      <c r="I4257" s="15" t="str">
        <f aca="false">IF(N4257="","",INT(N4257))</f>
        <v/>
      </c>
      <c r="J4257" s="16" t="str">
        <f aca="false">IF(B4257="","",IF(N4257=_xlfn.MINIFS($N$2:$N$5001,$B$2:$B$5001,B4257),1,0))</f>
        <v/>
      </c>
      <c r="K4257" s="16" t="str">
        <f aca="false">IF(B4257="","",IF(AND(D4257="Formalização",E4257="Concluído"),IF(COUNTIFS($B$2:$B$5001,B4257,$E$2:$E$5001,"Em ajustes",$N$2:$N$5001,"&lt;"&amp;I4257)&gt;0,1,0),0))</f>
        <v/>
      </c>
      <c r="L4257" s="16" t="str">
        <f aca="false">IF(B4257="","",IF(N4257=_xlfn.MAXIFS($N$2:$N$5001,$B$2:$B$5001,B4257,$I$2:$I$5001,I4257),1,0))</f>
        <v/>
      </c>
      <c r="M4257" s="16" t="str">
        <f aca="false">IF(B4257="","",IF(E4257="Em ajustes",IF(N4257=_xlfn.MINIFS($N$2:$N$5001,$B$2:$B$5001,B4257,$E$2:$E$5001,"Em ajustes"),1,0),0))</f>
        <v/>
      </c>
      <c r="N4257" s="17" t="str">
        <f aca="false">IF(A4257="","",IF(ISNUMBER(A4257),A4257,IFERROR(DATE(VALUE(MID(A4257,7,4)),VALUE(MID(A4257,4,2)),VALUE(MID(A4257,1,2)))+TIME(VALUE(MID(A4257,12,2)),VALUE(MID(A4257,15,2)),VALUE(MID(A4257,18,2))),"")))</f>
        <v/>
      </c>
    </row>
    <row r="4258" customFormat="false" ht="15" hidden="false" customHeight="false" outlineLevel="0" collapsed="false">
      <c r="I4258" s="15" t="str">
        <f aca="false">IF(N4258="","",INT(N4258))</f>
        <v/>
      </c>
      <c r="J4258" s="16" t="str">
        <f aca="false">IF(B4258="","",IF(N4258=_xlfn.MINIFS($N$2:$N$5001,$B$2:$B$5001,B4258),1,0))</f>
        <v/>
      </c>
      <c r="K4258" s="16" t="str">
        <f aca="false">IF(B4258="","",IF(AND(D4258="Formalização",E4258="Concluído"),IF(COUNTIFS($B$2:$B$5001,B4258,$E$2:$E$5001,"Em ajustes",$N$2:$N$5001,"&lt;"&amp;I4258)&gt;0,1,0),0))</f>
        <v/>
      </c>
      <c r="L4258" s="16" t="str">
        <f aca="false">IF(B4258="","",IF(N4258=_xlfn.MAXIFS($N$2:$N$5001,$B$2:$B$5001,B4258,$I$2:$I$5001,I4258),1,0))</f>
        <v/>
      </c>
      <c r="M4258" s="16" t="str">
        <f aca="false">IF(B4258="","",IF(E4258="Em ajustes",IF(N4258=_xlfn.MINIFS($N$2:$N$5001,$B$2:$B$5001,B4258,$E$2:$E$5001,"Em ajustes"),1,0),0))</f>
        <v/>
      </c>
      <c r="N4258" s="17" t="str">
        <f aca="false">IF(A4258="","",IF(ISNUMBER(A4258),A4258,IFERROR(DATE(VALUE(MID(A4258,7,4)),VALUE(MID(A4258,4,2)),VALUE(MID(A4258,1,2)))+TIME(VALUE(MID(A4258,12,2)),VALUE(MID(A4258,15,2)),VALUE(MID(A4258,18,2))),"")))</f>
        <v/>
      </c>
    </row>
    <row r="4259" customFormat="false" ht="15" hidden="false" customHeight="false" outlineLevel="0" collapsed="false">
      <c r="I4259" s="15" t="str">
        <f aca="false">IF(N4259="","",INT(N4259))</f>
        <v/>
      </c>
      <c r="J4259" s="16" t="str">
        <f aca="false">IF(B4259="","",IF(N4259=_xlfn.MINIFS($N$2:$N$5001,$B$2:$B$5001,B4259),1,0))</f>
        <v/>
      </c>
      <c r="K4259" s="16" t="str">
        <f aca="false">IF(B4259="","",IF(AND(D4259="Formalização",E4259="Concluído"),IF(COUNTIFS($B$2:$B$5001,B4259,$E$2:$E$5001,"Em ajustes",$N$2:$N$5001,"&lt;"&amp;I4259)&gt;0,1,0),0))</f>
        <v/>
      </c>
      <c r="L4259" s="16" t="str">
        <f aca="false">IF(B4259="","",IF(N4259=_xlfn.MAXIFS($N$2:$N$5001,$B$2:$B$5001,B4259,$I$2:$I$5001,I4259),1,0))</f>
        <v/>
      </c>
      <c r="M4259" s="16" t="str">
        <f aca="false">IF(B4259="","",IF(E4259="Em ajustes",IF(N4259=_xlfn.MINIFS($N$2:$N$5001,$B$2:$B$5001,B4259,$E$2:$E$5001,"Em ajustes"),1,0),0))</f>
        <v/>
      </c>
      <c r="N4259" s="17" t="str">
        <f aca="false">IF(A4259="","",IF(ISNUMBER(A4259),A4259,IFERROR(DATE(VALUE(MID(A4259,7,4)),VALUE(MID(A4259,4,2)),VALUE(MID(A4259,1,2)))+TIME(VALUE(MID(A4259,12,2)),VALUE(MID(A4259,15,2)),VALUE(MID(A4259,18,2))),"")))</f>
        <v/>
      </c>
    </row>
    <row r="4260" customFormat="false" ht="15" hidden="false" customHeight="false" outlineLevel="0" collapsed="false">
      <c r="I4260" s="15" t="str">
        <f aca="false">IF(N4260="","",INT(N4260))</f>
        <v/>
      </c>
      <c r="J4260" s="16" t="str">
        <f aca="false">IF(B4260="","",IF(N4260=_xlfn.MINIFS($N$2:$N$5001,$B$2:$B$5001,B4260),1,0))</f>
        <v/>
      </c>
      <c r="K4260" s="16" t="str">
        <f aca="false">IF(B4260="","",IF(AND(D4260="Formalização",E4260="Concluído"),IF(COUNTIFS($B$2:$B$5001,B4260,$E$2:$E$5001,"Em ajustes",$N$2:$N$5001,"&lt;"&amp;I4260)&gt;0,1,0),0))</f>
        <v/>
      </c>
      <c r="L4260" s="16" t="str">
        <f aca="false">IF(B4260="","",IF(N4260=_xlfn.MAXIFS($N$2:$N$5001,$B$2:$B$5001,B4260,$I$2:$I$5001,I4260),1,0))</f>
        <v/>
      </c>
      <c r="M4260" s="16" t="str">
        <f aca="false">IF(B4260="","",IF(E4260="Em ajustes",IF(N4260=_xlfn.MINIFS($N$2:$N$5001,$B$2:$B$5001,B4260,$E$2:$E$5001,"Em ajustes"),1,0),0))</f>
        <v/>
      </c>
      <c r="N4260" s="17" t="str">
        <f aca="false">IF(A4260="","",IF(ISNUMBER(A4260),A4260,IFERROR(DATE(VALUE(MID(A4260,7,4)),VALUE(MID(A4260,4,2)),VALUE(MID(A4260,1,2)))+TIME(VALUE(MID(A4260,12,2)),VALUE(MID(A4260,15,2)),VALUE(MID(A4260,18,2))),"")))</f>
        <v/>
      </c>
    </row>
    <row r="4261" customFormat="false" ht="15" hidden="false" customHeight="false" outlineLevel="0" collapsed="false">
      <c r="I4261" s="15" t="str">
        <f aca="false">IF(N4261="","",INT(N4261))</f>
        <v/>
      </c>
      <c r="J4261" s="16" t="str">
        <f aca="false">IF(B4261="","",IF(N4261=_xlfn.MINIFS($N$2:$N$5001,$B$2:$B$5001,B4261),1,0))</f>
        <v/>
      </c>
      <c r="K4261" s="16" t="str">
        <f aca="false">IF(B4261="","",IF(AND(D4261="Formalização",E4261="Concluído"),IF(COUNTIFS($B$2:$B$5001,B4261,$E$2:$E$5001,"Em ajustes",$N$2:$N$5001,"&lt;"&amp;I4261)&gt;0,1,0),0))</f>
        <v/>
      </c>
      <c r="L4261" s="16" t="str">
        <f aca="false">IF(B4261="","",IF(N4261=_xlfn.MAXIFS($N$2:$N$5001,$B$2:$B$5001,B4261,$I$2:$I$5001,I4261),1,0))</f>
        <v/>
      </c>
      <c r="M4261" s="16" t="str">
        <f aca="false">IF(B4261="","",IF(E4261="Em ajustes",IF(N4261=_xlfn.MINIFS($N$2:$N$5001,$B$2:$B$5001,B4261,$E$2:$E$5001,"Em ajustes"),1,0),0))</f>
        <v/>
      </c>
      <c r="N4261" s="17" t="str">
        <f aca="false">IF(A4261="","",IF(ISNUMBER(A4261),A4261,IFERROR(DATE(VALUE(MID(A4261,7,4)),VALUE(MID(A4261,4,2)),VALUE(MID(A4261,1,2)))+TIME(VALUE(MID(A4261,12,2)),VALUE(MID(A4261,15,2)),VALUE(MID(A4261,18,2))),"")))</f>
        <v/>
      </c>
    </row>
    <row r="4262" customFormat="false" ht="15" hidden="false" customHeight="false" outlineLevel="0" collapsed="false">
      <c r="I4262" s="15" t="str">
        <f aca="false">IF(N4262="","",INT(N4262))</f>
        <v/>
      </c>
      <c r="J4262" s="16" t="str">
        <f aca="false">IF(B4262="","",IF(N4262=_xlfn.MINIFS($N$2:$N$5001,$B$2:$B$5001,B4262),1,0))</f>
        <v/>
      </c>
      <c r="K4262" s="16" t="str">
        <f aca="false">IF(B4262="","",IF(AND(D4262="Formalização",E4262="Concluído"),IF(COUNTIFS($B$2:$B$5001,B4262,$E$2:$E$5001,"Em ajustes",$N$2:$N$5001,"&lt;"&amp;I4262)&gt;0,1,0),0))</f>
        <v/>
      </c>
      <c r="L4262" s="16" t="str">
        <f aca="false">IF(B4262="","",IF(N4262=_xlfn.MAXIFS($N$2:$N$5001,$B$2:$B$5001,B4262,$I$2:$I$5001,I4262),1,0))</f>
        <v/>
      </c>
      <c r="M4262" s="16" t="str">
        <f aca="false">IF(B4262="","",IF(E4262="Em ajustes",IF(N4262=_xlfn.MINIFS($N$2:$N$5001,$B$2:$B$5001,B4262,$E$2:$E$5001,"Em ajustes"),1,0),0))</f>
        <v/>
      </c>
      <c r="N4262" s="17" t="str">
        <f aca="false">IF(A4262="","",IF(ISNUMBER(A4262),A4262,IFERROR(DATE(VALUE(MID(A4262,7,4)),VALUE(MID(A4262,4,2)),VALUE(MID(A4262,1,2)))+TIME(VALUE(MID(A4262,12,2)),VALUE(MID(A4262,15,2)),VALUE(MID(A4262,18,2))),"")))</f>
        <v/>
      </c>
    </row>
    <row r="4263" customFormat="false" ht="15" hidden="false" customHeight="false" outlineLevel="0" collapsed="false">
      <c r="I4263" s="15" t="str">
        <f aca="false">IF(N4263="","",INT(N4263))</f>
        <v/>
      </c>
      <c r="J4263" s="16" t="str">
        <f aca="false">IF(B4263="","",IF(N4263=_xlfn.MINIFS($N$2:$N$5001,$B$2:$B$5001,B4263),1,0))</f>
        <v/>
      </c>
      <c r="K4263" s="16" t="str">
        <f aca="false">IF(B4263="","",IF(AND(D4263="Formalização",E4263="Concluído"),IF(COUNTIFS($B$2:$B$5001,B4263,$E$2:$E$5001,"Em ajustes",$N$2:$N$5001,"&lt;"&amp;I4263)&gt;0,1,0),0))</f>
        <v/>
      </c>
      <c r="L4263" s="16" t="str">
        <f aca="false">IF(B4263="","",IF(N4263=_xlfn.MAXIFS($N$2:$N$5001,$B$2:$B$5001,B4263,$I$2:$I$5001,I4263),1,0))</f>
        <v/>
      </c>
      <c r="M4263" s="16" t="str">
        <f aca="false">IF(B4263="","",IF(E4263="Em ajustes",IF(N4263=_xlfn.MINIFS($N$2:$N$5001,$B$2:$B$5001,B4263,$E$2:$E$5001,"Em ajustes"),1,0),0))</f>
        <v/>
      </c>
      <c r="N4263" s="17" t="str">
        <f aca="false">IF(A4263="","",IF(ISNUMBER(A4263),A4263,IFERROR(DATE(VALUE(MID(A4263,7,4)),VALUE(MID(A4263,4,2)),VALUE(MID(A4263,1,2)))+TIME(VALUE(MID(A4263,12,2)),VALUE(MID(A4263,15,2)),VALUE(MID(A4263,18,2))),"")))</f>
        <v/>
      </c>
    </row>
    <row r="4264" customFormat="false" ht="15" hidden="false" customHeight="false" outlineLevel="0" collapsed="false">
      <c r="I4264" s="15" t="str">
        <f aca="false">IF(N4264="","",INT(N4264))</f>
        <v/>
      </c>
      <c r="J4264" s="16" t="str">
        <f aca="false">IF(B4264="","",IF(N4264=_xlfn.MINIFS($N$2:$N$5001,$B$2:$B$5001,B4264),1,0))</f>
        <v/>
      </c>
      <c r="K4264" s="16" t="str">
        <f aca="false">IF(B4264="","",IF(AND(D4264="Formalização",E4264="Concluído"),IF(COUNTIFS($B$2:$B$5001,B4264,$E$2:$E$5001,"Em ajustes",$N$2:$N$5001,"&lt;"&amp;I4264)&gt;0,1,0),0))</f>
        <v/>
      </c>
      <c r="L4264" s="16" t="str">
        <f aca="false">IF(B4264="","",IF(N4264=_xlfn.MAXIFS($N$2:$N$5001,$B$2:$B$5001,B4264,$I$2:$I$5001,I4264),1,0))</f>
        <v/>
      </c>
      <c r="M4264" s="16" t="str">
        <f aca="false">IF(B4264="","",IF(E4264="Em ajustes",IF(N4264=_xlfn.MINIFS($N$2:$N$5001,$B$2:$B$5001,B4264,$E$2:$E$5001,"Em ajustes"),1,0),0))</f>
        <v/>
      </c>
      <c r="N4264" s="17" t="str">
        <f aca="false">IF(A4264="","",IF(ISNUMBER(A4264),A4264,IFERROR(DATE(VALUE(MID(A4264,7,4)),VALUE(MID(A4264,4,2)),VALUE(MID(A4264,1,2)))+TIME(VALUE(MID(A4264,12,2)),VALUE(MID(A4264,15,2)),VALUE(MID(A4264,18,2))),"")))</f>
        <v/>
      </c>
    </row>
    <row r="4265" customFormat="false" ht="15" hidden="false" customHeight="false" outlineLevel="0" collapsed="false">
      <c r="I4265" s="15" t="str">
        <f aca="false">IF(N4265="","",INT(N4265))</f>
        <v/>
      </c>
      <c r="J4265" s="16" t="str">
        <f aca="false">IF(B4265="","",IF(N4265=_xlfn.MINIFS($N$2:$N$5001,$B$2:$B$5001,B4265),1,0))</f>
        <v/>
      </c>
      <c r="K4265" s="16" t="str">
        <f aca="false">IF(B4265="","",IF(AND(D4265="Formalização",E4265="Concluído"),IF(COUNTIFS($B$2:$B$5001,B4265,$E$2:$E$5001,"Em ajustes",$N$2:$N$5001,"&lt;"&amp;I4265)&gt;0,1,0),0))</f>
        <v/>
      </c>
      <c r="L4265" s="16" t="str">
        <f aca="false">IF(B4265="","",IF(N4265=_xlfn.MAXIFS($N$2:$N$5001,$B$2:$B$5001,B4265,$I$2:$I$5001,I4265),1,0))</f>
        <v/>
      </c>
      <c r="M4265" s="16" t="str">
        <f aca="false">IF(B4265="","",IF(E4265="Em ajustes",IF(N4265=_xlfn.MINIFS($N$2:$N$5001,$B$2:$B$5001,B4265,$E$2:$E$5001,"Em ajustes"),1,0),0))</f>
        <v/>
      </c>
      <c r="N4265" s="17" t="str">
        <f aca="false">IF(A4265="","",IF(ISNUMBER(A4265),A4265,IFERROR(DATE(VALUE(MID(A4265,7,4)),VALUE(MID(A4265,4,2)),VALUE(MID(A4265,1,2)))+TIME(VALUE(MID(A4265,12,2)),VALUE(MID(A4265,15,2)),VALUE(MID(A4265,18,2))),"")))</f>
        <v/>
      </c>
    </row>
    <row r="4266" customFormat="false" ht="15" hidden="false" customHeight="false" outlineLevel="0" collapsed="false">
      <c r="I4266" s="15" t="str">
        <f aca="false">IF(N4266="","",INT(N4266))</f>
        <v/>
      </c>
      <c r="J4266" s="16" t="str">
        <f aca="false">IF(B4266="","",IF(N4266=_xlfn.MINIFS($N$2:$N$5001,$B$2:$B$5001,B4266),1,0))</f>
        <v/>
      </c>
      <c r="K4266" s="16" t="str">
        <f aca="false">IF(B4266="","",IF(AND(D4266="Formalização",E4266="Concluído"),IF(COUNTIFS($B$2:$B$5001,B4266,$E$2:$E$5001,"Em ajustes",$N$2:$N$5001,"&lt;"&amp;I4266)&gt;0,1,0),0))</f>
        <v/>
      </c>
      <c r="L4266" s="16" t="str">
        <f aca="false">IF(B4266="","",IF(N4266=_xlfn.MAXIFS($N$2:$N$5001,$B$2:$B$5001,B4266,$I$2:$I$5001,I4266),1,0))</f>
        <v/>
      </c>
      <c r="M4266" s="16" t="str">
        <f aca="false">IF(B4266="","",IF(E4266="Em ajustes",IF(N4266=_xlfn.MINIFS($N$2:$N$5001,$B$2:$B$5001,B4266,$E$2:$E$5001,"Em ajustes"),1,0),0))</f>
        <v/>
      </c>
      <c r="N4266" s="17" t="str">
        <f aca="false">IF(A4266="","",IF(ISNUMBER(A4266),A4266,IFERROR(DATE(VALUE(MID(A4266,7,4)),VALUE(MID(A4266,4,2)),VALUE(MID(A4266,1,2)))+TIME(VALUE(MID(A4266,12,2)),VALUE(MID(A4266,15,2)),VALUE(MID(A4266,18,2))),"")))</f>
        <v/>
      </c>
    </row>
    <row r="4267" customFormat="false" ht="15" hidden="false" customHeight="false" outlineLevel="0" collapsed="false">
      <c r="I4267" s="15" t="str">
        <f aca="false">IF(N4267="","",INT(N4267))</f>
        <v/>
      </c>
      <c r="J4267" s="16" t="str">
        <f aca="false">IF(B4267="","",IF(N4267=_xlfn.MINIFS($N$2:$N$5001,$B$2:$B$5001,B4267),1,0))</f>
        <v/>
      </c>
      <c r="K4267" s="16" t="str">
        <f aca="false">IF(B4267="","",IF(AND(D4267="Formalização",E4267="Concluído"),IF(COUNTIFS($B$2:$B$5001,B4267,$E$2:$E$5001,"Em ajustes",$N$2:$N$5001,"&lt;"&amp;I4267)&gt;0,1,0),0))</f>
        <v/>
      </c>
      <c r="L4267" s="16" t="str">
        <f aca="false">IF(B4267="","",IF(N4267=_xlfn.MAXIFS($N$2:$N$5001,$B$2:$B$5001,B4267,$I$2:$I$5001,I4267),1,0))</f>
        <v/>
      </c>
      <c r="M4267" s="16" t="str">
        <f aca="false">IF(B4267="","",IF(E4267="Em ajustes",IF(N4267=_xlfn.MINIFS($N$2:$N$5001,$B$2:$B$5001,B4267,$E$2:$E$5001,"Em ajustes"),1,0),0))</f>
        <v/>
      </c>
      <c r="N4267" s="17" t="str">
        <f aca="false">IF(A4267="","",IF(ISNUMBER(A4267),A4267,IFERROR(DATE(VALUE(MID(A4267,7,4)),VALUE(MID(A4267,4,2)),VALUE(MID(A4267,1,2)))+TIME(VALUE(MID(A4267,12,2)),VALUE(MID(A4267,15,2)),VALUE(MID(A4267,18,2))),"")))</f>
        <v/>
      </c>
    </row>
    <row r="4268" customFormat="false" ht="15" hidden="false" customHeight="false" outlineLevel="0" collapsed="false">
      <c r="I4268" s="15" t="str">
        <f aca="false">IF(N4268="","",INT(N4268))</f>
        <v/>
      </c>
      <c r="J4268" s="16" t="str">
        <f aca="false">IF(B4268="","",IF(N4268=_xlfn.MINIFS($N$2:$N$5001,$B$2:$B$5001,B4268),1,0))</f>
        <v/>
      </c>
      <c r="K4268" s="16" t="str">
        <f aca="false">IF(B4268="","",IF(AND(D4268="Formalização",E4268="Concluído"),IF(COUNTIFS($B$2:$B$5001,B4268,$E$2:$E$5001,"Em ajustes",$N$2:$N$5001,"&lt;"&amp;I4268)&gt;0,1,0),0))</f>
        <v/>
      </c>
      <c r="L4268" s="16" t="str">
        <f aca="false">IF(B4268="","",IF(N4268=_xlfn.MAXIFS($N$2:$N$5001,$B$2:$B$5001,B4268,$I$2:$I$5001,I4268),1,0))</f>
        <v/>
      </c>
      <c r="M4268" s="16" t="str">
        <f aca="false">IF(B4268="","",IF(E4268="Em ajustes",IF(N4268=_xlfn.MINIFS($N$2:$N$5001,$B$2:$B$5001,B4268,$E$2:$E$5001,"Em ajustes"),1,0),0))</f>
        <v/>
      </c>
      <c r="N4268" s="17" t="str">
        <f aca="false">IF(A4268="","",IF(ISNUMBER(A4268),A4268,IFERROR(DATE(VALUE(MID(A4268,7,4)),VALUE(MID(A4268,4,2)),VALUE(MID(A4268,1,2)))+TIME(VALUE(MID(A4268,12,2)),VALUE(MID(A4268,15,2)),VALUE(MID(A4268,18,2))),"")))</f>
        <v/>
      </c>
    </row>
    <row r="4269" customFormat="false" ht="15" hidden="false" customHeight="false" outlineLevel="0" collapsed="false">
      <c r="I4269" s="15" t="str">
        <f aca="false">IF(N4269="","",INT(N4269))</f>
        <v/>
      </c>
      <c r="J4269" s="16" t="str">
        <f aca="false">IF(B4269="","",IF(N4269=_xlfn.MINIFS($N$2:$N$5001,$B$2:$B$5001,B4269),1,0))</f>
        <v/>
      </c>
      <c r="K4269" s="16" t="str">
        <f aca="false">IF(B4269="","",IF(AND(D4269="Formalização",E4269="Concluído"),IF(COUNTIFS($B$2:$B$5001,B4269,$E$2:$E$5001,"Em ajustes",$N$2:$N$5001,"&lt;"&amp;I4269)&gt;0,1,0),0))</f>
        <v/>
      </c>
      <c r="L4269" s="16" t="str">
        <f aca="false">IF(B4269="","",IF(N4269=_xlfn.MAXIFS($N$2:$N$5001,$B$2:$B$5001,B4269,$I$2:$I$5001,I4269),1,0))</f>
        <v/>
      </c>
      <c r="M4269" s="16" t="str">
        <f aca="false">IF(B4269="","",IF(E4269="Em ajustes",IF(N4269=_xlfn.MINIFS($N$2:$N$5001,$B$2:$B$5001,B4269,$E$2:$E$5001,"Em ajustes"),1,0),0))</f>
        <v/>
      </c>
      <c r="N4269" s="17" t="str">
        <f aca="false">IF(A4269="","",IF(ISNUMBER(A4269),A4269,IFERROR(DATE(VALUE(MID(A4269,7,4)),VALUE(MID(A4269,4,2)),VALUE(MID(A4269,1,2)))+TIME(VALUE(MID(A4269,12,2)),VALUE(MID(A4269,15,2)),VALUE(MID(A4269,18,2))),"")))</f>
        <v/>
      </c>
    </row>
    <row r="4270" customFormat="false" ht="15" hidden="false" customHeight="false" outlineLevel="0" collapsed="false">
      <c r="I4270" s="15" t="str">
        <f aca="false">IF(N4270="","",INT(N4270))</f>
        <v/>
      </c>
      <c r="J4270" s="16" t="str">
        <f aca="false">IF(B4270="","",IF(N4270=_xlfn.MINIFS($N$2:$N$5001,$B$2:$B$5001,B4270),1,0))</f>
        <v/>
      </c>
      <c r="K4270" s="16" t="str">
        <f aca="false">IF(B4270="","",IF(AND(D4270="Formalização",E4270="Concluído"),IF(COUNTIFS($B$2:$B$5001,B4270,$E$2:$E$5001,"Em ajustes",$N$2:$N$5001,"&lt;"&amp;I4270)&gt;0,1,0),0))</f>
        <v/>
      </c>
      <c r="L4270" s="16" t="str">
        <f aca="false">IF(B4270="","",IF(N4270=_xlfn.MAXIFS($N$2:$N$5001,$B$2:$B$5001,B4270,$I$2:$I$5001,I4270),1,0))</f>
        <v/>
      </c>
      <c r="M4270" s="16" t="str">
        <f aca="false">IF(B4270="","",IF(E4270="Em ajustes",IF(N4270=_xlfn.MINIFS($N$2:$N$5001,$B$2:$B$5001,B4270,$E$2:$E$5001,"Em ajustes"),1,0),0))</f>
        <v/>
      </c>
      <c r="N4270" s="17" t="str">
        <f aca="false">IF(A4270="","",IF(ISNUMBER(A4270),A4270,IFERROR(DATE(VALUE(MID(A4270,7,4)),VALUE(MID(A4270,4,2)),VALUE(MID(A4270,1,2)))+TIME(VALUE(MID(A4270,12,2)),VALUE(MID(A4270,15,2)),VALUE(MID(A4270,18,2))),"")))</f>
        <v/>
      </c>
    </row>
    <row r="4271" customFormat="false" ht="15" hidden="false" customHeight="false" outlineLevel="0" collapsed="false">
      <c r="I4271" s="15" t="str">
        <f aca="false">IF(N4271="","",INT(N4271))</f>
        <v/>
      </c>
      <c r="J4271" s="16" t="str">
        <f aca="false">IF(B4271="","",IF(N4271=_xlfn.MINIFS($N$2:$N$5001,$B$2:$B$5001,B4271),1,0))</f>
        <v/>
      </c>
      <c r="K4271" s="16" t="str">
        <f aca="false">IF(B4271="","",IF(AND(D4271="Formalização",E4271="Concluído"),IF(COUNTIFS($B$2:$B$5001,B4271,$E$2:$E$5001,"Em ajustes",$N$2:$N$5001,"&lt;"&amp;I4271)&gt;0,1,0),0))</f>
        <v/>
      </c>
      <c r="L4271" s="16" t="str">
        <f aca="false">IF(B4271="","",IF(N4271=_xlfn.MAXIFS($N$2:$N$5001,$B$2:$B$5001,B4271,$I$2:$I$5001,I4271),1,0))</f>
        <v/>
      </c>
      <c r="M4271" s="16" t="str">
        <f aca="false">IF(B4271="","",IF(E4271="Em ajustes",IF(N4271=_xlfn.MINIFS($N$2:$N$5001,$B$2:$B$5001,B4271,$E$2:$E$5001,"Em ajustes"),1,0),0))</f>
        <v/>
      </c>
      <c r="N4271" s="17" t="str">
        <f aca="false">IF(A4271="","",IF(ISNUMBER(A4271),A4271,IFERROR(DATE(VALUE(MID(A4271,7,4)),VALUE(MID(A4271,4,2)),VALUE(MID(A4271,1,2)))+TIME(VALUE(MID(A4271,12,2)),VALUE(MID(A4271,15,2)),VALUE(MID(A4271,18,2))),"")))</f>
        <v/>
      </c>
    </row>
    <row r="4272" customFormat="false" ht="15" hidden="false" customHeight="false" outlineLevel="0" collapsed="false">
      <c r="I4272" s="15" t="str">
        <f aca="false">IF(N4272="","",INT(N4272))</f>
        <v/>
      </c>
      <c r="J4272" s="16" t="str">
        <f aca="false">IF(B4272="","",IF(N4272=_xlfn.MINIFS($N$2:$N$5001,$B$2:$B$5001,B4272),1,0))</f>
        <v/>
      </c>
      <c r="K4272" s="16" t="str">
        <f aca="false">IF(B4272="","",IF(AND(D4272="Formalização",E4272="Concluído"),IF(COUNTIFS($B$2:$B$5001,B4272,$E$2:$E$5001,"Em ajustes",$N$2:$N$5001,"&lt;"&amp;I4272)&gt;0,1,0),0))</f>
        <v/>
      </c>
      <c r="L4272" s="16" t="str">
        <f aca="false">IF(B4272="","",IF(N4272=_xlfn.MAXIFS($N$2:$N$5001,$B$2:$B$5001,B4272,$I$2:$I$5001,I4272),1,0))</f>
        <v/>
      </c>
      <c r="M4272" s="16" t="str">
        <f aca="false">IF(B4272="","",IF(E4272="Em ajustes",IF(N4272=_xlfn.MINIFS($N$2:$N$5001,$B$2:$B$5001,B4272,$E$2:$E$5001,"Em ajustes"),1,0),0))</f>
        <v/>
      </c>
      <c r="N4272" s="17" t="str">
        <f aca="false">IF(A4272="","",IF(ISNUMBER(A4272),A4272,IFERROR(DATE(VALUE(MID(A4272,7,4)),VALUE(MID(A4272,4,2)),VALUE(MID(A4272,1,2)))+TIME(VALUE(MID(A4272,12,2)),VALUE(MID(A4272,15,2)),VALUE(MID(A4272,18,2))),"")))</f>
        <v/>
      </c>
    </row>
    <row r="4273" customFormat="false" ht="15" hidden="false" customHeight="false" outlineLevel="0" collapsed="false">
      <c r="I4273" s="15" t="str">
        <f aca="false">IF(N4273="","",INT(N4273))</f>
        <v/>
      </c>
      <c r="J4273" s="16" t="str">
        <f aca="false">IF(B4273="","",IF(N4273=_xlfn.MINIFS($N$2:$N$5001,$B$2:$B$5001,B4273),1,0))</f>
        <v/>
      </c>
      <c r="K4273" s="16" t="str">
        <f aca="false">IF(B4273="","",IF(AND(D4273="Formalização",E4273="Concluído"),IF(COUNTIFS($B$2:$B$5001,B4273,$E$2:$E$5001,"Em ajustes",$N$2:$N$5001,"&lt;"&amp;I4273)&gt;0,1,0),0))</f>
        <v/>
      </c>
      <c r="L4273" s="16" t="str">
        <f aca="false">IF(B4273="","",IF(N4273=_xlfn.MAXIFS($N$2:$N$5001,$B$2:$B$5001,B4273,$I$2:$I$5001,I4273),1,0))</f>
        <v/>
      </c>
      <c r="M4273" s="16" t="str">
        <f aca="false">IF(B4273="","",IF(E4273="Em ajustes",IF(N4273=_xlfn.MINIFS($N$2:$N$5001,$B$2:$B$5001,B4273,$E$2:$E$5001,"Em ajustes"),1,0),0))</f>
        <v/>
      </c>
      <c r="N4273" s="17" t="str">
        <f aca="false">IF(A4273="","",IF(ISNUMBER(A4273),A4273,IFERROR(DATE(VALUE(MID(A4273,7,4)),VALUE(MID(A4273,4,2)),VALUE(MID(A4273,1,2)))+TIME(VALUE(MID(A4273,12,2)),VALUE(MID(A4273,15,2)),VALUE(MID(A4273,18,2))),"")))</f>
        <v/>
      </c>
    </row>
    <row r="4274" customFormat="false" ht="15" hidden="false" customHeight="false" outlineLevel="0" collapsed="false">
      <c r="I4274" s="15" t="str">
        <f aca="false">IF(N4274="","",INT(N4274))</f>
        <v/>
      </c>
      <c r="J4274" s="16" t="str">
        <f aca="false">IF(B4274="","",IF(N4274=_xlfn.MINIFS($N$2:$N$5001,$B$2:$B$5001,B4274),1,0))</f>
        <v/>
      </c>
      <c r="K4274" s="16" t="str">
        <f aca="false">IF(B4274="","",IF(AND(D4274="Formalização",E4274="Concluído"),IF(COUNTIFS($B$2:$B$5001,B4274,$E$2:$E$5001,"Em ajustes",$N$2:$N$5001,"&lt;"&amp;I4274)&gt;0,1,0),0))</f>
        <v/>
      </c>
      <c r="L4274" s="16" t="str">
        <f aca="false">IF(B4274="","",IF(N4274=_xlfn.MAXIFS($N$2:$N$5001,$B$2:$B$5001,B4274,$I$2:$I$5001,I4274),1,0))</f>
        <v/>
      </c>
      <c r="M4274" s="16" t="str">
        <f aca="false">IF(B4274="","",IF(E4274="Em ajustes",IF(N4274=_xlfn.MINIFS($N$2:$N$5001,$B$2:$B$5001,B4274,$E$2:$E$5001,"Em ajustes"),1,0),0))</f>
        <v/>
      </c>
      <c r="N4274" s="17" t="str">
        <f aca="false">IF(A4274="","",IF(ISNUMBER(A4274),A4274,IFERROR(DATE(VALUE(MID(A4274,7,4)),VALUE(MID(A4274,4,2)),VALUE(MID(A4274,1,2)))+TIME(VALUE(MID(A4274,12,2)),VALUE(MID(A4274,15,2)),VALUE(MID(A4274,18,2))),"")))</f>
        <v/>
      </c>
    </row>
    <row r="4275" customFormat="false" ht="15" hidden="false" customHeight="false" outlineLevel="0" collapsed="false">
      <c r="I4275" s="15" t="str">
        <f aca="false">IF(N4275="","",INT(N4275))</f>
        <v/>
      </c>
      <c r="J4275" s="16" t="str">
        <f aca="false">IF(B4275="","",IF(N4275=_xlfn.MINIFS($N$2:$N$5001,$B$2:$B$5001,B4275),1,0))</f>
        <v/>
      </c>
      <c r="K4275" s="16" t="str">
        <f aca="false">IF(B4275="","",IF(AND(D4275="Formalização",E4275="Concluído"),IF(COUNTIFS($B$2:$B$5001,B4275,$E$2:$E$5001,"Em ajustes",$N$2:$N$5001,"&lt;"&amp;I4275)&gt;0,1,0),0))</f>
        <v/>
      </c>
      <c r="L4275" s="16" t="str">
        <f aca="false">IF(B4275="","",IF(N4275=_xlfn.MAXIFS($N$2:$N$5001,$B$2:$B$5001,B4275,$I$2:$I$5001,I4275),1,0))</f>
        <v/>
      </c>
      <c r="M4275" s="16" t="str">
        <f aca="false">IF(B4275="","",IF(E4275="Em ajustes",IF(N4275=_xlfn.MINIFS($N$2:$N$5001,$B$2:$B$5001,B4275,$E$2:$E$5001,"Em ajustes"),1,0),0))</f>
        <v/>
      </c>
      <c r="N4275" s="17" t="str">
        <f aca="false">IF(A4275="","",IF(ISNUMBER(A4275),A4275,IFERROR(DATE(VALUE(MID(A4275,7,4)),VALUE(MID(A4275,4,2)),VALUE(MID(A4275,1,2)))+TIME(VALUE(MID(A4275,12,2)),VALUE(MID(A4275,15,2)),VALUE(MID(A4275,18,2))),"")))</f>
        <v/>
      </c>
    </row>
    <row r="4276" customFormat="false" ht="15" hidden="false" customHeight="false" outlineLevel="0" collapsed="false">
      <c r="I4276" s="15" t="str">
        <f aca="false">IF(N4276="","",INT(N4276))</f>
        <v/>
      </c>
      <c r="J4276" s="16" t="str">
        <f aca="false">IF(B4276="","",IF(N4276=_xlfn.MINIFS($N$2:$N$5001,$B$2:$B$5001,B4276),1,0))</f>
        <v/>
      </c>
      <c r="K4276" s="16" t="str">
        <f aca="false">IF(B4276="","",IF(AND(D4276="Formalização",E4276="Concluído"),IF(COUNTIFS($B$2:$B$5001,B4276,$E$2:$E$5001,"Em ajustes",$N$2:$N$5001,"&lt;"&amp;I4276)&gt;0,1,0),0))</f>
        <v/>
      </c>
      <c r="L4276" s="16" t="str">
        <f aca="false">IF(B4276="","",IF(N4276=_xlfn.MAXIFS($N$2:$N$5001,$B$2:$B$5001,B4276,$I$2:$I$5001,I4276),1,0))</f>
        <v/>
      </c>
      <c r="M4276" s="16" t="str">
        <f aca="false">IF(B4276="","",IF(E4276="Em ajustes",IF(N4276=_xlfn.MINIFS($N$2:$N$5001,$B$2:$B$5001,B4276,$E$2:$E$5001,"Em ajustes"),1,0),0))</f>
        <v/>
      </c>
      <c r="N4276" s="17" t="str">
        <f aca="false">IF(A4276="","",IF(ISNUMBER(A4276),A4276,IFERROR(DATE(VALUE(MID(A4276,7,4)),VALUE(MID(A4276,4,2)),VALUE(MID(A4276,1,2)))+TIME(VALUE(MID(A4276,12,2)),VALUE(MID(A4276,15,2)),VALUE(MID(A4276,18,2))),"")))</f>
        <v/>
      </c>
    </row>
    <row r="4277" customFormat="false" ht="15" hidden="false" customHeight="false" outlineLevel="0" collapsed="false">
      <c r="I4277" s="15" t="str">
        <f aca="false">IF(N4277="","",INT(N4277))</f>
        <v/>
      </c>
      <c r="J4277" s="16" t="str">
        <f aca="false">IF(B4277="","",IF(N4277=_xlfn.MINIFS($N$2:$N$5001,$B$2:$B$5001,B4277),1,0))</f>
        <v/>
      </c>
      <c r="K4277" s="16" t="str">
        <f aca="false">IF(B4277="","",IF(AND(D4277="Formalização",E4277="Concluído"),IF(COUNTIFS($B$2:$B$5001,B4277,$E$2:$E$5001,"Em ajustes",$N$2:$N$5001,"&lt;"&amp;I4277)&gt;0,1,0),0))</f>
        <v/>
      </c>
      <c r="L4277" s="16" t="str">
        <f aca="false">IF(B4277="","",IF(N4277=_xlfn.MAXIFS($N$2:$N$5001,$B$2:$B$5001,B4277,$I$2:$I$5001,I4277),1,0))</f>
        <v/>
      </c>
      <c r="M4277" s="16" t="str">
        <f aca="false">IF(B4277="","",IF(E4277="Em ajustes",IF(N4277=_xlfn.MINIFS($N$2:$N$5001,$B$2:$B$5001,B4277,$E$2:$E$5001,"Em ajustes"),1,0),0))</f>
        <v/>
      </c>
      <c r="N4277" s="17" t="str">
        <f aca="false">IF(A4277="","",IF(ISNUMBER(A4277),A4277,IFERROR(DATE(VALUE(MID(A4277,7,4)),VALUE(MID(A4277,4,2)),VALUE(MID(A4277,1,2)))+TIME(VALUE(MID(A4277,12,2)),VALUE(MID(A4277,15,2)),VALUE(MID(A4277,18,2))),"")))</f>
        <v/>
      </c>
    </row>
    <row r="4278" customFormat="false" ht="15" hidden="false" customHeight="false" outlineLevel="0" collapsed="false">
      <c r="I4278" s="15" t="str">
        <f aca="false">IF(N4278="","",INT(N4278))</f>
        <v/>
      </c>
      <c r="J4278" s="16" t="str">
        <f aca="false">IF(B4278="","",IF(N4278=_xlfn.MINIFS($N$2:$N$5001,$B$2:$B$5001,B4278),1,0))</f>
        <v/>
      </c>
      <c r="K4278" s="16" t="str">
        <f aca="false">IF(B4278="","",IF(AND(D4278="Formalização",E4278="Concluído"),IF(COUNTIFS($B$2:$B$5001,B4278,$E$2:$E$5001,"Em ajustes",$N$2:$N$5001,"&lt;"&amp;I4278)&gt;0,1,0),0))</f>
        <v/>
      </c>
      <c r="L4278" s="16" t="str">
        <f aca="false">IF(B4278="","",IF(N4278=_xlfn.MAXIFS($N$2:$N$5001,$B$2:$B$5001,B4278,$I$2:$I$5001,I4278),1,0))</f>
        <v/>
      </c>
      <c r="M4278" s="16" t="str">
        <f aca="false">IF(B4278="","",IF(E4278="Em ajustes",IF(N4278=_xlfn.MINIFS($N$2:$N$5001,$B$2:$B$5001,B4278,$E$2:$E$5001,"Em ajustes"),1,0),0))</f>
        <v/>
      </c>
      <c r="N4278" s="17" t="str">
        <f aca="false">IF(A4278="","",IF(ISNUMBER(A4278),A4278,IFERROR(DATE(VALUE(MID(A4278,7,4)),VALUE(MID(A4278,4,2)),VALUE(MID(A4278,1,2)))+TIME(VALUE(MID(A4278,12,2)),VALUE(MID(A4278,15,2)),VALUE(MID(A4278,18,2))),"")))</f>
        <v/>
      </c>
    </row>
    <row r="4279" customFormat="false" ht="15" hidden="false" customHeight="false" outlineLevel="0" collapsed="false">
      <c r="I4279" s="15" t="str">
        <f aca="false">IF(N4279="","",INT(N4279))</f>
        <v/>
      </c>
      <c r="J4279" s="16" t="str">
        <f aca="false">IF(B4279="","",IF(N4279=_xlfn.MINIFS($N$2:$N$5001,$B$2:$B$5001,B4279),1,0))</f>
        <v/>
      </c>
      <c r="K4279" s="16" t="str">
        <f aca="false">IF(B4279="","",IF(AND(D4279="Formalização",E4279="Concluído"),IF(COUNTIFS($B$2:$B$5001,B4279,$E$2:$E$5001,"Em ajustes",$N$2:$N$5001,"&lt;"&amp;I4279)&gt;0,1,0),0))</f>
        <v/>
      </c>
      <c r="L4279" s="16" t="str">
        <f aca="false">IF(B4279="","",IF(N4279=_xlfn.MAXIFS($N$2:$N$5001,$B$2:$B$5001,B4279,$I$2:$I$5001,I4279),1,0))</f>
        <v/>
      </c>
      <c r="M4279" s="16" t="str">
        <f aca="false">IF(B4279="","",IF(E4279="Em ajustes",IF(N4279=_xlfn.MINIFS($N$2:$N$5001,$B$2:$B$5001,B4279,$E$2:$E$5001,"Em ajustes"),1,0),0))</f>
        <v/>
      </c>
      <c r="N4279" s="17" t="str">
        <f aca="false">IF(A4279="","",IF(ISNUMBER(A4279),A4279,IFERROR(DATE(VALUE(MID(A4279,7,4)),VALUE(MID(A4279,4,2)),VALUE(MID(A4279,1,2)))+TIME(VALUE(MID(A4279,12,2)),VALUE(MID(A4279,15,2)),VALUE(MID(A4279,18,2))),"")))</f>
        <v/>
      </c>
    </row>
    <row r="4280" customFormat="false" ht="15" hidden="false" customHeight="false" outlineLevel="0" collapsed="false">
      <c r="I4280" s="15" t="str">
        <f aca="false">IF(N4280="","",INT(N4280))</f>
        <v/>
      </c>
      <c r="J4280" s="16" t="str">
        <f aca="false">IF(B4280="","",IF(N4280=_xlfn.MINIFS($N$2:$N$5001,$B$2:$B$5001,B4280),1,0))</f>
        <v/>
      </c>
      <c r="K4280" s="16" t="str">
        <f aca="false">IF(B4280="","",IF(AND(D4280="Formalização",E4280="Concluído"),IF(COUNTIFS($B$2:$B$5001,B4280,$E$2:$E$5001,"Em ajustes",$N$2:$N$5001,"&lt;"&amp;I4280)&gt;0,1,0),0))</f>
        <v/>
      </c>
      <c r="L4280" s="16" t="str">
        <f aca="false">IF(B4280="","",IF(N4280=_xlfn.MAXIFS($N$2:$N$5001,$B$2:$B$5001,B4280,$I$2:$I$5001,I4280),1,0))</f>
        <v/>
      </c>
      <c r="M4280" s="16" t="str">
        <f aca="false">IF(B4280="","",IF(E4280="Em ajustes",IF(N4280=_xlfn.MINIFS($N$2:$N$5001,$B$2:$B$5001,B4280,$E$2:$E$5001,"Em ajustes"),1,0),0))</f>
        <v/>
      </c>
      <c r="N4280" s="17" t="str">
        <f aca="false">IF(A4280="","",IF(ISNUMBER(A4280),A4280,IFERROR(DATE(VALUE(MID(A4280,7,4)),VALUE(MID(A4280,4,2)),VALUE(MID(A4280,1,2)))+TIME(VALUE(MID(A4280,12,2)),VALUE(MID(A4280,15,2)),VALUE(MID(A4280,18,2))),"")))</f>
        <v/>
      </c>
    </row>
    <row r="4281" customFormat="false" ht="15" hidden="false" customHeight="false" outlineLevel="0" collapsed="false">
      <c r="I4281" s="15" t="str">
        <f aca="false">IF(N4281="","",INT(N4281))</f>
        <v/>
      </c>
      <c r="J4281" s="16" t="str">
        <f aca="false">IF(B4281="","",IF(N4281=_xlfn.MINIFS($N$2:$N$5001,$B$2:$B$5001,B4281),1,0))</f>
        <v/>
      </c>
      <c r="K4281" s="16" t="str">
        <f aca="false">IF(B4281="","",IF(AND(D4281="Formalização",E4281="Concluído"),IF(COUNTIFS($B$2:$B$5001,B4281,$E$2:$E$5001,"Em ajustes",$N$2:$N$5001,"&lt;"&amp;I4281)&gt;0,1,0),0))</f>
        <v/>
      </c>
      <c r="L4281" s="16" t="str">
        <f aca="false">IF(B4281="","",IF(N4281=_xlfn.MAXIFS($N$2:$N$5001,$B$2:$B$5001,B4281,$I$2:$I$5001,I4281),1,0))</f>
        <v/>
      </c>
      <c r="M4281" s="16" t="str">
        <f aca="false">IF(B4281="","",IF(E4281="Em ajustes",IF(N4281=_xlfn.MINIFS($N$2:$N$5001,$B$2:$B$5001,B4281,$E$2:$E$5001,"Em ajustes"),1,0),0))</f>
        <v/>
      </c>
      <c r="N4281" s="17" t="str">
        <f aca="false">IF(A4281="","",IF(ISNUMBER(A4281),A4281,IFERROR(DATE(VALUE(MID(A4281,7,4)),VALUE(MID(A4281,4,2)),VALUE(MID(A4281,1,2)))+TIME(VALUE(MID(A4281,12,2)),VALUE(MID(A4281,15,2)),VALUE(MID(A4281,18,2))),"")))</f>
        <v/>
      </c>
    </row>
    <row r="4282" customFormat="false" ht="15" hidden="false" customHeight="false" outlineLevel="0" collapsed="false">
      <c r="I4282" s="15" t="str">
        <f aca="false">IF(N4282="","",INT(N4282))</f>
        <v/>
      </c>
      <c r="J4282" s="16" t="str">
        <f aca="false">IF(B4282="","",IF(N4282=_xlfn.MINIFS($N$2:$N$5001,$B$2:$B$5001,B4282),1,0))</f>
        <v/>
      </c>
      <c r="K4282" s="16" t="str">
        <f aca="false">IF(B4282="","",IF(AND(D4282="Formalização",E4282="Concluído"),IF(COUNTIFS($B$2:$B$5001,B4282,$E$2:$E$5001,"Em ajustes",$N$2:$N$5001,"&lt;"&amp;I4282)&gt;0,1,0),0))</f>
        <v/>
      </c>
      <c r="L4282" s="16" t="str">
        <f aca="false">IF(B4282="","",IF(N4282=_xlfn.MAXIFS($N$2:$N$5001,$B$2:$B$5001,B4282,$I$2:$I$5001,I4282),1,0))</f>
        <v/>
      </c>
      <c r="M4282" s="16" t="str">
        <f aca="false">IF(B4282="","",IF(E4282="Em ajustes",IF(N4282=_xlfn.MINIFS($N$2:$N$5001,$B$2:$B$5001,B4282,$E$2:$E$5001,"Em ajustes"),1,0),0))</f>
        <v/>
      </c>
      <c r="N4282" s="17" t="str">
        <f aca="false">IF(A4282="","",IF(ISNUMBER(A4282),A4282,IFERROR(DATE(VALUE(MID(A4282,7,4)),VALUE(MID(A4282,4,2)),VALUE(MID(A4282,1,2)))+TIME(VALUE(MID(A4282,12,2)),VALUE(MID(A4282,15,2)),VALUE(MID(A4282,18,2))),"")))</f>
        <v/>
      </c>
    </row>
    <row r="4283" customFormat="false" ht="15" hidden="false" customHeight="false" outlineLevel="0" collapsed="false">
      <c r="I4283" s="15" t="str">
        <f aca="false">IF(N4283="","",INT(N4283))</f>
        <v/>
      </c>
      <c r="J4283" s="16" t="str">
        <f aca="false">IF(B4283="","",IF(N4283=_xlfn.MINIFS($N$2:$N$5001,$B$2:$B$5001,B4283),1,0))</f>
        <v/>
      </c>
      <c r="K4283" s="16" t="str">
        <f aca="false">IF(B4283="","",IF(AND(D4283="Formalização",E4283="Concluído"),IF(COUNTIFS($B$2:$B$5001,B4283,$E$2:$E$5001,"Em ajustes",$N$2:$N$5001,"&lt;"&amp;I4283)&gt;0,1,0),0))</f>
        <v/>
      </c>
      <c r="L4283" s="16" t="str">
        <f aca="false">IF(B4283="","",IF(N4283=_xlfn.MAXIFS($N$2:$N$5001,$B$2:$B$5001,B4283,$I$2:$I$5001,I4283),1,0))</f>
        <v/>
      </c>
      <c r="M4283" s="16" t="str">
        <f aca="false">IF(B4283="","",IF(E4283="Em ajustes",IF(N4283=_xlfn.MINIFS($N$2:$N$5001,$B$2:$B$5001,B4283,$E$2:$E$5001,"Em ajustes"),1,0),0))</f>
        <v/>
      </c>
      <c r="N4283" s="17" t="str">
        <f aca="false">IF(A4283="","",IF(ISNUMBER(A4283),A4283,IFERROR(DATE(VALUE(MID(A4283,7,4)),VALUE(MID(A4283,4,2)),VALUE(MID(A4283,1,2)))+TIME(VALUE(MID(A4283,12,2)),VALUE(MID(A4283,15,2)),VALUE(MID(A4283,18,2))),"")))</f>
        <v/>
      </c>
    </row>
    <row r="4284" customFormat="false" ht="15" hidden="false" customHeight="false" outlineLevel="0" collapsed="false">
      <c r="I4284" s="15" t="str">
        <f aca="false">IF(N4284="","",INT(N4284))</f>
        <v/>
      </c>
      <c r="J4284" s="16" t="str">
        <f aca="false">IF(B4284="","",IF(N4284=_xlfn.MINIFS($N$2:$N$5001,$B$2:$B$5001,B4284),1,0))</f>
        <v/>
      </c>
      <c r="K4284" s="16" t="str">
        <f aca="false">IF(B4284="","",IF(AND(D4284="Formalização",E4284="Concluído"),IF(COUNTIFS($B$2:$B$5001,B4284,$E$2:$E$5001,"Em ajustes",$N$2:$N$5001,"&lt;"&amp;I4284)&gt;0,1,0),0))</f>
        <v/>
      </c>
      <c r="L4284" s="16" t="str">
        <f aca="false">IF(B4284="","",IF(N4284=_xlfn.MAXIFS($N$2:$N$5001,$B$2:$B$5001,B4284,$I$2:$I$5001,I4284),1,0))</f>
        <v/>
      </c>
      <c r="M4284" s="16" t="str">
        <f aca="false">IF(B4284="","",IF(E4284="Em ajustes",IF(N4284=_xlfn.MINIFS($N$2:$N$5001,$B$2:$B$5001,B4284,$E$2:$E$5001,"Em ajustes"),1,0),0))</f>
        <v/>
      </c>
      <c r="N4284" s="17" t="str">
        <f aca="false">IF(A4284="","",IF(ISNUMBER(A4284),A4284,IFERROR(DATE(VALUE(MID(A4284,7,4)),VALUE(MID(A4284,4,2)),VALUE(MID(A4284,1,2)))+TIME(VALUE(MID(A4284,12,2)),VALUE(MID(A4284,15,2)),VALUE(MID(A4284,18,2))),"")))</f>
        <v/>
      </c>
    </row>
    <row r="4285" customFormat="false" ht="15" hidden="false" customHeight="false" outlineLevel="0" collapsed="false">
      <c r="I4285" s="15" t="str">
        <f aca="false">IF(N4285="","",INT(N4285))</f>
        <v/>
      </c>
      <c r="J4285" s="16" t="str">
        <f aca="false">IF(B4285="","",IF(N4285=_xlfn.MINIFS($N$2:$N$5001,$B$2:$B$5001,B4285),1,0))</f>
        <v/>
      </c>
      <c r="K4285" s="16" t="str">
        <f aca="false">IF(B4285="","",IF(AND(D4285="Formalização",E4285="Concluído"),IF(COUNTIFS($B$2:$B$5001,B4285,$E$2:$E$5001,"Em ajustes",$N$2:$N$5001,"&lt;"&amp;I4285)&gt;0,1,0),0))</f>
        <v/>
      </c>
      <c r="L4285" s="16" t="str">
        <f aca="false">IF(B4285="","",IF(N4285=_xlfn.MAXIFS($N$2:$N$5001,$B$2:$B$5001,B4285,$I$2:$I$5001,I4285),1,0))</f>
        <v/>
      </c>
      <c r="M4285" s="16" t="str">
        <f aca="false">IF(B4285="","",IF(E4285="Em ajustes",IF(N4285=_xlfn.MINIFS($N$2:$N$5001,$B$2:$B$5001,B4285,$E$2:$E$5001,"Em ajustes"),1,0),0))</f>
        <v/>
      </c>
      <c r="N4285" s="17" t="str">
        <f aca="false">IF(A4285="","",IF(ISNUMBER(A4285),A4285,IFERROR(DATE(VALUE(MID(A4285,7,4)),VALUE(MID(A4285,4,2)),VALUE(MID(A4285,1,2)))+TIME(VALUE(MID(A4285,12,2)),VALUE(MID(A4285,15,2)),VALUE(MID(A4285,18,2))),"")))</f>
        <v/>
      </c>
    </row>
    <row r="4286" customFormat="false" ht="15" hidden="false" customHeight="false" outlineLevel="0" collapsed="false">
      <c r="I4286" s="15" t="str">
        <f aca="false">IF(N4286="","",INT(N4286))</f>
        <v/>
      </c>
      <c r="J4286" s="16" t="str">
        <f aca="false">IF(B4286="","",IF(N4286=_xlfn.MINIFS($N$2:$N$5001,$B$2:$B$5001,B4286),1,0))</f>
        <v/>
      </c>
      <c r="K4286" s="16" t="str">
        <f aca="false">IF(B4286="","",IF(AND(D4286="Formalização",E4286="Concluído"),IF(COUNTIFS($B$2:$B$5001,B4286,$E$2:$E$5001,"Em ajustes",$N$2:$N$5001,"&lt;"&amp;I4286)&gt;0,1,0),0))</f>
        <v/>
      </c>
      <c r="L4286" s="16" t="str">
        <f aca="false">IF(B4286="","",IF(N4286=_xlfn.MAXIFS($N$2:$N$5001,$B$2:$B$5001,B4286,$I$2:$I$5001,I4286),1,0))</f>
        <v/>
      </c>
      <c r="M4286" s="16" t="str">
        <f aca="false">IF(B4286="","",IF(E4286="Em ajustes",IF(N4286=_xlfn.MINIFS($N$2:$N$5001,$B$2:$B$5001,B4286,$E$2:$E$5001,"Em ajustes"),1,0),0))</f>
        <v/>
      </c>
      <c r="N4286" s="17" t="str">
        <f aca="false">IF(A4286="","",IF(ISNUMBER(A4286),A4286,IFERROR(DATE(VALUE(MID(A4286,7,4)),VALUE(MID(A4286,4,2)),VALUE(MID(A4286,1,2)))+TIME(VALUE(MID(A4286,12,2)),VALUE(MID(A4286,15,2)),VALUE(MID(A4286,18,2))),"")))</f>
        <v/>
      </c>
    </row>
    <row r="4287" customFormat="false" ht="15" hidden="false" customHeight="false" outlineLevel="0" collapsed="false">
      <c r="I4287" s="15" t="str">
        <f aca="false">IF(N4287="","",INT(N4287))</f>
        <v/>
      </c>
      <c r="J4287" s="16" t="str">
        <f aca="false">IF(B4287="","",IF(N4287=_xlfn.MINIFS($N$2:$N$5001,$B$2:$B$5001,B4287),1,0))</f>
        <v/>
      </c>
      <c r="K4287" s="16" t="str">
        <f aca="false">IF(B4287="","",IF(AND(D4287="Formalização",E4287="Concluído"),IF(COUNTIFS($B$2:$B$5001,B4287,$E$2:$E$5001,"Em ajustes",$N$2:$N$5001,"&lt;"&amp;I4287)&gt;0,1,0),0))</f>
        <v/>
      </c>
      <c r="L4287" s="16" t="str">
        <f aca="false">IF(B4287="","",IF(N4287=_xlfn.MAXIFS($N$2:$N$5001,$B$2:$B$5001,B4287,$I$2:$I$5001,I4287),1,0))</f>
        <v/>
      </c>
      <c r="M4287" s="16" t="str">
        <f aca="false">IF(B4287="","",IF(E4287="Em ajustes",IF(N4287=_xlfn.MINIFS($N$2:$N$5001,$B$2:$B$5001,B4287,$E$2:$E$5001,"Em ajustes"),1,0),0))</f>
        <v/>
      </c>
      <c r="N4287" s="17" t="str">
        <f aca="false">IF(A4287="","",IF(ISNUMBER(A4287),A4287,IFERROR(DATE(VALUE(MID(A4287,7,4)),VALUE(MID(A4287,4,2)),VALUE(MID(A4287,1,2)))+TIME(VALUE(MID(A4287,12,2)),VALUE(MID(A4287,15,2)),VALUE(MID(A4287,18,2))),"")))</f>
        <v/>
      </c>
    </row>
    <row r="4288" customFormat="false" ht="15" hidden="false" customHeight="false" outlineLevel="0" collapsed="false">
      <c r="I4288" s="15" t="str">
        <f aca="false">IF(N4288="","",INT(N4288))</f>
        <v/>
      </c>
      <c r="J4288" s="16" t="str">
        <f aca="false">IF(B4288="","",IF(N4288=_xlfn.MINIFS($N$2:$N$5001,$B$2:$B$5001,B4288),1,0))</f>
        <v/>
      </c>
      <c r="K4288" s="16" t="str">
        <f aca="false">IF(B4288="","",IF(AND(D4288="Formalização",E4288="Concluído"),IF(COUNTIFS($B$2:$B$5001,B4288,$E$2:$E$5001,"Em ajustes",$N$2:$N$5001,"&lt;"&amp;I4288)&gt;0,1,0),0))</f>
        <v/>
      </c>
      <c r="L4288" s="16" t="str">
        <f aca="false">IF(B4288="","",IF(N4288=_xlfn.MAXIFS($N$2:$N$5001,$B$2:$B$5001,B4288,$I$2:$I$5001,I4288),1,0))</f>
        <v/>
      </c>
      <c r="M4288" s="16" t="str">
        <f aca="false">IF(B4288="","",IF(E4288="Em ajustes",IF(N4288=_xlfn.MINIFS($N$2:$N$5001,$B$2:$B$5001,B4288,$E$2:$E$5001,"Em ajustes"),1,0),0))</f>
        <v/>
      </c>
      <c r="N4288" s="17" t="str">
        <f aca="false">IF(A4288="","",IF(ISNUMBER(A4288),A4288,IFERROR(DATE(VALUE(MID(A4288,7,4)),VALUE(MID(A4288,4,2)),VALUE(MID(A4288,1,2)))+TIME(VALUE(MID(A4288,12,2)),VALUE(MID(A4288,15,2)),VALUE(MID(A4288,18,2))),"")))</f>
        <v/>
      </c>
    </row>
    <row r="4289" customFormat="false" ht="15" hidden="false" customHeight="false" outlineLevel="0" collapsed="false">
      <c r="I4289" s="15" t="str">
        <f aca="false">IF(N4289="","",INT(N4289))</f>
        <v/>
      </c>
      <c r="J4289" s="16" t="str">
        <f aca="false">IF(B4289="","",IF(N4289=_xlfn.MINIFS($N$2:$N$5001,$B$2:$B$5001,B4289),1,0))</f>
        <v/>
      </c>
      <c r="K4289" s="16" t="str">
        <f aca="false">IF(B4289="","",IF(AND(D4289="Formalização",E4289="Concluído"),IF(COUNTIFS($B$2:$B$5001,B4289,$E$2:$E$5001,"Em ajustes",$N$2:$N$5001,"&lt;"&amp;I4289)&gt;0,1,0),0))</f>
        <v/>
      </c>
      <c r="L4289" s="16" t="str">
        <f aca="false">IF(B4289="","",IF(N4289=_xlfn.MAXIFS($N$2:$N$5001,$B$2:$B$5001,B4289,$I$2:$I$5001,I4289),1,0))</f>
        <v/>
      </c>
      <c r="M4289" s="16" t="str">
        <f aca="false">IF(B4289="","",IF(E4289="Em ajustes",IF(N4289=_xlfn.MINIFS($N$2:$N$5001,$B$2:$B$5001,B4289,$E$2:$E$5001,"Em ajustes"),1,0),0))</f>
        <v/>
      </c>
      <c r="N4289" s="17" t="str">
        <f aca="false">IF(A4289="","",IF(ISNUMBER(A4289),A4289,IFERROR(DATE(VALUE(MID(A4289,7,4)),VALUE(MID(A4289,4,2)),VALUE(MID(A4289,1,2)))+TIME(VALUE(MID(A4289,12,2)),VALUE(MID(A4289,15,2)),VALUE(MID(A4289,18,2))),"")))</f>
        <v/>
      </c>
    </row>
    <row r="4290" customFormat="false" ht="15" hidden="false" customHeight="false" outlineLevel="0" collapsed="false">
      <c r="I4290" s="15" t="str">
        <f aca="false">IF(N4290="","",INT(N4290))</f>
        <v/>
      </c>
      <c r="J4290" s="16" t="str">
        <f aca="false">IF(B4290="","",IF(N4290=_xlfn.MINIFS($N$2:$N$5001,$B$2:$B$5001,B4290),1,0))</f>
        <v/>
      </c>
      <c r="K4290" s="16" t="str">
        <f aca="false">IF(B4290="","",IF(AND(D4290="Formalização",E4290="Concluído"),IF(COUNTIFS($B$2:$B$5001,B4290,$E$2:$E$5001,"Em ajustes",$N$2:$N$5001,"&lt;"&amp;I4290)&gt;0,1,0),0))</f>
        <v/>
      </c>
      <c r="L4290" s="16" t="str">
        <f aca="false">IF(B4290="","",IF(N4290=_xlfn.MAXIFS($N$2:$N$5001,$B$2:$B$5001,B4290,$I$2:$I$5001,I4290),1,0))</f>
        <v/>
      </c>
      <c r="M4290" s="16" t="str">
        <f aca="false">IF(B4290="","",IF(E4290="Em ajustes",IF(N4290=_xlfn.MINIFS($N$2:$N$5001,$B$2:$B$5001,B4290,$E$2:$E$5001,"Em ajustes"),1,0),0))</f>
        <v/>
      </c>
      <c r="N4290" s="17" t="str">
        <f aca="false">IF(A4290="","",IF(ISNUMBER(A4290),A4290,IFERROR(DATE(VALUE(MID(A4290,7,4)),VALUE(MID(A4290,4,2)),VALUE(MID(A4290,1,2)))+TIME(VALUE(MID(A4290,12,2)),VALUE(MID(A4290,15,2)),VALUE(MID(A4290,18,2))),"")))</f>
        <v/>
      </c>
    </row>
    <row r="4291" customFormat="false" ht="15" hidden="false" customHeight="false" outlineLevel="0" collapsed="false">
      <c r="I4291" s="15" t="str">
        <f aca="false">IF(N4291="","",INT(N4291))</f>
        <v/>
      </c>
      <c r="J4291" s="16" t="str">
        <f aca="false">IF(B4291="","",IF(N4291=_xlfn.MINIFS($N$2:$N$5001,$B$2:$B$5001,B4291),1,0))</f>
        <v/>
      </c>
      <c r="K4291" s="16" t="str">
        <f aca="false">IF(B4291="","",IF(AND(D4291="Formalização",E4291="Concluído"),IF(COUNTIFS($B$2:$B$5001,B4291,$E$2:$E$5001,"Em ajustes",$N$2:$N$5001,"&lt;"&amp;I4291)&gt;0,1,0),0))</f>
        <v/>
      </c>
      <c r="L4291" s="16" t="str">
        <f aca="false">IF(B4291="","",IF(N4291=_xlfn.MAXIFS($N$2:$N$5001,$B$2:$B$5001,B4291,$I$2:$I$5001,I4291),1,0))</f>
        <v/>
      </c>
      <c r="M4291" s="16" t="str">
        <f aca="false">IF(B4291="","",IF(E4291="Em ajustes",IF(N4291=_xlfn.MINIFS($N$2:$N$5001,$B$2:$B$5001,B4291,$E$2:$E$5001,"Em ajustes"),1,0),0))</f>
        <v/>
      </c>
      <c r="N4291" s="17" t="str">
        <f aca="false">IF(A4291="","",IF(ISNUMBER(A4291),A4291,IFERROR(DATE(VALUE(MID(A4291,7,4)),VALUE(MID(A4291,4,2)),VALUE(MID(A4291,1,2)))+TIME(VALUE(MID(A4291,12,2)),VALUE(MID(A4291,15,2)),VALUE(MID(A4291,18,2))),"")))</f>
        <v/>
      </c>
    </row>
    <row r="4292" customFormat="false" ht="15" hidden="false" customHeight="false" outlineLevel="0" collapsed="false">
      <c r="I4292" s="15" t="str">
        <f aca="false">IF(N4292="","",INT(N4292))</f>
        <v/>
      </c>
      <c r="J4292" s="16" t="str">
        <f aca="false">IF(B4292="","",IF(N4292=_xlfn.MINIFS($N$2:$N$5001,$B$2:$B$5001,B4292),1,0))</f>
        <v/>
      </c>
      <c r="K4292" s="16" t="str">
        <f aca="false">IF(B4292="","",IF(AND(D4292="Formalização",E4292="Concluído"),IF(COUNTIFS($B$2:$B$5001,B4292,$E$2:$E$5001,"Em ajustes",$N$2:$N$5001,"&lt;"&amp;I4292)&gt;0,1,0),0))</f>
        <v/>
      </c>
      <c r="L4292" s="16" t="str">
        <f aca="false">IF(B4292="","",IF(N4292=_xlfn.MAXIFS($N$2:$N$5001,$B$2:$B$5001,B4292,$I$2:$I$5001,I4292),1,0))</f>
        <v/>
      </c>
      <c r="M4292" s="16" t="str">
        <f aca="false">IF(B4292="","",IF(E4292="Em ajustes",IF(N4292=_xlfn.MINIFS($N$2:$N$5001,$B$2:$B$5001,B4292,$E$2:$E$5001,"Em ajustes"),1,0),0))</f>
        <v/>
      </c>
      <c r="N4292" s="17" t="str">
        <f aca="false">IF(A4292="","",IF(ISNUMBER(A4292),A4292,IFERROR(DATE(VALUE(MID(A4292,7,4)),VALUE(MID(A4292,4,2)),VALUE(MID(A4292,1,2)))+TIME(VALUE(MID(A4292,12,2)),VALUE(MID(A4292,15,2)),VALUE(MID(A4292,18,2))),"")))</f>
        <v/>
      </c>
    </row>
    <row r="4293" customFormat="false" ht="15" hidden="false" customHeight="false" outlineLevel="0" collapsed="false">
      <c r="I4293" s="15" t="str">
        <f aca="false">IF(N4293="","",INT(N4293))</f>
        <v/>
      </c>
      <c r="J4293" s="16" t="str">
        <f aca="false">IF(B4293="","",IF(N4293=_xlfn.MINIFS($N$2:$N$5001,$B$2:$B$5001,B4293),1,0))</f>
        <v/>
      </c>
      <c r="K4293" s="16" t="str">
        <f aca="false">IF(B4293="","",IF(AND(D4293="Formalização",E4293="Concluído"),IF(COUNTIFS($B$2:$B$5001,B4293,$E$2:$E$5001,"Em ajustes",$N$2:$N$5001,"&lt;"&amp;I4293)&gt;0,1,0),0))</f>
        <v/>
      </c>
      <c r="L4293" s="16" t="str">
        <f aca="false">IF(B4293="","",IF(N4293=_xlfn.MAXIFS($N$2:$N$5001,$B$2:$B$5001,B4293,$I$2:$I$5001,I4293),1,0))</f>
        <v/>
      </c>
      <c r="M4293" s="16" t="str">
        <f aca="false">IF(B4293="","",IF(E4293="Em ajustes",IF(N4293=_xlfn.MINIFS($N$2:$N$5001,$B$2:$B$5001,B4293,$E$2:$E$5001,"Em ajustes"),1,0),0))</f>
        <v/>
      </c>
      <c r="N4293" s="17" t="str">
        <f aca="false">IF(A4293="","",IF(ISNUMBER(A4293),A4293,IFERROR(DATE(VALUE(MID(A4293,7,4)),VALUE(MID(A4293,4,2)),VALUE(MID(A4293,1,2)))+TIME(VALUE(MID(A4293,12,2)),VALUE(MID(A4293,15,2)),VALUE(MID(A4293,18,2))),"")))</f>
        <v/>
      </c>
    </row>
    <row r="4294" customFormat="false" ht="15" hidden="false" customHeight="false" outlineLevel="0" collapsed="false">
      <c r="I4294" s="15" t="str">
        <f aca="false">IF(N4294="","",INT(N4294))</f>
        <v/>
      </c>
      <c r="J4294" s="16" t="str">
        <f aca="false">IF(B4294="","",IF(N4294=_xlfn.MINIFS($N$2:$N$5001,$B$2:$B$5001,B4294),1,0))</f>
        <v/>
      </c>
      <c r="K4294" s="16" t="str">
        <f aca="false">IF(B4294="","",IF(AND(D4294="Formalização",E4294="Concluído"),IF(COUNTIFS($B$2:$B$5001,B4294,$E$2:$E$5001,"Em ajustes",$N$2:$N$5001,"&lt;"&amp;I4294)&gt;0,1,0),0))</f>
        <v/>
      </c>
      <c r="L4294" s="16" t="str">
        <f aca="false">IF(B4294="","",IF(N4294=_xlfn.MAXIFS($N$2:$N$5001,$B$2:$B$5001,B4294,$I$2:$I$5001,I4294),1,0))</f>
        <v/>
      </c>
      <c r="M4294" s="16" t="str">
        <f aca="false">IF(B4294="","",IF(E4294="Em ajustes",IF(N4294=_xlfn.MINIFS($N$2:$N$5001,$B$2:$B$5001,B4294,$E$2:$E$5001,"Em ajustes"),1,0),0))</f>
        <v/>
      </c>
      <c r="N4294" s="17" t="str">
        <f aca="false">IF(A4294="","",IF(ISNUMBER(A4294),A4294,IFERROR(DATE(VALUE(MID(A4294,7,4)),VALUE(MID(A4294,4,2)),VALUE(MID(A4294,1,2)))+TIME(VALUE(MID(A4294,12,2)),VALUE(MID(A4294,15,2)),VALUE(MID(A4294,18,2))),"")))</f>
        <v/>
      </c>
    </row>
    <row r="4295" customFormat="false" ht="15" hidden="false" customHeight="false" outlineLevel="0" collapsed="false">
      <c r="I4295" s="15" t="str">
        <f aca="false">IF(N4295="","",INT(N4295))</f>
        <v/>
      </c>
      <c r="J4295" s="16" t="str">
        <f aca="false">IF(B4295="","",IF(N4295=_xlfn.MINIFS($N$2:$N$5001,$B$2:$B$5001,B4295),1,0))</f>
        <v/>
      </c>
      <c r="K4295" s="16" t="str">
        <f aca="false">IF(B4295="","",IF(AND(D4295="Formalização",E4295="Concluído"),IF(COUNTIFS($B$2:$B$5001,B4295,$E$2:$E$5001,"Em ajustes",$N$2:$N$5001,"&lt;"&amp;I4295)&gt;0,1,0),0))</f>
        <v/>
      </c>
      <c r="L4295" s="16" t="str">
        <f aca="false">IF(B4295="","",IF(N4295=_xlfn.MAXIFS($N$2:$N$5001,$B$2:$B$5001,B4295,$I$2:$I$5001,I4295),1,0))</f>
        <v/>
      </c>
      <c r="M4295" s="16" t="str">
        <f aca="false">IF(B4295="","",IF(E4295="Em ajustes",IF(N4295=_xlfn.MINIFS($N$2:$N$5001,$B$2:$B$5001,B4295,$E$2:$E$5001,"Em ajustes"),1,0),0))</f>
        <v/>
      </c>
      <c r="N4295" s="17" t="str">
        <f aca="false">IF(A4295="","",IF(ISNUMBER(A4295),A4295,IFERROR(DATE(VALUE(MID(A4295,7,4)),VALUE(MID(A4295,4,2)),VALUE(MID(A4295,1,2)))+TIME(VALUE(MID(A4295,12,2)),VALUE(MID(A4295,15,2)),VALUE(MID(A4295,18,2))),"")))</f>
        <v/>
      </c>
    </row>
    <row r="4296" customFormat="false" ht="15" hidden="false" customHeight="false" outlineLevel="0" collapsed="false">
      <c r="I4296" s="15" t="str">
        <f aca="false">IF(N4296="","",INT(N4296))</f>
        <v/>
      </c>
      <c r="J4296" s="16" t="str">
        <f aca="false">IF(B4296="","",IF(N4296=_xlfn.MINIFS($N$2:$N$5001,$B$2:$B$5001,B4296),1,0))</f>
        <v/>
      </c>
      <c r="K4296" s="16" t="str">
        <f aca="false">IF(B4296="","",IF(AND(D4296="Formalização",E4296="Concluído"),IF(COUNTIFS($B$2:$B$5001,B4296,$E$2:$E$5001,"Em ajustes",$N$2:$N$5001,"&lt;"&amp;I4296)&gt;0,1,0),0))</f>
        <v/>
      </c>
      <c r="L4296" s="16" t="str">
        <f aca="false">IF(B4296="","",IF(N4296=_xlfn.MAXIFS($N$2:$N$5001,$B$2:$B$5001,B4296,$I$2:$I$5001,I4296),1,0))</f>
        <v/>
      </c>
      <c r="M4296" s="16" t="str">
        <f aca="false">IF(B4296="","",IF(E4296="Em ajustes",IF(N4296=_xlfn.MINIFS($N$2:$N$5001,$B$2:$B$5001,B4296,$E$2:$E$5001,"Em ajustes"),1,0),0))</f>
        <v/>
      </c>
      <c r="N4296" s="17" t="str">
        <f aca="false">IF(A4296="","",IF(ISNUMBER(A4296),A4296,IFERROR(DATE(VALUE(MID(A4296,7,4)),VALUE(MID(A4296,4,2)),VALUE(MID(A4296,1,2)))+TIME(VALUE(MID(A4296,12,2)),VALUE(MID(A4296,15,2)),VALUE(MID(A4296,18,2))),"")))</f>
        <v/>
      </c>
    </row>
    <row r="4297" customFormat="false" ht="15" hidden="false" customHeight="false" outlineLevel="0" collapsed="false">
      <c r="I4297" s="15" t="str">
        <f aca="false">IF(N4297="","",INT(N4297))</f>
        <v/>
      </c>
      <c r="J4297" s="16" t="str">
        <f aca="false">IF(B4297="","",IF(N4297=_xlfn.MINIFS($N$2:$N$5001,$B$2:$B$5001,B4297),1,0))</f>
        <v/>
      </c>
      <c r="K4297" s="16" t="str">
        <f aca="false">IF(B4297="","",IF(AND(D4297="Formalização",E4297="Concluído"),IF(COUNTIFS($B$2:$B$5001,B4297,$E$2:$E$5001,"Em ajustes",$N$2:$N$5001,"&lt;"&amp;I4297)&gt;0,1,0),0))</f>
        <v/>
      </c>
      <c r="L4297" s="16" t="str">
        <f aca="false">IF(B4297="","",IF(N4297=_xlfn.MAXIFS($N$2:$N$5001,$B$2:$B$5001,B4297,$I$2:$I$5001,I4297),1,0))</f>
        <v/>
      </c>
      <c r="M4297" s="16" t="str">
        <f aca="false">IF(B4297="","",IF(E4297="Em ajustes",IF(N4297=_xlfn.MINIFS($N$2:$N$5001,$B$2:$B$5001,B4297,$E$2:$E$5001,"Em ajustes"),1,0),0))</f>
        <v/>
      </c>
      <c r="N4297" s="17" t="str">
        <f aca="false">IF(A4297="","",IF(ISNUMBER(A4297),A4297,IFERROR(DATE(VALUE(MID(A4297,7,4)),VALUE(MID(A4297,4,2)),VALUE(MID(A4297,1,2)))+TIME(VALUE(MID(A4297,12,2)),VALUE(MID(A4297,15,2)),VALUE(MID(A4297,18,2))),"")))</f>
        <v/>
      </c>
    </row>
    <row r="4298" customFormat="false" ht="15" hidden="false" customHeight="false" outlineLevel="0" collapsed="false">
      <c r="I4298" s="15" t="str">
        <f aca="false">IF(N4298="","",INT(N4298))</f>
        <v/>
      </c>
      <c r="J4298" s="16" t="str">
        <f aca="false">IF(B4298="","",IF(N4298=_xlfn.MINIFS($N$2:$N$5001,$B$2:$B$5001,B4298),1,0))</f>
        <v/>
      </c>
      <c r="K4298" s="16" t="str">
        <f aca="false">IF(B4298="","",IF(AND(D4298="Formalização",E4298="Concluído"),IF(COUNTIFS($B$2:$B$5001,B4298,$E$2:$E$5001,"Em ajustes",$N$2:$N$5001,"&lt;"&amp;I4298)&gt;0,1,0),0))</f>
        <v/>
      </c>
      <c r="L4298" s="16" t="str">
        <f aca="false">IF(B4298="","",IF(N4298=_xlfn.MAXIFS($N$2:$N$5001,$B$2:$B$5001,B4298,$I$2:$I$5001,I4298),1,0))</f>
        <v/>
      </c>
      <c r="M4298" s="16" t="str">
        <f aca="false">IF(B4298="","",IF(E4298="Em ajustes",IF(N4298=_xlfn.MINIFS($N$2:$N$5001,$B$2:$B$5001,B4298,$E$2:$E$5001,"Em ajustes"),1,0),0))</f>
        <v/>
      </c>
      <c r="N4298" s="17" t="str">
        <f aca="false">IF(A4298="","",IF(ISNUMBER(A4298),A4298,IFERROR(DATE(VALUE(MID(A4298,7,4)),VALUE(MID(A4298,4,2)),VALUE(MID(A4298,1,2)))+TIME(VALUE(MID(A4298,12,2)),VALUE(MID(A4298,15,2)),VALUE(MID(A4298,18,2))),"")))</f>
        <v/>
      </c>
    </row>
    <row r="4299" customFormat="false" ht="15" hidden="false" customHeight="false" outlineLevel="0" collapsed="false">
      <c r="I4299" s="15" t="str">
        <f aca="false">IF(N4299="","",INT(N4299))</f>
        <v/>
      </c>
      <c r="J4299" s="16" t="str">
        <f aca="false">IF(B4299="","",IF(N4299=_xlfn.MINIFS($N$2:$N$5001,$B$2:$B$5001,B4299),1,0))</f>
        <v/>
      </c>
      <c r="K4299" s="16" t="str">
        <f aca="false">IF(B4299="","",IF(AND(D4299="Formalização",E4299="Concluído"),IF(COUNTIFS($B$2:$B$5001,B4299,$E$2:$E$5001,"Em ajustes",$N$2:$N$5001,"&lt;"&amp;I4299)&gt;0,1,0),0))</f>
        <v/>
      </c>
      <c r="L4299" s="16" t="str">
        <f aca="false">IF(B4299="","",IF(N4299=_xlfn.MAXIFS($N$2:$N$5001,$B$2:$B$5001,B4299,$I$2:$I$5001,I4299),1,0))</f>
        <v/>
      </c>
      <c r="M4299" s="16" t="str">
        <f aca="false">IF(B4299="","",IF(E4299="Em ajustes",IF(N4299=_xlfn.MINIFS($N$2:$N$5001,$B$2:$B$5001,B4299,$E$2:$E$5001,"Em ajustes"),1,0),0))</f>
        <v/>
      </c>
      <c r="N4299" s="17" t="str">
        <f aca="false">IF(A4299="","",IF(ISNUMBER(A4299),A4299,IFERROR(DATE(VALUE(MID(A4299,7,4)),VALUE(MID(A4299,4,2)),VALUE(MID(A4299,1,2)))+TIME(VALUE(MID(A4299,12,2)),VALUE(MID(A4299,15,2)),VALUE(MID(A4299,18,2))),"")))</f>
        <v/>
      </c>
    </row>
    <row r="4300" customFormat="false" ht="15" hidden="false" customHeight="false" outlineLevel="0" collapsed="false">
      <c r="I4300" s="15" t="str">
        <f aca="false">IF(N4300="","",INT(N4300))</f>
        <v/>
      </c>
      <c r="J4300" s="16" t="str">
        <f aca="false">IF(B4300="","",IF(N4300=_xlfn.MINIFS($N$2:$N$5001,$B$2:$B$5001,B4300),1,0))</f>
        <v/>
      </c>
      <c r="K4300" s="16" t="str">
        <f aca="false">IF(B4300="","",IF(AND(D4300="Formalização",E4300="Concluído"),IF(COUNTIFS($B$2:$B$5001,B4300,$E$2:$E$5001,"Em ajustes",$N$2:$N$5001,"&lt;"&amp;I4300)&gt;0,1,0),0))</f>
        <v/>
      </c>
      <c r="L4300" s="16" t="str">
        <f aca="false">IF(B4300="","",IF(N4300=_xlfn.MAXIFS($N$2:$N$5001,$B$2:$B$5001,B4300,$I$2:$I$5001,I4300),1,0))</f>
        <v/>
      </c>
      <c r="M4300" s="16" t="str">
        <f aca="false">IF(B4300="","",IF(E4300="Em ajustes",IF(N4300=_xlfn.MINIFS($N$2:$N$5001,$B$2:$B$5001,B4300,$E$2:$E$5001,"Em ajustes"),1,0),0))</f>
        <v/>
      </c>
      <c r="N4300" s="17" t="str">
        <f aca="false">IF(A4300="","",IF(ISNUMBER(A4300),A4300,IFERROR(DATE(VALUE(MID(A4300,7,4)),VALUE(MID(A4300,4,2)),VALUE(MID(A4300,1,2)))+TIME(VALUE(MID(A4300,12,2)),VALUE(MID(A4300,15,2)),VALUE(MID(A4300,18,2))),"")))</f>
        <v/>
      </c>
    </row>
    <row r="4301" customFormat="false" ht="15" hidden="false" customHeight="false" outlineLevel="0" collapsed="false">
      <c r="I4301" s="15" t="str">
        <f aca="false">IF(N4301="","",INT(N4301))</f>
        <v/>
      </c>
      <c r="J4301" s="16" t="str">
        <f aca="false">IF(B4301="","",IF(N4301=_xlfn.MINIFS($N$2:$N$5001,$B$2:$B$5001,B4301),1,0))</f>
        <v/>
      </c>
      <c r="K4301" s="16" t="str">
        <f aca="false">IF(B4301="","",IF(AND(D4301="Formalização",E4301="Concluído"),IF(COUNTIFS($B$2:$B$5001,B4301,$E$2:$E$5001,"Em ajustes",$N$2:$N$5001,"&lt;"&amp;I4301)&gt;0,1,0),0))</f>
        <v/>
      </c>
      <c r="L4301" s="16" t="str">
        <f aca="false">IF(B4301="","",IF(N4301=_xlfn.MAXIFS($N$2:$N$5001,$B$2:$B$5001,B4301,$I$2:$I$5001,I4301),1,0))</f>
        <v/>
      </c>
      <c r="M4301" s="16" t="str">
        <f aca="false">IF(B4301="","",IF(E4301="Em ajustes",IF(N4301=_xlfn.MINIFS($N$2:$N$5001,$B$2:$B$5001,B4301,$E$2:$E$5001,"Em ajustes"),1,0),0))</f>
        <v/>
      </c>
      <c r="N4301" s="17" t="str">
        <f aca="false">IF(A4301="","",IF(ISNUMBER(A4301),A4301,IFERROR(DATE(VALUE(MID(A4301,7,4)),VALUE(MID(A4301,4,2)),VALUE(MID(A4301,1,2)))+TIME(VALUE(MID(A4301,12,2)),VALUE(MID(A4301,15,2)),VALUE(MID(A4301,18,2))),"")))</f>
        <v/>
      </c>
    </row>
    <row r="4302" customFormat="false" ht="15" hidden="false" customHeight="false" outlineLevel="0" collapsed="false">
      <c r="I4302" s="15" t="str">
        <f aca="false">IF(N4302="","",INT(N4302))</f>
        <v/>
      </c>
      <c r="J4302" s="16" t="str">
        <f aca="false">IF(B4302="","",IF(N4302=_xlfn.MINIFS($N$2:$N$5001,$B$2:$B$5001,B4302),1,0))</f>
        <v/>
      </c>
      <c r="K4302" s="16" t="str">
        <f aca="false">IF(B4302="","",IF(AND(D4302="Formalização",E4302="Concluído"),IF(COUNTIFS($B$2:$B$5001,B4302,$E$2:$E$5001,"Em ajustes",$N$2:$N$5001,"&lt;"&amp;I4302)&gt;0,1,0),0))</f>
        <v/>
      </c>
      <c r="L4302" s="16" t="str">
        <f aca="false">IF(B4302="","",IF(N4302=_xlfn.MAXIFS($N$2:$N$5001,$B$2:$B$5001,B4302,$I$2:$I$5001,I4302),1,0))</f>
        <v/>
      </c>
      <c r="M4302" s="16" t="str">
        <f aca="false">IF(B4302="","",IF(E4302="Em ajustes",IF(N4302=_xlfn.MINIFS($N$2:$N$5001,$B$2:$B$5001,B4302,$E$2:$E$5001,"Em ajustes"),1,0),0))</f>
        <v/>
      </c>
      <c r="N4302" s="17" t="str">
        <f aca="false">IF(A4302="","",IF(ISNUMBER(A4302),A4302,IFERROR(DATE(VALUE(MID(A4302,7,4)),VALUE(MID(A4302,4,2)),VALUE(MID(A4302,1,2)))+TIME(VALUE(MID(A4302,12,2)),VALUE(MID(A4302,15,2)),VALUE(MID(A4302,18,2))),"")))</f>
        <v/>
      </c>
    </row>
    <row r="4303" customFormat="false" ht="15" hidden="false" customHeight="false" outlineLevel="0" collapsed="false">
      <c r="I4303" s="15" t="str">
        <f aca="false">IF(N4303="","",INT(N4303))</f>
        <v/>
      </c>
      <c r="J4303" s="16" t="str">
        <f aca="false">IF(B4303="","",IF(N4303=_xlfn.MINIFS($N$2:$N$5001,$B$2:$B$5001,B4303),1,0))</f>
        <v/>
      </c>
      <c r="K4303" s="16" t="str">
        <f aca="false">IF(B4303="","",IF(AND(D4303="Formalização",E4303="Concluído"),IF(COUNTIFS($B$2:$B$5001,B4303,$E$2:$E$5001,"Em ajustes",$N$2:$N$5001,"&lt;"&amp;I4303)&gt;0,1,0),0))</f>
        <v/>
      </c>
      <c r="L4303" s="16" t="str">
        <f aca="false">IF(B4303="","",IF(N4303=_xlfn.MAXIFS($N$2:$N$5001,$B$2:$B$5001,B4303,$I$2:$I$5001,I4303),1,0))</f>
        <v/>
      </c>
      <c r="M4303" s="16" t="str">
        <f aca="false">IF(B4303="","",IF(E4303="Em ajustes",IF(N4303=_xlfn.MINIFS($N$2:$N$5001,$B$2:$B$5001,B4303,$E$2:$E$5001,"Em ajustes"),1,0),0))</f>
        <v/>
      </c>
      <c r="N4303" s="17" t="str">
        <f aca="false">IF(A4303="","",IF(ISNUMBER(A4303),A4303,IFERROR(DATE(VALUE(MID(A4303,7,4)),VALUE(MID(A4303,4,2)),VALUE(MID(A4303,1,2)))+TIME(VALUE(MID(A4303,12,2)),VALUE(MID(A4303,15,2)),VALUE(MID(A4303,18,2))),"")))</f>
        <v/>
      </c>
    </row>
    <row r="4304" customFormat="false" ht="15" hidden="false" customHeight="false" outlineLevel="0" collapsed="false">
      <c r="I4304" s="15" t="str">
        <f aca="false">IF(N4304="","",INT(N4304))</f>
        <v/>
      </c>
      <c r="J4304" s="16" t="str">
        <f aca="false">IF(B4304="","",IF(N4304=_xlfn.MINIFS($N$2:$N$5001,$B$2:$B$5001,B4304),1,0))</f>
        <v/>
      </c>
      <c r="K4304" s="16" t="str">
        <f aca="false">IF(B4304="","",IF(AND(D4304="Formalização",E4304="Concluído"),IF(COUNTIFS($B$2:$B$5001,B4304,$E$2:$E$5001,"Em ajustes",$N$2:$N$5001,"&lt;"&amp;I4304)&gt;0,1,0),0))</f>
        <v/>
      </c>
      <c r="L4304" s="16" t="str">
        <f aca="false">IF(B4304="","",IF(N4304=_xlfn.MAXIFS($N$2:$N$5001,$B$2:$B$5001,B4304,$I$2:$I$5001,I4304),1,0))</f>
        <v/>
      </c>
      <c r="M4304" s="16" t="str">
        <f aca="false">IF(B4304="","",IF(E4304="Em ajustes",IF(N4304=_xlfn.MINIFS($N$2:$N$5001,$B$2:$B$5001,B4304,$E$2:$E$5001,"Em ajustes"),1,0),0))</f>
        <v/>
      </c>
      <c r="N4304" s="17" t="str">
        <f aca="false">IF(A4304="","",IF(ISNUMBER(A4304),A4304,IFERROR(DATE(VALUE(MID(A4304,7,4)),VALUE(MID(A4304,4,2)),VALUE(MID(A4304,1,2)))+TIME(VALUE(MID(A4304,12,2)),VALUE(MID(A4304,15,2)),VALUE(MID(A4304,18,2))),"")))</f>
        <v/>
      </c>
    </row>
    <row r="4305" customFormat="false" ht="15" hidden="false" customHeight="false" outlineLevel="0" collapsed="false">
      <c r="I4305" s="15" t="str">
        <f aca="false">IF(N4305="","",INT(N4305))</f>
        <v/>
      </c>
      <c r="J4305" s="16" t="str">
        <f aca="false">IF(B4305="","",IF(N4305=_xlfn.MINIFS($N$2:$N$5001,$B$2:$B$5001,B4305),1,0))</f>
        <v/>
      </c>
      <c r="K4305" s="16" t="str">
        <f aca="false">IF(B4305="","",IF(AND(D4305="Formalização",E4305="Concluído"),IF(COUNTIFS($B$2:$B$5001,B4305,$E$2:$E$5001,"Em ajustes",$N$2:$N$5001,"&lt;"&amp;I4305)&gt;0,1,0),0))</f>
        <v/>
      </c>
      <c r="L4305" s="16" t="str">
        <f aca="false">IF(B4305="","",IF(N4305=_xlfn.MAXIFS($N$2:$N$5001,$B$2:$B$5001,B4305,$I$2:$I$5001,I4305),1,0))</f>
        <v/>
      </c>
      <c r="M4305" s="16" t="str">
        <f aca="false">IF(B4305="","",IF(E4305="Em ajustes",IF(N4305=_xlfn.MINIFS($N$2:$N$5001,$B$2:$B$5001,B4305,$E$2:$E$5001,"Em ajustes"),1,0),0))</f>
        <v/>
      </c>
      <c r="N4305" s="17" t="str">
        <f aca="false">IF(A4305="","",IF(ISNUMBER(A4305),A4305,IFERROR(DATE(VALUE(MID(A4305,7,4)),VALUE(MID(A4305,4,2)),VALUE(MID(A4305,1,2)))+TIME(VALUE(MID(A4305,12,2)),VALUE(MID(A4305,15,2)),VALUE(MID(A4305,18,2))),"")))</f>
        <v/>
      </c>
    </row>
    <row r="4306" customFormat="false" ht="15" hidden="false" customHeight="false" outlineLevel="0" collapsed="false">
      <c r="I4306" s="15" t="str">
        <f aca="false">IF(N4306="","",INT(N4306))</f>
        <v/>
      </c>
      <c r="J4306" s="16" t="str">
        <f aca="false">IF(B4306="","",IF(N4306=_xlfn.MINIFS($N$2:$N$5001,$B$2:$B$5001,B4306),1,0))</f>
        <v/>
      </c>
      <c r="K4306" s="16" t="str">
        <f aca="false">IF(B4306="","",IF(AND(D4306="Formalização",E4306="Concluído"),IF(COUNTIFS($B$2:$B$5001,B4306,$E$2:$E$5001,"Em ajustes",$N$2:$N$5001,"&lt;"&amp;I4306)&gt;0,1,0),0))</f>
        <v/>
      </c>
      <c r="L4306" s="16" t="str">
        <f aca="false">IF(B4306="","",IF(N4306=_xlfn.MAXIFS($N$2:$N$5001,$B$2:$B$5001,B4306,$I$2:$I$5001,I4306),1,0))</f>
        <v/>
      </c>
      <c r="M4306" s="16" t="str">
        <f aca="false">IF(B4306="","",IF(E4306="Em ajustes",IF(N4306=_xlfn.MINIFS($N$2:$N$5001,$B$2:$B$5001,B4306,$E$2:$E$5001,"Em ajustes"),1,0),0))</f>
        <v/>
      </c>
      <c r="N4306" s="17" t="str">
        <f aca="false">IF(A4306="","",IF(ISNUMBER(A4306),A4306,IFERROR(DATE(VALUE(MID(A4306,7,4)),VALUE(MID(A4306,4,2)),VALUE(MID(A4306,1,2)))+TIME(VALUE(MID(A4306,12,2)),VALUE(MID(A4306,15,2)),VALUE(MID(A4306,18,2))),"")))</f>
        <v/>
      </c>
    </row>
    <row r="4307" customFormat="false" ht="15" hidden="false" customHeight="false" outlineLevel="0" collapsed="false">
      <c r="I4307" s="15" t="str">
        <f aca="false">IF(N4307="","",INT(N4307))</f>
        <v/>
      </c>
      <c r="J4307" s="16" t="str">
        <f aca="false">IF(B4307="","",IF(N4307=_xlfn.MINIFS($N$2:$N$5001,$B$2:$B$5001,B4307),1,0))</f>
        <v/>
      </c>
      <c r="K4307" s="16" t="str">
        <f aca="false">IF(B4307="","",IF(AND(D4307="Formalização",E4307="Concluído"),IF(COUNTIFS($B$2:$B$5001,B4307,$E$2:$E$5001,"Em ajustes",$N$2:$N$5001,"&lt;"&amp;I4307)&gt;0,1,0),0))</f>
        <v/>
      </c>
      <c r="L4307" s="16" t="str">
        <f aca="false">IF(B4307="","",IF(N4307=_xlfn.MAXIFS($N$2:$N$5001,$B$2:$B$5001,B4307,$I$2:$I$5001,I4307),1,0))</f>
        <v/>
      </c>
      <c r="M4307" s="16" t="str">
        <f aca="false">IF(B4307="","",IF(E4307="Em ajustes",IF(N4307=_xlfn.MINIFS($N$2:$N$5001,$B$2:$B$5001,B4307,$E$2:$E$5001,"Em ajustes"),1,0),0))</f>
        <v/>
      </c>
      <c r="N4307" s="17" t="str">
        <f aca="false">IF(A4307="","",IF(ISNUMBER(A4307),A4307,IFERROR(DATE(VALUE(MID(A4307,7,4)),VALUE(MID(A4307,4,2)),VALUE(MID(A4307,1,2)))+TIME(VALUE(MID(A4307,12,2)),VALUE(MID(A4307,15,2)),VALUE(MID(A4307,18,2))),"")))</f>
        <v/>
      </c>
    </row>
    <row r="4308" customFormat="false" ht="15" hidden="false" customHeight="false" outlineLevel="0" collapsed="false">
      <c r="I4308" s="15" t="str">
        <f aca="false">IF(N4308="","",INT(N4308))</f>
        <v/>
      </c>
      <c r="J4308" s="16" t="str">
        <f aca="false">IF(B4308="","",IF(N4308=_xlfn.MINIFS($N$2:$N$5001,$B$2:$B$5001,B4308),1,0))</f>
        <v/>
      </c>
      <c r="K4308" s="16" t="str">
        <f aca="false">IF(B4308="","",IF(AND(D4308="Formalização",E4308="Concluído"),IF(COUNTIFS($B$2:$B$5001,B4308,$E$2:$E$5001,"Em ajustes",$N$2:$N$5001,"&lt;"&amp;I4308)&gt;0,1,0),0))</f>
        <v/>
      </c>
      <c r="L4308" s="16" t="str">
        <f aca="false">IF(B4308="","",IF(N4308=_xlfn.MAXIFS($N$2:$N$5001,$B$2:$B$5001,B4308,$I$2:$I$5001,I4308),1,0))</f>
        <v/>
      </c>
      <c r="M4308" s="16" t="str">
        <f aca="false">IF(B4308="","",IF(E4308="Em ajustes",IF(N4308=_xlfn.MINIFS($N$2:$N$5001,$B$2:$B$5001,B4308,$E$2:$E$5001,"Em ajustes"),1,0),0))</f>
        <v/>
      </c>
      <c r="N4308" s="17" t="str">
        <f aca="false">IF(A4308="","",IF(ISNUMBER(A4308),A4308,IFERROR(DATE(VALUE(MID(A4308,7,4)),VALUE(MID(A4308,4,2)),VALUE(MID(A4308,1,2)))+TIME(VALUE(MID(A4308,12,2)),VALUE(MID(A4308,15,2)),VALUE(MID(A4308,18,2))),"")))</f>
        <v/>
      </c>
    </row>
    <row r="4309" customFormat="false" ht="15" hidden="false" customHeight="false" outlineLevel="0" collapsed="false">
      <c r="I4309" s="15" t="str">
        <f aca="false">IF(N4309="","",INT(N4309))</f>
        <v/>
      </c>
      <c r="J4309" s="16" t="str">
        <f aca="false">IF(B4309="","",IF(N4309=_xlfn.MINIFS($N$2:$N$5001,$B$2:$B$5001,B4309),1,0))</f>
        <v/>
      </c>
      <c r="K4309" s="16" t="str">
        <f aca="false">IF(B4309="","",IF(AND(D4309="Formalização",E4309="Concluído"),IF(COUNTIFS($B$2:$B$5001,B4309,$E$2:$E$5001,"Em ajustes",$N$2:$N$5001,"&lt;"&amp;I4309)&gt;0,1,0),0))</f>
        <v/>
      </c>
      <c r="L4309" s="16" t="str">
        <f aca="false">IF(B4309="","",IF(N4309=_xlfn.MAXIFS($N$2:$N$5001,$B$2:$B$5001,B4309,$I$2:$I$5001,I4309),1,0))</f>
        <v/>
      </c>
      <c r="M4309" s="16" t="str">
        <f aca="false">IF(B4309="","",IF(E4309="Em ajustes",IF(N4309=_xlfn.MINIFS($N$2:$N$5001,$B$2:$B$5001,B4309,$E$2:$E$5001,"Em ajustes"),1,0),0))</f>
        <v/>
      </c>
      <c r="N4309" s="17" t="str">
        <f aca="false">IF(A4309="","",IF(ISNUMBER(A4309),A4309,IFERROR(DATE(VALUE(MID(A4309,7,4)),VALUE(MID(A4309,4,2)),VALUE(MID(A4309,1,2)))+TIME(VALUE(MID(A4309,12,2)),VALUE(MID(A4309,15,2)),VALUE(MID(A4309,18,2))),"")))</f>
        <v/>
      </c>
    </row>
    <row r="4310" customFormat="false" ht="15" hidden="false" customHeight="false" outlineLevel="0" collapsed="false">
      <c r="I4310" s="15" t="str">
        <f aca="false">IF(N4310="","",INT(N4310))</f>
        <v/>
      </c>
      <c r="J4310" s="16" t="str">
        <f aca="false">IF(B4310="","",IF(N4310=_xlfn.MINIFS($N$2:$N$5001,$B$2:$B$5001,B4310),1,0))</f>
        <v/>
      </c>
      <c r="K4310" s="16" t="str">
        <f aca="false">IF(B4310="","",IF(AND(D4310="Formalização",E4310="Concluído"),IF(COUNTIFS($B$2:$B$5001,B4310,$E$2:$E$5001,"Em ajustes",$N$2:$N$5001,"&lt;"&amp;I4310)&gt;0,1,0),0))</f>
        <v/>
      </c>
      <c r="L4310" s="16" t="str">
        <f aca="false">IF(B4310="","",IF(N4310=_xlfn.MAXIFS($N$2:$N$5001,$B$2:$B$5001,B4310,$I$2:$I$5001,I4310),1,0))</f>
        <v/>
      </c>
      <c r="M4310" s="16" t="str">
        <f aca="false">IF(B4310="","",IF(E4310="Em ajustes",IF(N4310=_xlfn.MINIFS($N$2:$N$5001,$B$2:$B$5001,B4310,$E$2:$E$5001,"Em ajustes"),1,0),0))</f>
        <v/>
      </c>
      <c r="N4310" s="17" t="str">
        <f aca="false">IF(A4310="","",IF(ISNUMBER(A4310),A4310,IFERROR(DATE(VALUE(MID(A4310,7,4)),VALUE(MID(A4310,4,2)),VALUE(MID(A4310,1,2)))+TIME(VALUE(MID(A4310,12,2)),VALUE(MID(A4310,15,2)),VALUE(MID(A4310,18,2))),"")))</f>
        <v/>
      </c>
    </row>
    <row r="4311" customFormat="false" ht="15" hidden="false" customHeight="false" outlineLevel="0" collapsed="false">
      <c r="I4311" s="15" t="str">
        <f aca="false">IF(N4311="","",INT(N4311))</f>
        <v/>
      </c>
      <c r="J4311" s="16" t="str">
        <f aca="false">IF(B4311="","",IF(N4311=_xlfn.MINIFS($N$2:$N$5001,$B$2:$B$5001,B4311),1,0))</f>
        <v/>
      </c>
      <c r="K4311" s="16" t="str">
        <f aca="false">IF(B4311="","",IF(AND(D4311="Formalização",E4311="Concluído"),IF(COUNTIFS($B$2:$B$5001,B4311,$E$2:$E$5001,"Em ajustes",$N$2:$N$5001,"&lt;"&amp;I4311)&gt;0,1,0),0))</f>
        <v/>
      </c>
      <c r="L4311" s="16" t="str">
        <f aca="false">IF(B4311="","",IF(N4311=_xlfn.MAXIFS($N$2:$N$5001,$B$2:$B$5001,B4311,$I$2:$I$5001,I4311),1,0))</f>
        <v/>
      </c>
      <c r="M4311" s="16" t="str">
        <f aca="false">IF(B4311="","",IF(E4311="Em ajustes",IF(N4311=_xlfn.MINIFS($N$2:$N$5001,$B$2:$B$5001,B4311,$E$2:$E$5001,"Em ajustes"),1,0),0))</f>
        <v/>
      </c>
      <c r="N4311" s="17" t="str">
        <f aca="false">IF(A4311="","",IF(ISNUMBER(A4311),A4311,IFERROR(DATE(VALUE(MID(A4311,7,4)),VALUE(MID(A4311,4,2)),VALUE(MID(A4311,1,2)))+TIME(VALUE(MID(A4311,12,2)),VALUE(MID(A4311,15,2)),VALUE(MID(A4311,18,2))),"")))</f>
        <v/>
      </c>
    </row>
    <row r="4312" customFormat="false" ht="15" hidden="false" customHeight="false" outlineLevel="0" collapsed="false">
      <c r="I4312" s="15" t="str">
        <f aca="false">IF(N4312="","",INT(N4312))</f>
        <v/>
      </c>
      <c r="J4312" s="16" t="str">
        <f aca="false">IF(B4312="","",IF(N4312=_xlfn.MINIFS($N$2:$N$5001,$B$2:$B$5001,B4312),1,0))</f>
        <v/>
      </c>
      <c r="K4312" s="16" t="str">
        <f aca="false">IF(B4312="","",IF(AND(D4312="Formalização",E4312="Concluído"),IF(COUNTIFS($B$2:$B$5001,B4312,$E$2:$E$5001,"Em ajustes",$N$2:$N$5001,"&lt;"&amp;I4312)&gt;0,1,0),0))</f>
        <v/>
      </c>
      <c r="L4312" s="16" t="str">
        <f aca="false">IF(B4312="","",IF(N4312=_xlfn.MAXIFS($N$2:$N$5001,$B$2:$B$5001,B4312,$I$2:$I$5001,I4312),1,0))</f>
        <v/>
      </c>
      <c r="M4312" s="16" t="str">
        <f aca="false">IF(B4312="","",IF(E4312="Em ajustes",IF(N4312=_xlfn.MINIFS($N$2:$N$5001,$B$2:$B$5001,B4312,$E$2:$E$5001,"Em ajustes"),1,0),0))</f>
        <v/>
      </c>
      <c r="N4312" s="17" t="str">
        <f aca="false">IF(A4312="","",IF(ISNUMBER(A4312),A4312,IFERROR(DATE(VALUE(MID(A4312,7,4)),VALUE(MID(A4312,4,2)),VALUE(MID(A4312,1,2)))+TIME(VALUE(MID(A4312,12,2)),VALUE(MID(A4312,15,2)),VALUE(MID(A4312,18,2))),"")))</f>
        <v/>
      </c>
    </row>
    <row r="4313" customFormat="false" ht="15" hidden="false" customHeight="false" outlineLevel="0" collapsed="false">
      <c r="I4313" s="15" t="str">
        <f aca="false">IF(N4313="","",INT(N4313))</f>
        <v/>
      </c>
      <c r="J4313" s="16" t="str">
        <f aca="false">IF(B4313="","",IF(N4313=_xlfn.MINIFS($N$2:$N$5001,$B$2:$B$5001,B4313),1,0))</f>
        <v/>
      </c>
      <c r="K4313" s="16" t="str">
        <f aca="false">IF(B4313="","",IF(AND(D4313="Formalização",E4313="Concluído"),IF(COUNTIFS($B$2:$B$5001,B4313,$E$2:$E$5001,"Em ajustes",$N$2:$N$5001,"&lt;"&amp;I4313)&gt;0,1,0),0))</f>
        <v/>
      </c>
      <c r="L4313" s="16" t="str">
        <f aca="false">IF(B4313="","",IF(N4313=_xlfn.MAXIFS($N$2:$N$5001,$B$2:$B$5001,B4313,$I$2:$I$5001,I4313),1,0))</f>
        <v/>
      </c>
      <c r="M4313" s="16" t="str">
        <f aca="false">IF(B4313="","",IF(E4313="Em ajustes",IF(N4313=_xlfn.MINIFS($N$2:$N$5001,$B$2:$B$5001,B4313,$E$2:$E$5001,"Em ajustes"),1,0),0))</f>
        <v/>
      </c>
      <c r="N4313" s="17" t="str">
        <f aca="false">IF(A4313="","",IF(ISNUMBER(A4313),A4313,IFERROR(DATE(VALUE(MID(A4313,7,4)),VALUE(MID(A4313,4,2)),VALUE(MID(A4313,1,2)))+TIME(VALUE(MID(A4313,12,2)),VALUE(MID(A4313,15,2)),VALUE(MID(A4313,18,2))),"")))</f>
        <v/>
      </c>
    </row>
    <row r="4314" customFormat="false" ht="15" hidden="false" customHeight="false" outlineLevel="0" collapsed="false">
      <c r="I4314" s="15" t="str">
        <f aca="false">IF(N4314="","",INT(N4314))</f>
        <v/>
      </c>
      <c r="J4314" s="16" t="str">
        <f aca="false">IF(B4314="","",IF(N4314=_xlfn.MINIFS($N$2:$N$5001,$B$2:$B$5001,B4314),1,0))</f>
        <v/>
      </c>
      <c r="K4314" s="16" t="str">
        <f aca="false">IF(B4314="","",IF(AND(D4314="Formalização",E4314="Concluído"),IF(COUNTIFS($B$2:$B$5001,B4314,$E$2:$E$5001,"Em ajustes",$N$2:$N$5001,"&lt;"&amp;I4314)&gt;0,1,0),0))</f>
        <v/>
      </c>
      <c r="L4314" s="16" t="str">
        <f aca="false">IF(B4314="","",IF(N4314=_xlfn.MAXIFS($N$2:$N$5001,$B$2:$B$5001,B4314,$I$2:$I$5001,I4314),1,0))</f>
        <v/>
      </c>
      <c r="M4314" s="16" t="str">
        <f aca="false">IF(B4314="","",IF(E4314="Em ajustes",IF(N4314=_xlfn.MINIFS($N$2:$N$5001,$B$2:$B$5001,B4314,$E$2:$E$5001,"Em ajustes"),1,0),0))</f>
        <v/>
      </c>
      <c r="N4314" s="17" t="str">
        <f aca="false">IF(A4314="","",IF(ISNUMBER(A4314),A4314,IFERROR(DATE(VALUE(MID(A4314,7,4)),VALUE(MID(A4314,4,2)),VALUE(MID(A4314,1,2)))+TIME(VALUE(MID(A4314,12,2)),VALUE(MID(A4314,15,2)),VALUE(MID(A4314,18,2))),"")))</f>
        <v/>
      </c>
    </row>
    <row r="4315" customFormat="false" ht="15" hidden="false" customHeight="false" outlineLevel="0" collapsed="false">
      <c r="I4315" s="15" t="str">
        <f aca="false">IF(N4315="","",INT(N4315))</f>
        <v/>
      </c>
      <c r="J4315" s="16" t="str">
        <f aca="false">IF(B4315="","",IF(N4315=_xlfn.MINIFS($N$2:$N$5001,$B$2:$B$5001,B4315),1,0))</f>
        <v/>
      </c>
      <c r="K4315" s="16" t="str">
        <f aca="false">IF(B4315="","",IF(AND(D4315="Formalização",E4315="Concluído"),IF(COUNTIFS($B$2:$B$5001,B4315,$E$2:$E$5001,"Em ajustes",$N$2:$N$5001,"&lt;"&amp;I4315)&gt;0,1,0),0))</f>
        <v/>
      </c>
      <c r="L4315" s="16" t="str">
        <f aca="false">IF(B4315="","",IF(N4315=_xlfn.MAXIFS($N$2:$N$5001,$B$2:$B$5001,B4315,$I$2:$I$5001,I4315),1,0))</f>
        <v/>
      </c>
      <c r="M4315" s="16" t="str">
        <f aca="false">IF(B4315="","",IF(E4315="Em ajustes",IF(N4315=_xlfn.MINIFS($N$2:$N$5001,$B$2:$B$5001,B4315,$E$2:$E$5001,"Em ajustes"),1,0),0))</f>
        <v/>
      </c>
      <c r="N4315" s="17" t="str">
        <f aca="false">IF(A4315="","",IF(ISNUMBER(A4315),A4315,IFERROR(DATE(VALUE(MID(A4315,7,4)),VALUE(MID(A4315,4,2)),VALUE(MID(A4315,1,2)))+TIME(VALUE(MID(A4315,12,2)),VALUE(MID(A4315,15,2)),VALUE(MID(A4315,18,2))),"")))</f>
        <v/>
      </c>
    </row>
    <row r="4316" customFormat="false" ht="15" hidden="false" customHeight="false" outlineLevel="0" collapsed="false">
      <c r="I4316" s="15" t="str">
        <f aca="false">IF(N4316="","",INT(N4316))</f>
        <v/>
      </c>
      <c r="J4316" s="16" t="str">
        <f aca="false">IF(B4316="","",IF(N4316=_xlfn.MINIFS($N$2:$N$5001,$B$2:$B$5001,B4316),1,0))</f>
        <v/>
      </c>
      <c r="K4316" s="16" t="str">
        <f aca="false">IF(B4316="","",IF(AND(D4316="Formalização",E4316="Concluído"),IF(COUNTIFS($B$2:$B$5001,B4316,$E$2:$E$5001,"Em ajustes",$N$2:$N$5001,"&lt;"&amp;I4316)&gt;0,1,0),0))</f>
        <v/>
      </c>
      <c r="L4316" s="16" t="str">
        <f aca="false">IF(B4316="","",IF(N4316=_xlfn.MAXIFS($N$2:$N$5001,$B$2:$B$5001,B4316,$I$2:$I$5001,I4316),1,0))</f>
        <v/>
      </c>
      <c r="M4316" s="16" t="str">
        <f aca="false">IF(B4316="","",IF(E4316="Em ajustes",IF(N4316=_xlfn.MINIFS($N$2:$N$5001,$B$2:$B$5001,B4316,$E$2:$E$5001,"Em ajustes"),1,0),0))</f>
        <v/>
      </c>
      <c r="N4316" s="17" t="str">
        <f aca="false">IF(A4316="","",IF(ISNUMBER(A4316),A4316,IFERROR(DATE(VALUE(MID(A4316,7,4)),VALUE(MID(A4316,4,2)),VALUE(MID(A4316,1,2)))+TIME(VALUE(MID(A4316,12,2)),VALUE(MID(A4316,15,2)),VALUE(MID(A4316,18,2))),"")))</f>
        <v/>
      </c>
    </row>
    <row r="4317" customFormat="false" ht="15" hidden="false" customHeight="false" outlineLevel="0" collapsed="false">
      <c r="I4317" s="15" t="str">
        <f aca="false">IF(N4317="","",INT(N4317))</f>
        <v/>
      </c>
      <c r="J4317" s="16" t="str">
        <f aca="false">IF(B4317="","",IF(N4317=_xlfn.MINIFS($N$2:$N$5001,$B$2:$B$5001,B4317),1,0))</f>
        <v/>
      </c>
      <c r="K4317" s="16" t="str">
        <f aca="false">IF(B4317="","",IF(AND(D4317="Formalização",E4317="Concluído"),IF(COUNTIFS($B$2:$B$5001,B4317,$E$2:$E$5001,"Em ajustes",$N$2:$N$5001,"&lt;"&amp;I4317)&gt;0,1,0),0))</f>
        <v/>
      </c>
      <c r="L4317" s="16" t="str">
        <f aca="false">IF(B4317="","",IF(N4317=_xlfn.MAXIFS($N$2:$N$5001,$B$2:$B$5001,B4317,$I$2:$I$5001,I4317),1,0))</f>
        <v/>
      </c>
      <c r="M4317" s="16" t="str">
        <f aca="false">IF(B4317="","",IF(E4317="Em ajustes",IF(N4317=_xlfn.MINIFS($N$2:$N$5001,$B$2:$B$5001,B4317,$E$2:$E$5001,"Em ajustes"),1,0),0))</f>
        <v/>
      </c>
      <c r="N4317" s="17" t="str">
        <f aca="false">IF(A4317="","",IF(ISNUMBER(A4317),A4317,IFERROR(DATE(VALUE(MID(A4317,7,4)),VALUE(MID(A4317,4,2)),VALUE(MID(A4317,1,2)))+TIME(VALUE(MID(A4317,12,2)),VALUE(MID(A4317,15,2)),VALUE(MID(A4317,18,2))),"")))</f>
        <v/>
      </c>
    </row>
    <row r="4318" customFormat="false" ht="15" hidden="false" customHeight="false" outlineLevel="0" collapsed="false">
      <c r="I4318" s="15" t="str">
        <f aca="false">IF(N4318="","",INT(N4318))</f>
        <v/>
      </c>
      <c r="J4318" s="16" t="str">
        <f aca="false">IF(B4318="","",IF(N4318=_xlfn.MINIFS($N$2:$N$5001,$B$2:$B$5001,B4318),1,0))</f>
        <v/>
      </c>
      <c r="K4318" s="16" t="str">
        <f aca="false">IF(B4318="","",IF(AND(D4318="Formalização",E4318="Concluído"),IF(COUNTIFS($B$2:$B$5001,B4318,$E$2:$E$5001,"Em ajustes",$N$2:$N$5001,"&lt;"&amp;I4318)&gt;0,1,0),0))</f>
        <v/>
      </c>
      <c r="L4318" s="16" t="str">
        <f aca="false">IF(B4318="","",IF(N4318=_xlfn.MAXIFS($N$2:$N$5001,$B$2:$B$5001,B4318,$I$2:$I$5001,I4318),1,0))</f>
        <v/>
      </c>
      <c r="M4318" s="16" t="str">
        <f aca="false">IF(B4318="","",IF(E4318="Em ajustes",IF(N4318=_xlfn.MINIFS($N$2:$N$5001,$B$2:$B$5001,B4318,$E$2:$E$5001,"Em ajustes"),1,0),0))</f>
        <v/>
      </c>
      <c r="N4318" s="17" t="str">
        <f aca="false">IF(A4318="","",IF(ISNUMBER(A4318),A4318,IFERROR(DATE(VALUE(MID(A4318,7,4)),VALUE(MID(A4318,4,2)),VALUE(MID(A4318,1,2)))+TIME(VALUE(MID(A4318,12,2)),VALUE(MID(A4318,15,2)),VALUE(MID(A4318,18,2))),"")))</f>
        <v/>
      </c>
    </row>
    <row r="4319" customFormat="false" ht="15" hidden="false" customHeight="false" outlineLevel="0" collapsed="false">
      <c r="I4319" s="15" t="str">
        <f aca="false">IF(N4319="","",INT(N4319))</f>
        <v/>
      </c>
      <c r="J4319" s="16" t="str">
        <f aca="false">IF(B4319="","",IF(N4319=_xlfn.MINIFS($N$2:$N$5001,$B$2:$B$5001,B4319),1,0))</f>
        <v/>
      </c>
      <c r="K4319" s="16" t="str">
        <f aca="false">IF(B4319="","",IF(AND(D4319="Formalização",E4319="Concluído"),IF(COUNTIFS($B$2:$B$5001,B4319,$E$2:$E$5001,"Em ajustes",$N$2:$N$5001,"&lt;"&amp;I4319)&gt;0,1,0),0))</f>
        <v/>
      </c>
      <c r="L4319" s="16" t="str">
        <f aca="false">IF(B4319="","",IF(N4319=_xlfn.MAXIFS($N$2:$N$5001,$B$2:$B$5001,B4319,$I$2:$I$5001,I4319),1,0))</f>
        <v/>
      </c>
      <c r="M4319" s="16" t="str">
        <f aca="false">IF(B4319="","",IF(E4319="Em ajustes",IF(N4319=_xlfn.MINIFS($N$2:$N$5001,$B$2:$B$5001,B4319,$E$2:$E$5001,"Em ajustes"),1,0),0))</f>
        <v/>
      </c>
      <c r="N4319" s="17" t="str">
        <f aca="false">IF(A4319="","",IF(ISNUMBER(A4319),A4319,IFERROR(DATE(VALUE(MID(A4319,7,4)),VALUE(MID(A4319,4,2)),VALUE(MID(A4319,1,2)))+TIME(VALUE(MID(A4319,12,2)),VALUE(MID(A4319,15,2)),VALUE(MID(A4319,18,2))),"")))</f>
        <v/>
      </c>
    </row>
    <row r="4320" customFormat="false" ht="15" hidden="false" customHeight="false" outlineLevel="0" collapsed="false">
      <c r="I4320" s="15" t="str">
        <f aca="false">IF(N4320="","",INT(N4320))</f>
        <v/>
      </c>
      <c r="J4320" s="16" t="str">
        <f aca="false">IF(B4320="","",IF(N4320=_xlfn.MINIFS($N$2:$N$5001,$B$2:$B$5001,B4320),1,0))</f>
        <v/>
      </c>
      <c r="K4320" s="16" t="str">
        <f aca="false">IF(B4320="","",IF(AND(D4320="Formalização",E4320="Concluído"),IF(COUNTIFS($B$2:$B$5001,B4320,$E$2:$E$5001,"Em ajustes",$N$2:$N$5001,"&lt;"&amp;I4320)&gt;0,1,0),0))</f>
        <v/>
      </c>
      <c r="L4320" s="16" t="str">
        <f aca="false">IF(B4320="","",IF(N4320=_xlfn.MAXIFS($N$2:$N$5001,$B$2:$B$5001,B4320,$I$2:$I$5001,I4320),1,0))</f>
        <v/>
      </c>
      <c r="M4320" s="16" t="str">
        <f aca="false">IF(B4320="","",IF(E4320="Em ajustes",IF(N4320=_xlfn.MINIFS($N$2:$N$5001,$B$2:$B$5001,B4320,$E$2:$E$5001,"Em ajustes"),1,0),0))</f>
        <v/>
      </c>
      <c r="N4320" s="17" t="str">
        <f aca="false">IF(A4320="","",IF(ISNUMBER(A4320),A4320,IFERROR(DATE(VALUE(MID(A4320,7,4)),VALUE(MID(A4320,4,2)),VALUE(MID(A4320,1,2)))+TIME(VALUE(MID(A4320,12,2)),VALUE(MID(A4320,15,2)),VALUE(MID(A4320,18,2))),"")))</f>
        <v/>
      </c>
    </row>
    <row r="4321" customFormat="false" ht="15" hidden="false" customHeight="false" outlineLevel="0" collapsed="false">
      <c r="I4321" s="15" t="str">
        <f aca="false">IF(N4321="","",INT(N4321))</f>
        <v/>
      </c>
      <c r="J4321" s="16" t="str">
        <f aca="false">IF(B4321="","",IF(N4321=_xlfn.MINIFS($N$2:$N$5001,$B$2:$B$5001,B4321),1,0))</f>
        <v/>
      </c>
      <c r="K4321" s="16" t="str">
        <f aca="false">IF(B4321="","",IF(AND(D4321="Formalização",E4321="Concluído"),IF(COUNTIFS($B$2:$B$5001,B4321,$E$2:$E$5001,"Em ajustes",$N$2:$N$5001,"&lt;"&amp;I4321)&gt;0,1,0),0))</f>
        <v/>
      </c>
      <c r="L4321" s="16" t="str">
        <f aca="false">IF(B4321="","",IF(N4321=_xlfn.MAXIFS($N$2:$N$5001,$B$2:$B$5001,B4321,$I$2:$I$5001,I4321),1,0))</f>
        <v/>
      </c>
      <c r="M4321" s="16" t="str">
        <f aca="false">IF(B4321="","",IF(E4321="Em ajustes",IF(N4321=_xlfn.MINIFS($N$2:$N$5001,$B$2:$B$5001,B4321,$E$2:$E$5001,"Em ajustes"),1,0),0))</f>
        <v/>
      </c>
      <c r="N4321" s="17" t="str">
        <f aca="false">IF(A4321="","",IF(ISNUMBER(A4321),A4321,IFERROR(DATE(VALUE(MID(A4321,7,4)),VALUE(MID(A4321,4,2)),VALUE(MID(A4321,1,2)))+TIME(VALUE(MID(A4321,12,2)),VALUE(MID(A4321,15,2)),VALUE(MID(A4321,18,2))),"")))</f>
        <v/>
      </c>
    </row>
    <row r="4322" customFormat="false" ht="15" hidden="false" customHeight="false" outlineLevel="0" collapsed="false">
      <c r="I4322" s="15" t="str">
        <f aca="false">IF(N4322="","",INT(N4322))</f>
        <v/>
      </c>
      <c r="J4322" s="16" t="str">
        <f aca="false">IF(B4322="","",IF(N4322=_xlfn.MINIFS($N$2:$N$5001,$B$2:$B$5001,B4322),1,0))</f>
        <v/>
      </c>
      <c r="K4322" s="16" t="str">
        <f aca="false">IF(B4322="","",IF(AND(D4322="Formalização",E4322="Concluído"),IF(COUNTIFS($B$2:$B$5001,B4322,$E$2:$E$5001,"Em ajustes",$N$2:$N$5001,"&lt;"&amp;I4322)&gt;0,1,0),0))</f>
        <v/>
      </c>
      <c r="L4322" s="16" t="str">
        <f aca="false">IF(B4322="","",IF(N4322=_xlfn.MAXIFS($N$2:$N$5001,$B$2:$B$5001,B4322,$I$2:$I$5001,I4322),1,0))</f>
        <v/>
      </c>
      <c r="M4322" s="16" t="str">
        <f aca="false">IF(B4322="","",IF(E4322="Em ajustes",IF(N4322=_xlfn.MINIFS($N$2:$N$5001,$B$2:$B$5001,B4322,$E$2:$E$5001,"Em ajustes"),1,0),0))</f>
        <v/>
      </c>
      <c r="N4322" s="17" t="str">
        <f aca="false">IF(A4322="","",IF(ISNUMBER(A4322),A4322,IFERROR(DATE(VALUE(MID(A4322,7,4)),VALUE(MID(A4322,4,2)),VALUE(MID(A4322,1,2)))+TIME(VALUE(MID(A4322,12,2)),VALUE(MID(A4322,15,2)),VALUE(MID(A4322,18,2))),"")))</f>
        <v/>
      </c>
    </row>
    <row r="4323" customFormat="false" ht="15" hidden="false" customHeight="false" outlineLevel="0" collapsed="false">
      <c r="I4323" s="15" t="str">
        <f aca="false">IF(N4323="","",INT(N4323))</f>
        <v/>
      </c>
      <c r="J4323" s="16" t="str">
        <f aca="false">IF(B4323="","",IF(N4323=_xlfn.MINIFS($N$2:$N$5001,$B$2:$B$5001,B4323),1,0))</f>
        <v/>
      </c>
      <c r="K4323" s="16" t="str">
        <f aca="false">IF(B4323="","",IF(AND(D4323="Formalização",E4323="Concluído"),IF(COUNTIFS($B$2:$B$5001,B4323,$E$2:$E$5001,"Em ajustes",$N$2:$N$5001,"&lt;"&amp;I4323)&gt;0,1,0),0))</f>
        <v/>
      </c>
      <c r="L4323" s="16" t="str">
        <f aca="false">IF(B4323="","",IF(N4323=_xlfn.MAXIFS($N$2:$N$5001,$B$2:$B$5001,B4323,$I$2:$I$5001,I4323),1,0))</f>
        <v/>
      </c>
      <c r="M4323" s="16" t="str">
        <f aca="false">IF(B4323="","",IF(E4323="Em ajustes",IF(N4323=_xlfn.MINIFS($N$2:$N$5001,$B$2:$B$5001,B4323,$E$2:$E$5001,"Em ajustes"),1,0),0))</f>
        <v/>
      </c>
      <c r="N4323" s="17" t="str">
        <f aca="false">IF(A4323="","",IF(ISNUMBER(A4323),A4323,IFERROR(DATE(VALUE(MID(A4323,7,4)),VALUE(MID(A4323,4,2)),VALUE(MID(A4323,1,2)))+TIME(VALUE(MID(A4323,12,2)),VALUE(MID(A4323,15,2)),VALUE(MID(A4323,18,2))),"")))</f>
        <v/>
      </c>
    </row>
    <row r="4324" customFormat="false" ht="15" hidden="false" customHeight="false" outlineLevel="0" collapsed="false">
      <c r="I4324" s="15" t="str">
        <f aca="false">IF(N4324="","",INT(N4324))</f>
        <v/>
      </c>
      <c r="J4324" s="16" t="str">
        <f aca="false">IF(B4324="","",IF(N4324=_xlfn.MINIFS($N$2:$N$5001,$B$2:$B$5001,B4324),1,0))</f>
        <v/>
      </c>
      <c r="K4324" s="16" t="str">
        <f aca="false">IF(B4324="","",IF(AND(D4324="Formalização",E4324="Concluído"),IF(COUNTIFS($B$2:$B$5001,B4324,$E$2:$E$5001,"Em ajustes",$N$2:$N$5001,"&lt;"&amp;I4324)&gt;0,1,0),0))</f>
        <v/>
      </c>
      <c r="L4324" s="16" t="str">
        <f aca="false">IF(B4324="","",IF(N4324=_xlfn.MAXIFS($N$2:$N$5001,$B$2:$B$5001,B4324,$I$2:$I$5001,I4324),1,0))</f>
        <v/>
      </c>
      <c r="M4324" s="16" t="str">
        <f aca="false">IF(B4324="","",IF(E4324="Em ajustes",IF(N4324=_xlfn.MINIFS($N$2:$N$5001,$B$2:$B$5001,B4324,$E$2:$E$5001,"Em ajustes"),1,0),0))</f>
        <v/>
      </c>
      <c r="N4324" s="17" t="str">
        <f aca="false">IF(A4324="","",IF(ISNUMBER(A4324),A4324,IFERROR(DATE(VALUE(MID(A4324,7,4)),VALUE(MID(A4324,4,2)),VALUE(MID(A4324,1,2)))+TIME(VALUE(MID(A4324,12,2)),VALUE(MID(A4324,15,2)),VALUE(MID(A4324,18,2))),"")))</f>
        <v/>
      </c>
    </row>
    <row r="4325" customFormat="false" ht="15" hidden="false" customHeight="false" outlineLevel="0" collapsed="false">
      <c r="I4325" s="15" t="str">
        <f aca="false">IF(N4325="","",INT(N4325))</f>
        <v/>
      </c>
      <c r="J4325" s="16" t="str">
        <f aca="false">IF(B4325="","",IF(N4325=_xlfn.MINIFS($N$2:$N$5001,$B$2:$B$5001,B4325),1,0))</f>
        <v/>
      </c>
      <c r="K4325" s="16" t="str">
        <f aca="false">IF(B4325="","",IF(AND(D4325="Formalização",E4325="Concluído"),IF(COUNTIFS($B$2:$B$5001,B4325,$E$2:$E$5001,"Em ajustes",$N$2:$N$5001,"&lt;"&amp;I4325)&gt;0,1,0),0))</f>
        <v/>
      </c>
      <c r="L4325" s="16" t="str">
        <f aca="false">IF(B4325="","",IF(N4325=_xlfn.MAXIFS($N$2:$N$5001,$B$2:$B$5001,B4325,$I$2:$I$5001,I4325),1,0))</f>
        <v/>
      </c>
      <c r="M4325" s="16" t="str">
        <f aca="false">IF(B4325="","",IF(E4325="Em ajustes",IF(N4325=_xlfn.MINIFS($N$2:$N$5001,$B$2:$B$5001,B4325,$E$2:$E$5001,"Em ajustes"),1,0),0))</f>
        <v/>
      </c>
      <c r="N4325" s="17" t="str">
        <f aca="false">IF(A4325="","",IF(ISNUMBER(A4325),A4325,IFERROR(DATE(VALUE(MID(A4325,7,4)),VALUE(MID(A4325,4,2)),VALUE(MID(A4325,1,2)))+TIME(VALUE(MID(A4325,12,2)),VALUE(MID(A4325,15,2)),VALUE(MID(A4325,18,2))),"")))</f>
        <v/>
      </c>
    </row>
    <row r="4326" customFormat="false" ht="15" hidden="false" customHeight="false" outlineLevel="0" collapsed="false">
      <c r="I4326" s="15" t="str">
        <f aca="false">IF(N4326="","",INT(N4326))</f>
        <v/>
      </c>
      <c r="J4326" s="16" t="str">
        <f aca="false">IF(B4326="","",IF(N4326=_xlfn.MINIFS($N$2:$N$5001,$B$2:$B$5001,B4326),1,0))</f>
        <v/>
      </c>
      <c r="K4326" s="16" t="str">
        <f aca="false">IF(B4326="","",IF(AND(D4326="Formalização",E4326="Concluído"),IF(COUNTIFS($B$2:$B$5001,B4326,$E$2:$E$5001,"Em ajustes",$N$2:$N$5001,"&lt;"&amp;I4326)&gt;0,1,0),0))</f>
        <v/>
      </c>
      <c r="L4326" s="16" t="str">
        <f aca="false">IF(B4326="","",IF(N4326=_xlfn.MAXIFS($N$2:$N$5001,$B$2:$B$5001,B4326,$I$2:$I$5001,I4326),1,0))</f>
        <v/>
      </c>
      <c r="M4326" s="16" t="str">
        <f aca="false">IF(B4326="","",IF(E4326="Em ajustes",IF(N4326=_xlfn.MINIFS($N$2:$N$5001,$B$2:$B$5001,B4326,$E$2:$E$5001,"Em ajustes"),1,0),0))</f>
        <v/>
      </c>
      <c r="N4326" s="17" t="str">
        <f aca="false">IF(A4326="","",IF(ISNUMBER(A4326),A4326,IFERROR(DATE(VALUE(MID(A4326,7,4)),VALUE(MID(A4326,4,2)),VALUE(MID(A4326,1,2)))+TIME(VALUE(MID(A4326,12,2)),VALUE(MID(A4326,15,2)),VALUE(MID(A4326,18,2))),"")))</f>
        <v/>
      </c>
    </row>
    <row r="4327" customFormat="false" ht="15" hidden="false" customHeight="false" outlineLevel="0" collapsed="false">
      <c r="I4327" s="15" t="str">
        <f aca="false">IF(N4327="","",INT(N4327))</f>
        <v/>
      </c>
      <c r="J4327" s="16" t="str">
        <f aca="false">IF(B4327="","",IF(N4327=_xlfn.MINIFS($N$2:$N$5001,$B$2:$B$5001,B4327),1,0))</f>
        <v/>
      </c>
      <c r="K4327" s="16" t="str">
        <f aca="false">IF(B4327="","",IF(AND(D4327="Formalização",E4327="Concluído"),IF(COUNTIFS($B$2:$B$5001,B4327,$E$2:$E$5001,"Em ajustes",$N$2:$N$5001,"&lt;"&amp;I4327)&gt;0,1,0),0))</f>
        <v/>
      </c>
      <c r="L4327" s="16" t="str">
        <f aca="false">IF(B4327="","",IF(N4327=_xlfn.MAXIFS($N$2:$N$5001,$B$2:$B$5001,B4327,$I$2:$I$5001,I4327),1,0))</f>
        <v/>
      </c>
      <c r="M4327" s="16" t="str">
        <f aca="false">IF(B4327="","",IF(E4327="Em ajustes",IF(N4327=_xlfn.MINIFS($N$2:$N$5001,$B$2:$B$5001,B4327,$E$2:$E$5001,"Em ajustes"),1,0),0))</f>
        <v/>
      </c>
      <c r="N4327" s="17" t="str">
        <f aca="false">IF(A4327="","",IF(ISNUMBER(A4327),A4327,IFERROR(DATE(VALUE(MID(A4327,7,4)),VALUE(MID(A4327,4,2)),VALUE(MID(A4327,1,2)))+TIME(VALUE(MID(A4327,12,2)),VALUE(MID(A4327,15,2)),VALUE(MID(A4327,18,2))),"")))</f>
        <v/>
      </c>
    </row>
    <row r="4328" customFormat="false" ht="15" hidden="false" customHeight="false" outlineLevel="0" collapsed="false">
      <c r="I4328" s="15" t="str">
        <f aca="false">IF(N4328="","",INT(N4328))</f>
        <v/>
      </c>
      <c r="J4328" s="16" t="str">
        <f aca="false">IF(B4328="","",IF(N4328=_xlfn.MINIFS($N$2:$N$5001,$B$2:$B$5001,B4328),1,0))</f>
        <v/>
      </c>
      <c r="K4328" s="16" t="str">
        <f aca="false">IF(B4328="","",IF(AND(D4328="Formalização",E4328="Concluído"),IF(COUNTIFS($B$2:$B$5001,B4328,$E$2:$E$5001,"Em ajustes",$N$2:$N$5001,"&lt;"&amp;I4328)&gt;0,1,0),0))</f>
        <v/>
      </c>
      <c r="L4328" s="16" t="str">
        <f aca="false">IF(B4328="","",IF(N4328=_xlfn.MAXIFS($N$2:$N$5001,$B$2:$B$5001,B4328,$I$2:$I$5001,I4328),1,0))</f>
        <v/>
      </c>
      <c r="M4328" s="16" t="str">
        <f aca="false">IF(B4328="","",IF(E4328="Em ajustes",IF(N4328=_xlfn.MINIFS($N$2:$N$5001,$B$2:$B$5001,B4328,$E$2:$E$5001,"Em ajustes"),1,0),0))</f>
        <v/>
      </c>
      <c r="N4328" s="17" t="str">
        <f aca="false">IF(A4328="","",IF(ISNUMBER(A4328),A4328,IFERROR(DATE(VALUE(MID(A4328,7,4)),VALUE(MID(A4328,4,2)),VALUE(MID(A4328,1,2)))+TIME(VALUE(MID(A4328,12,2)),VALUE(MID(A4328,15,2)),VALUE(MID(A4328,18,2))),"")))</f>
        <v/>
      </c>
    </row>
    <row r="4329" customFormat="false" ht="15" hidden="false" customHeight="false" outlineLevel="0" collapsed="false">
      <c r="I4329" s="15" t="str">
        <f aca="false">IF(N4329="","",INT(N4329))</f>
        <v/>
      </c>
      <c r="J4329" s="16" t="str">
        <f aca="false">IF(B4329="","",IF(N4329=_xlfn.MINIFS($N$2:$N$5001,$B$2:$B$5001,B4329),1,0))</f>
        <v/>
      </c>
      <c r="K4329" s="16" t="str">
        <f aca="false">IF(B4329="","",IF(AND(D4329="Formalização",E4329="Concluído"),IF(COUNTIFS($B$2:$B$5001,B4329,$E$2:$E$5001,"Em ajustes",$N$2:$N$5001,"&lt;"&amp;I4329)&gt;0,1,0),0))</f>
        <v/>
      </c>
      <c r="L4329" s="16" t="str">
        <f aca="false">IF(B4329="","",IF(N4329=_xlfn.MAXIFS($N$2:$N$5001,$B$2:$B$5001,B4329,$I$2:$I$5001,I4329),1,0))</f>
        <v/>
      </c>
      <c r="M4329" s="16" t="str">
        <f aca="false">IF(B4329="","",IF(E4329="Em ajustes",IF(N4329=_xlfn.MINIFS($N$2:$N$5001,$B$2:$B$5001,B4329,$E$2:$E$5001,"Em ajustes"),1,0),0))</f>
        <v/>
      </c>
      <c r="N4329" s="17" t="str">
        <f aca="false">IF(A4329="","",IF(ISNUMBER(A4329),A4329,IFERROR(DATE(VALUE(MID(A4329,7,4)),VALUE(MID(A4329,4,2)),VALUE(MID(A4329,1,2)))+TIME(VALUE(MID(A4329,12,2)),VALUE(MID(A4329,15,2)),VALUE(MID(A4329,18,2))),"")))</f>
        <v/>
      </c>
    </row>
    <row r="4330" customFormat="false" ht="15" hidden="false" customHeight="false" outlineLevel="0" collapsed="false">
      <c r="I4330" s="15" t="str">
        <f aca="false">IF(N4330="","",INT(N4330))</f>
        <v/>
      </c>
      <c r="J4330" s="16" t="str">
        <f aca="false">IF(B4330="","",IF(N4330=_xlfn.MINIFS($N$2:$N$5001,$B$2:$B$5001,B4330),1,0))</f>
        <v/>
      </c>
      <c r="K4330" s="16" t="str">
        <f aca="false">IF(B4330="","",IF(AND(D4330="Formalização",E4330="Concluído"),IF(COUNTIFS($B$2:$B$5001,B4330,$E$2:$E$5001,"Em ajustes",$N$2:$N$5001,"&lt;"&amp;I4330)&gt;0,1,0),0))</f>
        <v/>
      </c>
      <c r="L4330" s="16" t="str">
        <f aca="false">IF(B4330="","",IF(N4330=_xlfn.MAXIFS($N$2:$N$5001,$B$2:$B$5001,B4330,$I$2:$I$5001,I4330),1,0))</f>
        <v/>
      </c>
      <c r="M4330" s="16" t="str">
        <f aca="false">IF(B4330="","",IF(E4330="Em ajustes",IF(N4330=_xlfn.MINIFS($N$2:$N$5001,$B$2:$B$5001,B4330,$E$2:$E$5001,"Em ajustes"),1,0),0))</f>
        <v/>
      </c>
      <c r="N4330" s="17" t="str">
        <f aca="false">IF(A4330="","",IF(ISNUMBER(A4330),A4330,IFERROR(DATE(VALUE(MID(A4330,7,4)),VALUE(MID(A4330,4,2)),VALUE(MID(A4330,1,2)))+TIME(VALUE(MID(A4330,12,2)),VALUE(MID(A4330,15,2)),VALUE(MID(A4330,18,2))),"")))</f>
        <v/>
      </c>
    </row>
    <row r="4331" customFormat="false" ht="15" hidden="false" customHeight="false" outlineLevel="0" collapsed="false">
      <c r="I4331" s="15" t="str">
        <f aca="false">IF(N4331="","",INT(N4331))</f>
        <v/>
      </c>
      <c r="J4331" s="16" t="str">
        <f aca="false">IF(B4331="","",IF(N4331=_xlfn.MINIFS($N$2:$N$5001,$B$2:$B$5001,B4331),1,0))</f>
        <v/>
      </c>
      <c r="K4331" s="16" t="str">
        <f aca="false">IF(B4331="","",IF(AND(D4331="Formalização",E4331="Concluído"),IF(COUNTIFS($B$2:$B$5001,B4331,$E$2:$E$5001,"Em ajustes",$N$2:$N$5001,"&lt;"&amp;I4331)&gt;0,1,0),0))</f>
        <v/>
      </c>
      <c r="L4331" s="16" t="str">
        <f aca="false">IF(B4331="","",IF(N4331=_xlfn.MAXIFS($N$2:$N$5001,$B$2:$B$5001,B4331,$I$2:$I$5001,I4331),1,0))</f>
        <v/>
      </c>
      <c r="M4331" s="16" t="str">
        <f aca="false">IF(B4331="","",IF(E4331="Em ajustes",IF(N4331=_xlfn.MINIFS($N$2:$N$5001,$B$2:$B$5001,B4331,$E$2:$E$5001,"Em ajustes"),1,0),0))</f>
        <v/>
      </c>
      <c r="N4331" s="17" t="str">
        <f aca="false">IF(A4331="","",IF(ISNUMBER(A4331),A4331,IFERROR(DATE(VALUE(MID(A4331,7,4)),VALUE(MID(A4331,4,2)),VALUE(MID(A4331,1,2)))+TIME(VALUE(MID(A4331,12,2)),VALUE(MID(A4331,15,2)),VALUE(MID(A4331,18,2))),"")))</f>
        <v/>
      </c>
    </row>
    <row r="4332" customFormat="false" ht="15" hidden="false" customHeight="false" outlineLevel="0" collapsed="false">
      <c r="I4332" s="15" t="str">
        <f aca="false">IF(N4332="","",INT(N4332))</f>
        <v/>
      </c>
      <c r="J4332" s="16" t="str">
        <f aca="false">IF(B4332="","",IF(N4332=_xlfn.MINIFS($N$2:$N$5001,$B$2:$B$5001,B4332),1,0))</f>
        <v/>
      </c>
      <c r="K4332" s="16" t="str">
        <f aca="false">IF(B4332="","",IF(AND(D4332="Formalização",E4332="Concluído"),IF(COUNTIFS($B$2:$B$5001,B4332,$E$2:$E$5001,"Em ajustes",$N$2:$N$5001,"&lt;"&amp;I4332)&gt;0,1,0),0))</f>
        <v/>
      </c>
      <c r="L4332" s="16" t="str">
        <f aca="false">IF(B4332="","",IF(N4332=_xlfn.MAXIFS($N$2:$N$5001,$B$2:$B$5001,B4332,$I$2:$I$5001,I4332),1,0))</f>
        <v/>
      </c>
      <c r="M4332" s="16" t="str">
        <f aca="false">IF(B4332="","",IF(E4332="Em ajustes",IF(N4332=_xlfn.MINIFS($N$2:$N$5001,$B$2:$B$5001,B4332,$E$2:$E$5001,"Em ajustes"),1,0),0))</f>
        <v/>
      </c>
      <c r="N4332" s="17" t="str">
        <f aca="false">IF(A4332="","",IF(ISNUMBER(A4332),A4332,IFERROR(DATE(VALUE(MID(A4332,7,4)),VALUE(MID(A4332,4,2)),VALUE(MID(A4332,1,2)))+TIME(VALUE(MID(A4332,12,2)),VALUE(MID(A4332,15,2)),VALUE(MID(A4332,18,2))),"")))</f>
        <v/>
      </c>
    </row>
    <row r="4333" customFormat="false" ht="15" hidden="false" customHeight="false" outlineLevel="0" collapsed="false">
      <c r="I4333" s="15" t="str">
        <f aca="false">IF(N4333="","",INT(N4333))</f>
        <v/>
      </c>
      <c r="J4333" s="16" t="str">
        <f aca="false">IF(B4333="","",IF(N4333=_xlfn.MINIFS($N$2:$N$5001,$B$2:$B$5001,B4333),1,0))</f>
        <v/>
      </c>
      <c r="K4333" s="16" t="str">
        <f aca="false">IF(B4333="","",IF(AND(D4333="Formalização",E4333="Concluído"),IF(COUNTIFS($B$2:$B$5001,B4333,$E$2:$E$5001,"Em ajustes",$N$2:$N$5001,"&lt;"&amp;I4333)&gt;0,1,0),0))</f>
        <v/>
      </c>
      <c r="L4333" s="16" t="str">
        <f aca="false">IF(B4333="","",IF(N4333=_xlfn.MAXIFS($N$2:$N$5001,$B$2:$B$5001,B4333,$I$2:$I$5001,I4333),1,0))</f>
        <v/>
      </c>
      <c r="M4333" s="16" t="str">
        <f aca="false">IF(B4333="","",IF(E4333="Em ajustes",IF(N4333=_xlfn.MINIFS($N$2:$N$5001,$B$2:$B$5001,B4333,$E$2:$E$5001,"Em ajustes"),1,0),0))</f>
        <v/>
      </c>
      <c r="N4333" s="17" t="str">
        <f aca="false">IF(A4333="","",IF(ISNUMBER(A4333),A4333,IFERROR(DATE(VALUE(MID(A4333,7,4)),VALUE(MID(A4333,4,2)),VALUE(MID(A4333,1,2)))+TIME(VALUE(MID(A4333,12,2)),VALUE(MID(A4333,15,2)),VALUE(MID(A4333,18,2))),"")))</f>
        <v/>
      </c>
    </row>
    <row r="4334" customFormat="false" ht="15" hidden="false" customHeight="false" outlineLevel="0" collapsed="false">
      <c r="I4334" s="15" t="str">
        <f aca="false">IF(N4334="","",INT(N4334))</f>
        <v/>
      </c>
      <c r="J4334" s="16" t="str">
        <f aca="false">IF(B4334="","",IF(N4334=_xlfn.MINIFS($N$2:$N$5001,$B$2:$B$5001,B4334),1,0))</f>
        <v/>
      </c>
      <c r="K4334" s="16" t="str">
        <f aca="false">IF(B4334="","",IF(AND(D4334="Formalização",E4334="Concluído"),IF(COUNTIFS($B$2:$B$5001,B4334,$E$2:$E$5001,"Em ajustes",$N$2:$N$5001,"&lt;"&amp;I4334)&gt;0,1,0),0))</f>
        <v/>
      </c>
      <c r="L4334" s="16" t="str">
        <f aca="false">IF(B4334="","",IF(N4334=_xlfn.MAXIFS($N$2:$N$5001,$B$2:$B$5001,B4334,$I$2:$I$5001,I4334),1,0))</f>
        <v/>
      </c>
      <c r="M4334" s="16" t="str">
        <f aca="false">IF(B4334="","",IF(E4334="Em ajustes",IF(N4334=_xlfn.MINIFS($N$2:$N$5001,$B$2:$B$5001,B4334,$E$2:$E$5001,"Em ajustes"),1,0),0))</f>
        <v/>
      </c>
      <c r="N4334" s="17" t="str">
        <f aca="false">IF(A4334="","",IF(ISNUMBER(A4334),A4334,IFERROR(DATE(VALUE(MID(A4334,7,4)),VALUE(MID(A4334,4,2)),VALUE(MID(A4334,1,2)))+TIME(VALUE(MID(A4334,12,2)),VALUE(MID(A4334,15,2)),VALUE(MID(A4334,18,2))),"")))</f>
        <v/>
      </c>
    </row>
    <row r="4335" customFormat="false" ht="15" hidden="false" customHeight="false" outlineLevel="0" collapsed="false">
      <c r="I4335" s="15" t="str">
        <f aca="false">IF(N4335="","",INT(N4335))</f>
        <v/>
      </c>
      <c r="J4335" s="16" t="str">
        <f aca="false">IF(B4335="","",IF(N4335=_xlfn.MINIFS($N$2:$N$5001,$B$2:$B$5001,B4335),1,0))</f>
        <v/>
      </c>
      <c r="K4335" s="16" t="str">
        <f aca="false">IF(B4335="","",IF(AND(D4335="Formalização",E4335="Concluído"),IF(COUNTIFS($B$2:$B$5001,B4335,$E$2:$E$5001,"Em ajustes",$N$2:$N$5001,"&lt;"&amp;I4335)&gt;0,1,0),0))</f>
        <v/>
      </c>
      <c r="L4335" s="16" t="str">
        <f aca="false">IF(B4335="","",IF(N4335=_xlfn.MAXIFS($N$2:$N$5001,$B$2:$B$5001,B4335,$I$2:$I$5001,I4335),1,0))</f>
        <v/>
      </c>
      <c r="M4335" s="16" t="str">
        <f aca="false">IF(B4335="","",IF(E4335="Em ajustes",IF(N4335=_xlfn.MINIFS($N$2:$N$5001,$B$2:$B$5001,B4335,$E$2:$E$5001,"Em ajustes"),1,0),0))</f>
        <v/>
      </c>
      <c r="N4335" s="17" t="str">
        <f aca="false">IF(A4335="","",IF(ISNUMBER(A4335),A4335,IFERROR(DATE(VALUE(MID(A4335,7,4)),VALUE(MID(A4335,4,2)),VALUE(MID(A4335,1,2)))+TIME(VALUE(MID(A4335,12,2)),VALUE(MID(A4335,15,2)),VALUE(MID(A4335,18,2))),"")))</f>
        <v/>
      </c>
    </row>
    <row r="4336" customFormat="false" ht="15" hidden="false" customHeight="false" outlineLevel="0" collapsed="false">
      <c r="I4336" s="15" t="str">
        <f aca="false">IF(N4336="","",INT(N4336))</f>
        <v/>
      </c>
      <c r="J4336" s="16" t="str">
        <f aca="false">IF(B4336="","",IF(N4336=_xlfn.MINIFS($N$2:$N$5001,$B$2:$B$5001,B4336),1,0))</f>
        <v/>
      </c>
      <c r="K4336" s="16" t="str">
        <f aca="false">IF(B4336="","",IF(AND(D4336="Formalização",E4336="Concluído"),IF(COUNTIFS($B$2:$B$5001,B4336,$E$2:$E$5001,"Em ajustes",$N$2:$N$5001,"&lt;"&amp;I4336)&gt;0,1,0),0))</f>
        <v/>
      </c>
      <c r="L4336" s="16" t="str">
        <f aca="false">IF(B4336="","",IF(N4336=_xlfn.MAXIFS($N$2:$N$5001,$B$2:$B$5001,B4336,$I$2:$I$5001,I4336),1,0))</f>
        <v/>
      </c>
      <c r="M4336" s="16" t="str">
        <f aca="false">IF(B4336="","",IF(E4336="Em ajustes",IF(N4336=_xlfn.MINIFS($N$2:$N$5001,$B$2:$B$5001,B4336,$E$2:$E$5001,"Em ajustes"),1,0),0))</f>
        <v/>
      </c>
      <c r="N4336" s="17" t="str">
        <f aca="false">IF(A4336="","",IF(ISNUMBER(A4336),A4336,IFERROR(DATE(VALUE(MID(A4336,7,4)),VALUE(MID(A4336,4,2)),VALUE(MID(A4336,1,2)))+TIME(VALUE(MID(A4336,12,2)),VALUE(MID(A4336,15,2)),VALUE(MID(A4336,18,2))),"")))</f>
        <v/>
      </c>
    </row>
    <row r="4337" customFormat="false" ht="15" hidden="false" customHeight="false" outlineLevel="0" collapsed="false">
      <c r="I4337" s="15" t="str">
        <f aca="false">IF(N4337="","",INT(N4337))</f>
        <v/>
      </c>
      <c r="J4337" s="16" t="str">
        <f aca="false">IF(B4337="","",IF(N4337=_xlfn.MINIFS($N$2:$N$5001,$B$2:$B$5001,B4337),1,0))</f>
        <v/>
      </c>
      <c r="K4337" s="16" t="str">
        <f aca="false">IF(B4337="","",IF(AND(D4337="Formalização",E4337="Concluído"),IF(COUNTIFS($B$2:$B$5001,B4337,$E$2:$E$5001,"Em ajustes",$N$2:$N$5001,"&lt;"&amp;I4337)&gt;0,1,0),0))</f>
        <v/>
      </c>
      <c r="L4337" s="16" t="str">
        <f aca="false">IF(B4337="","",IF(N4337=_xlfn.MAXIFS($N$2:$N$5001,$B$2:$B$5001,B4337,$I$2:$I$5001,I4337),1,0))</f>
        <v/>
      </c>
      <c r="M4337" s="16" t="str">
        <f aca="false">IF(B4337="","",IF(E4337="Em ajustes",IF(N4337=_xlfn.MINIFS($N$2:$N$5001,$B$2:$B$5001,B4337,$E$2:$E$5001,"Em ajustes"),1,0),0))</f>
        <v/>
      </c>
      <c r="N4337" s="17" t="str">
        <f aca="false">IF(A4337="","",IF(ISNUMBER(A4337),A4337,IFERROR(DATE(VALUE(MID(A4337,7,4)),VALUE(MID(A4337,4,2)),VALUE(MID(A4337,1,2)))+TIME(VALUE(MID(A4337,12,2)),VALUE(MID(A4337,15,2)),VALUE(MID(A4337,18,2))),"")))</f>
        <v/>
      </c>
    </row>
    <row r="4338" customFormat="false" ht="15" hidden="false" customHeight="false" outlineLevel="0" collapsed="false">
      <c r="I4338" s="15" t="str">
        <f aca="false">IF(N4338="","",INT(N4338))</f>
        <v/>
      </c>
      <c r="J4338" s="16" t="str">
        <f aca="false">IF(B4338="","",IF(N4338=_xlfn.MINIFS($N$2:$N$5001,$B$2:$B$5001,B4338),1,0))</f>
        <v/>
      </c>
      <c r="K4338" s="16" t="str">
        <f aca="false">IF(B4338="","",IF(AND(D4338="Formalização",E4338="Concluído"),IF(COUNTIFS($B$2:$B$5001,B4338,$E$2:$E$5001,"Em ajustes",$N$2:$N$5001,"&lt;"&amp;I4338)&gt;0,1,0),0))</f>
        <v/>
      </c>
      <c r="L4338" s="16" t="str">
        <f aca="false">IF(B4338="","",IF(N4338=_xlfn.MAXIFS($N$2:$N$5001,$B$2:$B$5001,B4338,$I$2:$I$5001,I4338),1,0))</f>
        <v/>
      </c>
      <c r="M4338" s="16" t="str">
        <f aca="false">IF(B4338="","",IF(E4338="Em ajustes",IF(N4338=_xlfn.MINIFS($N$2:$N$5001,$B$2:$B$5001,B4338,$E$2:$E$5001,"Em ajustes"),1,0),0))</f>
        <v/>
      </c>
      <c r="N4338" s="17" t="str">
        <f aca="false">IF(A4338="","",IF(ISNUMBER(A4338),A4338,IFERROR(DATE(VALUE(MID(A4338,7,4)),VALUE(MID(A4338,4,2)),VALUE(MID(A4338,1,2)))+TIME(VALUE(MID(A4338,12,2)),VALUE(MID(A4338,15,2)),VALUE(MID(A4338,18,2))),"")))</f>
        <v/>
      </c>
    </row>
    <row r="4339" customFormat="false" ht="15" hidden="false" customHeight="false" outlineLevel="0" collapsed="false">
      <c r="I4339" s="15" t="str">
        <f aca="false">IF(N4339="","",INT(N4339))</f>
        <v/>
      </c>
      <c r="J4339" s="16" t="str">
        <f aca="false">IF(B4339="","",IF(N4339=_xlfn.MINIFS($N$2:$N$5001,$B$2:$B$5001,B4339),1,0))</f>
        <v/>
      </c>
      <c r="K4339" s="16" t="str">
        <f aca="false">IF(B4339="","",IF(AND(D4339="Formalização",E4339="Concluído"),IF(COUNTIFS($B$2:$B$5001,B4339,$E$2:$E$5001,"Em ajustes",$N$2:$N$5001,"&lt;"&amp;I4339)&gt;0,1,0),0))</f>
        <v/>
      </c>
      <c r="L4339" s="16" t="str">
        <f aca="false">IF(B4339="","",IF(N4339=_xlfn.MAXIFS($N$2:$N$5001,$B$2:$B$5001,B4339,$I$2:$I$5001,I4339),1,0))</f>
        <v/>
      </c>
      <c r="M4339" s="16" t="str">
        <f aca="false">IF(B4339="","",IF(E4339="Em ajustes",IF(N4339=_xlfn.MINIFS($N$2:$N$5001,$B$2:$B$5001,B4339,$E$2:$E$5001,"Em ajustes"),1,0),0))</f>
        <v/>
      </c>
      <c r="N4339" s="17" t="str">
        <f aca="false">IF(A4339="","",IF(ISNUMBER(A4339),A4339,IFERROR(DATE(VALUE(MID(A4339,7,4)),VALUE(MID(A4339,4,2)),VALUE(MID(A4339,1,2)))+TIME(VALUE(MID(A4339,12,2)),VALUE(MID(A4339,15,2)),VALUE(MID(A4339,18,2))),"")))</f>
        <v/>
      </c>
    </row>
    <row r="4340" customFormat="false" ht="15" hidden="false" customHeight="false" outlineLevel="0" collapsed="false">
      <c r="I4340" s="15" t="str">
        <f aca="false">IF(N4340="","",INT(N4340))</f>
        <v/>
      </c>
      <c r="J4340" s="16" t="str">
        <f aca="false">IF(B4340="","",IF(N4340=_xlfn.MINIFS($N$2:$N$5001,$B$2:$B$5001,B4340),1,0))</f>
        <v/>
      </c>
      <c r="K4340" s="16" t="str">
        <f aca="false">IF(B4340="","",IF(AND(D4340="Formalização",E4340="Concluído"),IF(COUNTIFS($B$2:$B$5001,B4340,$E$2:$E$5001,"Em ajustes",$N$2:$N$5001,"&lt;"&amp;I4340)&gt;0,1,0),0))</f>
        <v/>
      </c>
      <c r="L4340" s="16" t="str">
        <f aca="false">IF(B4340="","",IF(N4340=_xlfn.MAXIFS($N$2:$N$5001,$B$2:$B$5001,B4340,$I$2:$I$5001,I4340),1,0))</f>
        <v/>
      </c>
      <c r="M4340" s="16" t="str">
        <f aca="false">IF(B4340="","",IF(E4340="Em ajustes",IF(N4340=_xlfn.MINIFS($N$2:$N$5001,$B$2:$B$5001,B4340,$E$2:$E$5001,"Em ajustes"),1,0),0))</f>
        <v/>
      </c>
      <c r="N4340" s="17" t="str">
        <f aca="false">IF(A4340="","",IF(ISNUMBER(A4340),A4340,IFERROR(DATE(VALUE(MID(A4340,7,4)),VALUE(MID(A4340,4,2)),VALUE(MID(A4340,1,2)))+TIME(VALUE(MID(A4340,12,2)),VALUE(MID(A4340,15,2)),VALUE(MID(A4340,18,2))),"")))</f>
        <v/>
      </c>
    </row>
    <row r="4341" customFormat="false" ht="15" hidden="false" customHeight="false" outlineLevel="0" collapsed="false">
      <c r="I4341" s="15" t="str">
        <f aca="false">IF(N4341="","",INT(N4341))</f>
        <v/>
      </c>
      <c r="J4341" s="16" t="str">
        <f aca="false">IF(B4341="","",IF(N4341=_xlfn.MINIFS($N$2:$N$5001,$B$2:$B$5001,B4341),1,0))</f>
        <v/>
      </c>
      <c r="K4341" s="16" t="str">
        <f aca="false">IF(B4341="","",IF(AND(D4341="Formalização",E4341="Concluído"),IF(COUNTIFS($B$2:$B$5001,B4341,$E$2:$E$5001,"Em ajustes",$N$2:$N$5001,"&lt;"&amp;I4341)&gt;0,1,0),0))</f>
        <v/>
      </c>
      <c r="L4341" s="16" t="str">
        <f aca="false">IF(B4341="","",IF(N4341=_xlfn.MAXIFS($N$2:$N$5001,$B$2:$B$5001,B4341,$I$2:$I$5001,I4341),1,0))</f>
        <v/>
      </c>
      <c r="M4341" s="16" t="str">
        <f aca="false">IF(B4341="","",IF(E4341="Em ajustes",IF(N4341=_xlfn.MINIFS($N$2:$N$5001,$B$2:$B$5001,B4341,$E$2:$E$5001,"Em ajustes"),1,0),0))</f>
        <v/>
      </c>
      <c r="N4341" s="17" t="str">
        <f aca="false">IF(A4341="","",IF(ISNUMBER(A4341),A4341,IFERROR(DATE(VALUE(MID(A4341,7,4)),VALUE(MID(A4341,4,2)),VALUE(MID(A4341,1,2)))+TIME(VALUE(MID(A4341,12,2)),VALUE(MID(A4341,15,2)),VALUE(MID(A4341,18,2))),"")))</f>
        <v/>
      </c>
    </row>
    <row r="4342" customFormat="false" ht="15" hidden="false" customHeight="false" outlineLevel="0" collapsed="false">
      <c r="I4342" s="15" t="str">
        <f aca="false">IF(N4342="","",INT(N4342))</f>
        <v/>
      </c>
      <c r="J4342" s="16" t="str">
        <f aca="false">IF(B4342="","",IF(N4342=_xlfn.MINIFS($N$2:$N$5001,$B$2:$B$5001,B4342),1,0))</f>
        <v/>
      </c>
      <c r="K4342" s="16" t="str">
        <f aca="false">IF(B4342="","",IF(AND(D4342="Formalização",E4342="Concluído"),IF(COUNTIFS($B$2:$B$5001,B4342,$E$2:$E$5001,"Em ajustes",$N$2:$N$5001,"&lt;"&amp;I4342)&gt;0,1,0),0))</f>
        <v/>
      </c>
      <c r="L4342" s="16" t="str">
        <f aca="false">IF(B4342="","",IF(N4342=_xlfn.MAXIFS($N$2:$N$5001,$B$2:$B$5001,B4342,$I$2:$I$5001,I4342),1,0))</f>
        <v/>
      </c>
      <c r="M4342" s="16" t="str">
        <f aca="false">IF(B4342="","",IF(E4342="Em ajustes",IF(N4342=_xlfn.MINIFS($N$2:$N$5001,$B$2:$B$5001,B4342,$E$2:$E$5001,"Em ajustes"),1,0),0))</f>
        <v/>
      </c>
      <c r="N4342" s="17" t="str">
        <f aca="false">IF(A4342="","",IF(ISNUMBER(A4342),A4342,IFERROR(DATE(VALUE(MID(A4342,7,4)),VALUE(MID(A4342,4,2)),VALUE(MID(A4342,1,2)))+TIME(VALUE(MID(A4342,12,2)),VALUE(MID(A4342,15,2)),VALUE(MID(A4342,18,2))),"")))</f>
        <v/>
      </c>
    </row>
    <row r="4343" customFormat="false" ht="15" hidden="false" customHeight="false" outlineLevel="0" collapsed="false">
      <c r="I4343" s="15" t="str">
        <f aca="false">IF(N4343="","",INT(N4343))</f>
        <v/>
      </c>
      <c r="J4343" s="16" t="str">
        <f aca="false">IF(B4343="","",IF(N4343=_xlfn.MINIFS($N$2:$N$5001,$B$2:$B$5001,B4343),1,0))</f>
        <v/>
      </c>
      <c r="K4343" s="16" t="str">
        <f aca="false">IF(B4343="","",IF(AND(D4343="Formalização",E4343="Concluído"),IF(COUNTIFS($B$2:$B$5001,B4343,$E$2:$E$5001,"Em ajustes",$N$2:$N$5001,"&lt;"&amp;I4343)&gt;0,1,0),0))</f>
        <v/>
      </c>
      <c r="L4343" s="16" t="str">
        <f aca="false">IF(B4343="","",IF(N4343=_xlfn.MAXIFS($N$2:$N$5001,$B$2:$B$5001,B4343,$I$2:$I$5001,I4343),1,0))</f>
        <v/>
      </c>
      <c r="M4343" s="16" t="str">
        <f aca="false">IF(B4343="","",IF(E4343="Em ajustes",IF(N4343=_xlfn.MINIFS($N$2:$N$5001,$B$2:$B$5001,B4343,$E$2:$E$5001,"Em ajustes"),1,0),0))</f>
        <v/>
      </c>
      <c r="N4343" s="17" t="str">
        <f aca="false">IF(A4343="","",IF(ISNUMBER(A4343),A4343,IFERROR(DATE(VALUE(MID(A4343,7,4)),VALUE(MID(A4343,4,2)),VALUE(MID(A4343,1,2)))+TIME(VALUE(MID(A4343,12,2)),VALUE(MID(A4343,15,2)),VALUE(MID(A4343,18,2))),"")))</f>
        <v/>
      </c>
    </row>
    <row r="4344" customFormat="false" ht="15" hidden="false" customHeight="false" outlineLevel="0" collapsed="false">
      <c r="I4344" s="15" t="str">
        <f aca="false">IF(N4344="","",INT(N4344))</f>
        <v/>
      </c>
      <c r="J4344" s="16" t="str">
        <f aca="false">IF(B4344="","",IF(N4344=_xlfn.MINIFS($N$2:$N$5001,$B$2:$B$5001,B4344),1,0))</f>
        <v/>
      </c>
      <c r="K4344" s="16" t="str">
        <f aca="false">IF(B4344="","",IF(AND(D4344="Formalização",E4344="Concluído"),IF(COUNTIFS($B$2:$B$5001,B4344,$E$2:$E$5001,"Em ajustes",$N$2:$N$5001,"&lt;"&amp;I4344)&gt;0,1,0),0))</f>
        <v/>
      </c>
      <c r="L4344" s="16" t="str">
        <f aca="false">IF(B4344="","",IF(N4344=_xlfn.MAXIFS($N$2:$N$5001,$B$2:$B$5001,B4344,$I$2:$I$5001,I4344),1,0))</f>
        <v/>
      </c>
      <c r="M4344" s="16" t="str">
        <f aca="false">IF(B4344="","",IF(E4344="Em ajustes",IF(N4344=_xlfn.MINIFS($N$2:$N$5001,$B$2:$B$5001,B4344,$E$2:$E$5001,"Em ajustes"),1,0),0))</f>
        <v/>
      </c>
      <c r="N4344" s="17" t="str">
        <f aca="false">IF(A4344="","",IF(ISNUMBER(A4344),A4344,IFERROR(DATE(VALUE(MID(A4344,7,4)),VALUE(MID(A4344,4,2)),VALUE(MID(A4344,1,2)))+TIME(VALUE(MID(A4344,12,2)),VALUE(MID(A4344,15,2)),VALUE(MID(A4344,18,2))),"")))</f>
        <v/>
      </c>
    </row>
    <row r="4345" customFormat="false" ht="15" hidden="false" customHeight="false" outlineLevel="0" collapsed="false">
      <c r="I4345" s="15" t="str">
        <f aca="false">IF(N4345="","",INT(N4345))</f>
        <v/>
      </c>
      <c r="J4345" s="16" t="str">
        <f aca="false">IF(B4345="","",IF(N4345=_xlfn.MINIFS($N$2:$N$5001,$B$2:$B$5001,B4345),1,0))</f>
        <v/>
      </c>
      <c r="K4345" s="16" t="str">
        <f aca="false">IF(B4345="","",IF(AND(D4345="Formalização",E4345="Concluído"),IF(COUNTIFS($B$2:$B$5001,B4345,$E$2:$E$5001,"Em ajustes",$N$2:$N$5001,"&lt;"&amp;I4345)&gt;0,1,0),0))</f>
        <v/>
      </c>
      <c r="L4345" s="16" t="str">
        <f aca="false">IF(B4345="","",IF(N4345=_xlfn.MAXIFS($N$2:$N$5001,$B$2:$B$5001,B4345,$I$2:$I$5001,I4345),1,0))</f>
        <v/>
      </c>
      <c r="M4345" s="16" t="str">
        <f aca="false">IF(B4345="","",IF(E4345="Em ajustes",IF(N4345=_xlfn.MINIFS($N$2:$N$5001,$B$2:$B$5001,B4345,$E$2:$E$5001,"Em ajustes"),1,0),0))</f>
        <v/>
      </c>
      <c r="N4345" s="17" t="str">
        <f aca="false">IF(A4345="","",IF(ISNUMBER(A4345),A4345,IFERROR(DATE(VALUE(MID(A4345,7,4)),VALUE(MID(A4345,4,2)),VALUE(MID(A4345,1,2)))+TIME(VALUE(MID(A4345,12,2)),VALUE(MID(A4345,15,2)),VALUE(MID(A4345,18,2))),"")))</f>
        <v/>
      </c>
    </row>
    <row r="4346" customFormat="false" ht="15" hidden="false" customHeight="false" outlineLevel="0" collapsed="false">
      <c r="I4346" s="15" t="str">
        <f aca="false">IF(N4346="","",INT(N4346))</f>
        <v/>
      </c>
      <c r="J4346" s="16" t="str">
        <f aca="false">IF(B4346="","",IF(N4346=_xlfn.MINIFS($N$2:$N$5001,$B$2:$B$5001,B4346),1,0))</f>
        <v/>
      </c>
      <c r="K4346" s="16" t="str">
        <f aca="false">IF(B4346="","",IF(AND(D4346="Formalização",E4346="Concluído"),IF(COUNTIFS($B$2:$B$5001,B4346,$E$2:$E$5001,"Em ajustes",$N$2:$N$5001,"&lt;"&amp;I4346)&gt;0,1,0),0))</f>
        <v/>
      </c>
      <c r="L4346" s="16" t="str">
        <f aca="false">IF(B4346="","",IF(N4346=_xlfn.MAXIFS($N$2:$N$5001,$B$2:$B$5001,B4346,$I$2:$I$5001,I4346),1,0))</f>
        <v/>
      </c>
      <c r="M4346" s="16" t="str">
        <f aca="false">IF(B4346="","",IF(E4346="Em ajustes",IF(N4346=_xlfn.MINIFS($N$2:$N$5001,$B$2:$B$5001,B4346,$E$2:$E$5001,"Em ajustes"),1,0),0))</f>
        <v/>
      </c>
      <c r="N4346" s="17" t="str">
        <f aca="false">IF(A4346="","",IF(ISNUMBER(A4346),A4346,IFERROR(DATE(VALUE(MID(A4346,7,4)),VALUE(MID(A4346,4,2)),VALUE(MID(A4346,1,2)))+TIME(VALUE(MID(A4346,12,2)),VALUE(MID(A4346,15,2)),VALUE(MID(A4346,18,2))),"")))</f>
        <v/>
      </c>
    </row>
    <row r="4347" customFormat="false" ht="15" hidden="false" customHeight="false" outlineLevel="0" collapsed="false">
      <c r="I4347" s="15" t="str">
        <f aca="false">IF(N4347="","",INT(N4347))</f>
        <v/>
      </c>
      <c r="J4347" s="16" t="str">
        <f aca="false">IF(B4347="","",IF(N4347=_xlfn.MINIFS($N$2:$N$5001,$B$2:$B$5001,B4347),1,0))</f>
        <v/>
      </c>
      <c r="K4347" s="16" t="str">
        <f aca="false">IF(B4347="","",IF(AND(D4347="Formalização",E4347="Concluído"),IF(COUNTIFS($B$2:$B$5001,B4347,$E$2:$E$5001,"Em ajustes",$N$2:$N$5001,"&lt;"&amp;I4347)&gt;0,1,0),0))</f>
        <v/>
      </c>
      <c r="L4347" s="16" t="str">
        <f aca="false">IF(B4347="","",IF(N4347=_xlfn.MAXIFS($N$2:$N$5001,$B$2:$B$5001,B4347,$I$2:$I$5001,I4347),1,0))</f>
        <v/>
      </c>
      <c r="M4347" s="16" t="str">
        <f aca="false">IF(B4347="","",IF(E4347="Em ajustes",IF(N4347=_xlfn.MINIFS($N$2:$N$5001,$B$2:$B$5001,B4347,$E$2:$E$5001,"Em ajustes"),1,0),0))</f>
        <v/>
      </c>
      <c r="N4347" s="17" t="str">
        <f aca="false">IF(A4347="","",IF(ISNUMBER(A4347),A4347,IFERROR(DATE(VALUE(MID(A4347,7,4)),VALUE(MID(A4347,4,2)),VALUE(MID(A4347,1,2)))+TIME(VALUE(MID(A4347,12,2)),VALUE(MID(A4347,15,2)),VALUE(MID(A4347,18,2))),"")))</f>
        <v/>
      </c>
    </row>
    <row r="4348" customFormat="false" ht="15" hidden="false" customHeight="false" outlineLevel="0" collapsed="false">
      <c r="I4348" s="15" t="str">
        <f aca="false">IF(N4348="","",INT(N4348))</f>
        <v/>
      </c>
      <c r="J4348" s="16" t="str">
        <f aca="false">IF(B4348="","",IF(N4348=_xlfn.MINIFS($N$2:$N$5001,$B$2:$B$5001,B4348),1,0))</f>
        <v/>
      </c>
      <c r="K4348" s="16" t="str">
        <f aca="false">IF(B4348="","",IF(AND(D4348="Formalização",E4348="Concluído"),IF(COUNTIFS($B$2:$B$5001,B4348,$E$2:$E$5001,"Em ajustes",$N$2:$N$5001,"&lt;"&amp;I4348)&gt;0,1,0),0))</f>
        <v/>
      </c>
      <c r="L4348" s="16" t="str">
        <f aca="false">IF(B4348="","",IF(N4348=_xlfn.MAXIFS($N$2:$N$5001,$B$2:$B$5001,B4348,$I$2:$I$5001,I4348),1,0))</f>
        <v/>
      </c>
      <c r="M4348" s="16" t="str">
        <f aca="false">IF(B4348="","",IF(E4348="Em ajustes",IF(N4348=_xlfn.MINIFS($N$2:$N$5001,$B$2:$B$5001,B4348,$E$2:$E$5001,"Em ajustes"),1,0),0))</f>
        <v/>
      </c>
      <c r="N4348" s="17" t="str">
        <f aca="false">IF(A4348="","",IF(ISNUMBER(A4348),A4348,IFERROR(DATE(VALUE(MID(A4348,7,4)),VALUE(MID(A4348,4,2)),VALUE(MID(A4348,1,2)))+TIME(VALUE(MID(A4348,12,2)),VALUE(MID(A4348,15,2)),VALUE(MID(A4348,18,2))),"")))</f>
        <v/>
      </c>
    </row>
    <row r="4349" customFormat="false" ht="15" hidden="false" customHeight="false" outlineLevel="0" collapsed="false">
      <c r="I4349" s="15" t="str">
        <f aca="false">IF(N4349="","",INT(N4349))</f>
        <v/>
      </c>
      <c r="J4349" s="16" t="str">
        <f aca="false">IF(B4349="","",IF(N4349=_xlfn.MINIFS($N$2:$N$5001,$B$2:$B$5001,B4349),1,0))</f>
        <v/>
      </c>
      <c r="K4349" s="16" t="str">
        <f aca="false">IF(B4349="","",IF(AND(D4349="Formalização",E4349="Concluído"),IF(COUNTIFS($B$2:$B$5001,B4349,$E$2:$E$5001,"Em ajustes",$N$2:$N$5001,"&lt;"&amp;I4349)&gt;0,1,0),0))</f>
        <v/>
      </c>
      <c r="L4349" s="16" t="str">
        <f aca="false">IF(B4349="","",IF(N4349=_xlfn.MAXIFS($N$2:$N$5001,$B$2:$B$5001,B4349,$I$2:$I$5001,I4349),1,0))</f>
        <v/>
      </c>
      <c r="M4349" s="16" t="str">
        <f aca="false">IF(B4349="","",IF(E4349="Em ajustes",IF(N4349=_xlfn.MINIFS($N$2:$N$5001,$B$2:$B$5001,B4349,$E$2:$E$5001,"Em ajustes"),1,0),0))</f>
        <v/>
      </c>
      <c r="N4349" s="17" t="str">
        <f aca="false">IF(A4349="","",IF(ISNUMBER(A4349),A4349,IFERROR(DATE(VALUE(MID(A4349,7,4)),VALUE(MID(A4349,4,2)),VALUE(MID(A4349,1,2)))+TIME(VALUE(MID(A4349,12,2)),VALUE(MID(A4349,15,2)),VALUE(MID(A4349,18,2))),"")))</f>
        <v/>
      </c>
    </row>
    <row r="4350" customFormat="false" ht="15" hidden="false" customHeight="false" outlineLevel="0" collapsed="false">
      <c r="I4350" s="15" t="str">
        <f aca="false">IF(N4350="","",INT(N4350))</f>
        <v/>
      </c>
      <c r="J4350" s="16" t="str">
        <f aca="false">IF(B4350="","",IF(N4350=_xlfn.MINIFS($N$2:$N$5001,$B$2:$B$5001,B4350),1,0))</f>
        <v/>
      </c>
      <c r="K4350" s="16" t="str">
        <f aca="false">IF(B4350="","",IF(AND(D4350="Formalização",E4350="Concluído"),IF(COUNTIFS($B$2:$B$5001,B4350,$E$2:$E$5001,"Em ajustes",$N$2:$N$5001,"&lt;"&amp;I4350)&gt;0,1,0),0))</f>
        <v/>
      </c>
      <c r="L4350" s="16" t="str">
        <f aca="false">IF(B4350="","",IF(N4350=_xlfn.MAXIFS($N$2:$N$5001,$B$2:$B$5001,B4350,$I$2:$I$5001,I4350),1,0))</f>
        <v/>
      </c>
      <c r="M4350" s="16" t="str">
        <f aca="false">IF(B4350="","",IF(E4350="Em ajustes",IF(N4350=_xlfn.MINIFS($N$2:$N$5001,$B$2:$B$5001,B4350,$E$2:$E$5001,"Em ajustes"),1,0),0))</f>
        <v/>
      </c>
      <c r="N4350" s="17" t="str">
        <f aca="false">IF(A4350="","",IF(ISNUMBER(A4350),A4350,IFERROR(DATE(VALUE(MID(A4350,7,4)),VALUE(MID(A4350,4,2)),VALUE(MID(A4350,1,2)))+TIME(VALUE(MID(A4350,12,2)),VALUE(MID(A4350,15,2)),VALUE(MID(A4350,18,2))),"")))</f>
        <v/>
      </c>
    </row>
    <row r="4351" customFormat="false" ht="15" hidden="false" customHeight="false" outlineLevel="0" collapsed="false">
      <c r="I4351" s="15" t="str">
        <f aca="false">IF(N4351="","",INT(N4351))</f>
        <v/>
      </c>
      <c r="J4351" s="16" t="str">
        <f aca="false">IF(B4351="","",IF(N4351=_xlfn.MINIFS($N$2:$N$5001,$B$2:$B$5001,B4351),1,0))</f>
        <v/>
      </c>
      <c r="K4351" s="16" t="str">
        <f aca="false">IF(B4351="","",IF(AND(D4351="Formalização",E4351="Concluído"),IF(COUNTIFS($B$2:$B$5001,B4351,$E$2:$E$5001,"Em ajustes",$N$2:$N$5001,"&lt;"&amp;I4351)&gt;0,1,0),0))</f>
        <v/>
      </c>
      <c r="L4351" s="16" t="str">
        <f aca="false">IF(B4351="","",IF(N4351=_xlfn.MAXIFS($N$2:$N$5001,$B$2:$B$5001,B4351,$I$2:$I$5001,I4351),1,0))</f>
        <v/>
      </c>
      <c r="M4351" s="16" t="str">
        <f aca="false">IF(B4351="","",IF(E4351="Em ajustes",IF(N4351=_xlfn.MINIFS($N$2:$N$5001,$B$2:$B$5001,B4351,$E$2:$E$5001,"Em ajustes"),1,0),0))</f>
        <v/>
      </c>
      <c r="N4351" s="17" t="str">
        <f aca="false">IF(A4351="","",IF(ISNUMBER(A4351),A4351,IFERROR(DATE(VALUE(MID(A4351,7,4)),VALUE(MID(A4351,4,2)),VALUE(MID(A4351,1,2)))+TIME(VALUE(MID(A4351,12,2)),VALUE(MID(A4351,15,2)),VALUE(MID(A4351,18,2))),"")))</f>
        <v/>
      </c>
    </row>
    <row r="4352" customFormat="false" ht="15" hidden="false" customHeight="false" outlineLevel="0" collapsed="false">
      <c r="I4352" s="15" t="str">
        <f aca="false">IF(N4352="","",INT(N4352))</f>
        <v/>
      </c>
      <c r="J4352" s="16" t="str">
        <f aca="false">IF(B4352="","",IF(N4352=_xlfn.MINIFS($N$2:$N$5001,$B$2:$B$5001,B4352),1,0))</f>
        <v/>
      </c>
      <c r="K4352" s="16" t="str">
        <f aca="false">IF(B4352="","",IF(AND(D4352="Formalização",E4352="Concluído"),IF(COUNTIFS($B$2:$B$5001,B4352,$E$2:$E$5001,"Em ajustes",$N$2:$N$5001,"&lt;"&amp;I4352)&gt;0,1,0),0))</f>
        <v/>
      </c>
      <c r="L4352" s="16" t="str">
        <f aca="false">IF(B4352="","",IF(N4352=_xlfn.MAXIFS($N$2:$N$5001,$B$2:$B$5001,B4352,$I$2:$I$5001,I4352),1,0))</f>
        <v/>
      </c>
      <c r="M4352" s="16" t="str">
        <f aca="false">IF(B4352="","",IF(E4352="Em ajustes",IF(N4352=_xlfn.MINIFS($N$2:$N$5001,$B$2:$B$5001,B4352,$E$2:$E$5001,"Em ajustes"),1,0),0))</f>
        <v/>
      </c>
      <c r="N4352" s="17" t="str">
        <f aca="false">IF(A4352="","",IF(ISNUMBER(A4352),A4352,IFERROR(DATE(VALUE(MID(A4352,7,4)),VALUE(MID(A4352,4,2)),VALUE(MID(A4352,1,2)))+TIME(VALUE(MID(A4352,12,2)),VALUE(MID(A4352,15,2)),VALUE(MID(A4352,18,2))),"")))</f>
        <v/>
      </c>
    </row>
    <row r="4353" customFormat="false" ht="15" hidden="false" customHeight="false" outlineLevel="0" collapsed="false">
      <c r="I4353" s="15" t="str">
        <f aca="false">IF(N4353="","",INT(N4353))</f>
        <v/>
      </c>
      <c r="J4353" s="16" t="str">
        <f aca="false">IF(B4353="","",IF(N4353=_xlfn.MINIFS($N$2:$N$5001,$B$2:$B$5001,B4353),1,0))</f>
        <v/>
      </c>
      <c r="K4353" s="16" t="str">
        <f aca="false">IF(B4353="","",IF(AND(D4353="Formalização",E4353="Concluído"),IF(COUNTIFS($B$2:$B$5001,B4353,$E$2:$E$5001,"Em ajustes",$N$2:$N$5001,"&lt;"&amp;I4353)&gt;0,1,0),0))</f>
        <v/>
      </c>
      <c r="L4353" s="16" t="str">
        <f aca="false">IF(B4353="","",IF(N4353=_xlfn.MAXIFS($N$2:$N$5001,$B$2:$B$5001,B4353,$I$2:$I$5001,I4353),1,0))</f>
        <v/>
      </c>
      <c r="M4353" s="16" t="str">
        <f aca="false">IF(B4353="","",IF(E4353="Em ajustes",IF(N4353=_xlfn.MINIFS($N$2:$N$5001,$B$2:$B$5001,B4353,$E$2:$E$5001,"Em ajustes"),1,0),0))</f>
        <v/>
      </c>
      <c r="N4353" s="17" t="str">
        <f aca="false">IF(A4353="","",IF(ISNUMBER(A4353),A4353,IFERROR(DATE(VALUE(MID(A4353,7,4)),VALUE(MID(A4353,4,2)),VALUE(MID(A4353,1,2)))+TIME(VALUE(MID(A4353,12,2)),VALUE(MID(A4353,15,2)),VALUE(MID(A4353,18,2))),"")))</f>
        <v/>
      </c>
    </row>
    <row r="4354" customFormat="false" ht="15" hidden="false" customHeight="false" outlineLevel="0" collapsed="false">
      <c r="I4354" s="15" t="str">
        <f aca="false">IF(N4354="","",INT(N4354))</f>
        <v/>
      </c>
      <c r="J4354" s="16" t="str">
        <f aca="false">IF(B4354="","",IF(N4354=_xlfn.MINIFS($N$2:$N$5001,$B$2:$B$5001,B4354),1,0))</f>
        <v/>
      </c>
      <c r="K4354" s="16" t="str">
        <f aca="false">IF(B4354="","",IF(AND(D4354="Formalização",E4354="Concluído"),IF(COUNTIFS($B$2:$B$5001,B4354,$E$2:$E$5001,"Em ajustes",$N$2:$N$5001,"&lt;"&amp;I4354)&gt;0,1,0),0))</f>
        <v/>
      </c>
      <c r="L4354" s="16" t="str">
        <f aca="false">IF(B4354="","",IF(N4354=_xlfn.MAXIFS($N$2:$N$5001,$B$2:$B$5001,B4354,$I$2:$I$5001,I4354),1,0))</f>
        <v/>
      </c>
      <c r="M4354" s="16" t="str">
        <f aca="false">IF(B4354="","",IF(E4354="Em ajustes",IF(N4354=_xlfn.MINIFS($N$2:$N$5001,$B$2:$B$5001,B4354,$E$2:$E$5001,"Em ajustes"),1,0),0))</f>
        <v/>
      </c>
      <c r="N4354" s="17" t="str">
        <f aca="false">IF(A4354="","",IF(ISNUMBER(A4354),A4354,IFERROR(DATE(VALUE(MID(A4354,7,4)),VALUE(MID(A4354,4,2)),VALUE(MID(A4354,1,2)))+TIME(VALUE(MID(A4354,12,2)),VALUE(MID(A4354,15,2)),VALUE(MID(A4354,18,2))),"")))</f>
        <v/>
      </c>
    </row>
    <row r="4355" customFormat="false" ht="15" hidden="false" customHeight="false" outlineLevel="0" collapsed="false">
      <c r="I4355" s="15" t="str">
        <f aca="false">IF(N4355="","",INT(N4355))</f>
        <v/>
      </c>
      <c r="J4355" s="16" t="str">
        <f aca="false">IF(B4355="","",IF(N4355=_xlfn.MINIFS($N$2:$N$5001,$B$2:$B$5001,B4355),1,0))</f>
        <v/>
      </c>
      <c r="K4355" s="16" t="str">
        <f aca="false">IF(B4355="","",IF(AND(D4355="Formalização",E4355="Concluído"),IF(COUNTIFS($B$2:$B$5001,B4355,$E$2:$E$5001,"Em ajustes",$N$2:$N$5001,"&lt;"&amp;I4355)&gt;0,1,0),0))</f>
        <v/>
      </c>
      <c r="L4355" s="16" t="str">
        <f aca="false">IF(B4355="","",IF(N4355=_xlfn.MAXIFS($N$2:$N$5001,$B$2:$B$5001,B4355,$I$2:$I$5001,I4355),1,0))</f>
        <v/>
      </c>
      <c r="M4355" s="16" t="str">
        <f aca="false">IF(B4355="","",IF(E4355="Em ajustes",IF(N4355=_xlfn.MINIFS($N$2:$N$5001,$B$2:$B$5001,B4355,$E$2:$E$5001,"Em ajustes"),1,0),0))</f>
        <v/>
      </c>
      <c r="N4355" s="17" t="str">
        <f aca="false">IF(A4355="","",IF(ISNUMBER(A4355),A4355,IFERROR(DATE(VALUE(MID(A4355,7,4)),VALUE(MID(A4355,4,2)),VALUE(MID(A4355,1,2)))+TIME(VALUE(MID(A4355,12,2)),VALUE(MID(A4355,15,2)),VALUE(MID(A4355,18,2))),"")))</f>
        <v/>
      </c>
    </row>
    <row r="4356" customFormat="false" ht="15" hidden="false" customHeight="false" outlineLevel="0" collapsed="false">
      <c r="I4356" s="15" t="str">
        <f aca="false">IF(N4356="","",INT(N4356))</f>
        <v/>
      </c>
      <c r="J4356" s="16" t="str">
        <f aca="false">IF(B4356="","",IF(N4356=_xlfn.MINIFS($N$2:$N$5001,$B$2:$B$5001,B4356),1,0))</f>
        <v/>
      </c>
      <c r="K4356" s="16" t="str">
        <f aca="false">IF(B4356="","",IF(AND(D4356="Formalização",E4356="Concluído"),IF(COUNTIFS($B$2:$B$5001,B4356,$E$2:$E$5001,"Em ajustes",$N$2:$N$5001,"&lt;"&amp;I4356)&gt;0,1,0),0))</f>
        <v/>
      </c>
      <c r="L4356" s="16" t="str">
        <f aca="false">IF(B4356="","",IF(N4356=_xlfn.MAXIFS($N$2:$N$5001,$B$2:$B$5001,B4356,$I$2:$I$5001,I4356),1,0))</f>
        <v/>
      </c>
      <c r="M4356" s="16" t="str">
        <f aca="false">IF(B4356="","",IF(E4356="Em ajustes",IF(N4356=_xlfn.MINIFS($N$2:$N$5001,$B$2:$B$5001,B4356,$E$2:$E$5001,"Em ajustes"),1,0),0))</f>
        <v/>
      </c>
      <c r="N4356" s="17" t="str">
        <f aca="false">IF(A4356="","",IF(ISNUMBER(A4356),A4356,IFERROR(DATE(VALUE(MID(A4356,7,4)),VALUE(MID(A4356,4,2)),VALUE(MID(A4356,1,2)))+TIME(VALUE(MID(A4356,12,2)),VALUE(MID(A4356,15,2)),VALUE(MID(A4356,18,2))),"")))</f>
        <v/>
      </c>
    </row>
    <row r="4357" customFormat="false" ht="15" hidden="false" customHeight="false" outlineLevel="0" collapsed="false">
      <c r="I4357" s="15" t="str">
        <f aca="false">IF(N4357="","",INT(N4357))</f>
        <v/>
      </c>
      <c r="J4357" s="16" t="str">
        <f aca="false">IF(B4357="","",IF(N4357=_xlfn.MINIFS($N$2:$N$5001,$B$2:$B$5001,B4357),1,0))</f>
        <v/>
      </c>
      <c r="K4357" s="16" t="str">
        <f aca="false">IF(B4357="","",IF(AND(D4357="Formalização",E4357="Concluído"),IF(COUNTIFS($B$2:$B$5001,B4357,$E$2:$E$5001,"Em ajustes",$N$2:$N$5001,"&lt;"&amp;I4357)&gt;0,1,0),0))</f>
        <v/>
      </c>
      <c r="L4357" s="16" t="str">
        <f aca="false">IF(B4357="","",IF(N4357=_xlfn.MAXIFS($N$2:$N$5001,$B$2:$B$5001,B4357,$I$2:$I$5001,I4357),1,0))</f>
        <v/>
      </c>
      <c r="M4357" s="16" t="str">
        <f aca="false">IF(B4357="","",IF(E4357="Em ajustes",IF(N4357=_xlfn.MINIFS($N$2:$N$5001,$B$2:$B$5001,B4357,$E$2:$E$5001,"Em ajustes"),1,0),0))</f>
        <v/>
      </c>
      <c r="N4357" s="17" t="str">
        <f aca="false">IF(A4357="","",IF(ISNUMBER(A4357),A4357,IFERROR(DATE(VALUE(MID(A4357,7,4)),VALUE(MID(A4357,4,2)),VALUE(MID(A4357,1,2)))+TIME(VALUE(MID(A4357,12,2)),VALUE(MID(A4357,15,2)),VALUE(MID(A4357,18,2))),"")))</f>
        <v/>
      </c>
    </row>
    <row r="4358" customFormat="false" ht="15" hidden="false" customHeight="false" outlineLevel="0" collapsed="false">
      <c r="I4358" s="15" t="str">
        <f aca="false">IF(N4358="","",INT(N4358))</f>
        <v/>
      </c>
      <c r="J4358" s="16" t="str">
        <f aca="false">IF(B4358="","",IF(N4358=_xlfn.MINIFS($N$2:$N$5001,$B$2:$B$5001,B4358),1,0))</f>
        <v/>
      </c>
      <c r="K4358" s="16" t="str">
        <f aca="false">IF(B4358="","",IF(AND(D4358="Formalização",E4358="Concluído"),IF(COUNTIFS($B$2:$B$5001,B4358,$E$2:$E$5001,"Em ajustes",$N$2:$N$5001,"&lt;"&amp;I4358)&gt;0,1,0),0))</f>
        <v/>
      </c>
      <c r="L4358" s="16" t="str">
        <f aca="false">IF(B4358="","",IF(N4358=_xlfn.MAXIFS($N$2:$N$5001,$B$2:$B$5001,B4358,$I$2:$I$5001,I4358),1,0))</f>
        <v/>
      </c>
      <c r="M4358" s="16" t="str">
        <f aca="false">IF(B4358="","",IF(E4358="Em ajustes",IF(N4358=_xlfn.MINIFS($N$2:$N$5001,$B$2:$B$5001,B4358,$E$2:$E$5001,"Em ajustes"),1,0),0))</f>
        <v/>
      </c>
      <c r="N4358" s="17" t="str">
        <f aca="false">IF(A4358="","",IF(ISNUMBER(A4358),A4358,IFERROR(DATE(VALUE(MID(A4358,7,4)),VALUE(MID(A4358,4,2)),VALUE(MID(A4358,1,2)))+TIME(VALUE(MID(A4358,12,2)),VALUE(MID(A4358,15,2)),VALUE(MID(A4358,18,2))),"")))</f>
        <v/>
      </c>
    </row>
    <row r="4359" customFormat="false" ht="15" hidden="false" customHeight="false" outlineLevel="0" collapsed="false">
      <c r="I4359" s="15" t="str">
        <f aca="false">IF(N4359="","",INT(N4359))</f>
        <v/>
      </c>
      <c r="J4359" s="16" t="str">
        <f aca="false">IF(B4359="","",IF(N4359=_xlfn.MINIFS($N$2:$N$5001,$B$2:$B$5001,B4359),1,0))</f>
        <v/>
      </c>
      <c r="K4359" s="16" t="str">
        <f aca="false">IF(B4359="","",IF(AND(D4359="Formalização",E4359="Concluído"),IF(COUNTIFS($B$2:$B$5001,B4359,$E$2:$E$5001,"Em ajustes",$N$2:$N$5001,"&lt;"&amp;I4359)&gt;0,1,0),0))</f>
        <v/>
      </c>
      <c r="L4359" s="16" t="str">
        <f aca="false">IF(B4359="","",IF(N4359=_xlfn.MAXIFS($N$2:$N$5001,$B$2:$B$5001,B4359,$I$2:$I$5001,I4359),1,0))</f>
        <v/>
      </c>
      <c r="M4359" s="16" t="str">
        <f aca="false">IF(B4359="","",IF(E4359="Em ajustes",IF(N4359=_xlfn.MINIFS($N$2:$N$5001,$B$2:$B$5001,B4359,$E$2:$E$5001,"Em ajustes"),1,0),0))</f>
        <v/>
      </c>
      <c r="N4359" s="17" t="str">
        <f aca="false">IF(A4359="","",IF(ISNUMBER(A4359),A4359,IFERROR(DATE(VALUE(MID(A4359,7,4)),VALUE(MID(A4359,4,2)),VALUE(MID(A4359,1,2)))+TIME(VALUE(MID(A4359,12,2)),VALUE(MID(A4359,15,2)),VALUE(MID(A4359,18,2))),"")))</f>
        <v/>
      </c>
    </row>
    <row r="4360" customFormat="false" ht="15" hidden="false" customHeight="false" outlineLevel="0" collapsed="false">
      <c r="I4360" s="15" t="str">
        <f aca="false">IF(N4360="","",INT(N4360))</f>
        <v/>
      </c>
      <c r="J4360" s="16" t="str">
        <f aca="false">IF(B4360="","",IF(N4360=_xlfn.MINIFS($N$2:$N$5001,$B$2:$B$5001,B4360),1,0))</f>
        <v/>
      </c>
      <c r="K4360" s="16" t="str">
        <f aca="false">IF(B4360="","",IF(AND(D4360="Formalização",E4360="Concluído"),IF(COUNTIFS($B$2:$B$5001,B4360,$E$2:$E$5001,"Em ajustes",$N$2:$N$5001,"&lt;"&amp;I4360)&gt;0,1,0),0))</f>
        <v/>
      </c>
      <c r="L4360" s="16" t="str">
        <f aca="false">IF(B4360="","",IF(N4360=_xlfn.MAXIFS($N$2:$N$5001,$B$2:$B$5001,B4360,$I$2:$I$5001,I4360),1,0))</f>
        <v/>
      </c>
      <c r="M4360" s="16" t="str">
        <f aca="false">IF(B4360="","",IF(E4360="Em ajustes",IF(N4360=_xlfn.MINIFS($N$2:$N$5001,$B$2:$B$5001,B4360,$E$2:$E$5001,"Em ajustes"),1,0),0))</f>
        <v/>
      </c>
      <c r="N4360" s="17" t="str">
        <f aca="false">IF(A4360="","",IF(ISNUMBER(A4360),A4360,IFERROR(DATE(VALUE(MID(A4360,7,4)),VALUE(MID(A4360,4,2)),VALUE(MID(A4360,1,2)))+TIME(VALUE(MID(A4360,12,2)),VALUE(MID(A4360,15,2)),VALUE(MID(A4360,18,2))),"")))</f>
        <v/>
      </c>
    </row>
    <row r="4361" customFormat="false" ht="15" hidden="false" customHeight="false" outlineLevel="0" collapsed="false">
      <c r="I4361" s="15" t="str">
        <f aca="false">IF(N4361="","",INT(N4361))</f>
        <v/>
      </c>
      <c r="J4361" s="16" t="str">
        <f aca="false">IF(B4361="","",IF(N4361=_xlfn.MINIFS($N$2:$N$5001,$B$2:$B$5001,B4361),1,0))</f>
        <v/>
      </c>
      <c r="K4361" s="16" t="str">
        <f aca="false">IF(B4361="","",IF(AND(D4361="Formalização",E4361="Concluído"),IF(COUNTIFS($B$2:$B$5001,B4361,$E$2:$E$5001,"Em ajustes",$N$2:$N$5001,"&lt;"&amp;I4361)&gt;0,1,0),0))</f>
        <v/>
      </c>
      <c r="L4361" s="16" t="str">
        <f aca="false">IF(B4361="","",IF(N4361=_xlfn.MAXIFS($N$2:$N$5001,$B$2:$B$5001,B4361,$I$2:$I$5001,I4361),1,0))</f>
        <v/>
      </c>
      <c r="M4361" s="16" t="str">
        <f aca="false">IF(B4361="","",IF(E4361="Em ajustes",IF(N4361=_xlfn.MINIFS($N$2:$N$5001,$B$2:$B$5001,B4361,$E$2:$E$5001,"Em ajustes"),1,0),0))</f>
        <v/>
      </c>
      <c r="N4361" s="17" t="str">
        <f aca="false">IF(A4361="","",IF(ISNUMBER(A4361),A4361,IFERROR(DATE(VALUE(MID(A4361,7,4)),VALUE(MID(A4361,4,2)),VALUE(MID(A4361,1,2)))+TIME(VALUE(MID(A4361,12,2)),VALUE(MID(A4361,15,2)),VALUE(MID(A4361,18,2))),"")))</f>
        <v/>
      </c>
    </row>
    <row r="4362" customFormat="false" ht="15" hidden="false" customHeight="false" outlineLevel="0" collapsed="false">
      <c r="I4362" s="15" t="str">
        <f aca="false">IF(N4362="","",INT(N4362))</f>
        <v/>
      </c>
      <c r="J4362" s="16" t="str">
        <f aca="false">IF(B4362="","",IF(N4362=_xlfn.MINIFS($N$2:$N$5001,$B$2:$B$5001,B4362),1,0))</f>
        <v/>
      </c>
      <c r="K4362" s="16" t="str">
        <f aca="false">IF(B4362="","",IF(AND(D4362="Formalização",E4362="Concluído"),IF(COUNTIFS($B$2:$B$5001,B4362,$E$2:$E$5001,"Em ajustes",$N$2:$N$5001,"&lt;"&amp;I4362)&gt;0,1,0),0))</f>
        <v/>
      </c>
      <c r="L4362" s="16" t="str">
        <f aca="false">IF(B4362="","",IF(N4362=_xlfn.MAXIFS($N$2:$N$5001,$B$2:$B$5001,B4362,$I$2:$I$5001,I4362),1,0))</f>
        <v/>
      </c>
      <c r="M4362" s="16" t="str">
        <f aca="false">IF(B4362="","",IF(E4362="Em ajustes",IF(N4362=_xlfn.MINIFS($N$2:$N$5001,$B$2:$B$5001,B4362,$E$2:$E$5001,"Em ajustes"),1,0),0))</f>
        <v/>
      </c>
      <c r="N4362" s="17" t="str">
        <f aca="false">IF(A4362="","",IF(ISNUMBER(A4362),A4362,IFERROR(DATE(VALUE(MID(A4362,7,4)),VALUE(MID(A4362,4,2)),VALUE(MID(A4362,1,2)))+TIME(VALUE(MID(A4362,12,2)),VALUE(MID(A4362,15,2)),VALUE(MID(A4362,18,2))),"")))</f>
        <v/>
      </c>
    </row>
    <row r="4363" customFormat="false" ht="15" hidden="false" customHeight="false" outlineLevel="0" collapsed="false">
      <c r="I4363" s="15" t="str">
        <f aca="false">IF(N4363="","",INT(N4363))</f>
        <v/>
      </c>
      <c r="J4363" s="16" t="str">
        <f aca="false">IF(B4363="","",IF(N4363=_xlfn.MINIFS($N$2:$N$5001,$B$2:$B$5001,B4363),1,0))</f>
        <v/>
      </c>
      <c r="K4363" s="16" t="str">
        <f aca="false">IF(B4363="","",IF(AND(D4363="Formalização",E4363="Concluído"),IF(COUNTIFS($B$2:$B$5001,B4363,$E$2:$E$5001,"Em ajustes",$N$2:$N$5001,"&lt;"&amp;I4363)&gt;0,1,0),0))</f>
        <v/>
      </c>
      <c r="L4363" s="16" t="str">
        <f aca="false">IF(B4363="","",IF(N4363=_xlfn.MAXIFS($N$2:$N$5001,$B$2:$B$5001,B4363,$I$2:$I$5001,I4363),1,0))</f>
        <v/>
      </c>
      <c r="M4363" s="16" t="str">
        <f aca="false">IF(B4363="","",IF(E4363="Em ajustes",IF(N4363=_xlfn.MINIFS($N$2:$N$5001,$B$2:$B$5001,B4363,$E$2:$E$5001,"Em ajustes"),1,0),0))</f>
        <v/>
      </c>
      <c r="N4363" s="17" t="str">
        <f aca="false">IF(A4363="","",IF(ISNUMBER(A4363),A4363,IFERROR(DATE(VALUE(MID(A4363,7,4)),VALUE(MID(A4363,4,2)),VALUE(MID(A4363,1,2)))+TIME(VALUE(MID(A4363,12,2)),VALUE(MID(A4363,15,2)),VALUE(MID(A4363,18,2))),"")))</f>
        <v/>
      </c>
    </row>
    <row r="4364" customFormat="false" ht="15" hidden="false" customHeight="false" outlineLevel="0" collapsed="false">
      <c r="I4364" s="15" t="str">
        <f aca="false">IF(N4364="","",INT(N4364))</f>
        <v/>
      </c>
      <c r="J4364" s="16" t="str">
        <f aca="false">IF(B4364="","",IF(N4364=_xlfn.MINIFS($N$2:$N$5001,$B$2:$B$5001,B4364),1,0))</f>
        <v/>
      </c>
      <c r="K4364" s="16" t="str">
        <f aca="false">IF(B4364="","",IF(AND(D4364="Formalização",E4364="Concluído"),IF(COUNTIFS($B$2:$B$5001,B4364,$E$2:$E$5001,"Em ajustes",$N$2:$N$5001,"&lt;"&amp;I4364)&gt;0,1,0),0))</f>
        <v/>
      </c>
      <c r="L4364" s="16" t="str">
        <f aca="false">IF(B4364="","",IF(N4364=_xlfn.MAXIFS($N$2:$N$5001,$B$2:$B$5001,B4364,$I$2:$I$5001,I4364),1,0))</f>
        <v/>
      </c>
      <c r="M4364" s="16" t="str">
        <f aca="false">IF(B4364="","",IF(E4364="Em ajustes",IF(N4364=_xlfn.MINIFS($N$2:$N$5001,$B$2:$B$5001,B4364,$E$2:$E$5001,"Em ajustes"),1,0),0))</f>
        <v/>
      </c>
      <c r="N4364" s="17" t="str">
        <f aca="false">IF(A4364="","",IF(ISNUMBER(A4364),A4364,IFERROR(DATE(VALUE(MID(A4364,7,4)),VALUE(MID(A4364,4,2)),VALUE(MID(A4364,1,2)))+TIME(VALUE(MID(A4364,12,2)),VALUE(MID(A4364,15,2)),VALUE(MID(A4364,18,2))),"")))</f>
        <v/>
      </c>
    </row>
    <row r="4365" customFormat="false" ht="15" hidden="false" customHeight="false" outlineLevel="0" collapsed="false">
      <c r="I4365" s="15" t="str">
        <f aca="false">IF(N4365="","",INT(N4365))</f>
        <v/>
      </c>
      <c r="J4365" s="16" t="str">
        <f aca="false">IF(B4365="","",IF(N4365=_xlfn.MINIFS($N$2:$N$5001,$B$2:$B$5001,B4365),1,0))</f>
        <v/>
      </c>
      <c r="K4365" s="16" t="str">
        <f aca="false">IF(B4365="","",IF(AND(D4365="Formalização",E4365="Concluído"),IF(COUNTIFS($B$2:$B$5001,B4365,$E$2:$E$5001,"Em ajustes",$N$2:$N$5001,"&lt;"&amp;I4365)&gt;0,1,0),0))</f>
        <v/>
      </c>
      <c r="L4365" s="16" t="str">
        <f aca="false">IF(B4365="","",IF(N4365=_xlfn.MAXIFS($N$2:$N$5001,$B$2:$B$5001,B4365,$I$2:$I$5001,I4365),1,0))</f>
        <v/>
      </c>
      <c r="M4365" s="16" t="str">
        <f aca="false">IF(B4365="","",IF(E4365="Em ajustes",IF(N4365=_xlfn.MINIFS($N$2:$N$5001,$B$2:$B$5001,B4365,$E$2:$E$5001,"Em ajustes"),1,0),0))</f>
        <v/>
      </c>
      <c r="N4365" s="17" t="str">
        <f aca="false">IF(A4365="","",IF(ISNUMBER(A4365),A4365,IFERROR(DATE(VALUE(MID(A4365,7,4)),VALUE(MID(A4365,4,2)),VALUE(MID(A4365,1,2)))+TIME(VALUE(MID(A4365,12,2)),VALUE(MID(A4365,15,2)),VALUE(MID(A4365,18,2))),"")))</f>
        <v/>
      </c>
    </row>
    <row r="4366" customFormat="false" ht="15" hidden="false" customHeight="false" outlineLevel="0" collapsed="false">
      <c r="I4366" s="15" t="str">
        <f aca="false">IF(N4366="","",INT(N4366))</f>
        <v/>
      </c>
      <c r="J4366" s="16" t="str">
        <f aca="false">IF(B4366="","",IF(N4366=_xlfn.MINIFS($N$2:$N$5001,$B$2:$B$5001,B4366),1,0))</f>
        <v/>
      </c>
      <c r="K4366" s="16" t="str">
        <f aca="false">IF(B4366="","",IF(AND(D4366="Formalização",E4366="Concluído"),IF(COUNTIFS($B$2:$B$5001,B4366,$E$2:$E$5001,"Em ajustes",$N$2:$N$5001,"&lt;"&amp;I4366)&gt;0,1,0),0))</f>
        <v/>
      </c>
      <c r="L4366" s="16" t="str">
        <f aca="false">IF(B4366="","",IF(N4366=_xlfn.MAXIFS($N$2:$N$5001,$B$2:$B$5001,B4366,$I$2:$I$5001,I4366),1,0))</f>
        <v/>
      </c>
      <c r="M4366" s="16" t="str">
        <f aca="false">IF(B4366="","",IF(E4366="Em ajustes",IF(N4366=_xlfn.MINIFS($N$2:$N$5001,$B$2:$B$5001,B4366,$E$2:$E$5001,"Em ajustes"),1,0),0))</f>
        <v/>
      </c>
      <c r="N4366" s="17" t="str">
        <f aca="false">IF(A4366="","",IF(ISNUMBER(A4366),A4366,IFERROR(DATE(VALUE(MID(A4366,7,4)),VALUE(MID(A4366,4,2)),VALUE(MID(A4366,1,2)))+TIME(VALUE(MID(A4366,12,2)),VALUE(MID(A4366,15,2)),VALUE(MID(A4366,18,2))),"")))</f>
        <v/>
      </c>
    </row>
    <row r="4367" customFormat="false" ht="15" hidden="false" customHeight="false" outlineLevel="0" collapsed="false">
      <c r="I4367" s="15" t="str">
        <f aca="false">IF(N4367="","",INT(N4367))</f>
        <v/>
      </c>
      <c r="J4367" s="16" t="str">
        <f aca="false">IF(B4367="","",IF(N4367=_xlfn.MINIFS($N$2:$N$5001,$B$2:$B$5001,B4367),1,0))</f>
        <v/>
      </c>
      <c r="K4367" s="16" t="str">
        <f aca="false">IF(B4367="","",IF(AND(D4367="Formalização",E4367="Concluído"),IF(COUNTIFS($B$2:$B$5001,B4367,$E$2:$E$5001,"Em ajustes",$N$2:$N$5001,"&lt;"&amp;I4367)&gt;0,1,0),0))</f>
        <v/>
      </c>
      <c r="L4367" s="16" t="str">
        <f aca="false">IF(B4367="","",IF(N4367=_xlfn.MAXIFS($N$2:$N$5001,$B$2:$B$5001,B4367,$I$2:$I$5001,I4367),1,0))</f>
        <v/>
      </c>
      <c r="M4367" s="16" t="str">
        <f aca="false">IF(B4367="","",IF(E4367="Em ajustes",IF(N4367=_xlfn.MINIFS($N$2:$N$5001,$B$2:$B$5001,B4367,$E$2:$E$5001,"Em ajustes"),1,0),0))</f>
        <v/>
      </c>
      <c r="N4367" s="17" t="str">
        <f aca="false">IF(A4367="","",IF(ISNUMBER(A4367),A4367,IFERROR(DATE(VALUE(MID(A4367,7,4)),VALUE(MID(A4367,4,2)),VALUE(MID(A4367,1,2)))+TIME(VALUE(MID(A4367,12,2)),VALUE(MID(A4367,15,2)),VALUE(MID(A4367,18,2))),"")))</f>
        <v/>
      </c>
    </row>
    <row r="4368" customFormat="false" ht="15" hidden="false" customHeight="false" outlineLevel="0" collapsed="false">
      <c r="I4368" s="15" t="str">
        <f aca="false">IF(N4368="","",INT(N4368))</f>
        <v/>
      </c>
      <c r="J4368" s="16" t="str">
        <f aca="false">IF(B4368="","",IF(N4368=_xlfn.MINIFS($N$2:$N$5001,$B$2:$B$5001,B4368),1,0))</f>
        <v/>
      </c>
      <c r="K4368" s="16" t="str">
        <f aca="false">IF(B4368="","",IF(AND(D4368="Formalização",E4368="Concluído"),IF(COUNTIFS($B$2:$B$5001,B4368,$E$2:$E$5001,"Em ajustes",$N$2:$N$5001,"&lt;"&amp;I4368)&gt;0,1,0),0))</f>
        <v/>
      </c>
      <c r="L4368" s="16" t="str">
        <f aca="false">IF(B4368="","",IF(N4368=_xlfn.MAXIFS($N$2:$N$5001,$B$2:$B$5001,B4368,$I$2:$I$5001,I4368),1,0))</f>
        <v/>
      </c>
      <c r="M4368" s="16" t="str">
        <f aca="false">IF(B4368="","",IF(E4368="Em ajustes",IF(N4368=_xlfn.MINIFS($N$2:$N$5001,$B$2:$B$5001,B4368,$E$2:$E$5001,"Em ajustes"),1,0),0))</f>
        <v/>
      </c>
      <c r="N4368" s="17" t="str">
        <f aca="false">IF(A4368="","",IF(ISNUMBER(A4368),A4368,IFERROR(DATE(VALUE(MID(A4368,7,4)),VALUE(MID(A4368,4,2)),VALUE(MID(A4368,1,2)))+TIME(VALUE(MID(A4368,12,2)),VALUE(MID(A4368,15,2)),VALUE(MID(A4368,18,2))),"")))</f>
        <v/>
      </c>
    </row>
    <row r="4369" customFormat="false" ht="15" hidden="false" customHeight="false" outlineLevel="0" collapsed="false">
      <c r="I4369" s="15" t="str">
        <f aca="false">IF(N4369="","",INT(N4369))</f>
        <v/>
      </c>
      <c r="J4369" s="16" t="str">
        <f aca="false">IF(B4369="","",IF(N4369=_xlfn.MINIFS($N$2:$N$5001,$B$2:$B$5001,B4369),1,0))</f>
        <v/>
      </c>
      <c r="K4369" s="16" t="str">
        <f aca="false">IF(B4369="","",IF(AND(D4369="Formalização",E4369="Concluído"),IF(COUNTIFS($B$2:$B$5001,B4369,$E$2:$E$5001,"Em ajustes",$N$2:$N$5001,"&lt;"&amp;I4369)&gt;0,1,0),0))</f>
        <v/>
      </c>
      <c r="L4369" s="16" t="str">
        <f aca="false">IF(B4369="","",IF(N4369=_xlfn.MAXIFS($N$2:$N$5001,$B$2:$B$5001,B4369,$I$2:$I$5001,I4369),1,0))</f>
        <v/>
      </c>
      <c r="M4369" s="16" t="str">
        <f aca="false">IF(B4369="","",IF(E4369="Em ajustes",IF(N4369=_xlfn.MINIFS($N$2:$N$5001,$B$2:$B$5001,B4369,$E$2:$E$5001,"Em ajustes"),1,0),0))</f>
        <v/>
      </c>
      <c r="N4369" s="17" t="str">
        <f aca="false">IF(A4369="","",IF(ISNUMBER(A4369),A4369,IFERROR(DATE(VALUE(MID(A4369,7,4)),VALUE(MID(A4369,4,2)),VALUE(MID(A4369,1,2)))+TIME(VALUE(MID(A4369,12,2)),VALUE(MID(A4369,15,2)),VALUE(MID(A4369,18,2))),"")))</f>
        <v/>
      </c>
    </row>
    <row r="4370" customFormat="false" ht="15" hidden="false" customHeight="false" outlineLevel="0" collapsed="false">
      <c r="I4370" s="15" t="str">
        <f aca="false">IF(N4370="","",INT(N4370))</f>
        <v/>
      </c>
      <c r="J4370" s="16" t="str">
        <f aca="false">IF(B4370="","",IF(N4370=_xlfn.MINIFS($N$2:$N$5001,$B$2:$B$5001,B4370),1,0))</f>
        <v/>
      </c>
      <c r="K4370" s="16" t="str">
        <f aca="false">IF(B4370="","",IF(AND(D4370="Formalização",E4370="Concluído"),IF(COUNTIFS($B$2:$B$5001,B4370,$E$2:$E$5001,"Em ajustes",$N$2:$N$5001,"&lt;"&amp;I4370)&gt;0,1,0),0))</f>
        <v/>
      </c>
      <c r="L4370" s="16" t="str">
        <f aca="false">IF(B4370="","",IF(N4370=_xlfn.MAXIFS($N$2:$N$5001,$B$2:$B$5001,B4370,$I$2:$I$5001,I4370),1,0))</f>
        <v/>
      </c>
      <c r="M4370" s="16" t="str">
        <f aca="false">IF(B4370="","",IF(E4370="Em ajustes",IF(N4370=_xlfn.MINIFS($N$2:$N$5001,$B$2:$B$5001,B4370,$E$2:$E$5001,"Em ajustes"),1,0),0))</f>
        <v/>
      </c>
      <c r="N4370" s="17" t="str">
        <f aca="false">IF(A4370="","",IF(ISNUMBER(A4370),A4370,IFERROR(DATE(VALUE(MID(A4370,7,4)),VALUE(MID(A4370,4,2)),VALUE(MID(A4370,1,2)))+TIME(VALUE(MID(A4370,12,2)),VALUE(MID(A4370,15,2)),VALUE(MID(A4370,18,2))),"")))</f>
        <v/>
      </c>
    </row>
    <row r="4371" customFormat="false" ht="15" hidden="false" customHeight="false" outlineLevel="0" collapsed="false">
      <c r="I4371" s="15" t="str">
        <f aca="false">IF(N4371="","",INT(N4371))</f>
        <v/>
      </c>
      <c r="J4371" s="16" t="str">
        <f aca="false">IF(B4371="","",IF(N4371=_xlfn.MINIFS($N$2:$N$5001,$B$2:$B$5001,B4371),1,0))</f>
        <v/>
      </c>
      <c r="K4371" s="16" t="str">
        <f aca="false">IF(B4371="","",IF(AND(D4371="Formalização",E4371="Concluído"),IF(COUNTIFS($B$2:$B$5001,B4371,$E$2:$E$5001,"Em ajustes",$N$2:$N$5001,"&lt;"&amp;I4371)&gt;0,1,0),0))</f>
        <v/>
      </c>
      <c r="L4371" s="16" t="str">
        <f aca="false">IF(B4371="","",IF(N4371=_xlfn.MAXIFS($N$2:$N$5001,$B$2:$B$5001,B4371,$I$2:$I$5001,I4371),1,0))</f>
        <v/>
      </c>
      <c r="M4371" s="16" t="str">
        <f aca="false">IF(B4371="","",IF(E4371="Em ajustes",IF(N4371=_xlfn.MINIFS($N$2:$N$5001,$B$2:$B$5001,B4371,$E$2:$E$5001,"Em ajustes"),1,0),0))</f>
        <v/>
      </c>
      <c r="N4371" s="17" t="str">
        <f aca="false">IF(A4371="","",IF(ISNUMBER(A4371),A4371,IFERROR(DATE(VALUE(MID(A4371,7,4)),VALUE(MID(A4371,4,2)),VALUE(MID(A4371,1,2)))+TIME(VALUE(MID(A4371,12,2)),VALUE(MID(A4371,15,2)),VALUE(MID(A4371,18,2))),"")))</f>
        <v/>
      </c>
    </row>
    <row r="4372" customFormat="false" ht="15" hidden="false" customHeight="false" outlineLevel="0" collapsed="false">
      <c r="I4372" s="15" t="str">
        <f aca="false">IF(N4372="","",INT(N4372))</f>
        <v/>
      </c>
      <c r="J4372" s="16" t="str">
        <f aca="false">IF(B4372="","",IF(N4372=_xlfn.MINIFS($N$2:$N$5001,$B$2:$B$5001,B4372),1,0))</f>
        <v/>
      </c>
      <c r="K4372" s="16" t="str">
        <f aca="false">IF(B4372="","",IF(AND(D4372="Formalização",E4372="Concluído"),IF(COUNTIFS($B$2:$B$5001,B4372,$E$2:$E$5001,"Em ajustes",$N$2:$N$5001,"&lt;"&amp;I4372)&gt;0,1,0),0))</f>
        <v/>
      </c>
      <c r="L4372" s="16" t="str">
        <f aca="false">IF(B4372="","",IF(N4372=_xlfn.MAXIFS($N$2:$N$5001,$B$2:$B$5001,B4372,$I$2:$I$5001,I4372),1,0))</f>
        <v/>
      </c>
      <c r="M4372" s="16" t="str">
        <f aca="false">IF(B4372="","",IF(E4372="Em ajustes",IF(N4372=_xlfn.MINIFS($N$2:$N$5001,$B$2:$B$5001,B4372,$E$2:$E$5001,"Em ajustes"),1,0),0))</f>
        <v/>
      </c>
      <c r="N4372" s="17" t="str">
        <f aca="false">IF(A4372="","",IF(ISNUMBER(A4372),A4372,IFERROR(DATE(VALUE(MID(A4372,7,4)),VALUE(MID(A4372,4,2)),VALUE(MID(A4372,1,2)))+TIME(VALUE(MID(A4372,12,2)),VALUE(MID(A4372,15,2)),VALUE(MID(A4372,18,2))),"")))</f>
        <v/>
      </c>
    </row>
    <row r="4373" customFormat="false" ht="15" hidden="false" customHeight="false" outlineLevel="0" collapsed="false">
      <c r="I4373" s="15" t="str">
        <f aca="false">IF(N4373="","",INT(N4373))</f>
        <v/>
      </c>
      <c r="J4373" s="16" t="str">
        <f aca="false">IF(B4373="","",IF(N4373=_xlfn.MINIFS($N$2:$N$5001,$B$2:$B$5001,B4373),1,0))</f>
        <v/>
      </c>
      <c r="K4373" s="16" t="str">
        <f aca="false">IF(B4373="","",IF(AND(D4373="Formalização",E4373="Concluído"),IF(COUNTIFS($B$2:$B$5001,B4373,$E$2:$E$5001,"Em ajustes",$N$2:$N$5001,"&lt;"&amp;I4373)&gt;0,1,0),0))</f>
        <v/>
      </c>
      <c r="L4373" s="16" t="str">
        <f aca="false">IF(B4373="","",IF(N4373=_xlfn.MAXIFS($N$2:$N$5001,$B$2:$B$5001,B4373,$I$2:$I$5001,I4373),1,0))</f>
        <v/>
      </c>
      <c r="M4373" s="16" t="str">
        <f aca="false">IF(B4373="","",IF(E4373="Em ajustes",IF(N4373=_xlfn.MINIFS($N$2:$N$5001,$B$2:$B$5001,B4373,$E$2:$E$5001,"Em ajustes"),1,0),0))</f>
        <v/>
      </c>
      <c r="N4373" s="17" t="str">
        <f aca="false">IF(A4373="","",IF(ISNUMBER(A4373),A4373,IFERROR(DATE(VALUE(MID(A4373,7,4)),VALUE(MID(A4373,4,2)),VALUE(MID(A4373,1,2)))+TIME(VALUE(MID(A4373,12,2)),VALUE(MID(A4373,15,2)),VALUE(MID(A4373,18,2))),"")))</f>
        <v/>
      </c>
    </row>
    <row r="4374" customFormat="false" ht="15" hidden="false" customHeight="false" outlineLevel="0" collapsed="false">
      <c r="I4374" s="15" t="str">
        <f aca="false">IF(N4374="","",INT(N4374))</f>
        <v/>
      </c>
      <c r="J4374" s="16" t="str">
        <f aca="false">IF(B4374="","",IF(N4374=_xlfn.MINIFS($N$2:$N$5001,$B$2:$B$5001,B4374),1,0))</f>
        <v/>
      </c>
      <c r="K4374" s="16" t="str">
        <f aca="false">IF(B4374="","",IF(AND(D4374="Formalização",E4374="Concluído"),IF(COUNTIFS($B$2:$B$5001,B4374,$E$2:$E$5001,"Em ajustes",$N$2:$N$5001,"&lt;"&amp;I4374)&gt;0,1,0),0))</f>
        <v/>
      </c>
      <c r="L4374" s="16" t="str">
        <f aca="false">IF(B4374="","",IF(N4374=_xlfn.MAXIFS($N$2:$N$5001,$B$2:$B$5001,B4374,$I$2:$I$5001,I4374),1,0))</f>
        <v/>
      </c>
      <c r="M4374" s="16" t="str">
        <f aca="false">IF(B4374="","",IF(E4374="Em ajustes",IF(N4374=_xlfn.MINIFS($N$2:$N$5001,$B$2:$B$5001,B4374,$E$2:$E$5001,"Em ajustes"),1,0),0))</f>
        <v/>
      </c>
      <c r="N4374" s="17" t="str">
        <f aca="false">IF(A4374="","",IF(ISNUMBER(A4374),A4374,IFERROR(DATE(VALUE(MID(A4374,7,4)),VALUE(MID(A4374,4,2)),VALUE(MID(A4374,1,2)))+TIME(VALUE(MID(A4374,12,2)),VALUE(MID(A4374,15,2)),VALUE(MID(A4374,18,2))),"")))</f>
        <v/>
      </c>
    </row>
    <row r="4375" customFormat="false" ht="15" hidden="false" customHeight="false" outlineLevel="0" collapsed="false">
      <c r="I4375" s="15" t="str">
        <f aca="false">IF(N4375="","",INT(N4375))</f>
        <v/>
      </c>
      <c r="J4375" s="16" t="str">
        <f aca="false">IF(B4375="","",IF(N4375=_xlfn.MINIFS($N$2:$N$5001,$B$2:$B$5001,B4375),1,0))</f>
        <v/>
      </c>
      <c r="K4375" s="16" t="str">
        <f aca="false">IF(B4375="","",IF(AND(D4375="Formalização",E4375="Concluído"),IF(COUNTIFS($B$2:$B$5001,B4375,$E$2:$E$5001,"Em ajustes",$N$2:$N$5001,"&lt;"&amp;I4375)&gt;0,1,0),0))</f>
        <v/>
      </c>
      <c r="L4375" s="16" t="str">
        <f aca="false">IF(B4375="","",IF(N4375=_xlfn.MAXIFS($N$2:$N$5001,$B$2:$B$5001,B4375,$I$2:$I$5001,I4375),1,0))</f>
        <v/>
      </c>
      <c r="M4375" s="16" t="str">
        <f aca="false">IF(B4375="","",IF(E4375="Em ajustes",IF(N4375=_xlfn.MINIFS($N$2:$N$5001,$B$2:$B$5001,B4375,$E$2:$E$5001,"Em ajustes"),1,0),0))</f>
        <v/>
      </c>
      <c r="N4375" s="17" t="str">
        <f aca="false">IF(A4375="","",IF(ISNUMBER(A4375),A4375,IFERROR(DATE(VALUE(MID(A4375,7,4)),VALUE(MID(A4375,4,2)),VALUE(MID(A4375,1,2)))+TIME(VALUE(MID(A4375,12,2)),VALUE(MID(A4375,15,2)),VALUE(MID(A4375,18,2))),"")))</f>
        <v/>
      </c>
    </row>
    <row r="4376" customFormat="false" ht="15" hidden="false" customHeight="false" outlineLevel="0" collapsed="false">
      <c r="I4376" s="15" t="str">
        <f aca="false">IF(N4376="","",INT(N4376))</f>
        <v/>
      </c>
      <c r="J4376" s="16" t="str">
        <f aca="false">IF(B4376="","",IF(N4376=_xlfn.MINIFS($N$2:$N$5001,$B$2:$B$5001,B4376),1,0))</f>
        <v/>
      </c>
      <c r="K4376" s="16" t="str">
        <f aca="false">IF(B4376="","",IF(AND(D4376="Formalização",E4376="Concluído"),IF(COUNTIFS($B$2:$B$5001,B4376,$E$2:$E$5001,"Em ajustes",$N$2:$N$5001,"&lt;"&amp;I4376)&gt;0,1,0),0))</f>
        <v/>
      </c>
      <c r="L4376" s="16" t="str">
        <f aca="false">IF(B4376="","",IF(N4376=_xlfn.MAXIFS($N$2:$N$5001,$B$2:$B$5001,B4376,$I$2:$I$5001,I4376),1,0))</f>
        <v/>
      </c>
      <c r="M4376" s="16" t="str">
        <f aca="false">IF(B4376="","",IF(E4376="Em ajustes",IF(N4376=_xlfn.MINIFS($N$2:$N$5001,$B$2:$B$5001,B4376,$E$2:$E$5001,"Em ajustes"),1,0),0))</f>
        <v/>
      </c>
      <c r="N4376" s="17" t="str">
        <f aca="false">IF(A4376="","",IF(ISNUMBER(A4376),A4376,IFERROR(DATE(VALUE(MID(A4376,7,4)),VALUE(MID(A4376,4,2)),VALUE(MID(A4376,1,2)))+TIME(VALUE(MID(A4376,12,2)),VALUE(MID(A4376,15,2)),VALUE(MID(A4376,18,2))),"")))</f>
        <v/>
      </c>
    </row>
    <row r="4377" customFormat="false" ht="15" hidden="false" customHeight="false" outlineLevel="0" collapsed="false">
      <c r="I4377" s="15" t="str">
        <f aca="false">IF(N4377="","",INT(N4377))</f>
        <v/>
      </c>
      <c r="J4377" s="16" t="str">
        <f aca="false">IF(B4377="","",IF(N4377=_xlfn.MINIFS($N$2:$N$5001,$B$2:$B$5001,B4377),1,0))</f>
        <v/>
      </c>
      <c r="K4377" s="16" t="str">
        <f aca="false">IF(B4377="","",IF(AND(D4377="Formalização",E4377="Concluído"),IF(COUNTIFS($B$2:$B$5001,B4377,$E$2:$E$5001,"Em ajustes",$N$2:$N$5001,"&lt;"&amp;I4377)&gt;0,1,0),0))</f>
        <v/>
      </c>
      <c r="L4377" s="16" t="str">
        <f aca="false">IF(B4377="","",IF(N4377=_xlfn.MAXIFS($N$2:$N$5001,$B$2:$B$5001,B4377,$I$2:$I$5001,I4377),1,0))</f>
        <v/>
      </c>
      <c r="M4377" s="16" t="str">
        <f aca="false">IF(B4377="","",IF(E4377="Em ajustes",IF(N4377=_xlfn.MINIFS($N$2:$N$5001,$B$2:$B$5001,B4377,$E$2:$E$5001,"Em ajustes"),1,0),0))</f>
        <v/>
      </c>
      <c r="N4377" s="17" t="str">
        <f aca="false">IF(A4377="","",IF(ISNUMBER(A4377),A4377,IFERROR(DATE(VALUE(MID(A4377,7,4)),VALUE(MID(A4377,4,2)),VALUE(MID(A4377,1,2)))+TIME(VALUE(MID(A4377,12,2)),VALUE(MID(A4377,15,2)),VALUE(MID(A4377,18,2))),"")))</f>
        <v/>
      </c>
    </row>
    <row r="4378" customFormat="false" ht="15" hidden="false" customHeight="false" outlineLevel="0" collapsed="false">
      <c r="I4378" s="15" t="str">
        <f aca="false">IF(N4378="","",INT(N4378))</f>
        <v/>
      </c>
      <c r="J4378" s="16" t="str">
        <f aca="false">IF(B4378="","",IF(N4378=_xlfn.MINIFS($N$2:$N$5001,$B$2:$B$5001,B4378),1,0))</f>
        <v/>
      </c>
      <c r="K4378" s="16" t="str">
        <f aca="false">IF(B4378="","",IF(AND(D4378="Formalização",E4378="Concluído"),IF(COUNTIFS($B$2:$B$5001,B4378,$E$2:$E$5001,"Em ajustes",$N$2:$N$5001,"&lt;"&amp;I4378)&gt;0,1,0),0))</f>
        <v/>
      </c>
      <c r="L4378" s="16" t="str">
        <f aca="false">IF(B4378="","",IF(N4378=_xlfn.MAXIFS($N$2:$N$5001,$B$2:$B$5001,B4378,$I$2:$I$5001,I4378),1,0))</f>
        <v/>
      </c>
      <c r="M4378" s="16" t="str">
        <f aca="false">IF(B4378="","",IF(E4378="Em ajustes",IF(N4378=_xlfn.MINIFS($N$2:$N$5001,$B$2:$B$5001,B4378,$E$2:$E$5001,"Em ajustes"),1,0),0))</f>
        <v/>
      </c>
      <c r="N4378" s="17" t="str">
        <f aca="false">IF(A4378="","",IF(ISNUMBER(A4378),A4378,IFERROR(DATE(VALUE(MID(A4378,7,4)),VALUE(MID(A4378,4,2)),VALUE(MID(A4378,1,2)))+TIME(VALUE(MID(A4378,12,2)),VALUE(MID(A4378,15,2)),VALUE(MID(A4378,18,2))),"")))</f>
        <v/>
      </c>
    </row>
    <row r="4379" customFormat="false" ht="15" hidden="false" customHeight="false" outlineLevel="0" collapsed="false">
      <c r="I4379" s="15" t="str">
        <f aca="false">IF(N4379="","",INT(N4379))</f>
        <v/>
      </c>
      <c r="J4379" s="16" t="str">
        <f aca="false">IF(B4379="","",IF(N4379=_xlfn.MINIFS($N$2:$N$5001,$B$2:$B$5001,B4379),1,0))</f>
        <v/>
      </c>
      <c r="K4379" s="16" t="str">
        <f aca="false">IF(B4379="","",IF(AND(D4379="Formalização",E4379="Concluído"),IF(COUNTIFS($B$2:$B$5001,B4379,$E$2:$E$5001,"Em ajustes",$N$2:$N$5001,"&lt;"&amp;I4379)&gt;0,1,0),0))</f>
        <v/>
      </c>
      <c r="L4379" s="16" t="str">
        <f aca="false">IF(B4379="","",IF(N4379=_xlfn.MAXIFS($N$2:$N$5001,$B$2:$B$5001,B4379,$I$2:$I$5001,I4379),1,0))</f>
        <v/>
      </c>
      <c r="M4379" s="16" t="str">
        <f aca="false">IF(B4379="","",IF(E4379="Em ajustes",IF(N4379=_xlfn.MINIFS($N$2:$N$5001,$B$2:$B$5001,B4379,$E$2:$E$5001,"Em ajustes"),1,0),0))</f>
        <v/>
      </c>
      <c r="N4379" s="17" t="str">
        <f aca="false">IF(A4379="","",IF(ISNUMBER(A4379),A4379,IFERROR(DATE(VALUE(MID(A4379,7,4)),VALUE(MID(A4379,4,2)),VALUE(MID(A4379,1,2)))+TIME(VALUE(MID(A4379,12,2)),VALUE(MID(A4379,15,2)),VALUE(MID(A4379,18,2))),"")))</f>
        <v/>
      </c>
    </row>
    <row r="4380" customFormat="false" ht="15" hidden="false" customHeight="false" outlineLevel="0" collapsed="false">
      <c r="I4380" s="15" t="str">
        <f aca="false">IF(N4380="","",INT(N4380))</f>
        <v/>
      </c>
      <c r="J4380" s="16" t="str">
        <f aca="false">IF(B4380="","",IF(N4380=_xlfn.MINIFS($N$2:$N$5001,$B$2:$B$5001,B4380),1,0))</f>
        <v/>
      </c>
      <c r="K4380" s="16" t="str">
        <f aca="false">IF(B4380="","",IF(AND(D4380="Formalização",E4380="Concluído"),IF(COUNTIFS($B$2:$B$5001,B4380,$E$2:$E$5001,"Em ajustes",$N$2:$N$5001,"&lt;"&amp;I4380)&gt;0,1,0),0))</f>
        <v/>
      </c>
      <c r="L4380" s="16" t="str">
        <f aca="false">IF(B4380="","",IF(N4380=_xlfn.MAXIFS($N$2:$N$5001,$B$2:$B$5001,B4380,$I$2:$I$5001,I4380),1,0))</f>
        <v/>
      </c>
      <c r="M4380" s="16" t="str">
        <f aca="false">IF(B4380="","",IF(E4380="Em ajustes",IF(N4380=_xlfn.MINIFS($N$2:$N$5001,$B$2:$B$5001,B4380,$E$2:$E$5001,"Em ajustes"),1,0),0))</f>
        <v/>
      </c>
      <c r="N4380" s="17" t="str">
        <f aca="false">IF(A4380="","",IF(ISNUMBER(A4380),A4380,IFERROR(DATE(VALUE(MID(A4380,7,4)),VALUE(MID(A4380,4,2)),VALUE(MID(A4380,1,2)))+TIME(VALUE(MID(A4380,12,2)),VALUE(MID(A4380,15,2)),VALUE(MID(A4380,18,2))),"")))</f>
        <v/>
      </c>
    </row>
    <row r="4381" customFormat="false" ht="15" hidden="false" customHeight="false" outlineLevel="0" collapsed="false">
      <c r="I4381" s="15" t="str">
        <f aca="false">IF(N4381="","",INT(N4381))</f>
        <v/>
      </c>
      <c r="J4381" s="16" t="str">
        <f aca="false">IF(B4381="","",IF(N4381=_xlfn.MINIFS($N$2:$N$5001,$B$2:$B$5001,B4381),1,0))</f>
        <v/>
      </c>
      <c r="K4381" s="16" t="str">
        <f aca="false">IF(B4381="","",IF(AND(D4381="Formalização",E4381="Concluído"),IF(COUNTIFS($B$2:$B$5001,B4381,$E$2:$E$5001,"Em ajustes",$N$2:$N$5001,"&lt;"&amp;I4381)&gt;0,1,0),0))</f>
        <v/>
      </c>
      <c r="L4381" s="16" t="str">
        <f aca="false">IF(B4381="","",IF(N4381=_xlfn.MAXIFS($N$2:$N$5001,$B$2:$B$5001,B4381,$I$2:$I$5001,I4381),1,0))</f>
        <v/>
      </c>
      <c r="M4381" s="16" t="str">
        <f aca="false">IF(B4381="","",IF(E4381="Em ajustes",IF(N4381=_xlfn.MINIFS($N$2:$N$5001,$B$2:$B$5001,B4381,$E$2:$E$5001,"Em ajustes"),1,0),0))</f>
        <v/>
      </c>
      <c r="N4381" s="17" t="str">
        <f aca="false">IF(A4381="","",IF(ISNUMBER(A4381),A4381,IFERROR(DATE(VALUE(MID(A4381,7,4)),VALUE(MID(A4381,4,2)),VALUE(MID(A4381,1,2)))+TIME(VALUE(MID(A4381,12,2)),VALUE(MID(A4381,15,2)),VALUE(MID(A4381,18,2))),"")))</f>
        <v/>
      </c>
    </row>
    <row r="4382" customFormat="false" ht="15" hidden="false" customHeight="false" outlineLevel="0" collapsed="false">
      <c r="I4382" s="15" t="str">
        <f aca="false">IF(N4382="","",INT(N4382))</f>
        <v/>
      </c>
      <c r="J4382" s="16" t="str">
        <f aca="false">IF(B4382="","",IF(N4382=_xlfn.MINIFS($N$2:$N$5001,$B$2:$B$5001,B4382),1,0))</f>
        <v/>
      </c>
      <c r="K4382" s="16" t="str">
        <f aca="false">IF(B4382="","",IF(AND(D4382="Formalização",E4382="Concluído"),IF(COUNTIFS($B$2:$B$5001,B4382,$E$2:$E$5001,"Em ajustes",$N$2:$N$5001,"&lt;"&amp;I4382)&gt;0,1,0),0))</f>
        <v/>
      </c>
      <c r="L4382" s="16" t="str">
        <f aca="false">IF(B4382="","",IF(N4382=_xlfn.MAXIFS($N$2:$N$5001,$B$2:$B$5001,B4382,$I$2:$I$5001,I4382),1,0))</f>
        <v/>
      </c>
      <c r="M4382" s="16" t="str">
        <f aca="false">IF(B4382="","",IF(E4382="Em ajustes",IF(N4382=_xlfn.MINIFS($N$2:$N$5001,$B$2:$B$5001,B4382,$E$2:$E$5001,"Em ajustes"),1,0),0))</f>
        <v/>
      </c>
      <c r="N4382" s="17" t="str">
        <f aca="false">IF(A4382="","",IF(ISNUMBER(A4382),A4382,IFERROR(DATE(VALUE(MID(A4382,7,4)),VALUE(MID(A4382,4,2)),VALUE(MID(A4382,1,2)))+TIME(VALUE(MID(A4382,12,2)),VALUE(MID(A4382,15,2)),VALUE(MID(A4382,18,2))),"")))</f>
        <v/>
      </c>
    </row>
    <row r="4383" customFormat="false" ht="15" hidden="false" customHeight="false" outlineLevel="0" collapsed="false">
      <c r="I4383" s="15" t="str">
        <f aca="false">IF(N4383="","",INT(N4383))</f>
        <v/>
      </c>
      <c r="J4383" s="16" t="str">
        <f aca="false">IF(B4383="","",IF(N4383=_xlfn.MINIFS($N$2:$N$5001,$B$2:$B$5001,B4383),1,0))</f>
        <v/>
      </c>
      <c r="K4383" s="16" t="str">
        <f aca="false">IF(B4383="","",IF(AND(D4383="Formalização",E4383="Concluído"),IF(COUNTIFS($B$2:$B$5001,B4383,$E$2:$E$5001,"Em ajustes",$N$2:$N$5001,"&lt;"&amp;I4383)&gt;0,1,0),0))</f>
        <v/>
      </c>
      <c r="L4383" s="16" t="str">
        <f aca="false">IF(B4383="","",IF(N4383=_xlfn.MAXIFS($N$2:$N$5001,$B$2:$B$5001,B4383,$I$2:$I$5001,I4383),1,0))</f>
        <v/>
      </c>
      <c r="M4383" s="16" t="str">
        <f aca="false">IF(B4383="","",IF(E4383="Em ajustes",IF(N4383=_xlfn.MINIFS($N$2:$N$5001,$B$2:$B$5001,B4383,$E$2:$E$5001,"Em ajustes"),1,0),0))</f>
        <v/>
      </c>
      <c r="N4383" s="17" t="str">
        <f aca="false">IF(A4383="","",IF(ISNUMBER(A4383),A4383,IFERROR(DATE(VALUE(MID(A4383,7,4)),VALUE(MID(A4383,4,2)),VALUE(MID(A4383,1,2)))+TIME(VALUE(MID(A4383,12,2)),VALUE(MID(A4383,15,2)),VALUE(MID(A4383,18,2))),"")))</f>
        <v/>
      </c>
    </row>
    <row r="4384" customFormat="false" ht="15" hidden="false" customHeight="false" outlineLevel="0" collapsed="false">
      <c r="I4384" s="15" t="str">
        <f aca="false">IF(N4384="","",INT(N4384))</f>
        <v/>
      </c>
      <c r="J4384" s="16" t="str">
        <f aca="false">IF(B4384="","",IF(N4384=_xlfn.MINIFS($N$2:$N$5001,$B$2:$B$5001,B4384),1,0))</f>
        <v/>
      </c>
      <c r="K4384" s="16" t="str">
        <f aca="false">IF(B4384="","",IF(AND(D4384="Formalização",E4384="Concluído"),IF(COUNTIFS($B$2:$B$5001,B4384,$E$2:$E$5001,"Em ajustes",$N$2:$N$5001,"&lt;"&amp;I4384)&gt;0,1,0),0))</f>
        <v/>
      </c>
      <c r="L4384" s="16" t="str">
        <f aca="false">IF(B4384="","",IF(N4384=_xlfn.MAXIFS($N$2:$N$5001,$B$2:$B$5001,B4384,$I$2:$I$5001,I4384),1,0))</f>
        <v/>
      </c>
      <c r="M4384" s="16" t="str">
        <f aca="false">IF(B4384="","",IF(E4384="Em ajustes",IF(N4384=_xlfn.MINIFS($N$2:$N$5001,$B$2:$B$5001,B4384,$E$2:$E$5001,"Em ajustes"),1,0),0))</f>
        <v/>
      </c>
      <c r="N4384" s="17" t="str">
        <f aca="false">IF(A4384="","",IF(ISNUMBER(A4384),A4384,IFERROR(DATE(VALUE(MID(A4384,7,4)),VALUE(MID(A4384,4,2)),VALUE(MID(A4384,1,2)))+TIME(VALUE(MID(A4384,12,2)),VALUE(MID(A4384,15,2)),VALUE(MID(A4384,18,2))),"")))</f>
        <v/>
      </c>
    </row>
    <row r="4385" customFormat="false" ht="15" hidden="false" customHeight="false" outlineLevel="0" collapsed="false">
      <c r="I4385" s="15" t="str">
        <f aca="false">IF(N4385="","",INT(N4385))</f>
        <v/>
      </c>
      <c r="J4385" s="16" t="str">
        <f aca="false">IF(B4385="","",IF(N4385=_xlfn.MINIFS($N$2:$N$5001,$B$2:$B$5001,B4385),1,0))</f>
        <v/>
      </c>
      <c r="K4385" s="16" t="str">
        <f aca="false">IF(B4385="","",IF(AND(D4385="Formalização",E4385="Concluído"),IF(COUNTIFS($B$2:$B$5001,B4385,$E$2:$E$5001,"Em ajustes",$N$2:$N$5001,"&lt;"&amp;I4385)&gt;0,1,0),0))</f>
        <v/>
      </c>
      <c r="L4385" s="16" t="str">
        <f aca="false">IF(B4385="","",IF(N4385=_xlfn.MAXIFS($N$2:$N$5001,$B$2:$B$5001,B4385,$I$2:$I$5001,I4385),1,0))</f>
        <v/>
      </c>
      <c r="M4385" s="16" t="str">
        <f aca="false">IF(B4385="","",IF(E4385="Em ajustes",IF(N4385=_xlfn.MINIFS($N$2:$N$5001,$B$2:$B$5001,B4385,$E$2:$E$5001,"Em ajustes"),1,0),0))</f>
        <v/>
      </c>
      <c r="N4385" s="17" t="str">
        <f aca="false">IF(A4385="","",IF(ISNUMBER(A4385),A4385,IFERROR(DATE(VALUE(MID(A4385,7,4)),VALUE(MID(A4385,4,2)),VALUE(MID(A4385,1,2)))+TIME(VALUE(MID(A4385,12,2)),VALUE(MID(A4385,15,2)),VALUE(MID(A4385,18,2))),"")))</f>
        <v/>
      </c>
    </row>
    <row r="4386" customFormat="false" ht="15" hidden="false" customHeight="false" outlineLevel="0" collapsed="false">
      <c r="I4386" s="15" t="str">
        <f aca="false">IF(N4386="","",INT(N4386))</f>
        <v/>
      </c>
      <c r="J4386" s="16" t="str">
        <f aca="false">IF(B4386="","",IF(N4386=_xlfn.MINIFS($N$2:$N$5001,$B$2:$B$5001,B4386),1,0))</f>
        <v/>
      </c>
      <c r="K4386" s="16" t="str">
        <f aca="false">IF(B4386="","",IF(AND(D4386="Formalização",E4386="Concluído"),IF(COUNTIFS($B$2:$B$5001,B4386,$E$2:$E$5001,"Em ajustes",$N$2:$N$5001,"&lt;"&amp;I4386)&gt;0,1,0),0))</f>
        <v/>
      </c>
      <c r="L4386" s="16" t="str">
        <f aca="false">IF(B4386="","",IF(N4386=_xlfn.MAXIFS($N$2:$N$5001,$B$2:$B$5001,B4386,$I$2:$I$5001,I4386),1,0))</f>
        <v/>
      </c>
      <c r="M4386" s="16" t="str">
        <f aca="false">IF(B4386="","",IF(E4386="Em ajustes",IF(N4386=_xlfn.MINIFS($N$2:$N$5001,$B$2:$B$5001,B4386,$E$2:$E$5001,"Em ajustes"),1,0),0))</f>
        <v/>
      </c>
      <c r="N4386" s="17" t="str">
        <f aca="false">IF(A4386="","",IF(ISNUMBER(A4386),A4386,IFERROR(DATE(VALUE(MID(A4386,7,4)),VALUE(MID(A4386,4,2)),VALUE(MID(A4386,1,2)))+TIME(VALUE(MID(A4386,12,2)),VALUE(MID(A4386,15,2)),VALUE(MID(A4386,18,2))),"")))</f>
        <v/>
      </c>
    </row>
    <row r="4387" customFormat="false" ht="15" hidden="false" customHeight="false" outlineLevel="0" collapsed="false">
      <c r="I4387" s="15" t="str">
        <f aca="false">IF(N4387="","",INT(N4387))</f>
        <v/>
      </c>
      <c r="J4387" s="16" t="str">
        <f aca="false">IF(B4387="","",IF(N4387=_xlfn.MINIFS($N$2:$N$5001,$B$2:$B$5001,B4387),1,0))</f>
        <v/>
      </c>
      <c r="K4387" s="16" t="str">
        <f aca="false">IF(B4387="","",IF(AND(D4387="Formalização",E4387="Concluído"),IF(COUNTIFS($B$2:$B$5001,B4387,$E$2:$E$5001,"Em ajustes",$N$2:$N$5001,"&lt;"&amp;I4387)&gt;0,1,0),0))</f>
        <v/>
      </c>
      <c r="L4387" s="16" t="str">
        <f aca="false">IF(B4387="","",IF(N4387=_xlfn.MAXIFS($N$2:$N$5001,$B$2:$B$5001,B4387,$I$2:$I$5001,I4387),1,0))</f>
        <v/>
      </c>
      <c r="M4387" s="16" t="str">
        <f aca="false">IF(B4387="","",IF(E4387="Em ajustes",IF(N4387=_xlfn.MINIFS($N$2:$N$5001,$B$2:$B$5001,B4387,$E$2:$E$5001,"Em ajustes"),1,0),0))</f>
        <v/>
      </c>
      <c r="N4387" s="17" t="str">
        <f aca="false">IF(A4387="","",IF(ISNUMBER(A4387),A4387,IFERROR(DATE(VALUE(MID(A4387,7,4)),VALUE(MID(A4387,4,2)),VALUE(MID(A4387,1,2)))+TIME(VALUE(MID(A4387,12,2)),VALUE(MID(A4387,15,2)),VALUE(MID(A4387,18,2))),"")))</f>
        <v/>
      </c>
    </row>
    <row r="4388" customFormat="false" ht="15" hidden="false" customHeight="false" outlineLevel="0" collapsed="false">
      <c r="I4388" s="15" t="str">
        <f aca="false">IF(N4388="","",INT(N4388))</f>
        <v/>
      </c>
      <c r="J4388" s="16" t="str">
        <f aca="false">IF(B4388="","",IF(N4388=_xlfn.MINIFS($N$2:$N$5001,$B$2:$B$5001,B4388),1,0))</f>
        <v/>
      </c>
      <c r="K4388" s="16" t="str">
        <f aca="false">IF(B4388="","",IF(AND(D4388="Formalização",E4388="Concluído"),IF(COUNTIFS($B$2:$B$5001,B4388,$E$2:$E$5001,"Em ajustes",$N$2:$N$5001,"&lt;"&amp;I4388)&gt;0,1,0),0))</f>
        <v/>
      </c>
      <c r="L4388" s="16" t="str">
        <f aca="false">IF(B4388="","",IF(N4388=_xlfn.MAXIFS($N$2:$N$5001,$B$2:$B$5001,B4388,$I$2:$I$5001,I4388),1,0))</f>
        <v/>
      </c>
      <c r="M4388" s="16" t="str">
        <f aca="false">IF(B4388="","",IF(E4388="Em ajustes",IF(N4388=_xlfn.MINIFS($N$2:$N$5001,$B$2:$B$5001,B4388,$E$2:$E$5001,"Em ajustes"),1,0),0))</f>
        <v/>
      </c>
      <c r="N4388" s="17" t="str">
        <f aca="false">IF(A4388="","",IF(ISNUMBER(A4388),A4388,IFERROR(DATE(VALUE(MID(A4388,7,4)),VALUE(MID(A4388,4,2)),VALUE(MID(A4388,1,2)))+TIME(VALUE(MID(A4388,12,2)),VALUE(MID(A4388,15,2)),VALUE(MID(A4388,18,2))),"")))</f>
        <v/>
      </c>
    </row>
    <row r="4389" customFormat="false" ht="15" hidden="false" customHeight="false" outlineLevel="0" collapsed="false">
      <c r="I4389" s="15" t="str">
        <f aca="false">IF(N4389="","",INT(N4389))</f>
        <v/>
      </c>
      <c r="J4389" s="16" t="str">
        <f aca="false">IF(B4389="","",IF(N4389=_xlfn.MINIFS($N$2:$N$5001,$B$2:$B$5001,B4389),1,0))</f>
        <v/>
      </c>
      <c r="K4389" s="16" t="str">
        <f aca="false">IF(B4389="","",IF(AND(D4389="Formalização",E4389="Concluído"),IF(COUNTIFS($B$2:$B$5001,B4389,$E$2:$E$5001,"Em ajustes",$N$2:$N$5001,"&lt;"&amp;I4389)&gt;0,1,0),0))</f>
        <v/>
      </c>
      <c r="L4389" s="16" t="str">
        <f aca="false">IF(B4389="","",IF(N4389=_xlfn.MAXIFS($N$2:$N$5001,$B$2:$B$5001,B4389,$I$2:$I$5001,I4389),1,0))</f>
        <v/>
      </c>
      <c r="M4389" s="16" t="str">
        <f aca="false">IF(B4389="","",IF(E4389="Em ajustes",IF(N4389=_xlfn.MINIFS($N$2:$N$5001,$B$2:$B$5001,B4389,$E$2:$E$5001,"Em ajustes"),1,0),0))</f>
        <v/>
      </c>
      <c r="N4389" s="17" t="str">
        <f aca="false">IF(A4389="","",IF(ISNUMBER(A4389),A4389,IFERROR(DATE(VALUE(MID(A4389,7,4)),VALUE(MID(A4389,4,2)),VALUE(MID(A4389,1,2)))+TIME(VALUE(MID(A4389,12,2)),VALUE(MID(A4389,15,2)),VALUE(MID(A4389,18,2))),"")))</f>
        <v/>
      </c>
    </row>
    <row r="4390" customFormat="false" ht="15" hidden="false" customHeight="false" outlineLevel="0" collapsed="false">
      <c r="I4390" s="15" t="str">
        <f aca="false">IF(N4390="","",INT(N4390))</f>
        <v/>
      </c>
      <c r="J4390" s="16" t="str">
        <f aca="false">IF(B4390="","",IF(N4390=_xlfn.MINIFS($N$2:$N$5001,$B$2:$B$5001,B4390),1,0))</f>
        <v/>
      </c>
      <c r="K4390" s="16" t="str">
        <f aca="false">IF(B4390="","",IF(AND(D4390="Formalização",E4390="Concluído"),IF(COUNTIFS($B$2:$B$5001,B4390,$E$2:$E$5001,"Em ajustes",$N$2:$N$5001,"&lt;"&amp;I4390)&gt;0,1,0),0))</f>
        <v/>
      </c>
      <c r="L4390" s="16" t="str">
        <f aca="false">IF(B4390="","",IF(N4390=_xlfn.MAXIFS($N$2:$N$5001,$B$2:$B$5001,B4390,$I$2:$I$5001,I4390),1,0))</f>
        <v/>
      </c>
      <c r="M4390" s="16" t="str">
        <f aca="false">IF(B4390="","",IF(E4390="Em ajustes",IF(N4390=_xlfn.MINIFS($N$2:$N$5001,$B$2:$B$5001,B4390,$E$2:$E$5001,"Em ajustes"),1,0),0))</f>
        <v/>
      </c>
      <c r="N4390" s="17" t="str">
        <f aca="false">IF(A4390="","",IF(ISNUMBER(A4390),A4390,IFERROR(DATE(VALUE(MID(A4390,7,4)),VALUE(MID(A4390,4,2)),VALUE(MID(A4390,1,2)))+TIME(VALUE(MID(A4390,12,2)),VALUE(MID(A4390,15,2)),VALUE(MID(A4390,18,2))),"")))</f>
        <v/>
      </c>
    </row>
    <row r="4391" customFormat="false" ht="15" hidden="false" customHeight="false" outlineLevel="0" collapsed="false">
      <c r="I4391" s="15" t="str">
        <f aca="false">IF(N4391="","",INT(N4391))</f>
        <v/>
      </c>
      <c r="J4391" s="16" t="str">
        <f aca="false">IF(B4391="","",IF(N4391=_xlfn.MINIFS($N$2:$N$5001,$B$2:$B$5001,B4391),1,0))</f>
        <v/>
      </c>
      <c r="K4391" s="16" t="str">
        <f aca="false">IF(B4391="","",IF(AND(D4391="Formalização",E4391="Concluído"),IF(COUNTIFS($B$2:$B$5001,B4391,$E$2:$E$5001,"Em ajustes",$N$2:$N$5001,"&lt;"&amp;I4391)&gt;0,1,0),0))</f>
        <v/>
      </c>
      <c r="L4391" s="16" t="str">
        <f aca="false">IF(B4391="","",IF(N4391=_xlfn.MAXIFS($N$2:$N$5001,$B$2:$B$5001,B4391,$I$2:$I$5001,I4391),1,0))</f>
        <v/>
      </c>
      <c r="M4391" s="16" t="str">
        <f aca="false">IF(B4391="","",IF(E4391="Em ajustes",IF(N4391=_xlfn.MINIFS($N$2:$N$5001,$B$2:$B$5001,B4391,$E$2:$E$5001,"Em ajustes"),1,0),0))</f>
        <v/>
      </c>
      <c r="N4391" s="17" t="str">
        <f aca="false">IF(A4391="","",IF(ISNUMBER(A4391),A4391,IFERROR(DATE(VALUE(MID(A4391,7,4)),VALUE(MID(A4391,4,2)),VALUE(MID(A4391,1,2)))+TIME(VALUE(MID(A4391,12,2)),VALUE(MID(A4391,15,2)),VALUE(MID(A4391,18,2))),"")))</f>
        <v/>
      </c>
    </row>
    <row r="4392" customFormat="false" ht="15" hidden="false" customHeight="false" outlineLevel="0" collapsed="false">
      <c r="I4392" s="15" t="str">
        <f aca="false">IF(N4392="","",INT(N4392))</f>
        <v/>
      </c>
      <c r="J4392" s="16" t="str">
        <f aca="false">IF(B4392="","",IF(N4392=_xlfn.MINIFS($N$2:$N$5001,$B$2:$B$5001,B4392),1,0))</f>
        <v/>
      </c>
      <c r="K4392" s="16" t="str">
        <f aca="false">IF(B4392="","",IF(AND(D4392="Formalização",E4392="Concluído"),IF(COUNTIFS($B$2:$B$5001,B4392,$E$2:$E$5001,"Em ajustes",$N$2:$N$5001,"&lt;"&amp;I4392)&gt;0,1,0),0))</f>
        <v/>
      </c>
      <c r="L4392" s="16" t="str">
        <f aca="false">IF(B4392="","",IF(N4392=_xlfn.MAXIFS($N$2:$N$5001,$B$2:$B$5001,B4392,$I$2:$I$5001,I4392),1,0))</f>
        <v/>
      </c>
      <c r="M4392" s="16" t="str">
        <f aca="false">IF(B4392="","",IF(E4392="Em ajustes",IF(N4392=_xlfn.MINIFS($N$2:$N$5001,$B$2:$B$5001,B4392,$E$2:$E$5001,"Em ajustes"),1,0),0))</f>
        <v/>
      </c>
      <c r="N4392" s="17" t="str">
        <f aca="false">IF(A4392="","",IF(ISNUMBER(A4392),A4392,IFERROR(DATE(VALUE(MID(A4392,7,4)),VALUE(MID(A4392,4,2)),VALUE(MID(A4392,1,2)))+TIME(VALUE(MID(A4392,12,2)),VALUE(MID(A4392,15,2)),VALUE(MID(A4392,18,2))),"")))</f>
        <v/>
      </c>
    </row>
    <row r="4393" customFormat="false" ht="15" hidden="false" customHeight="false" outlineLevel="0" collapsed="false">
      <c r="I4393" s="15" t="str">
        <f aca="false">IF(N4393="","",INT(N4393))</f>
        <v/>
      </c>
      <c r="J4393" s="16" t="str">
        <f aca="false">IF(B4393="","",IF(N4393=_xlfn.MINIFS($N$2:$N$5001,$B$2:$B$5001,B4393),1,0))</f>
        <v/>
      </c>
      <c r="K4393" s="16" t="str">
        <f aca="false">IF(B4393="","",IF(AND(D4393="Formalização",E4393="Concluído"),IF(COUNTIFS($B$2:$B$5001,B4393,$E$2:$E$5001,"Em ajustes",$N$2:$N$5001,"&lt;"&amp;I4393)&gt;0,1,0),0))</f>
        <v/>
      </c>
      <c r="L4393" s="16" t="str">
        <f aca="false">IF(B4393="","",IF(N4393=_xlfn.MAXIFS($N$2:$N$5001,$B$2:$B$5001,B4393,$I$2:$I$5001,I4393),1,0))</f>
        <v/>
      </c>
      <c r="M4393" s="16" t="str">
        <f aca="false">IF(B4393="","",IF(E4393="Em ajustes",IF(N4393=_xlfn.MINIFS($N$2:$N$5001,$B$2:$B$5001,B4393,$E$2:$E$5001,"Em ajustes"),1,0),0))</f>
        <v/>
      </c>
      <c r="N4393" s="17" t="str">
        <f aca="false">IF(A4393="","",IF(ISNUMBER(A4393),A4393,IFERROR(DATE(VALUE(MID(A4393,7,4)),VALUE(MID(A4393,4,2)),VALUE(MID(A4393,1,2)))+TIME(VALUE(MID(A4393,12,2)),VALUE(MID(A4393,15,2)),VALUE(MID(A4393,18,2))),"")))</f>
        <v/>
      </c>
    </row>
    <row r="4394" customFormat="false" ht="15" hidden="false" customHeight="false" outlineLevel="0" collapsed="false">
      <c r="I4394" s="15" t="str">
        <f aca="false">IF(N4394="","",INT(N4394))</f>
        <v/>
      </c>
      <c r="J4394" s="16" t="str">
        <f aca="false">IF(B4394="","",IF(N4394=_xlfn.MINIFS($N$2:$N$5001,$B$2:$B$5001,B4394),1,0))</f>
        <v/>
      </c>
      <c r="K4394" s="16" t="str">
        <f aca="false">IF(B4394="","",IF(AND(D4394="Formalização",E4394="Concluído"),IF(COUNTIFS($B$2:$B$5001,B4394,$E$2:$E$5001,"Em ajustes",$N$2:$N$5001,"&lt;"&amp;I4394)&gt;0,1,0),0))</f>
        <v/>
      </c>
      <c r="L4394" s="16" t="str">
        <f aca="false">IF(B4394="","",IF(N4394=_xlfn.MAXIFS($N$2:$N$5001,$B$2:$B$5001,B4394,$I$2:$I$5001,I4394),1,0))</f>
        <v/>
      </c>
      <c r="M4394" s="16" t="str">
        <f aca="false">IF(B4394="","",IF(E4394="Em ajustes",IF(N4394=_xlfn.MINIFS($N$2:$N$5001,$B$2:$B$5001,B4394,$E$2:$E$5001,"Em ajustes"),1,0),0))</f>
        <v/>
      </c>
      <c r="N4394" s="17" t="str">
        <f aca="false">IF(A4394="","",IF(ISNUMBER(A4394),A4394,IFERROR(DATE(VALUE(MID(A4394,7,4)),VALUE(MID(A4394,4,2)),VALUE(MID(A4394,1,2)))+TIME(VALUE(MID(A4394,12,2)),VALUE(MID(A4394,15,2)),VALUE(MID(A4394,18,2))),"")))</f>
        <v/>
      </c>
    </row>
    <row r="4395" customFormat="false" ht="15" hidden="false" customHeight="false" outlineLevel="0" collapsed="false">
      <c r="I4395" s="15" t="str">
        <f aca="false">IF(N4395="","",INT(N4395))</f>
        <v/>
      </c>
      <c r="J4395" s="16" t="str">
        <f aca="false">IF(B4395="","",IF(N4395=_xlfn.MINIFS($N$2:$N$5001,$B$2:$B$5001,B4395),1,0))</f>
        <v/>
      </c>
      <c r="K4395" s="16" t="str">
        <f aca="false">IF(B4395="","",IF(AND(D4395="Formalização",E4395="Concluído"),IF(COUNTIFS($B$2:$B$5001,B4395,$E$2:$E$5001,"Em ajustes",$N$2:$N$5001,"&lt;"&amp;I4395)&gt;0,1,0),0))</f>
        <v/>
      </c>
      <c r="L4395" s="16" t="str">
        <f aca="false">IF(B4395="","",IF(N4395=_xlfn.MAXIFS($N$2:$N$5001,$B$2:$B$5001,B4395,$I$2:$I$5001,I4395),1,0))</f>
        <v/>
      </c>
      <c r="M4395" s="16" t="str">
        <f aca="false">IF(B4395="","",IF(E4395="Em ajustes",IF(N4395=_xlfn.MINIFS($N$2:$N$5001,$B$2:$B$5001,B4395,$E$2:$E$5001,"Em ajustes"),1,0),0))</f>
        <v/>
      </c>
      <c r="N4395" s="17" t="str">
        <f aca="false">IF(A4395="","",IF(ISNUMBER(A4395),A4395,IFERROR(DATE(VALUE(MID(A4395,7,4)),VALUE(MID(A4395,4,2)),VALUE(MID(A4395,1,2)))+TIME(VALUE(MID(A4395,12,2)),VALUE(MID(A4395,15,2)),VALUE(MID(A4395,18,2))),"")))</f>
        <v/>
      </c>
    </row>
    <row r="4396" customFormat="false" ht="15" hidden="false" customHeight="false" outlineLevel="0" collapsed="false">
      <c r="I4396" s="15" t="str">
        <f aca="false">IF(N4396="","",INT(N4396))</f>
        <v/>
      </c>
      <c r="J4396" s="16" t="str">
        <f aca="false">IF(B4396="","",IF(N4396=_xlfn.MINIFS($N$2:$N$5001,$B$2:$B$5001,B4396),1,0))</f>
        <v/>
      </c>
      <c r="K4396" s="16" t="str">
        <f aca="false">IF(B4396="","",IF(AND(D4396="Formalização",E4396="Concluído"),IF(COUNTIFS($B$2:$B$5001,B4396,$E$2:$E$5001,"Em ajustes",$N$2:$N$5001,"&lt;"&amp;I4396)&gt;0,1,0),0))</f>
        <v/>
      </c>
      <c r="L4396" s="16" t="str">
        <f aca="false">IF(B4396="","",IF(N4396=_xlfn.MAXIFS($N$2:$N$5001,$B$2:$B$5001,B4396,$I$2:$I$5001,I4396),1,0))</f>
        <v/>
      </c>
      <c r="M4396" s="16" t="str">
        <f aca="false">IF(B4396="","",IF(E4396="Em ajustes",IF(N4396=_xlfn.MINIFS($N$2:$N$5001,$B$2:$B$5001,B4396,$E$2:$E$5001,"Em ajustes"),1,0),0))</f>
        <v/>
      </c>
      <c r="N4396" s="17" t="str">
        <f aca="false">IF(A4396="","",IF(ISNUMBER(A4396),A4396,IFERROR(DATE(VALUE(MID(A4396,7,4)),VALUE(MID(A4396,4,2)),VALUE(MID(A4396,1,2)))+TIME(VALUE(MID(A4396,12,2)),VALUE(MID(A4396,15,2)),VALUE(MID(A4396,18,2))),"")))</f>
        <v/>
      </c>
    </row>
    <row r="4397" customFormat="false" ht="15" hidden="false" customHeight="false" outlineLevel="0" collapsed="false">
      <c r="I4397" s="15" t="str">
        <f aca="false">IF(N4397="","",INT(N4397))</f>
        <v/>
      </c>
      <c r="J4397" s="16" t="str">
        <f aca="false">IF(B4397="","",IF(N4397=_xlfn.MINIFS($N$2:$N$5001,$B$2:$B$5001,B4397),1,0))</f>
        <v/>
      </c>
      <c r="K4397" s="16" t="str">
        <f aca="false">IF(B4397="","",IF(AND(D4397="Formalização",E4397="Concluído"),IF(COUNTIFS($B$2:$B$5001,B4397,$E$2:$E$5001,"Em ajustes",$N$2:$N$5001,"&lt;"&amp;I4397)&gt;0,1,0),0))</f>
        <v/>
      </c>
      <c r="L4397" s="16" t="str">
        <f aca="false">IF(B4397="","",IF(N4397=_xlfn.MAXIFS($N$2:$N$5001,$B$2:$B$5001,B4397,$I$2:$I$5001,I4397),1,0))</f>
        <v/>
      </c>
      <c r="M4397" s="16" t="str">
        <f aca="false">IF(B4397="","",IF(E4397="Em ajustes",IF(N4397=_xlfn.MINIFS($N$2:$N$5001,$B$2:$B$5001,B4397,$E$2:$E$5001,"Em ajustes"),1,0),0))</f>
        <v/>
      </c>
      <c r="N4397" s="17" t="str">
        <f aca="false">IF(A4397="","",IF(ISNUMBER(A4397),A4397,IFERROR(DATE(VALUE(MID(A4397,7,4)),VALUE(MID(A4397,4,2)),VALUE(MID(A4397,1,2)))+TIME(VALUE(MID(A4397,12,2)),VALUE(MID(A4397,15,2)),VALUE(MID(A4397,18,2))),"")))</f>
        <v/>
      </c>
    </row>
    <row r="4398" customFormat="false" ht="15" hidden="false" customHeight="false" outlineLevel="0" collapsed="false">
      <c r="I4398" s="15" t="str">
        <f aca="false">IF(N4398="","",INT(N4398))</f>
        <v/>
      </c>
      <c r="J4398" s="16" t="str">
        <f aca="false">IF(B4398="","",IF(N4398=_xlfn.MINIFS($N$2:$N$5001,$B$2:$B$5001,B4398),1,0))</f>
        <v/>
      </c>
      <c r="K4398" s="16" t="str">
        <f aca="false">IF(B4398="","",IF(AND(D4398="Formalização",E4398="Concluído"),IF(COUNTIFS($B$2:$B$5001,B4398,$E$2:$E$5001,"Em ajustes",$N$2:$N$5001,"&lt;"&amp;I4398)&gt;0,1,0),0))</f>
        <v/>
      </c>
      <c r="L4398" s="16" t="str">
        <f aca="false">IF(B4398="","",IF(N4398=_xlfn.MAXIFS($N$2:$N$5001,$B$2:$B$5001,B4398,$I$2:$I$5001,I4398),1,0))</f>
        <v/>
      </c>
      <c r="M4398" s="16" t="str">
        <f aca="false">IF(B4398="","",IF(E4398="Em ajustes",IF(N4398=_xlfn.MINIFS($N$2:$N$5001,$B$2:$B$5001,B4398,$E$2:$E$5001,"Em ajustes"),1,0),0))</f>
        <v/>
      </c>
      <c r="N4398" s="17" t="str">
        <f aca="false">IF(A4398="","",IF(ISNUMBER(A4398),A4398,IFERROR(DATE(VALUE(MID(A4398,7,4)),VALUE(MID(A4398,4,2)),VALUE(MID(A4398,1,2)))+TIME(VALUE(MID(A4398,12,2)),VALUE(MID(A4398,15,2)),VALUE(MID(A4398,18,2))),"")))</f>
        <v/>
      </c>
    </row>
    <row r="4399" customFormat="false" ht="15" hidden="false" customHeight="false" outlineLevel="0" collapsed="false">
      <c r="I4399" s="15" t="str">
        <f aca="false">IF(N4399="","",INT(N4399))</f>
        <v/>
      </c>
      <c r="J4399" s="16" t="str">
        <f aca="false">IF(B4399="","",IF(N4399=_xlfn.MINIFS($N$2:$N$5001,$B$2:$B$5001,B4399),1,0))</f>
        <v/>
      </c>
      <c r="K4399" s="16" t="str">
        <f aca="false">IF(B4399="","",IF(AND(D4399="Formalização",E4399="Concluído"),IF(COUNTIFS($B$2:$B$5001,B4399,$E$2:$E$5001,"Em ajustes",$N$2:$N$5001,"&lt;"&amp;I4399)&gt;0,1,0),0))</f>
        <v/>
      </c>
      <c r="L4399" s="16" t="str">
        <f aca="false">IF(B4399="","",IF(N4399=_xlfn.MAXIFS($N$2:$N$5001,$B$2:$B$5001,B4399,$I$2:$I$5001,I4399),1,0))</f>
        <v/>
      </c>
      <c r="M4399" s="16" t="str">
        <f aca="false">IF(B4399="","",IF(E4399="Em ajustes",IF(N4399=_xlfn.MINIFS($N$2:$N$5001,$B$2:$B$5001,B4399,$E$2:$E$5001,"Em ajustes"),1,0),0))</f>
        <v/>
      </c>
      <c r="N4399" s="17" t="str">
        <f aca="false">IF(A4399="","",IF(ISNUMBER(A4399),A4399,IFERROR(DATE(VALUE(MID(A4399,7,4)),VALUE(MID(A4399,4,2)),VALUE(MID(A4399,1,2)))+TIME(VALUE(MID(A4399,12,2)),VALUE(MID(A4399,15,2)),VALUE(MID(A4399,18,2))),"")))</f>
        <v/>
      </c>
    </row>
    <row r="4400" customFormat="false" ht="15" hidden="false" customHeight="false" outlineLevel="0" collapsed="false">
      <c r="I4400" s="15" t="str">
        <f aca="false">IF(N4400="","",INT(N4400))</f>
        <v/>
      </c>
      <c r="J4400" s="16" t="str">
        <f aca="false">IF(B4400="","",IF(N4400=_xlfn.MINIFS($N$2:$N$5001,$B$2:$B$5001,B4400),1,0))</f>
        <v/>
      </c>
      <c r="K4400" s="16" t="str">
        <f aca="false">IF(B4400="","",IF(AND(D4400="Formalização",E4400="Concluído"),IF(COUNTIFS($B$2:$B$5001,B4400,$E$2:$E$5001,"Em ajustes",$N$2:$N$5001,"&lt;"&amp;I4400)&gt;0,1,0),0))</f>
        <v/>
      </c>
      <c r="L4400" s="16" t="str">
        <f aca="false">IF(B4400="","",IF(N4400=_xlfn.MAXIFS($N$2:$N$5001,$B$2:$B$5001,B4400,$I$2:$I$5001,I4400),1,0))</f>
        <v/>
      </c>
      <c r="M4400" s="16" t="str">
        <f aca="false">IF(B4400="","",IF(E4400="Em ajustes",IF(N4400=_xlfn.MINIFS($N$2:$N$5001,$B$2:$B$5001,B4400,$E$2:$E$5001,"Em ajustes"),1,0),0))</f>
        <v/>
      </c>
      <c r="N4400" s="17" t="str">
        <f aca="false">IF(A4400="","",IF(ISNUMBER(A4400),A4400,IFERROR(DATE(VALUE(MID(A4400,7,4)),VALUE(MID(A4400,4,2)),VALUE(MID(A4400,1,2)))+TIME(VALUE(MID(A4400,12,2)),VALUE(MID(A4400,15,2)),VALUE(MID(A4400,18,2))),"")))</f>
        <v/>
      </c>
    </row>
    <row r="4401" customFormat="false" ht="15" hidden="false" customHeight="false" outlineLevel="0" collapsed="false">
      <c r="I4401" s="15" t="str">
        <f aca="false">IF(N4401="","",INT(N4401))</f>
        <v/>
      </c>
      <c r="J4401" s="16" t="str">
        <f aca="false">IF(B4401="","",IF(N4401=_xlfn.MINIFS($N$2:$N$5001,$B$2:$B$5001,B4401),1,0))</f>
        <v/>
      </c>
      <c r="K4401" s="16" t="str">
        <f aca="false">IF(B4401="","",IF(AND(D4401="Formalização",E4401="Concluído"),IF(COUNTIFS($B$2:$B$5001,B4401,$E$2:$E$5001,"Em ajustes",$N$2:$N$5001,"&lt;"&amp;I4401)&gt;0,1,0),0))</f>
        <v/>
      </c>
      <c r="L4401" s="16" t="str">
        <f aca="false">IF(B4401="","",IF(N4401=_xlfn.MAXIFS($N$2:$N$5001,$B$2:$B$5001,B4401,$I$2:$I$5001,I4401),1,0))</f>
        <v/>
      </c>
      <c r="M4401" s="16" t="str">
        <f aca="false">IF(B4401="","",IF(E4401="Em ajustes",IF(N4401=_xlfn.MINIFS($N$2:$N$5001,$B$2:$B$5001,B4401,$E$2:$E$5001,"Em ajustes"),1,0),0))</f>
        <v/>
      </c>
      <c r="N4401" s="17" t="str">
        <f aca="false">IF(A4401="","",IF(ISNUMBER(A4401),A4401,IFERROR(DATE(VALUE(MID(A4401,7,4)),VALUE(MID(A4401,4,2)),VALUE(MID(A4401,1,2)))+TIME(VALUE(MID(A4401,12,2)),VALUE(MID(A4401,15,2)),VALUE(MID(A4401,18,2))),"")))</f>
        <v/>
      </c>
    </row>
    <row r="4402" customFormat="false" ht="15" hidden="false" customHeight="false" outlineLevel="0" collapsed="false">
      <c r="I4402" s="15" t="str">
        <f aca="false">IF(N4402="","",INT(N4402))</f>
        <v/>
      </c>
      <c r="J4402" s="16" t="str">
        <f aca="false">IF(B4402="","",IF(N4402=_xlfn.MINIFS($N$2:$N$5001,$B$2:$B$5001,B4402),1,0))</f>
        <v/>
      </c>
      <c r="K4402" s="16" t="str">
        <f aca="false">IF(B4402="","",IF(AND(D4402="Formalização",E4402="Concluído"),IF(COUNTIFS($B$2:$B$5001,B4402,$E$2:$E$5001,"Em ajustes",$N$2:$N$5001,"&lt;"&amp;I4402)&gt;0,1,0),0))</f>
        <v/>
      </c>
      <c r="L4402" s="16" t="str">
        <f aca="false">IF(B4402="","",IF(N4402=_xlfn.MAXIFS($N$2:$N$5001,$B$2:$B$5001,B4402,$I$2:$I$5001,I4402),1,0))</f>
        <v/>
      </c>
      <c r="M4402" s="16" t="str">
        <f aca="false">IF(B4402="","",IF(E4402="Em ajustes",IF(N4402=_xlfn.MINIFS($N$2:$N$5001,$B$2:$B$5001,B4402,$E$2:$E$5001,"Em ajustes"),1,0),0))</f>
        <v/>
      </c>
      <c r="N4402" s="17" t="str">
        <f aca="false">IF(A4402="","",IF(ISNUMBER(A4402),A4402,IFERROR(DATE(VALUE(MID(A4402,7,4)),VALUE(MID(A4402,4,2)),VALUE(MID(A4402,1,2)))+TIME(VALUE(MID(A4402,12,2)),VALUE(MID(A4402,15,2)),VALUE(MID(A4402,18,2))),"")))</f>
        <v/>
      </c>
    </row>
    <row r="4403" customFormat="false" ht="15" hidden="false" customHeight="false" outlineLevel="0" collapsed="false">
      <c r="I4403" s="15" t="str">
        <f aca="false">IF(N4403="","",INT(N4403))</f>
        <v/>
      </c>
      <c r="J4403" s="16" t="str">
        <f aca="false">IF(B4403="","",IF(N4403=_xlfn.MINIFS($N$2:$N$5001,$B$2:$B$5001,B4403),1,0))</f>
        <v/>
      </c>
      <c r="K4403" s="16" t="str">
        <f aca="false">IF(B4403="","",IF(AND(D4403="Formalização",E4403="Concluído"),IF(COUNTIFS($B$2:$B$5001,B4403,$E$2:$E$5001,"Em ajustes",$N$2:$N$5001,"&lt;"&amp;I4403)&gt;0,1,0),0))</f>
        <v/>
      </c>
      <c r="L4403" s="16" t="str">
        <f aca="false">IF(B4403="","",IF(N4403=_xlfn.MAXIFS($N$2:$N$5001,$B$2:$B$5001,B4403,$I$2:$I$5001,I4403),1,0))</f>
        <v/>
      </c>
      <c r="M4403" s="16" t="str">
        <f aca="false">IF(B4403="","",IF(E4403="Em ajustes",IF(N4403=_xlfn.MINIFS($N$2:$N$5001,$B$2:$B$5001,B4403,$E$2:$E$5001,"Em ajustes"),1,0),0))</f>
        <v/>
      </c>
      <c r="N4403" s="17" t="str">
        <f aca="false">IF(A4403="","",IF(ISNUMBER(A4403),A4403,IFERROR(DATE(VALUE(MID(A4403,7,4)),VALUE(MID(A4403,4,2)),VALUE(MID(A4403,1,2)))+TIME(VALUE(MID(A4403,12,2)),VALUE(MID(A4403,15,2)),VALUE(MID(A4403,18,2))),"")))</f>
        <v/>
      </c>
    </row>
    <row r="4404" customFormat="false" ht="15" hidden="false" customHeight="false" outlineLevel="0" collapsed="false">
      <c r="I4404" s="15" t="str">
        <f aca="false">IF(N4404="","",INT(N4404))</f>
        <v/>
      </c>
      <c r="J4404" s="16" t="str">
        <f aca="false">IF(B4404="","",IF(N4404=_xlfn.MINIFS($N$2:$N$5001,$B$2:$B$5001,B4404),1,0))</f>
        <v/>
      </c>
      <c r="K4404" s="16" t="str">
        <f aca="false">IF(B4404="","",IF(AND(D4404="Formalização",E4404="Concluído"),IF(COUNTIFS($B$2:$B$5001,B4404,$E$2:$E$5001,"Em ajustes",$N$2:$N$5001,"&lt;"&amp;I4404)&gt;0,1,0),0))</f>
        <v/>
      </c>
      <c r="L4404" s="16" t="str">
        <f aca="false">IF(B4404="","",IF(N4404=_xlfn.MAXIFS($N$2:$N$5001,$B$2:$B$5001,B4404,$I$2:$I$5001,I4404),1,0))</f>
        <v/>
      </c>
      <c r="M4404" s="16" t="str">
        <f aca="false">IF(B4404="","",IF(E4404="Em ajustes",IF(N4404=_xlfn.MINIFS($N$2:$N$5001,$B$2:$B$5001,B4404,$E$2:$E$5001,"Em ajustes"),1,0),0))</f>
        <v/>
      </c>
      <c r="N4404" s="17" t="str">
        <f aca="false">IF(A4404="","",IF(ISNUMBER(A4404),A4404,IFERROR(DATE(VALUE(MID(A4404,7,4)),VALUE(MID(A4404,4,2)),VALUE(MID(A4404,1,2)))+TIME(VALUE(MID(A4404,12,2)),VALUE(MID(A4404,15,2)),VALUE(MID(A4404,18,2))),"")))</f>
        <v/>
      </c>
    </row>
    <row r="4405" customFormat="false" ht="15" hidden="false" customHeight="false" outlineLevel="0" collapsed="false">
      <c r="I4405" s="15" t="str">
        <f aca="false">IF(N4405="","",INT(N4405))</f>
        <v/>
      </c>
      <c r="J4405" s="16" t="str">
        <f aca="false">IF(B4405="","",IF(N4405=_xlfn.MINIFS($N$2:$N$5001,$B$2:$B$5001,B4405),1,0))</f>
        <v/>
      </c>
      <c r="K4405" s="16" t="str">
        <f aca="false">IF(B4405="","",IF(AND(D4405="Formalização",E4405="Concluído"),IF(COUNTIFS($B$2:$B$5001,B4405,$E$2:$E$5001,"Em ajustes",$N$2:$N$5001,"&lt;"&amp;I4405)&gt;0,1,0),0))</f>
        <v/>
      </c>
      <c r="L4405" s="16" t="str">
        <f aca="false">IF(B4405="","",IF(N4405=_xlfn.MAXIFS($N$2:$N$5001,$B$2:$B$5001,B4405,$I$2:$I$5001,I4405),1,0))</f>
        <v/>
      </c>
      <c r="M4405" s="16" t="str">
        <f aca="false">IF(B4405="","",IF(E4405="Em ajustes",IF(N4405=_xlfn.MINIFS($N$2:$N$5001,$B$2:$B$5001,B4405,$E$2:$E$5001,"Em ajustes"),1,0),0))</f>
        <v/>
      </c>
      <c r="N4405" s="17" t="str">
        <f aca="false">IF(A4405="","",IF(ISNUMBER(A4405),A4405,IFERROR(DATE(VALUE(MID(A4405,7,4)),VALUE(MID(A4405,4,2)),VALUE(MID(A4405,1,2)))+TIME(VALUE(MID(A4405,12,2)),VALUE(MID(A4405,15,2)),VALUE(MID(A4405,18,2))),"")))</f>
        <v/>
      </c>
    </row>
    <row r="4406" customFormat="false" ht="15" hidden="false" customHeight="false" outlineLevel="0" collapsed="false">
      <c r="I4406" s="15" t="str">
        <f aca="false">IF(N4406="","",INT(N4406))</f>
        <v/>
      </c>
      <c r="J4406" s="16" t="str">
        <f aca="false">IF(B4406="","",IF(N4406=_xlfn.MINIFS($N$2:$N$5001,$B$2:$B$5001,B4406),1,0))</f>
        <v/>
      </c>
      <c r="K4406" s="16" t="str">
        <f aca="false">IF(B4406="","",IF(AND(D4406="Formalização",E4406="Concluído"),IF(COUNTIFS($B$2:$B$5001,B4406,$E$2:$E$5001,"Em ajustes",$N$2:$N$5001,"&lt;"&amp;I4406)&gt;0,1,0),0))</f>
        <v/>
      </c>
      <c r="L4406" s="16" t="str">
        <f aca="false">IF(B4406="","",IF(N4406=_xlfn.MAXIFS($N$2:$N$5001,$B$2:$B$5001,B4406,$I$2:$I$5001,I4406),1,0))</f>
        <v/>
      </c>
      <c r="M4406" s="16" t="str">
        <f aca="false">IF(B4406="","",IF(E4406="Em ajustes",IF(N4406=_xlfn.MINIFS($N$2:$N$5001,$B$2:$B$5001,B4406,$E$2:$E$5001,"Em ajustes"),1,0),0))</f>
        <v/>
      </c>
      <c r="N4406" s="17" t="str">
        <f aca="false">IF(A4406="","",IF(ISNUMBER(A4406),A4406,IFERROR(DATE(VALUE(MID(A4406,7,4)),VALUE(MID(A4406,4,2)),VALUE(MID(A4406,1,2)))+TIME(VALUE(MID(A4406,12,2)),VALUE(MID(A4406,15,2)),VALUE(MID(A4406,18,2))),"")))</f>
        <v/>
      </c>
    </row>
    <row r="4407" customFormat="false" ht="15" hidden="false" customHeight="false" outlineLevel="0" collapsed="false">
      <c r="I4407" s="15" t="str">
        <f aca="false">IF(N4407="","",INT(N4407))</f>
        <v/>
      </c>
      <c r="J4407" s="16" t="str">
        <f aca="false">IF(B4407="","",IF(N4407=_xlfn.MINIFS($N$2:$N$5001,$B$2:$B$5001,B4407),1,0))</f>
        <v/>
      </c>
      <c r="K4407" s="16" t="str">
        <f aca="false">IF(B4407="","",IF(AND(D4407="Formalização",E4407="Concluído"),IF(COUNTIFS($B$2:$B$5001,B4407,$E$2:$E$5001,"Em ajustes",$N$2:$N$5001,"&lt;"&amp;I4407)&gt;0,1,0),0))</f>
        <v/>
      </c>
      <c r="L4407" s="16" t="str">
        <f aca="false">IF(B4407="","",IF(N4407=_xlfn.MAXIFS($N$2:$N$5001,$B$2:$B$5001,B4407,$I$2:$I$5001,I4407),1,0))</f>
        <v/>
      </c>
      <c r="M4407" s="16" t="str">
        <f aca="false">IF(B4407="","",IF(E4407="Em ajustes",IF(N4407=_xlfn.MINIFS($N$2:$N$5001,$B$2:$B$5001,B4407,$E$2:$E$5001,"Em ajustes"),1,0),0))</f>
        <v/>
      </c>
      <c r="N4407" s="17" t="str">
        <f aca="false">IF(A4407="","",IF(ISNUMBER(A4407),A4407,IFERROR(DATE(VALUE(MID(A4407,7,4)),VALUE(MID(A4407,4,2)),VALUE(MID(A4407,1,2)))+TIME(VALUE(MID(A4407,12,2)),VALUE(MID(A4407,15,2)),VALUE(MID(A4407,18,2))),"")))</f>
        <v/>
      </c>
    </row>
    <row r="4408" customFormat="false" ht="15" hidden="false" customHeight="false" outlineLevel="0" collapsed="false">
      <c r="I4408" s="15" t="str">
        <f aca="false">IF(N4408="","",INT(N4408))</f>
        <v/>
      </c>
      <c r="J4408" s="16" t="str">
        <f aca="false">IF(B4408="","",IF(N4408=_xlfn.MINIFS($N$2:$N$5001,$B$2:$B$5001,B4408),1,0))</f>
        <v/>
      </c>
      <c r="K4408" s="16" t="str">
        <f aca="false">IF(B4408="","",IF(AND(D4408="Formalização",E4408="Concluído"),IF(COUNTIFS($B$2:$B$5001,B4408,$E$2:$E$5001,"Em ajustes",$N$2:$N$5001,"&lt;"&amp;I4408)&gt;0,1,0),0))</f>
        <v/>
      </c>
      <c r="L4408" s="16" t="str">
        <f aca="false">IF(B4408="","",IF(N4408=_xlfn.MAXIFS($N$2:$N$5001,$B$2:$B$5001,B4408,$I$2:$I$5001,I4408),1,0))</f>
        <v/>
      </c>
      <c r="M4408" s="16" t="str">
        <f aca="false">IF(B4408="","",IF(E4408="Em ajustes",IF(N4408=_xlfn.MINIFS($N$2:$N$5001,$B$2:$B$5001,B4408,$E$2:$E$5001,"Em ajustes"),1,0),0))</f>
        <v/>
      </c>
      <c r="N4408" s="17" t="str">
        <f aca="false">IF(A4408="","",IF(ISNUMBER(A4408),A4408,IFERROR(DATE(VALUE(MID(A4408,7,4)),VALUE(MID(A4408,4,2)),VALUE(MID(A4408,1,2)))+TIME(VALUE(MID(A4408,12,2)),VALUE(MID(A4408,15,2)),VALUE(MID(A4408,18,2))),"")))</f>
        <v/>
      </c>
    </row>
    <row r="4409" customFormat="false" ht="15" hidden="false" customHeight="false" outlineLevel="0" collapsed="false">
      <c r="I4409" s="15" t="str">
        <f aca="false">IF(N4409="","",INT(N4409))</f>
        <v/>
      </c>
      <c r="J4409" s="16" t="str">
        <f aca="false">IF(B4409="","",IF(N4409=_xlfn.MINIFS($N$2:$N$5001,$B$2:$B$5001,B4409),1,0))</f>
        <v/>
      </c>
      <c r="K4409" s="16" t="str">
        <f aca="false">IF(B4409="","",IF(AND(D4409="Formalização",E4409="Concluído"),IF(COUNTIFS($B$2:$B$5001,B4409,$E$2:$E$5001,"Em ajustes",$N$2:$N$5001,"&lt;"&amp;I4409)&gt;0,1,0),0))</f>
        <v/>
      </c>
      <c r="L4409" s="16" t="str">
        <f aca="false">IF(B4409="","",IF(N4409=_xlfn.MAXIFS($N$2:$N$5001,$B$2:$B$5001,B4409,$I$2:$I$5001,I4409),1,0))</f>
        <v/>
      </c>
      <c r="M4409" s="16" t="str">
        <f aca="false">IF(B4409="","",IF(E4409="Em ajustes",IF(N4409=_xlfn.MINIFS($N$2:$N$5001,$B$2:$B$5001,B4409,$E$2:$E$5001,"Em ajustes"),1,0),0))</f>
        <v/>
      </c>
      <c r="N4409" s="17" t="str">
        <f aca="false">IF(A4409="","",IF(ISNUMBER(A4409),A4409,IFERROR(DATE(VALUE(MID(A4409,7,4)),VALUE(MID(A4409,4,2)),VALUE(MID(A4409,1,2)))+TIME(VALUE(MID(A4409,12,2)),VALUE(MID(A4409,15,2)),VALUE(MID(A4409,18,2))),"")))</f>
        <v/>
      </c>
    </row>
    <row r="4410" customFormat="false" ht="15" hidden="false" customHeight="false" outlineLevel="0" collapsed="false">
      <c r="I4410" s="15" t="str">
        <f aca="false">IF(N4410="","",INT(N4410))</f>
        <v/>
      </c>
      <c r="J4410" s="16" t="str">
        <f aca="false">IF(B4410="","",IF(N4410=_xlfn.MINIFS($N$2:$N$5001,$B$2:$B$5001,B4410),1,0))</f>
        <v/>
      </c>
      <c r="K4410" s="16" t="str">
        <f aca="false">IF(B4410="","",IF(AND(D4410="Formalização",E4410="Concluído"),IF(COUNTIFS($B$2:$B$5001,B4410,$E$2:$E$5001,"Em ajustes",$N$2:$N$5001,"&lt;"&amp;I4410)&gt;0,1,0),0))</f>
        <v/>
      </c>
      <c r="L4410" s="16" t="str">
        <f aca="false">IF(B4410="","",IF(N4410=_xlfn.MAXIFS($N$2:$N$5001,$B$2:$B$5001,B4410,$I$2:$I$5001,I4410),1,0))</f>
        <v/>
      </c>
      <c r="M4410" s="16" t="str">
        <f aca="false">IF(B4410="","",IF(E4410="Em ajustes",IF(N4410=_xlfn.MINIFS($N$2:$N$5001,$B$2:$B$5001,B4410,$E$2:$E$5001,"Em ajustes"),1,0),0))</f>
        <v/>
      </c>
      <c r="N4410" s="17" t="str">
        <f aca="false">IF(A4410="","",IF(ISNUMBER(A4410),A4410,IFERROR(DATE(VALUE(MID(A4410,7,4)),VALUE(MID(A4410,4,2)),VALUE(MID(A4410,1,2)))+TIME(VALUE(MID(A4410,12,2)),VALUE(MID(A4410,15,2)),VALUE(MID(A4410,18,2))),"")))</f>
        <v/>
      </c>
    </row>
    <row r="4411" customFormat="false" ht="15" hidden="false" customHeight="false" outlineLevel="0" collapsed="false">
      <c r="I4411" s="15" t="str">
        <f aca="false">IF(N4411="","",INT(N4411))</f>
        <v/>
      </c>
      <c r="J4411" s="16" t="str">
        <f aca="false">IF(B4411="","",IF(N4411=_xlfn.MINIFS($N$2:$N$5001,$B$2:$B$5001,B4411),1,0))</f>
        <v/>
      </c>
      <c r="K4411" s="16" t="str">
        <f aca="false">IF(B4411="","",IF(AND(D4411="Formalização",E4411="Concluído"),IF(COUNTIFS($B$2:$B$5001,B4411,$E$2:$E$5001,"Em ajustes",$N$2:$N$5001,"&lt;"&amp;I4411)&gt;0,1,0),0))</f>
        <v/>
      </c>
      <c r="L4411" s="16" t="str">
        <f aca="false">IF(B4411="","",IF(N4411=_xlfn.MAXIFS($N$2:$N$5001,$B$2:$B$5001,B4411,$I$2:$I$5001,I4411),1,0))</f>
        <v/>
      </c>
      <c r="M4411" s="16" t="str">
        <f aca="false">IF(B4411="","",IF(E4411="Em ajustes",IF(N4411=_xlfn.MINIFS($N$2:$N$5001,$B$2:$B$5001,B4411,$E$2:$E$5001,"Em ajustes"),1,0),0))</f>
        <v/>
      </c>
      <c r="N4411" s="17" t="str">
        <f aca="false">IF(A4411="","",IF(ISNUMBER(A4411),A4411,IFERROR(DATE(VALUE(MID(A4411,7,4)),VALUE(MID(A4411,4,2)),VALUE(MID(A4411,1,2)))+TIME(VALUE(MID(A4411,12,2)),VALUE(MID(A4411,15,2)),VALUE(MID(A4411,18,2))),"")))</f>
        <v/>
      </c>
    </row>
    <row r="4412" customFormat="false" ht="15" hidden="false" customHeight="false" outlineLevel="0" collapsed="false">
      <c r="I4412" s="15" t="str">
        <f aca="false">IF(N4412="","",INT(N4412))</f>
        <v/>
      </c>
      <c r="J4412" s="16" t="str">
        <f aca="false">IF(B4412="","",IF(N4412=_xlfn.MINIFS($N$2:$N$5001,$B$2:$B$5001,B4412),1,0))</f>
        <v/>
      </c>
      <c r="K4412" s="16" t="str">
        <f aca="false">IF(B4412="","",IF(AND(D4412="Formalização",E4412="Concluído"),IF(COUNTIFS($B$2:$B$5001,B4412,$E$2:$E$5001,"Em ajustes",$N$2:$N$5001,"&lt;"&amp;I4412)&gt;0,1,0),0))</f>
        <v/>
      </c>
      <c r="L4412" s="16" t="str">
        <f aca="false">IF(B4412="","",IF(N4412=_xlfn.MAXIFS($N$2:$N$5001,$B$2:$B$5001,B4412,$I$2:$I$5001,I4412),1,0))</f>
        <v/>
      </c>
      <c r="M4412" s="16" t="str">
        <f aca="false">IF(B4412="","",IF(E4412="Em ajustes",IF(N4412=_xlfn.MINIFS($N$2:$N$5001,$B$2:$B$5001,B4412,$E$2:$E$5001,"Em ajustes"),1,0),0))</f>
        <v/>
      </c>
      <c r="N4412" s="17" t="str">
        <f aca="false">IF(A4412="","",IF(ISNUMBER(A4412),A4412,IFERROR(DATE(VALUE(MID(A4412,7,4)),VALUE(MID(A4412,4,2)),VALUE(MID(A4412,1,2)))+TIME(VALUE(MID(A4412,12,2)),VALUE(MID(A4412,15,2)),VALUE(MID(A4412,18,2))),"")))</f>
        <v/>
      </c>
    </row>
    <row r="4413" customFormat="false" ht="15" hidden="false" customHeight="false" outlineLevel="0" collapsed="false">
      <c r="I4413" s="15" t="str">
        <f aca="false">IF(N4413="","",INT(N4413))</f>
        <v/>
      </c>
      <c r="J4413" s="16" t="str">
        <f aca="false">IF(B4413="","",IF(N4413=_xlfn.MINIFS($N$2:$N$5001,$B$2:$B$5001,B4413),1,0))</f>
        <v/>
      </c>
      <c r="K4413" s="16" t="str">
        <f aca="false">IF(B4413="","",IF(AND(D4413="Formalização",E4413="Concluído"),IF(COUNTIFS($B$2:$B$5001,B4413,$E$2:$E$5001,"Em ajustes",$N$2:$N$5001,"&lt;"&amp;I4413)&gt;0,1,0),0))</f>
        <v/>
      </c>
      <c r="L4413" s="16" t="str">
        <f aca="false">IF(B4413="","",IF(N4413=_xlfn.MAXIFS($N$2:$N$5001,$B$2:$B$5001,B4413,$I$2:$I$5001,I4413),1,0))</f>
        <v/>
      </c>
      <c r="M4413" s="16" t="str">
        <f aca="false">IF(B4413="","",IF(E4413="Em ajustes",IF(N4413=_xlfn.MINIFS($N$2:$N$5001,$B$2:$B$5001,B4413,$E$2:$E$5001,"Em ajustes"),1,0),0))</f>
        <v/>
      </c>
      <c r="N4413" s="17" t="str">
        <f aca="false">IF(A4413="","",IF(ISNUMBER(A4413),A4413,IFERROR(DATE(VALUE(MID(A4413,7,4)),VALUE(MID(A4413,4,2)),VALUE(MID(A4413,1,2)))+TIME(VALUE(MID(A4413,12,2)),VALUE(MID(A4413,15,2)),VALUE(MID(A4413,18,2))),"")))</f>
        <v/>
      </c>
    </row>
    <row r="4414" customFormat="false" ht="15" hidden="false" customHeight="false" outlineLevel="0" collapsed="false">
      <c r="I4414" s="15" t="str">
        <f aca="false">IF(N4414="","",INT(N4414))</f>
        <v/>
      </c>
      <c r="J4414" s="16" t="str">
        <f aca="false">IF(B4414="","",IF(N4414=_xlfn.MINIFS($N$2:$N$5001,$B$2:$B$5001,B4414),1,0))</f>
        <v/>
      </c>
      <c r="K4414" s="16" t="str">
        <f aca="false">IF(B4414="","",IF(AND(D4414="Formalização",E4414="Concluído"),IF(COUNTIFS($B$2:$B$5001,B4414,$E$2:$E$5001,"Em ajustes",$N$2:$N$5001,"&lt;"&amp;I4414)&gt;0,1,0),0))</f>
        <v/>
      </c>
      <c r="L4414" s="16" t="str">
        <f aca="false">IF(B4414="","",IF(N4414=_xlfn.MAXIFS($N$2:$N$5001,$B$2:$B$5001,B4414,$I$2:$I$5001,I4414),1,0))</f>
        <v/>
      </c>
      <c r="M4414" s="16" t="str">
        <f aca="false">IF(B4414="","",IF(E4414="Em ajustes",IF(N4414=_xlfn.MINIFS($N$2:$N$5001,$B$2:$B$5001,B4414,$E$2:$E$5001,"Em ajustes"),1,0),0))</f>
        <v/>
      </c>
      <c r="N4414" s="17" t="str">
        <f aca="false">IF(A4414="","",IF(ISNUMBER(A4414),A4414,IFERROR(DATE(VALUE(MID(A4414,7,4)),VALUE(MID(A4414,4,2)),VALUE(MID(A4414,1,2)))+TIME(VALUE(MID(A4414,12,2)),VALUE(MID(A4414,15,2)),VALUE(MID(A4414,18,2))),"")))</f>
        <v/>
      </c>
    </row>
    <row r="4415" customFormat="false" ht="15" hidden="false" customHeight="false" outlineLevel="0" collapsed="false">
      <c r="I4415" s="15" t="str">
        <f aca="false">IF(N4415="","",INT(N4415))</f>
        <v/>
      </c>
      <c r="J4415" s="16" t="str">
        <f aca="false">IF(B4415="","",IF(N4415=_xlfn.MINIFS($N$2:$N$5001,$B$2:$B$5001,B4415),1,0))</f>
        <v/>
      </c>
      <c r="K4415" s="16" t="str">
        <f aca="false">IF(B4415="","",IF(AND(D4415="Formalização",E4415="Concluído"),IF(COUNTIFS($B$2:$B$5001,B4415,$E$2:$E$5001,"Em ajustes",$N$2:$N$5001,"&lt;"&amp;I4415)&gt;0,1,0),0))</f>
        <v/>
      </c>
      <c r="L4415" s="16" t="str">
        <f aca="false">IF(B4415="","",IF(N4415=_xlfn.MAXIFS($N$2:$N$5001,$B$2:$B$5001,B4415,$I$2:$I$5001,I4415),1,0))</f>
        <v/>
      </c>
      <c r="M4415" s="16" t="str">
        <f aca="false">IF(B4415="","",IF(E4415="Em ajustes",IF(N4415=_xlfn.MINIFS($N$2:$N$5001,$B$2:$B$5001,B4415,$E$2:$E$5001,"Em ajustes"),1,0),0))</f>
        <v/>
      </c>
      <c r="N4415" s="17" t="str">
        <f aca="false">IF(A4415="","",IF(ISNUMBER(A4415),A4415,IFERROR(DATE(VALUE(MID(A4415,7,4)),VALUE(MID(A4415,4,2)),VALUE(MID(A4415,1,2)))+TIME(VALUE(MID(A4415,12,2)),VALUE(MID(A4415,15,2)),VALUE(MID(A4415,18,2))),"")))</f>
        <v/>
      </c>
    </row>
    <row r="4416" customFormat="false" ht="15" hidden="false" customHeight="false" outlineLevel="0" collapsed="false">
      <c r="I4416" s="15" t="str">
        <f aca="false">IF(N4416="","",INT(N4416))</f>
        <v/>
      </c>
      <c r="J4416" s="16" t="str">
        <f aca="false">IF(B4416="","",IF(N4416=_xlfn.MINIFS($N$2:$N$5001,$B$2:$B$5001,B4416),1,0))</f>
        <v/>
      </c>
      <c r="K4416" s="16" t="str">
        <f aca="false">IF(B4416="","",IF(AND(D4416="Formalização",E4416="Concluído"),IF(COUNTIFS($B$2:$B$5001,B4416,$E$2:$E$5001,"Em ajustes",$N$2:$N$5001,"&lt;"&amp;I4416)&gt;0,1,0),0))</f>
        <v/>
      </c>
      <c r="L4416" s="16" t="str">
        <f aca="false">IF(B4416="","",IF(N4416=_xlfn.MAXIFS($N$2:$N$5001,$B$2:$B$5001,B4416,$I$2:$I$5001,I4416),1,0))</f>
        <v/>
      </c>
      <c r="M4416" s="16" t="str">
        <f aca="false">IF(B4416="","",IF(E4416="Em ajustes",IF(N4416=_xlfn.MINIFS($N$2:$N$5001,$B$2:$B$5001,B4416,$E$2:$E$5001,"Em ajustes"),1,0),0))</f>
        <v/>
      </c>
      <c r="N4416" s="17" t="str">
        <f aca="false">IF(A4416="","",IF(ISNUMBER(A4416),A4416,IFERROR(DATE(VALUE(MID(A4416,7,4)),VALUE(MID(A4416,4,2)),VALUE(MID(A4416,1,2)))+TIME(VALUE(MID(A4416,12,2)),VALUE(MID(A4416,15,2)),VALUE(MID(A4416,18,2))),"")))</f>
        <v/>
      </c>
    </row>
    <row r="4417" customFormat="false" ht="15" hidden="false" customHeight="false" outlineLevel="0" collapsed="false">
      <c r="I4417" s="15" t="str">
        <f aca="false">IF(N4417="","",INT(N4417))</f>
        <v/>
      </c>
      <c r="J4417" s="16" t="str">
        <f aca="false">IF(B4417="","",IF(N4417=_xlfn.MINIFS($N$2:$N$5001,$B$2:$B$5001,B4417),1,0))</f>
        <v/>
      </c>
      <c r="K4417" s="16" t="str">
        <f aca="false">IF(B4417="","",IF(AND(D4417="Formalização",E4417="Concluído"),IF(COUNTIFS($B$2:$B$5001,B4417,$E$2:$E$5001,"Em ajustes",$N$2:$N$5001,"&lt;"&amp;I4417)&gt;0,1,0),0))</f>
        <v/>
      </c>
      <c r="L4417" s="16" t="str">
        <f aca="false">IF(B4417="","",IF(N4417=_xlfn.MAXIFS($N$2:$N$5001,$B$2:$B$5001,B4417,$I$2:$I$5001,I4417),1,0))</f>
        <v/>
      </c>
      <c r="M4417" s="16" t="str">
        <f aca="false">IF(B4417="","",IF(E4417="Em ajustes",IF(N4417=_xlfn.MINIFS($N$2:$N$5001,$B$2:$B$5001,B4417,$E$2:$E$5001,"Em ajustes"),1,0),0))</f>
        <v/>
      </c>
      <c r="N4417" s="17" t="str">
        <f aca="false">IF(A4417="","",IF(ISNUMBER(A4417),A4417,IFERROR(DATE(VALUE(MID(A4417,7,4)),VALUE(MID(A4417,4,2)),VALUE(MID(A4417,1,2)))+TIME(VALUE(MID(A4417,12,2)),VALUE(MID(A4417,15,2)),VALUE(MID(A4417,18,2))),"")))</f>
        <v/>
      </c>
    </row>
    <row r="4418" customFormat="false" ht="15" hidden="false" customHeight="false" outlineLevel="0" collapsed="false">
      <c r="I4418" s="15" t="str">
        <f aca="false">IF(N4418="","",INT(N4418))</f>
        <v/>
      </c>
      <c r="J4418" s="16" t="str">
        <f aca="false">IF(B4418="","",IF(N4418=_xlfn.MINIFS($N$2:$N$5001,$B$2:$B$5001,B4418),1,0))</f>
        <v/>
      </c>
      <c r="K4418" s="16" t="str">
        <f aca="false">IF(B4418="","",IF(AND(D4418="Formalização",E4418="Concluído"),IF(COUNTIFS($B$2:$B$5001,B4418,$E$2:$E$5001,"Em ajustes",$N$2:$N$5001,"&lt;"&amp;I4418)&gt;0,1,0),0))</f>
        <v/>
      </c>
      <c r="L4418" s="16" t="str">
        <f aca="false">IF(B4418="","",IF(N4418=_xlfn.MAXIFS($N$2:$N$5001,$B$2:$B$5001,B4418,$I$2:$I$5001,I4418),1,0))</f>
        <v/>
      </c>
      <c r="M4418" s="16" t="str">
        <f aca="false">IF(B4418="","",IF(E4418="Em ajustes",IF(N4418=_xlfn.MINIFS($N$2:$N$5001,$B$2:$B$5001,B4418,$E$2:$E$5001,"Em ajustes"),1,0),0))</f>
        <v/>
      </c>
      <c r="N4418" s="17" t="str">
        <f aca="false">IF(A4418="","",IF(ISNUMBER(A4418),A4418,IFERROR(DATE(VALUE(MID(A4418,7,4)),VALUE(MID(A4418,4,2)),VALUE(MID(A4418,1,2)))+TIME(VALUE(MID(A4418,12,2)),VALUE(MID(A4418,15,2)),VALUE(MID(A4418,18,2))),"")))</f>
        <v/>
      </c>
    </row>
    <row r="4419" customFormat="false" ht="15" hidden="false" customHeight="false" outlineLevel="0" collapsed="false">
      <c r="I4419" s="15" t="str">
        <f aca="false">IF(N4419="","",INT(N4419))</f>
        <v/>
      </c>
      <c r="J4419" s="16" t="str">
        <f aca="false">IF(B4419="","",IF(N4419=_xlfn.MINIFS($N$2:$N$5001,$B$2:$B$5001,B4419),1,0))</f>
        <v/>
      </c>
      <c r="K4419" s="16" t="str">
        <f aca="false">IF(B4419="","",IF(AND(D4419="Formalização",E4419="Concluído"),IF(COUNTIFS($B$2:$B$5001,B4419,$E$2:$E$5001,"Em ajustes",$N$2:$N$5001,"&lt;"&amp;I4419)&gt;0,1,0),0))</f>
        <v/>
      </c>
      <c r="L4419" s="16" t="str">
        <f aca="false">IF(B4419="","",IF(N4419=_xlfn.MAXIFS($N$2:$N$5001,$B$2:$B$5001,B4419,$I$2:$I$5001,I4419),1,0))</f>
        <v/>
      </c>
      <c r="M4419" s="16" t="str">
        <f aca="false">IF(B4419="","",IF(E4419="Em ajustes",IF(N4419=_xlfn.MINIFS($N$2:$N$5001,$B$2:$B$5001,B4419,$E$2:$E$5001,"Em ajustes"),1,0),0))</f>
        <v/>
      </c>
      <c r="N4419" s="17" t="str">
        <f aca="false">IF(A4419="","",IF(ISNUMBER(A4419),A4419,IFERROR(DATE(VALUE(MID(A4419,7,4)),VALUE(MID(A4419,4,2)),VALUE(MID(A4419,1,2)))+TIME(VALUE(MID(A4419,12,2)),VALUE(MID(A4419,15,2)),VALUE(MID(A4419,18,2))),"")))</f>
        <v/>
      </c>
    </row>
    <row r="4420" customFormat="false" ht="15" hidden="false" customHeight="false" outlineLevel="0" collapsed="false">
      <c r="I4420" s="15" t="str">
        <f aca="false">IF(N4420="","",INT(N4420))</f>
        <v/>
      </c>
      <c r="J4420" s="16" t="str">
        <f aca="false">IF(B4420="","",IF(N4420=_xlfn.MINIFS($N$2:$N$5001,$B$2:$B$5001,B4420),1,0))</f>
        <v/>
      </c>
      <c r="K4420" s="16" t="str">
        <f aca="false">IF(B4420="","",IF(AND(D4420="Formalização",E4420="Concluído"),IF(COUNTIFS($B$2:$B$5001,B4420,$E$2:$E$5001,"Em ajustes",$N$2:$N$5001,"&lt;"&amp;I4420)&gt;0,1,0),0))</f>
        <v/>
      </c>
      <c r="L4420" s="16" t="str">
        <f aca="false">IF(B4420="","",IF(N4420=_xlfn.MAXIFS($N$2:$N$5001,$B$2:$B$5001,B4420,$I$2:$I$5001,I4420),1,0))</f>
        <v/>
      </c>
      <c r="M4420" s="16" t="str">
        <f aca="false">IF(B4420="","",IF(E4420="Em ajustes",IF(N4420=_xlfn.MINIFS($N$2:$N$5001,$B$2:$B$5001,B4420,$E$2:$E$5001,"Em ajustes"),1,0),0))</f>
        <v/>
      </c>
      <c r="N4420" s="17" t="str">
        <f aca="false">IF(A4420="","",IF(ISNUMBER(A4420),A4420,IFERROR(DATE(VALUE(MID(A4420,7,4)),VALUE(MID(A4420,4,2)),VALUE(MID(A4420,1,2)))+TIME(VALUE(MID(A4420,12,2)),VALUE(MID(A4420,15,2)),VALUE(MID(A4420,18,2))),"")))</f>
        <v/>
      </c>
    </row>
    <row r="4421" customFormat="false" ht="15" hidden="false" customHeight="false" outlineLevel="0" collapsed="false">
      <c r="I4421" s="15" t="str">
        <f aca="false">IF(N4421="","",INT(N4421))</f>
        <v/>
      </c>
      <c r="J4421" s="16" t="str">
        <f aca="false">IF(B4421="","",IF(N4421=_xlfn.MINIFS($N$2:$N$5001,$B$2:$B$5001,B4421),1,0))</f>
        <v/>
      </c>
      <c r="K4421" s="16" t="str">
        <f aca="false">IF(B4421="","",IF(AND(D4421="Formalização",E4421="Concluído"),IF(COUNTIFS($B$2:$B$5001,B4421,$E$2:$E$5001,"Em ajustes",$N$2:$N$5001,"&lt;"&amp;I4421)&gt;0,1,0),0))</f>
        <v/>
      </c>
      <c r="L4421" s="16" t="str">
        <f aca="false">IF(B4421="","",IF(N4421=_xlfn.MAXIFS($N$2:$N$5001,$B$2:$B$5001,B4421,$I$2:$I$5001,I4421),1,0))</f>
        <v/>
      </c>
      <c r="M4421" s="16" t="str">
        <f aca="false">IF(B4421="","",IF(E4421="Em ajustes",IF(N4421=_xlfn.MINIFS($N$2:$N$5001,$B$2:$B$5001,B4421,$E$2:$E$5001,"Em ajustes"),1,0),0))</f>
        <v/>
      </c>
      <c r="N4421" s="17" t="str">
        <f aca="false">IF(A4421="","",IF(ISNUMBER(A4421),A4421,IFERROR(DATE(VALUE(MID(A4421,7,4)),VALUE(MID(A4421,4,2)),VALUE(MID(A4421,1,2)))+TIME(VALUE(MID(A4421,12,2)),VALUE(MID(A4421,15,2)),VALUE(MID(A4421,18,2))),"")))</f>
        <v/>
      </c>
    </row>
    <row r="4422" customFormat="false" ht="15" hidden="false" customHeight="false" outlineLevel="0" collapsed="false">
      <c r="I4422" s="15" t="str">
        <f aca="false">IF(N4422="","",INT(N4422))</f>
        <v/>
      </c>
      <c r="J4422" s="16" t="str">
        <f aca="false">IF(B4422="","",IF(N4422=_xlfn.MINIFS($N$2:$N$5001,$B$2:$B$5001,B4422),1,0))</f>
        <v/>
      </c>
      <c r="K4422" s="16" t="str">
        <f aca="false">IF(B4422="","",IF(AND(D4422="Formalização",E4422="Concluído"),IF(COUNTIFS($B$2:$B$5001,B4422,$E$2:$E$5001,"Em ajustes",$N$2:$N$5001,"&lt;"&amp;I4422)&gt;0,1,0),0))</f>
        <v/>
      </c>
      <c r="L4422" s="16" t="str">
        <f aca="false">IF(B4422="","",IF(N4422=_xlfn.MAXIFS($N$2:$N$5001,$B$2:$B$5001,B4422,$I$2:$I$5001,I4422),1,0))</f>
        <v/>
      </c>
      <c r="M4422" s="16" t="str">
        <f aca="false">IF(B4422="","",IF(E4422="Em ajustes",IF(N4422=_xlfn.MINIFS($N$2:$N$5001,$B$2:$B$5001,B4422,$E$2:$E$5001,"Em ajustes"),1,0),0))</f>
        <v/>
      </c>
      <c r="N4422" s="17" t="str">
        <f aca="false">IF(A4422="","",IF(ISNUMBER(A4422),A4422,IFERROR(DATE(VALUE(MID(A4422,7,4)),VALUE(MID(A4422,4,2)),VALUE(MID(A4422,1,2)))+TIME(VALUE(MID(A4422,12,2)),VALUE(MID(A4422,15,2)),VALUE(MID(A4422,18,2))),"")))</f>
        <v/>
      </c>
    </row>
    <row r="4423" customFormat="false" ht="15" hidden="false" customHeight="false" outlineLevel="0" collapsed="false">
      <c r="I4423" s="15" t="str">
        <f aca="false">IF(N4423="","",INT(N4423))</f>
        <v/>
      </c>
      <c r="J4423" s="16" t="str">
        <f aca="false">IF(B4423="","",IF(N4423=_xlfn.MINIFS($N$2:$N$5001,$B$2:$B$5001,B4423),1,0))</f>
        <v/>
      </c>
      <c r="K4423" s="16" t="str">
        <f aca="false">IF(B4423="","",IF(AND(D4423="Formalização",E4423="Concluído"),IF(COUNTIFS($B$2:$B$5001,B4423,$E$2:$E$5001,"Em ajustes",$N$2:$N$5001,"&lt;"&amp;I4423)&gt;0,1,0),0))</f>
        <v/>
      </c>
      <c r="L4423" s="16" t="str">
        <f aca="false">IF(B4423="","",IF(N4423=_xlfn.MAXIFS($N$2:$N$5001,$B$2:$B$5001,B4423,$I$2:$I$5001,I4423),1,0))</f>
        <v/>
      </c>
      <c r="M4423" s="16" t="str">
        <f aca="false">IF(B4423="","",IF(E4423="Em ajustes",IF(N4423=_xlfn.MINIFS($N$2:$N$5001,$B$2:$B$5001,B4423,$E$2:$E$5001,"Em ajustes"),1,0),0))</f>
        <v/>
      </c>
      <c r="N4423" s="17" t="str">
        <f aca="false">IF(A4423="","",IF(ISNUMBER(A4423),A4423,IFERROR(DATE(VALUE(MID(A4423,7,4)),VALUE(MID(A4423,4,2)),VALUE(MID(A4423,1,2)))+TIME(VALUE(MID(A4423,12,2)),VALUE(MID(A4423,15,2)),VALUE(MID(A4423,18,2))),"")))</f>
        <v/>
      </c>
    </row>
    <row r="4424" customFormat="false" ht="15" hidden="false" customHeight="false" outlineLevel="0" collapsed="false">
      <c r="I4424" s="15" t="str">
        <f aca="false">IF(N4424="","",INT(N4424))</f>
        <v/>
      </c>
      <c r="J4424" s="16" t="str">
        <f aca="false">IF(B4424="","",IF(N4424=_xlfn.MINIFS($N$2:$N$5001,$B$2:$B$5001,B4424),1,0))</f>
        <v/>
      </c>
      <c r="K4424" s="16" t="str">
        <f aca="false">IF(B4424="","",IF(AND(D4424="Formalização",E4424="Concluído"),IF(COUNTIFS($B$2:$B$5001,B4424,$E$2:$E$5001,"Em ajustes",$N$2:$N$5001,"&lt;"&amp;I4424)&gt;0,1,0),0))</f>
        <v/>
      </c>
      <c r="L4424" s="16" t="str">
        <f aca="false">IF(B4424="","",IF(N4424=_xlfn.MAXIFS($N$2:$N$5001,$B$2:$B$5001,B4424,$I$2:$I$5001,I4424),1,0))</f>
        <v/>
      </c>
      <c r="M4424" s="16" t="str">
        <f aca="false">IF(B4424="","",IF(E4424="Em ajustes",IF(N4424=_xlfn.MINIFS($N$2:$N$5001,$B$2:$B$5001,B4424,$E$2:$E$5001,"Em ajustes"),1,0),0))</f>
        <v/>
      </c>
      <c r="N4424" s="17" t="str">
        <f aca="false">IF(A4424="","",IF(ISNUMBER(A4424),A4424,IFERROR(DATE(VALUE(MID(A4424,7,4)),VALUE(MID(A4424,4,2)),VALUE(MID(A4424,1,2)))+TIME(VALUE(MID(A4424,12,2)),VALUE(MID(A4424,15,2)),VALUE(MID(A4424,18,2))),"")))</f>
        <v/>
      </c>
    </row>
    <row r="4425" customFormat="false" ht="15" hidden="false" customHeight="false" outlineLevel="0" collapsed="false">
      <c r="I4425" s="15" t="str">
        <f aca="false">IF(N4425="","",INT(N4425))</f>
        <v/>
      </c>
      <c r="J4425" s="16" t="str">
        <f aca="false">IF(B4425="","",IF(N4425=_xlfn.MINIFS($N$2:$N$5001,$B$2:$B$5001,B4425),1,0))</f>
        <v/>
      </c>
      <c r="K4425" s="16" t="str">
        <f aca="false">IF(B4425="","",IF(AND(D4425="Formalização",E4425="Concluído"),IF(COUNTIFS($B$2:$B$5001,B4425,$E$2:$E$5001,"Em ajustes",$N$2:$N$5001,"&lt;"&amp;I4425)&gt;0,1,0),0))</f>
        <v/>
      </c>
      <c r="L4425" s="16" t="str">
        <f aca="false">IF(B4425="","",IF(N4425=_xlfn.MAXIFS($N$2:$N$5001,$B$2:$B$5001,B4425,$I$2:$I$5001,I4425),1,0))</f>
        <v/>
      </c>
      <c r="M4425" s="16" t="str">
        <f aca="false">IF(B4425="","",IF(E4425="Em ajustes",IF(N4425=_xlfn.MINIFS($N$2:$N$5001,$B$2:$B$5001,B4425,$E$2:$E$5001,"Em ajustes"),1,0),0))</f>
        <v/>
      </c>
      <c r="N4425" s="17" t="str">
        <f aca="false">IF(A4425="","",IF(ISNUMBER(A4425),A4425,IFERROR(DATE(VALUE(MID(A4425,7,4)),VALUE(MID(A4425,4,2)),VALUE(MID(A4425,1,2)))+TIME(VALUE(MID(A4425,12,2)),VALUE(MID(A4425,15,2)),VALUE(MID(A4425,18,2))),"")))</f>
        <v/>
      </c>
    </row>
    <row r="4426" customFormat="false" ht="15" hidden="false" customHeight="false" outlineLevel="0" collapsed="false">
      <c r="I4426" s="15" t="str">
        <f aca="false">IF(N4426="","",INT(N4426))</f>
        <v/>
      </c>
      <c r="J4426" s="16" t="str">
        <f aca="false">IF(B4426="","",IF(N4426=_xlfn.MINIFS($N$2:$N$5001,$B$2:$B$5001,B4426),1,0))</f>
        <v/>
      </c>
      <c r="K4426" s="16" t="str">
        <f aca="false">IF(B4426="","",IF(AND(D4426="Formalização",E4426="Concluído"),IF(COUNTIFS($B$2:$B$5001,B4426,$E$2:$E$5001,"Em ajustes",$N$2:$N$5001,"&lt;"&amp;I4426)&gt;0,1,0),0))</f>
        <v/>
      </c>
      <c r="L4426" s="16" t="str">
        <f aca="false">IF(B4426="","",IF(N4426=_xlfn.MAXIFS($N$2:$N$5001,$B$2:$B$5001,B4426,$I$2:$I$5001,I4426),1,0))</f>
        <v/>
      </c>
      <c r="M4426" s="16" t="str">
        <f aca="false">IF(B4426="","",IF(E4426="Em ajustes",IF(N4426=_xlfn.MINIFS($N$2:$N$5001,$B$2:$B$5001,B4426,$E$2:$E$5001,"Em ajustes"),1,0),0))</f>
        <v/>
      </c>
      <c r="N4426" s="17" t="str">
        <f aca="false">IF(A4426="","",IF(ISNUMBER(A4426),A4426,IFERROR(DATE(VALUE(MID(A4426,7,4)),VALUE(MID(A4426,4,2)),VALUE(MID(A4426,1,2)))+TIME(VALUE(MID(A4426,12,2)),VALUE(MID(A4426,15,2)),VALUE(MID(A4426,18,2))),"")))</f>
        <v/>
      </c>
    </row>
    <row r="4427" customFormat="false" ht="15" hidden="false" customHeight="false" outlineLevel="0" collapsed="false">
      <c r="I4427" s="15" t="str">
        <f aca="false">IF(N4427="","",INT(N4427))</f>
        <v/>
      </c>
      <c r="J4427" s="16" t="str">
        <f aca="false">IF(B4427="","",IF(N4427=_xlfn.MINIFS($N$2:$N$5001,$B$2:$B$5001,B4427),1,0))</f>
        <v/>
      </c>
      <c r="K4427" s="16" t="str">
        <f aca="false">IF(B4427="","",IF(AND(D4427="Formalização",E4427="Concluído"),IF(COUNTIFS($B$2:$B$5001,B4427,$E$2:$E$5001,"Em ajustes",$N$2:$N$5001,"&lt;"&amp;I4427)&gt;0,1,0),0))</f>
        <v/>
      </c>
      <c r="L4427" s="16" t="str">
        <f aca="false">IF(B4427="","",IF(N4427=_xlfn.MAXIFS($N$2:$N$5001,$B$2:$B$5001,B4427,$I$2:$I$5001,I4427),1,0))</f>
        <v/>
      </c>
      <c r="M4427" s="16" t="str">
        <f aca="false">IF(B4427="","",IF(E4427="Em ajustes",IF(N4427=_xlfn.MINIFS($N$2:$N$5001,$B$2:$B$5001,B4427,$E$2:$E$5001,"Em ajustes"),1,0),0))</f>
        <v/>
      </c>
      <c r="N4427" s="17" t="str">
        <f aca="false">IF(A4427="","",IF(ISNUMBER(A4427),A4427,IFERROR(DATE(VALUE(MID(A4427,7,4)),VALUE(MID(A4427,4,2)),VALUE(MID(A4427,1,2)))+TIME(VALUE(MID(A4427,12,2)),VALUE(MID(A4427,15,2)),VALUE(MID(A4427,18,2))),"")))</f>
        <v/>
      </c>
    </row>
    <row r="4428" customFormat="false" ht="15" hidden="false" customHeight="false" outlineLevel="0" collapsed="false">
      <c r="I4428" s="15" t="str">
        <f aca="false">IF(N4428="","",INT(N4428))</f>
        <v/>
      </c>
      <c r="J4428" s="16" t="str">
        <f aca="false">IF(B4428="","",IF(N4428=_xlfn.MINIFS($N$2:$N$5001,$B$2:$B$5001,B4428),1,0))</f>
        <v/>
      </c>
      <c r="K4428" s="16" t="str">
        <f aca="false">IF(B4428="","",IF(AND(D4428="Formalização",E4428="Concluído"),IF(COUNTIFS($B$2:$B$5001,B4428,$E$2:$E$5001,"Em ajustes",$N$2:$N$5001,"&lt;"&amp;I4428)&gt;0,1,0),0))</f>
        <v/>
      </c>
      <c r="L4428" s="16" t="str">
        <f aca="false">IF(B4428="","",IF(N4428=_xlfn.MAXIFS($N$2:$N$5001,$B$2:$B$5001,B4428,$I$2:$I$5001,I4428),1,0))</f>
        <v/>
      </c>
      <c r="M4428" s="16" t="str">
        <f aca="false">IF(B4428="","",IF(E4428="Em ajustes",IF(N4428=_xlfn.MINIFS($N$2:$N$5001,$B$2:$B$5001,B4428,$E$2:$E$5001,"Em ajustes"),1,0),0))</f>
        <v/>
      </c>
      <c r="N4428" s="17" t="str">
        <f aca="false">IF(A4428="","",IF(ISNUMBER(A4428),A4428,IFERROR(DATE(VALUE(MID(A4428,7,4)),VALUE(MID(A4428,4,2)),VALUE(MID(A4428,1,2)))+TIME(VALUE(MID(A4428,12,2)),VALUE(MID(A4428,15,2)),VALUE(MID(A4428,18,2))),"")))</f>
        <v/>
      </c>
    </row>
    <row r="4429" customFormat="false" ht="15" hidden="false" customHeight="false" outlineLevel="0" collapsed="false">
      <c r="I4429" s="15" t="str">
        <f aca="false">IF(N4429="","",INT(N4429))</f>
        <v/>
      </c>
      <c r="J4429" s="16" t="str">
        <f aca="false">IF(B4429="","",IF(N4429=_xlfn.MINIFS($N$2:$N$5001,$B$2:$B$5001,B4429),1,0))</f>
        <v/>
      </c>
      <c r="K4429" s="16" t="str">
        <f aca="false">IF(B4429="","",IF(AND(D4429="Formalização",E4429="Concluído"),IF(COUNTIFS($B$2:$B$5001,B4429,$E$2:$E$5001,"Em ajustes",$N$2:$N$5001,"&lt;"&amp;I4429)&gt;0,1,0),0))</f>
        <v/>
      </c>
      <c r="L4429" s="16" t="str">
        <f aca="false">IF(B4429="","",IF(N4429=_xlfn.MAXIFS($N$2:$N$5001,$B$2:$B$5001,B4429,$I$2:$I$5001,I4429),1,0))</f>
        <v/>
      </c>
      <c r="M4429" s="16" t="str">
        <f aca="false">IF(B4429="","",IF(E4429="Em ajustes",IF(N4429=_xlfn.MINIFS($N$2:$N$5001,$B$2:$B$5001,B4429,$E$2:$E$5001,"Em ajustes"),1,0),0))</f>
        <v/>
      </c>
      <c r="N4429" s="17" t="str">
        <f aca="false">IF(A4429="","",IF(ISNUMBER(A4429),A4429,IFERROR(DATE(VALUE(MID(A4429,7,4)),VALUE(MID(A4429,4,2)),VALUE(MID(A4429,1,2)))+TIME(VALUE(MID(A4429,12,2)),VALUE(MID(A4429,15,2)),VALUE(MID(A4429,18,2))),"")))</f>
        <v/>
      </c>
    </row>
    <row r="4430" customFormat="false" ht="15" hidden="false" customHeight="false" outlineLevel="0" collapsed="false">
      <c r="I4430" s="15" t="str">
        <f aca="false">IF(N4430="","",INT(N4430))</f>
        <v/>
      </c>
      <c r="J4430" s="16" t="str">
        <f aca="false">IF(B4430="","",IF(N4430=_xlfn.MINIFS($N$2:$N$5001,$B$2:$B$5001,B4430),1,0))</f>
        <v/>
      </c>
      <c r="K4430" s="16" t="str">
        <f aca="false">IF(B4430="","",IF(AND(D4430="Formalização",E4430="Concluído"),IF(COUNTIFS($B$2:$B$5001,B4430,$E$2:$E$5001,"Em ajustes",$N$2:$N$5001,"&lt;"&amp;I4430)&gt;0,1,0),0))</f>
        <v/>
      </c>
      <c r="L4430" s="16" t="str">
        <f aca="false">IF(B4430="","",IF(N4430=_xlfn.MAXIFS($N$2:$N$5001,$B$2:$B$5001,B4430,$I$2:$I$5001,I4430),1,0))</f>
        <v/>
      </c>
      <c r="M4430" s="16" t="str">
        <f aca="false">IF(B4430="","",IF(E4430="Em ajustes",IF(N4430=_xlfn.MINIFS($N$2:$N$5001,$B$2:$B$5001,B4430,$E$2:$E$5001,"Em ajustes"),1,0),0))</f>
        <v/>
      </c>
      <c r="N4430" s="17" t="str">
        <f aca="false">IF(A4430="","",IF(ISNUMBER(A4430),A4430,IFERROR(DATE(VALUE(MID(A4430,7,4)),VALUE(MID(A4430,4,2)),VALUE(MID(A4430,1,2)))+TIME(VALUE(MID(A4430,12,2)),VALUE(MID(A4430,15,2)),VALUE(MID(A4430,18,2))),"")))</f>
        <v/>
      </c>
    </row>
    <row r="4431" customFormat="false" ht="15" hidden="false" customHeight="false" outlineLevel="0" collapsed="false">
      <c r="I4431" s="15" t="str">
        <f aca="false">IF(N4431="","",INT(N4431))</f>
        <v/>
      </c>
      <c r="J4431" s="16" t="str">
        <f aca="false">IF(B4431="","",IF(N4431=_xlfn.MINIFS($N$2:$N$5001,$B$2:$B$5001,B4431),1,0))</f>
        <v/>
      </c>
      <c r="K4431" s="16" t="str">
        <f aca="false">IF(B4431="","",IF(AND(D4431="Formalização",E4431="Concluído"),IF(COUNTIFS($B$2:$B$5001,B4431,$E$2:$E$5001,"Em ajustes",$N$2:$N$5001,"&lt;"&amp;I4431)&gt;0,1,0),0))</f>
        <v/>
      </c>
      <c r="L4431" s="16" t="str">
        <f aca="false">IF(B4431="","",IF(N4431=_xlfn.MAXIFS($N$2:$N$5001,$B$2:$B$5001,B4431,$I$2:$I$5001,I4431),1,0))</f>
        <v/>
      </c>
      <c r="M4431" s="16" t="str">
        <f aca="false">IF(B4431="","",IF(E4431="Em ajustes",IF(N4431=_xlfn.MINIFS($N$2:$N$5001,$B$2:$B$5001,B4431,$E$2:$E$5001,"Em ajustes"),1,0),0))</f>
        <v/>
      </c>
      <c r="N4431" s="17" t="str">
        <f aca="false">IF(A4431="","",IF(ISNUMBER(A4431),A4431,IFERROR(DATE(VALUE(MID(A4431,7,4)),VALUE(MID(A4431,4,2)),VALUE(MID(A4431,1,2)))+TIME(VALUE(MID(A4431,12,2)),VALUE(MID(A4431,15,2)),VALUE(MID(A4431,18,2))),"")))</f>
        <v/>
      </c>
    </row>
    <row r="4432" customFormat="false" ht="15" hidden="false" customHeight="false" outlineLevel="0" collapsed="false">
      <c r="I4432" s="15" t="str">
        <f aca="false">IF(N4432="","",INT(N4432))</f>
        <v/>
      </c>
      <c r="J4432" s="16" t="str">
        <f aca="false">IF(B4432="","",IF(N4432=_xlfn.MINIFS($N$2:$N$5001,$B$2:$B$5001,B4432),1,0))</f>
        <v/>
      </c>
      <c r="K4432" s="16" t="str">
        <f aca="false">IF(B4432="","",IF(AND(D4432="Formalização",E4432="Concluído"),IF(COUNTIFS($B$2:$B$5001,B4432,$E$2:$E$5001,"Em ajustes",$N$2:$N$5001,"&lt;"&amp;I4432)&gt;0,1,0),0))</f>
        <v/>
      </c>
      <c r="L4432" s="16" t="str">
        <f aca="false">IF(B4432="","",IF(N4432=_xlfn.MAXIFS($N$2:$N$5001,$B$2:$B$5001,B4432,$I$2:$I$5001,I4432),1,0))</f>
        <v/>
      </c>
      <c r="M4432" s="16" t="str">
        <f aca="false">IF(B4432="","",IF(E4432="Em ajustes",IF(N4432=_xlfn.MINIFS($N$2:$N$5001,$B$2:$B$5001,B4432,$E$2:$E$5001,"Em ajustes"),1,0),0))</f>
        <v/>
      </c>
      <c r="N4432" s="17" t="str">
        <f aca="false">IF(A4432="","",IF(ISNUMBER(A4432),A4432,IFERROR(DATE(VALUE(MID(A4432,7,4)),VALUE(MID(A4432,4,2)),VALUE(MID(A4432,1,2)))+TIME(VALUE(MID(A4432,12,2)),VALUE(MID(A4432,15,2)),VALUE(MID(A4432,18,2))),"")))</f>
        <v/>
      </c>
    </row>
    <row r="4433" customFormat="false" ht="15" hidden="false" customHeight="false" outlineLevel="0" collapsed="false">
      <c r="I4433" s="15" t="str">
        <f aca="false">IF(N4433="","",INT(N4433))</f>
        <v/>
      </c>
      <c r="J4433" s="16" t="str">
        <f aca="false">IF(B4433="","",IF(N4433=_xlfn.MINIFS($N$2:$N$5001,$B$2:$B$5001,B4433),1,0))</f>
        <v/>
      </c>
      <c r="K4433" s="16" t="str">
        <f aca="false">IF(B4433="","",IF(AND(D4433="Formalização",E4433="Concluído"),IF(COUNTIFS($B$2:$B$5001,B4433,$E$2:$E$5001,"Em ajustes",$N$2:$N$5001,"&lt;"&amp;I4433)&gt;0,1,0),0))</f>
        <v/>
      </c>
      <c r="L4433" s="16" t="str">
        <f aca="false">IF(B4433="","",IF(N4433=_xlfn.MAXIFS($N$2:$N$5001,$B$2:$B$5001,B4433,$I$2:$I$5001,I4433),1,0))</f>
        <v/>
      </c>
      <c r="M4433" s="16" t="str">
        <f aca="false">IF(B4433="","",IF(E4433="Em ajustes",IF(N4433=_xlfn.MINIFS($N$2:$N$5001,$B$2:$B$5001,B4433,$E$2:$E$5001,"Em ajustes"),1,0),0))</f>
        <v/>
      </c>
      <c r="N4433" s="17" t="str">
        <f aca="false">IF(A4433="","",IF(ISNUMBER(A4433),A4433,IFERROR(DATE(VALUE(MID(A4433,7,4)),VALUE(MID(A4433,4,2)),VALUE(MID(A4433,1,2)))+TIME(VALUE(MID(A4433,12,2)),VALUE(MID(A4433,15,2)),VALUE(MID(A4433,18,2))),"")))</f>
        <v/>
      </c>
    </row>
    <row r="4434" customFormat="false" ht="15" hidden="false" customHeight="false" outlineLevel="0" collapsed="false">
      <c r="I4434" s="15" t="str">
        <f aca="false">IF(N4434="","",INT(N4434))</f>
        <v/>
      </c>
      <c r="J4434" s="16" t="str">
        <f aca="false">IF(B4434="","",IF(N4434=_xlfn.MINIFS($N$2:$N$5001,$B$2:$B$5001,B4434),1,0))</f>
        <v/>
      </c>
      <c r="K4434" s="16" t="str">
        <f aca="false">IF(B4434="","",IF(AND(D4434="Formalização",E4434="Concluído"),IF(COUNTIFS($B$2:$B$5001,B4434,$E$2:$E$5001,"Em ajustes",$N$2:$N$5001,"&lt;"&amp;I4434)&gt;0,1,0),0))</f>
        <v/>
      </c>
      <c r="L4434" s="16" t="str">
        <f aca="false">IF(B4434="","",IF(N4434=_xlfn.MAXIFS($N$2:$N$5001,$B$2:$B$5001,B4434,$I$2:$I$5001,I4434),1,0))</f>
        <v/>
      </c>
      <c r="M4434" s="16" t="str">
        <f aca="false">IF(B4434="","",IF(E4434="Em ajustes",IF(N4434=_xlfn.MINIFS($N$2:$N$5001,$B$2:$B$5001,B4434,$E$2:$E$5001,"Em ajustes"),1,0),0))</f>
        <v/>
      </c>
      <c r="N4434" s="17" t="str">
        <f aca="false">IF(A4434="","",IF(ISNUMBER(A4434),A4434,IFERROR(DATE(VALUE(MID(A4434,7,4)),VALUE(MID(A4434,4,2)),VALUE(MID(A4434,1,2)))+TIME(VALUE(MID(A4434,12,2)),VALUE(MID(A4434,15,2)),VALUE(MID(A4434,18,2))),"")))</f>
        <v/>
      </c>
    </row>
    <row r="4435" customFormat="false" ht="15" hidden="false" customHeight="false" outlineLevel="0" collapsed="false">
      <c r="I4435" s="15" t="str">
        <f aca="false">IF(N4435="","",INT(N4435))</f>
        <v/>
      </c>
      <c r="J4435" s="16" t="str">
        <f aca="false">IF(B4435="","",IF(N4435=_xlfn.MINIFS($N$2:$N$5001,$B$2:$B$5001,B4435),1,0))</f>
        <v/>
      </c>
      <c r="K4435" s="16" t="str">
        <f aca="false">IF(B4435="","",IF(AND(D4435="Formalização",E4435="Concluído"),IF(COUNTIFS($B$2:$B$5001,B4435,$E$2:$E$5001,"Em ajustes",$N$2:$N$5001,"&lt;"&amp;I4435)&gt;0,1,0),0))</f>
        <v/>
      </c>
      <c r="L4435" s="16" t="str">
        <f aca="false">IF(B4435="","",IF(N4435=_xlfn.MAXIFS($N$2:$N$5001,$B$2:$B$5001,B4435,$I$2:$I$5001,I4435),1,0))</f>
        <v/>
      </c>
      <c r="M4435" s="16" t="str">
        <f aca="false">IF(B4435="","",IF(E4435="Em ajustes",IF(N4435=_xlfn.MINIFS($N$2:$N$5001,$B$2:$B$5001,B4435,$E$2:$E$5001,"Em ajustes"),1,0),0))</f>
        <v/>
      </c>
      <c r="N4435" s="17" t="str">
        <f aca="false">IF(A4435="","",IF(ISNUMBER(A4435),A4435,IFERROR(DATE(VALUE(MID(A4435,7,4)),VALUE(MID(A4435,4,2)),VALUE(MID(A4435,1,2)))+TIME(VALUE(MID(A4435,12,2)),VALUE(MID(A4435,15,2)),VALUE(MID(A4435,18,2))),"")))</f>
        <v/>
      </c>
    </row>
    <row r="4436" customFormat="false" ht="15" hidden="false" customHeight="false" outlineLevel="0" collapsed="false">
      <c r="I4436" s="15" t="str">
        <f aca="false">IF(N4436="","",INT(N4436))</f>
        <v/>
      </c>
      <c r="J4436" s="16" t="str">
        <f aca="false">IF(B4436="","",IF(N4436=_xlfn.MINIFS($N$2:$N$5001,$B$2:$B$5001,B4436),1,0))</f>
        <v/>
      </c>
      <c r="K4436" s="16" t="str">
        <f aca="false">IF(B4436="","",IF(AND(D4436="Formalização",E4436="Concluído"),IF(COUNTIFS($B$2:$B$5001,B4436,$E$2:$E$5001,"Em ajustes",$N$2:$N$5001,"&lt;"&amp;I4436)&gt;0,1,0),0))</f>
        <v/>
      </c>
      <c r="L4436" s="16" t="str">
        <f aca="false">IF(B4436="","",IF(N4436=_xlfn.MAXIFS($N$2:$N$5001,$B$2:$B$5001,B4436,$I$2:$I$5001,I4436),1,0))</f>
        <v/>
      </c>
      <c r="M4436" s="16" t="str">
        <f aca="false">IF(B4436="","",IF(E4436="Em ajustes",IF(N4436=_xlfn.MINIFS($N$2:$N$5001,$B$2:$B$5001,B4436,$E$2:$E$5001,"Em ajustes"),1,0),0))</f>
        <v/>
      </c>
      <c r="N4436" s="17" t="str">
        <f aca="false">IF(A4436="","",IF(ISNUMBER(A4436),A4436,IFERROR(DATE(VALUE(MID(A4436,7,4)),VALUE(MID(A4436,4,2)),VALUE(MID(A4436,1,2)))+TIME(VALUE(MID(A4436,12,2)),VALUE(MID(A4436,15,2)),VALUE(MID(A4436,18,2))),"")))</f>
        <v/>
      </c>
    </row>
    <row r="4437" customFormat="false" ht="15" hidden="false" customHeight="false" outlineLevel="0" collapsed="false">
      <c r="I4437" s="15" t="str">
        <f aca="false">IF(N4437="","",INT(N4437))</f>
        <v/>
      </c>
      <c r="J4437" s="16" t="str">
        <f aca="false">IF(B4437="","",IF(N4437=_xlfn.MINIFS($N$2:$N$5001,$B$2:$B$5001,B4437),1,0))</f>
        <v/>
      </c>
      <c r="K4437" s="16" t="str">
        <f aca="false">IF(B4437="","",IF(AND(D4437="Formalização",E4437="Concluído"),IF(COUNTIFS($B$2:$B$5001,B4437,$E$2:$E$5001,"Em ajustes",$N$2:$N$5001,"&lt;"&amp;I4437)&gt;0,1,0),0))</f>
        <v/>
      </c>
      <c r="L4437" s="16" t="str">
        <f aca="false">IF(B4437="","",IF(N4437=_xlfn.MAXIFS($N$2:$N$5001,$B$2:$B$5001,B4437,$I$2:$I$5001,I4437),1,0))</f>
        <v/>
      </c>
      <c r="M4437" s="16" t="str">
        <f aca="false">IF(B4437="","",IF(E4437="Em ajustes",IF(N4437=_xlfn.MINIFS($N$2:$N$5001,$B$2:$B$5001,B4437,$E$2:$E$5001,"Em ajustes"),1,0),0))</f>
        <v/>
      </c>
      <c r="N4437" s="17" t="str">
        <f aca="false">IF(A4437="","",IF(ISNUMBER(A4437),A4437,IFERROR(DATE(VALUE(MID(A4437,7,4)),VALUE(MID(A4437,4,2)),VALUE(MID(A4437,1,2)))+TIME(VALUE(MID(A4437,12,2)),VALUE(MID(A4437,15,2)),VALUE(MID(A4437,18,2))),"")))</f>
        <v/>
      </c>
    </row>
    <row r="4438" customFormat="false" ht="15" hidden="false" customHeight="false" outlineLevel="0" collapsed="false">
      <c r="I4438" s="15" t="str">
        <f aca="false">IF(N4438="","",INT(N4438))</f>
        <v/>
      </c>
      <c r="J4438" s="16" t="str">
        <f aca="false">IF(B4438="","",IF(N4438=_xlfn.MINIFS($N$2:$N$5001,$B$2:$B$5001,B4438),1,0))</f>
        <v/>
      </c>
      <c r="K4438" s="16" t="str">
        <f aca="false">IF(B4438="","",IF(AND(D4438="Formalização",E4438="Concluído"),IF(COUNTIFS($B$2:$B$5001,B4438,$E$2:$E$5001,"Em ajustes",$N$2:$N$5001,"&lt;"&amp;I4438)&gt;0,1,0),0))</f>
        <v/>
      </c>
      <c r="L4438" s="16" t="str">
        <f aca="false">IF(B4438="","",IF(N4438=_xlfn.MAXIFS($N$2:$N$5001,$B$2:$B$5001,B4438,$I$2:$I$5001,I4438),1,0))</f>
        <v/>
      </c>
      <c r="M4438" s="16" t="str">
        <f aca="false">IF(B4438="","",IF(E4438="Em ajustes",IF(N4438=_xlfn.MINIFS($N$2:$N$5001,$B$2:$B$5001,B4438,$E$2:$E$5001,"Em ajustes"),1,0),0))</f>
        <v/>
      </c>
      <c r="N4438" s="17" t="str">
        <f aca="false">IF(A4438="","",IF(ISNUMBER(A4438),A4438,IFERROR(DATE(VALUE(MID(A4438,7,4)),VALUE(MID(A4438,4,2)),VALUE(MID(A4438,1,2)))+TIME(VALUE(MID(A4438,12,2)),VALUE(MID(A4438,15,2)),VALUE(MID(A4438,18,2))),"")))</f>
        <v/>
      </c>
    </row>
    <row r="4439" customFormat="false" ht="15" hidden="false" customHeight="false" outlineLevel="0" collapsed="false">
      <c r="I4439" s="15" t="str">
        <f aca="false">IF(N4439="","",INT(N4439))</f>
        <v/>
      </c>
      <c r="J4439" s="16" t="str">
        <f aca="false">IF(B4439="","",IF(N4439=_xlfn.MINIFS($N$2:$N$5001,$B$2:$B$5001,B4439),1,0))</f>
        <v/>
      </c>
      <c r="K4439" s="16" t="str">
        <f aca="false">IF(B4439="","",IF(AND(D4439="Formalização",E4439="Concluído"),IF(COUNTIFS($B$2:$B$5001,B4439,$E$2:$E$5001,"Em ajustes",$N$2:$N$5001,"&lt;"&amp;I4439)&gt;0,1,0),0))</f>
        <v/>
      </c>
      <c r="L4439" s="16" t="str">
        <f aca="false">IF(B4439="","",IF(N4439=_xlfn.MAXIFS($N$2:$N$5001,$B$2:$B$5001,B4439,$I$2:$I$5001,I4439),1,0))</f>
        <v/>
      </c>
      <c r="M4439" s="16" t="str">
        <f aca="false">IF(B4439="","",IF(E4439="Em ajustes",IF(N4439=_xlfn.MINIFS($N$2:$N$5001,$B$2:$B$5001,B4439,$E$2:$E$5001,"Em ajustes"),1,0),0))</f>
        <v/>
      </c>
      <c r="N4439" s="17" t="str">
        <f aca="false">IF(A4439="","",IF(ISNUMBER(A4439),A4439,IFERROR(DATE(VALUE(MID(A4439,7,4)),VALUE(MID(A4439,4,2)),VALUE(MID(A4439,1,2)))+TIME(VALUE(MID(A4439,12,2)),VALUE(MID(A4439,15,2)),VALUE(MID(A4439,18,2))),"")))</f>
        <v/>
      </c>
    </row>
    <row r="4440" customFormat="false" ht="15" hidden="false" customHeight="false" outlineLevel="0" collapsed="false">
      <c r="I4440" s="15" t="str">
        <f aca="false">IF(N4440="","",INT(N4440))</f>
        <v/>
      </c>
      <c r="J4440" s="16" t="str">
        <f aca="false">IF(B4440="","",IF(N4440=_xlfn.MINIFS($N$2:$N$5001,$B$2:$B$5001,B4440),1,0))</f>
        <v/>
      </c>
      <c r="K4440" s="16" t="str">
        <f aca="false">IF(B4440="","",IF(AND(D4440="Formalização",E4440="Concluído"),IF(COUNTIFS($B$2:$B$5001,B4440,$E$2:$E$5001,"Em ajustes",$N$2:$N$5001,"&lt;"&amp;I4440)&gt;0,1,0),0))</f>
        <v/>
      </c>
      <c r="L4440" s="16" t="str">
        <f aca="false">IF(B4440="","",IF(N4440=_xlfn.MAXIFS($N$2:$N$5001,$B$2:$B$5001,B4440,$I$2:$I$5001,I4440),1,0))</f>
        <v/>
      </c>
      <c r="M4440" s="16" t="str">
        <f aca="false">IF(B4440="","",IF(E4440="Em ajustes",IF(N4440=_xlfn.MINIFS($N$2:$N$5001,$B$2:$B$5001,B4440,$E$2:$E$5001,"Em ajustes"),1,0),0))</f>
        <v/>
      </c>
      <c r="N4440" s="17" t="str">
        <f aca="false">IF(A4440="","",IF(ISNUMBER(A4440),A4440,IFERROR(DATE(VALUE(MID(A4440,7,4)),VALUE(MID(A4440,4,2)),VALUE(MID(A4440,1,2)))+TIME(VALUE(MID(A4440,12,2)),VALUE(MID(A4440,15,2)),VALUE(MID(A4440,18,2))),"")))</f>
        <v/>
      </c>
    </row>
    <row r="4441" customFormat="false" ht="15" hidden="false" customHeight="false" outlineLevel="0" collapsed="false">
      <c r="I4441" s="15" t="str">
        <f aca="false">IF(N4441="","",INT(N4441))</f>
        <v/>
      </c>
      <c r="J4441" s="16" t="str">
        <f aca="false">IF(B4441="","",IF(N4441=_xlfn.MINIFS($N$2:$N$5001,$B$2:$B$5001,B4441),1,0))</f>
        <v/>
      </c>
      <c r="K4441" s="16" t="str">
        <f aca="false">IF(B4441="","",IF(AND(D4441="Formalização",E4441="Concluído"),IF(COUNTIFS($B$2:$B$5001,B4441,$E$2:$E$5001,"Em ajustes",$N$2:$N$5001,"&lt;"&amp;I4441)&gt;0,1,0),0))</f>
        <v/>
      </c>
      <c r="L4441" s="16" t="str">
        <f aca="false">IF(B4441="","",IF(N4441=_xlfn.MAXIFS($N$2:$N$5001,$B$2:$B$5001,B4441,$I$2:$I$5001,I4441),1,0))</f>
        <v/>
      </c>
      <c r="M4441" s="16" t="str">
        <f aca="false">IF(B4441="","",IF(E4441="Em ajustes",IF(N4441=_xlfn.MINIFS($N$2:$N$5001,$B$2:$B$5001,B4441,$E$2:$E$5001,"Em ajustes"),1,0),0))</f>
        <v/>
      </c>
      <c r="N4441" s="17" t="str">
        <f aca="false">IF(A4441="","",IF(ISNUMBER(A4441),A4441,IFERROR(DATE(VALUE(MID(A4441,7,4)),VALUE(MID(A4441,4,2)),VALUE(MID(A4441,1,2)))+TIME(VALUE(MID(A4441,12,2)),VALUE(MID(A4441,15,2)),VALUE(MID(A4441,18,2))),"")))</f>
        <v/>
      </c>
    </row>
    <row r="4442" customFormat="false" ht="15" hidden="false" customHeight="false" outlineLevel="0" collapsed="false">
      <c r="I4442" s="15" t="str">
        <f aca="false">IF(N4442="","",INT(N4442))</f>
        <v/>
      </c>
      <c r="J4442" s="16" t="str">
        <f aca="false">IF(B4442="","",IF(N4442=_xlfn.MINIFS($N$2:$N$5001,$B$2:$B$5001,B4442),1,0))</f>
        <v/>
      </c>
      <c r="K4442" s="16" t="str">
        <f aca="false">IF(B4442="","",IF(AND(D4442="Formalização",E4442="Concluído"),IF(COUNTIFS($B$2:$B$5001,B4442,$E$2:$E$5001,"Em ajustes",$N$2:$N$5001,"&lt;"&amp;I4442)&gt;0,1,0),0))</f>
        <v/>
      </c>
      <c r="L4442" s="16" t="str">
        <f aca="false">IF(B4442="","",IF(N4442=_xlfn.MAXIFS($N$2:$N$5001,$B$2:$B$5001,B4442,$I$2:$I$5001,I4442),1,0))</f>
        <v/>
      </c>
      <c r="M4442" s="16" t="str">
        <f aca="false">IF(B4442="","",IF(E4442="Em ajustes",IF(N4442=_xlfn.MINIFS($N$2:$N$5001,$B$2:$B$5001,B4442,$E$2:$E$5001,"Em ajustes"),1,0),0))</f>
        <v/>
      </c>
      <c r="N4442" s="17" t="str">
        <f aca="false">IF(A4442="","",IF(ISNUMBER(A4442),A4442,IFERROR(DATE(VALUE(MID(A4442,7,4)),VALUE(MID(A4442,4,2)),VALUE(MID(A4442,1,2)))+TIME(VALUE(MID(A4442,12,2)),VALUE(MID(A4442,15,2)),VALUE(MID(A4442,18,2))),"")))</f>
        <v/>
      </c>
    </row>
    <row r="4443" customFormat="false" ht="15" hidden="false" customHeight="false" outlineLevel="0" collapsed="false">
      <c r="I4443" s="15" t="str">
        <f aca="false">IF(N4443="","",INT(N4443))</f>
        <v/>
      </c>
      <c r="J4443" s="16" t="str">
        <f aca="false">IF(B4443="","",IF(N4443=_xlfn.MINIFS($N$2:$N$5001,$B$2:$B$5001,B4443),1,0))</f>
        <v/>
      </c>
      <c r="K4443" s="16" t="str">
        <f aca="false">IF(B4443="","",IF(AND(D4443="Formalização",E4443="Concluído"),IF(COUNTIFS($B$2:$B$5001,B4443,$E$2:$E$5001,"Em ajustes",$N$2:$N$5001,"&lt;"&amp;I4443)&gt;0,1,0),0))</f>
        <v/>
      </c>
      <c r="L4443" s="16" t="str">
        <f aca="false">IF(B4443="","",IF(N4443=_xlfn.MAXIFS($N$2:$N$5001,$B$2:$B$5001,B4443,$I$2:$I$5001,I4443),1,0))</f>
        <v/>
      </c>
      <c r="M4443" s="16" t="str">
        <f aca="false">IF(B4443="","",IF(E4443="Em ajustes",IF(N4443=_xlfn.MINIFS($N$2:$N$5001,$B$2:$B$5001,B4443,$E$2:$E$5001,"Em ajustes"),1,0),0))</f>
        <v/>
      </c>
      <c r="N4443" s="17" t="str">
        <f aca="false">IF(A4443="","",IF(ISNUMBER(A4443),A4443,IFERROR(DATE(VALUE(MID(A4443,7,4)),VALUE(MID(A4443,4,2)),VALUE(MID(A4443,1,2)))+TIME(VALUE(MID(A4443,12,2)),VALUE(MID(A4443,15,2)),VALUE(MID(A4443,18,2))),"")))</f>
        <v/>
      </c>
    </row>
    <row r="4444" customFormat="false" ht="15" hidden="false" customHeight="false" outlineLevel="0" collapsed="false">
      <c r="I4444" s="15" t="str">
        <f aca="false">IF(N4444="","",INT(N4444))</f>
        <v/>
      </c>
      <c r="J4444" s="16" t="str">
        <f aca="false">IF(B4444="","",IF(N4444=_xlfn.MINIFS($N$2:$N$5001,$B$2:$B$5001,B4444),1,0))</f>
        <v/>
      </c>
      <c r="K4444" s="16" t="str">
        <f aca="false">IF(B4444="","",IF(AND(D4444="Formalização",E4444="Concluído"),IF(COUNTIFS($B$2:$B$5001,B4444,$E$2:$E$5001,"Em ajustes",$N$2:$N$5001,"&lt;"&amp;I4444)&gt;0,1,0),0))</f>
        <v/>
      </c>
      <c r="L4444" s="16" t="str">
        <f aca="false">IF(B4444="","",IF(N4444=_xlfn.MAXIFS($N$2:$N$5001,$B$2:$B$5001,B4444,$I$2:$I$5001,I4444),1,0))</f>
        <v/>
      </c>
      <c r="M4444" s="16" t="str">
        <f aca="false">IF(B4444="","",IF(E4444="Em ajustes",IF(N4444=_xlfn.MINIFS($N$2:$N$5001,$B$2:$B$5001,B4444,$E$2:$E$5001,"Em ajustes"),1,0),0))</f>
        <v/>
      </c>
      <c r="N4444" s="17" t="str">
        <f aca="false">IF(A4444="","",IF(ISNUMBER(A4444),A4444,IFERROR(DATE(VALUE(MID(A4444,7,4)),VALUE(MID(A4444,4,2)),VALUE(MID(A4444,1,2)))+TIME(VALUE(MID(A4444,12,2)),VALUE(MID(A4444,15,2)),VALUE(MID(A4444,18,2))),"")))</f>
        <v/>
      </c>
    </row>
    <row r="4445" customFormat="false" ht="15" hidden="false" customHeight="false" outlineLevel="0" collapsed="false">
      <c r="I4445" s="15" t="str">
        <f aca="false">IF(N4445="","",INT(N4445))</f>
        <v/>
      </c>
      <c r="J4445" s="16" t="str">
        <f aca="false">IF(B4445="","",IF(N4445=_xlfn.MINIFS($N$2:$N$5001,$B$2:$B$5001,B4445),1,0))</f>
        <v/>
      </c>
      <c r="K4445" s="16" t="str">
        <f aca="false">IF(B4445="","",IF(AND(D4445="Formalização",E4445="Concluído"),IF(COUNTIFS($B$2:$B$5001,B4445,$E$2:$E$5001,"Em ajustes",$N$2:$N$5001,"&lt;"&amp;I4445)&gt;0,1,0),0))</f>
        <v/>
      </c>
      <c r="L4445" s="16" t="str">
        <f aca="false">IF(B4445="","",IF(N4445=_xlfn.MAXIFS($N$2:$N$5001,$B$2:$B$5001,B4445,$I$2:$I$5001,I4445),1,0))</f>
        <v/>
      </c>
      <c r="M4445" s="16" t="str">
        <f aca="false">IF(B4445="","",IF(E4445="Em ajustes",IF(N4445=_xlfn.MINIFS($N$2:$N$5001,$B$2:$B$5001,B4445,$E$2:$E$5001,"Em ajustes"),1,0),0))</f>
        <v/>
      </c>
      <c r="N4445" s="17" t="str">
        <f aca="false">IF(A4445="","",IF(ISNUMBER(A4445),A4445,IFERROR(DATE(VALUE(MID(A4445,7,4)),VALUE(MID(A4445,4,2)),VALUE(MID(A4445,1,2)))+TIME(VALUE(MID(A4445,12,2)),VALUE(MID(A4445,15,2)),VALUE(MID(A4445,18,2))),"")))</f>
        <v/>
      </c>
    </row>
    <row r="4446" customFormat="false" ht="15" hidden="false" customHeight="false" outlineLevel="0" collapsed="false">
      <c r="I4446" s="15" t="str">
        <f aca="false">IF(N4446="","",INT(N4446))</f>
        <v/>
      </c>
      <c r="J4446" s="16" t="str">
        <f aca="false">IF(B4446="","",IF(N4446=_xlfn.MINIFS($N$2:$N$5001,$B$2:$B$5001,B4446),1,0))</f>
        <v/>
      </c>
      <c r="K4446" s="16" t="str">
        <f aca="false">IF(B4446="","",IF(AND(D4446="Formalização",E4446="Concluído"),IF(COUNTIFS($B$2:$B$5001,B4446,$E$2:$E$5001,"Em ajustes",$N$2:$N$5001,"&lt;"&amp;I4446)&gt;0,1,0),0))</f>
        <v/>
      </c>
      <c r="L4446" s="16" t="str">
        <f aca="false">IF(B4446="","",IF(N4446=_xlfn.MAXIFS($N$2:$N$5001,$B$2:$B$5001,B4446,$I$2:$I$5001,I4446),1,0))</f>
        <v/>
      </c>
      <c r="M4446" s="16" t="str">
        <f aca="false">IF(B4446="","",IF(E4446="Em ajustes",IF(N4446=_xlfn.MINIFS($N$2:$N$5001,$B$2:$B$5001,B4446,$E$2:$E$5001,"Em ajustes"),1,0),0))</f>
        <v/>
      </c>
      <c r="N4446" s="17" t="str">
        <f aca="false">IF(A4446="","",IF(ISNUMBER(A4446),A4446,IFERROR(DATE(VALUE(MID(A4446,7,4)),VALUE(MID(A4446,4,2)),VALUE(MID(A4446,1,2)))+TIME(VALUE(MID(A4446,12,2)),VALUE(MID(A4446,15,2)),VALUE(MID(A4446,18,2))),"")))</f>
        <v/>
      </c>
    </row>
    <row r="4447" customFormat="false" ht="15" hidden="false" customHeight="false" outlineLevel="0" collapsed="false">
      <c r="I4447" s="15" t="str">
        <f aca="false">IF(N4447="","",INT(N4447))</f>
        <v/>
      </c>
      <c r="J4447" s="16" t="str">
        <f aca="false">IF(B4447="","",IF(N4447=_xlfn.MINIFS($N$2:$N$5001,$B$2:$B$5001,B4447),1,0))</f>
        <v/>
      </c>
      <c r="K4447" s="16" t="str">
        <f aca="false">IF(B4447="","",IF(AND(D4447="Formalização",E4447="Concluído"),IF(COUNTIFS($B$2:$B$5001,B4447,$E$2:$E$5001,"Em ajustes",$N$2:$N$5001,"&lt;"&amp;I4447)&gt;0,1,0),0))</f>
        <v/>
      </c>
      <c r="L4447" s="16" t="str">
        <f aca="false">IF(B4447="","",IF(N4447=_xlfn.MAXIFS($N$2:$N$5001,$B$2:$B$5001,B4447,$I$2:$I$5001,I4447),1,0))</f>
        <v/>
      </c>
      <c r="M4447" s="16" t="str">
        <f aca="false">IF(B4447="","",IF(E4447="Em ajustes",IF(N4447=_xlfn.MINIFS($N$2:$N$5001,$B$2:$B$5001,B4447,$E$2:$E$5001,"Em ajustes"),1,0),0))</f>
        <v/>
      </c>
      <c r="N4447" s="17" t="str">
        <f aca="false">IF(A4447="","",IF(ISNUMBER(A4447),A4447,IFERROR(DATE(VALUE(MID(A4447,7,4)),VALUE(MID(A4447,4,2)),VALUE(MID(A4447,1,2)))+TIME(VALUE(MID(A4447,12,2)),VALUE(MID(A4447,15,2)),VALUE(MID(A4447,18,2))),"")))</f>
        <v/>
      </c>
    </row>
    <row r="4448" customFormat="false" ht="15" hidden="false" customHeight="false" outlineLevel="0" collapsed="false">
      <c r="I4448" s="15" t="str">
        <f aca="false">IF(N4448="","",INT(N4448))</f>
        <v/>
      </c>
      <c r="J4448" s="16" t="str">
        <f aca="false">IF(B4448="","",IF(N4448=_xlfn.MINIFS($N$2:$N$5001,$B$2:$B$5001,B4448),1,0))</f>
        <v/>
      </c>
      <c r="K4448" s="16" t="str">
        <f aca="false">IF(B4448="","",IF(AND(D4448="Formalização",E4448="Concluído"),IF(COUNTIFS($B$2:$B$5001,B4448,$E$2:$E$5001,"Em ajustes",$N$2:$N$5001,"&lt;"&amp;I4448)&gt;0,1,0),0))</f>
        <v/>
      </c>
      <c r="L4448" s="16" t="str">
        <f aca="false">IF(B4448="","",IF(N4448=_xlfn.MAXIFS($N$2:$N$5001,$B$2:$B$5001,B4448,$I$2:$I$5001,I4448),1,0))</f>
        <v/>
      </c>
      <c r="M4448" s="16" t="str">
        <f aca="false">IF(B4448="","",IF(E4448="Em ajustes",IF(N4448=_xlfn.MINIFS($N$2:$N$5001,$B$2:$B$5001,B4448,$E$2:$E$5001,"Em ajustes"),1,0),0))</f>
        <v/>
      </c>
      <c r="N4448" s="17" t="str">
        <f aca="false">IF(A4448="","",IF(ISNUMBER(A4448),A4448,IFERROR(DATE(VALUE(MID(A4448,7,4)),VALUE(MID(A4448,4,2)),VALUE(MID(A4448,1,2)))+TIME(VALUE(MID(A4448,12,2)),VALUE(MID(A4448,15,2)),VALUE(MID(A4448,18,2))),"")))</f>
        <v/>
      </c>
    </row>
    <row r="4449" customFormat="false" ht="15" hidden="false" customHeight="false" outlineLevel="0" collapsed="false">
      <c r="I4449" s="15" t="str">
        <f aca="false">IF(N4449="","",INT(N4449))</f>
        <v/>
      </c>
      <c r="J4449" s="16" t="str">
        <f aca="false">IF(B4449="","",IF(N4449=_xlfn.MINIFS($N$2:$N$5001,$B$2:$B$5001,B4449),1,0))</f>
        <v/>
      </c>
      <c r="K4449" s="16" t="str">
        <f aca="false">IF(B4449="","",IF(AND(D4449="Formalização",E4449="Concluído"),IF(COUNTIFS($B$2:$B$5001,B4449,$E$2:$E$5001,"Em ajustes",$N$2:$N$5001,"&lt;"&amp;I4449)&gt;0,1,0),0))</f>
        <v/>
      </c>
      <c r="L4449" s="16" t="str">
        <f aca="false">IF(B4449="","",IF(N4449=_xlfn.MAXIFS($N$2:$N$5001,$B$2:$B$5001,B4449,$I$2:$I$5001,I4449),1,0))</f>
        <v/>
      </c>
      <c r="M4449" s="16" t="str">
        <f aca="false">IF(B4449="","",IF(E4449="Em ajustes",IF(N4449=_xlfn.MINIFS($N$2:$N$5001,$B$2:$B$5001,B4449,$E$2:$E$5001,"Em ajustes"),1,0),0))</f>
        <v/>
      </c>
      <c r="N4449" s="17" t="str">
        <f aca="false">IF(A4449="","",IF(ISNUMBER(A4449),A4449,IFERROR(DATE(VALUE(MID(A4449,7,4)),VALUE(MID(A4449,4,2)),VALUE(MID(A4449,1,2)))+TIME(VALUE(MID(A4449,12,2)),VALUE(MID(A4449,15,2)),VALUE(MID(A4449,18,2))),"")))</f>
        <v/>
      </c>
    </row>
    <row r="4450" customFormat="false" ht="15" hidden="false" customHeight="false" outlineLevel="0" collapsed="false">
      <c r="I4450" s="15" t="str">
        <f aca="false">IF(N4450="","",INT(N4450))</f>
        <v/>
      </c>
      <c r="J4450" s="16" t="str">
        <f aca="false">IF(B4450="","",IF(N4450=_xlfn.MINIFS($N$2:$N$5001,$B$2:$B$5001,B4450),1,0))</f>
        <v/>
      </c>
      <c r="K4450" s="16" t="str">
        <f aca="false">IF(B4450="","",IF(AND(D4450="Formalização",E4450="Concluído"),IF(COUNTIFS($B$2:$B$5001,B4450,$E$2:$E$5001,"Em ajustes",$N$2:$N$5001,"&lt;"&amp;I4450)&gt;0,1,0),0))</f>
        <v/>
      </c>
      <c r="L4450" s="16" t="str">
        <f aca="false">IF(B4450="","",IF(N4450=_xlfn.MAXIFS($N$2:$N$5001,$B$2:$B$5001,B4450,$I$2:$I$5001,I4450),1,0))</f>
        <v/>
      </c>
      <c r="M4450" s="16" t="str">
        <f aca="false">IF(B4450="","",IF(E4450="Em ajustes",IF(N4450=_xlfn.MINIFS($N$2:$N$5001,$B$2:$B$5001,B4450,$E$2:$E$5001,"Em ajustes"),1,0),0))</f>
        <v/>
      </c>
      <c r="N4450" s="17" t="str">
        <f aca="false">IF(A4450="","",IF(ISNUMBER(A4450),A4450,IFERROR(DATE(VALUE(MID(A4450,7,4)),VALUE(MID(A4450,4,2)),VALUE(MID(A4450,1,2)))+TIME(VALUE(MID(A4450,12,2)),VALUE(MID(A4450,15,2)),VALUE(MID(A4450,18,2))),"")))</f>
        <v/>
      </c>
    </row>
    <row r="4451" customFormat="false" ht="15" hidden="false" customHeight="false" outlineLevel="0" collapsed="false">
      <c r="I4451" s="15" t="str">
        <f aca="false">IF(N4451="","",INT(N4451))</f>
        <v/>
      </c>
      <c r="J4451" s="16" t="str">
        <f aca="false">IF(B4451="","",IF(N4451=_xlfn.MINIFS($N$2:$N$5001,$B$2:$B$5001,B4451),1,0))</f>
        <v/>
      </c>
      <c r="K4451" s="16" t="str">
        <f aca="false">IF(B4451="","",IF(AND(D4451="Formalização",E4451="Concluído"),IF(COUNTIFS($B$2:$B$5001,B4451,$E$2:$E$5001,"Em ajustes",$N$2:$N$5001,"&lt;"&amp;I4451)&gt;0,1,0),0))</f>
        <v/>
      </c>
      <c r="L4451" s="16" t="str">
        <f aca="false">IF(B4451="","",IF(N4451=_xlfn.MAXIFS($N$2:$N$5001,$B$2:$B$5001,B4451,$I$2:$I$5001,I4451),1,0))</f>
        <v/>
      </c>
      <c r="M4451" s="16" t="str">
        <f aca="false">IF(B4451="","",IF(E4451="Em ajustes",IF(N4451=_xlfn.MINIFS($N$2:$N$5001,$B$2:$B$5001,B4451,$E$2:$E$5001,"Em ajustes"),1,0),0))</f>
        <v/>
      </c>
      <c r="N4451" s="17" t="str">
        <f aca="false">IF(A4451="","",IF(ISNUMBER(A4451),A4451,IFERROR(DATE(VALUE(MID(A4451,7,4)),VALUE(MID(A4451,4,2)),VALUE(MID(A4451,1,2)))+TIME(VALUE(MID(A4451,12,2)),VALUE(MID(A4451,15,2)),VALUE(MID(A4451,18,2))),"")))</f>
        <v/>
      </c>
    </row>
    <row r="4452" customFormat="false" ht="15" hidden="false" customHeight="false" outlineLevel="0" collapsed="false">
      <c r="I4452" s="15" t="str">
        <f aca="false">IF(N4452="","",INT(N4452))</f>
        <v/>
      </c>
      <c r="J4452" s="16" t="str">
        <f aca="false">IF(B4452="","",IF(N4452=_xlfn.MINIFS($N$2:$N$5001,$B$2:$B$5001,B4452),1,0))</f>
        <v/>
      </c>
      <c r="K4452" s="16" t="str">
        <f aca="false">IF(B4452="","",IF(AND(D4452="Formalização",E4452="Concluído"),IF(COUNTIFS($B$2:$B$5001,B4452,$E$2:$E$5001,"Em ajustes",$N$2:$N$5001,"&lt;"&amp;I4452)&gt;0,1,0),0))</f>
        <v/>
      </c>
      <c r="L4452" s="16" t="str">
        <f aca="false">IF(B4452="","",IF(N4452=_xlfn.MAXIFS($N$2:$N$5001,$B$2:$B$5001,B4452,$I$2:$I$5001,I4452),1,0))</f>
        <v/>
      </c>
      <c r="M4452" s="16" t="str">
        <f aca="false">IF(B4452="","",IF(E4452="Em ajustes",IF(N4452=_xlfn.MINIFS($N$2:$N$5001,$B$2:$B$5001,B4452,$E$2:$E$5001,"Em ajustes"),1,0),0))</f>
        <v/>
      </c>
      <c r="N4452" s="17" t="str">
        <f aca="false">IF(A4452="","",IF(ISNUMBER(A4452),A4452,IFERROR(DATE(VALUE(MID(A4452,7,4)),VALUE(MID(A4452,4,2)),VALUE(MID(A4452,1,2)))+TIME(VALUE(MID(A4452,12,2)),VALUE(MID(A4452,15,2)),VALUE(MID(A4452,18,2))),"")))</f>
        <v/>
      </c>
    </row>
    <row r="4453" customFormat="false" ht="15" hidden="false" customHeight="false" outlineLevel="0" collapsed="false">
      <c r="I4453" s="15" t="str">
        <f aca="false">IF(N4453="","",INT(N4453))</f>
        <v/>
      </c>
      <c r="J4453" s="16" t="str">
        <f aca="false">IF(B4453="","",IF(N4453=_xlfn.MINIFS($N$2:$N$5001,$B$2:$B$5001,B4453),1,0))</f>
        <v/>
      </c>
      <c r="K4453" s="16" t="str">
        <f aca="false">IF(B4453="","",IF(AND(D4453="Formalização",E4453="Concluído"),IF(COUNTIFS($B$2:$B$5001,B4453,$E$2:$E$5001,"Em ajustes",$N$2:$N$5001,"&lt;"&amp;I4453)&gt;0,1,0),0))</f>
        <v/>
      </c>
      <c r="L4453" s="16" t="str">
        <f aca="false">IF(B4453="","",IF(N4453=_xlfn.MAXIFS($N$2:$N$5001,$B$2:$B$5001,B4453,$I$2:$I$5001,I4453),1,0))</f>
        <v/>
      </c>
      <c r="M4453" s="16" t="str">
        <f aca="false">IF(B4453="","",IF(E4453="Em ajustes",IF(N4453=_xlfn.MINIFS($N$2:$N$5001,$B$2:$B$5001,B4453,$E$2:$E$5001,"Em ajustes"),1,0),0))</f>
        <v/>
      </c>
      <c r="N4453" s="17" t="str">
        <f aca="false">IF(A4453="","",IF(ISNUMBER(A4453),A4453,IFERROR(DATE(VALUE(MID(A4453,7,4)),VALUE(MID(A4453,4,2)),VALUE(MID(A4453,1,2)))+TIME(VALUE(MID(A4453,12,2)),VALUE(MID(A4453,15,2)),VALUE(MID(A4453,18,2))),"")))</f>
        <v/>
      </c>
    </row>
    <row r="4454" customFormat="false" ht="15" hidden="false" customHeight="false" outlineLevel="0" collapsed="false">
      <c r="I4454" s="15" t="str">
        <f aca="false">IF(N4454="","",INT(N4454))</f>
        <v/>
      </c>
      <c r="J4454" s="16" t="str">
        <f aca="false">IF(B4454="","",IF(N4454=_xlfn.MINIFS($N$2:$N$5001,$B$2:$B$5001,B4454),1,0))</f>
        <v/>
      </c>
      <c r="K4454" s="16" t="str">
        <f aca="false">IF(B4454="","",IF(AND(D4454="Formalização",E4454="Concluído"),IF(COUNTIFS($B$2:$B$5001,B4454,$E$2:$E$5001,"Em ajustes",$N$2:$N$5001,"&lt;"&amp;I4454)&gt;0,1,0),0))</f>
        <v/>
      </c>
      <c r="L4454" s="16" t="str">
        <f aca="false">IF(B4454="","",IF(N4454=_xlfn.MAXIFS($N$2:$N$5001,$B$2:$B$5001,B4454,$I$2:$I$5001,I4454),1,0))</f>
        <v/>
      </c>
      <c r="M4454" s="16" t="str">
        <f aca="false">IF(B4454="","",IF(E4454="Em ajustes",IF(N4454=_xlfn.MINIFS($N$2:$N$5001,$B$2:$B$5001,B4454,$E$2:$E$5001,"Em ajustes"),1,0),0))</f>
        <v/>
      </c>
      <c r="N4454" s="17" t="str">
        <f aca="false">IF(A4454="","",IF(ISNUMBER(A4454),A4454,IFERROR(DATE(VALUE(MID(A4454,7,4)),VALUE(MID(A4454,4,2)),VALUE(MID(A4454,1,2)))+TIME(VALUE(MID(A4454,12,2)),VALUE(MID(A4454,15,2)),VALUE(MID(A4454,18,2))),"")))</f>
        <v/>
      </c>
    </row>
    <row r="4455" customFormat="false" ht="15" hidden="false" customHeight="false" outlineLevel="0" collapsed="false">
      <c r="I4455" s="15" t="str">
        <f aca="false">IF(N4455="","",INT(N4455))</f>
        <v/>
      </c>
      <c r="J4455" s="16" t="str">
        <f aca="false">IF(B4455="","",IF(N4455=_xlfn.MINIFS($N$2:$N$5001,$B$2:$B$5001,B4455),1,0))</f>
        <v/>
      </c>
      <c r="K4455" s="16" t="str">
        <f aca="false">IF(B4455="","",IF(AND(D4455="Formalização",E4455="Concluído"),IF(COUNTIFS($B$2:$B$5001,B4455,$E$2:$E$5001,"Em ajustes",$N$2:$N$5001,"&lt;"&amp;I4455)&gt;0,1,0),0))</f>
        <v/>
      </c>
      <c r="L4455" s="16" t="str">
        <f aca="false">IF(B4455="","",IF(N4455=_xlfn.MAXIFS($N$2:$N$5001,$B$2:$B$5001,B4455,$I$2:$I$5001,I4455),1,0))</f>
        <v/>
      </c>
      <c r="M4455" s="16" t="str">
        <f aca="false">IF(B4455="","",IF(E4455="Em ajustes",IF(N4455=_xlfn.MINIFS($N$2:$N$5001,$B$2:$B$5001,B4455,$E$2:$E$5001,"Em ajustes"),1,0),0))</f>
        <v/>
      </c>
      <c r="N4455" s="17" t="str">
        <f aca="false">IF(A4455="","",IF(ISNUMBER(A4455),A4455,IFERROR(DATE(VALUE(MID(A4455,7,4)),VALUE(MID(A4455,4,2)),VALUE(MID(A4455,1,2)))+TIME(VALUE(MID(A4455,12,2)),VALUE(MID(A4455,15,2)),VALUE(MID(A4455,18,2))),"")))</f>
        <v/>
      </c>
    </row>
    <row r="4456" customFormat="false" ht="15" hidden="false" customHeight="false" outlineLevel="0" collapsed="false">
      <c r="I4456" s="15" t="str">
        <f aca="false">IF(N4456="","",INT(N4456))</f>
        <v/>
      </c>
      <c r="J4456" s="16" t="str">
        <f aca="false">IF(B4456="","",IF(N4456=_xlfn.MINIFS($N$2:$N$5001,$B$2:$B$5001,B4456),1,0))</f>
        <v/>
      </c>
      <c r="K4456" s="16" t="str">
        <f aca="false">IF(B4456="","",IF(AND(D4456="Formalização",E4456="Concluído"),IF(COUNTIFS($B$2:$B$5001,B4456,$E$2:$E$5001,"Em ajustes",$N$2:$N$5001,"&lt;"&amp;I4456)&gt;0,1,0),0))</f>
        <v/>
      </c>
      <c r="L4456" s="16" t="str">
        <f aca="false">IF(B4456="","",IF(N4456=_xlfn.MAXIFS($N$2:$N$5001,$B$2:$B$5001,B4456,$I$2:$I$5001,I4456),1,0))</f>
        <v/>
      </c>
      <c r="M4456" s="16" t="str">
        <f aca="false">IF(B4456="","",IF(E4456="Em ajustes",IF(N4456=_xlfn.MINIFS($N$2:$N$5001,$B$2:$B$5001,B4456,$E$2:$E$5001,"Em ajustes"),1,0),0))</f>
        <v/>
      </c>
      <c r="N4456" s="17" t="str">
        <f aca="false">IF(A4456="","",IF(ISNUMBER(A4456),A4456,IFERROR(DATE(VALUE(MID(A4456,7,4)),VALUE(MID(A4456,4,2)),VALUE(MID(A4456,1,2)))+TIME(VALUE(MID(A4456,12,2)),VALUE(MID(A4456,15,2)),VALUE(MID(A4456,18,2))),"")))</f>
        <v/>
      </c>
    </row>
    <row r="4457" customFormat="false" ht="15" hidden="false" customHeight="false" outlineLevel="0" collapsed="false">
      <c r="I4457" s="15" t="str">
        <f aca="false">IF(N4457="","",INT(N4457))</f>
        <v/>
      </c>
      <c r="J4457" s="16" t="str">
        <f aca="false">IF(B4457="","",IF(N4457=_xlfn.MINIFS($N$2:$N$5001,$B$2:$B$5001,B4457),1,0))</f>
        <v/>
      </c>
      <c r="K4457" s="16" t="str">
        <f aca="false">IF(B4457="","",IF(AND(D4457="Formalização",E4457="Concluído"),IF(COUNTIFS($B$2:$B$5001,B4457,$E$2:$E$5001,"Em ajustes",$N$2:$N$5001,"&lt;"&amp;I4457)&gt;0,1,0),0))</f>
        <v/>
      </c>
      <c r="L4457" s="16" t="str">
        <f aca="false">IF(B4457="","",IF(N4457=_xlfn.MAXIFS($N$2:$N$5001,$B$2:$B$5001,B4457,$I$2:$I$5001,I4457),1,0))</f>
        <v/>
      </c>
      <c r="M4457" s="16" t="str">
        <f aca="false">IF(B4457="","",IF(E4457="Em ajustes",IF(N4457=_xlfn.MINIFS($N$2:$N$5001,$B$2:$B$5001,B4457,$E$2:$E$5001,"Em ajustes"),1,0),0))</f>
        <v/>
      </c>
      <c r="N4457" s="17" t="str">
        <f aca="false">IF(A4457="","",IF(ISNUMBER(A4457),A4457,IFERROR(DATE(VALUE(MID(A4457,7,4)),VALUE(MID(A4457,4,2)),VALUE(MID(A4457,1,2)))+TIME(VALUE(MID(A4457,12,2)),VALUE(MID(A4457,15,2)),VALUE(MID(A4457,18,2))),"")))</f>
        <v/>
      </c>
    </row>
    <row r="4458" customFormat="false" ht="15" hidden="false" customHeight="false" outlineLevel="0" collapsed="false">
      <c r="I4458" s="15" t="str">
        <f aca="false">IF(N4458="","",INT(N4458))</f>
        <v/>
      </c>
      <c r="J4458" s="16" t="str">
        <f aca="false">IF(B4458="","",IF(N4458=_xlfn.MINIFS($N$2:$N$5001,$B$2:$B$5001,B4458),1,0))</f>
        <v/>
      </c>
      <c r="K4458" s="16" t="str">
        <f aca="false">IF(B4458="","",IF(AND(D4458="Formalização",E4458="Concluído"),IF(COUNTIFS($B$2:$B$5001,B4458,$E$2:$E$5001,"Em ajustes",$N$2:$N$5001,"&lt;"&amp;I4458)&gt;0,1,0),0))</f>
        <v/>
      </c>
      <c r="L4458" s="16" t="str">
        <f aca="false">IF(B4458="","",IF(N4458=_xlfn.MAXIFS($N$2:$N$5001,$B$2:$B$5001,B4458,$I$2:$I$5001,I4458),1,0))</f>
        <v/>
      </c>
      <c r="M4458" s="16" t="str">
        <f aca="false">IF(B4458="","",IF(E4458="Em ajustes",IF(N4458=_xlfn.MINIFS($N$2:$N$5001,$B$2:$B$5001,B4458,$E$2:$E$5001,"Em ajustes"),1,0),0))</f>
        <v/>
      </c>
      <c r="N4458" s="17" t="str">
        <f aca="false">IF(A4458="","",IF(ISNUMBER(A4458),A4458,IFERROR(DATE(VALUE(MID(A4458,7,4)),VALUE(MID(A4458,4,2)),VALUE(MID(A4458,1,2)))+TIME(VALUE(MID(A4458,12,2)),VALUE(MID(A4458,15,2)),VALUE(MID(A4458,18,2))),"")))</f>
        <v/>
      </c>
    </row>
    <row r="4459" customFormat="false" ht="15" hidden="false" customHeight="false" outlineLevel="0" collapsed="false">
      <c r="I4459" s="15" t="str">
        <f aca="false">IF(N4459="","",INT(N4459))</f>
        <v/>
      </c>
      <c r="J4459" s="16" t="str">
        <f aca="false">IF(B4459="","",IF(N4459=_xlfn.MINIFS($N$2:$N$5001,$B$2:$B$5001,B4459),1,0))</f>
        <v/>
      </c>
      <c r="K4459" s="16" t="str">
        <f aca="false">IF(B4459="","",IF(AND(D4459="Formalização",E4459="Concluído"),IF(COUNTIFS($B$2:$B$5001,B4459,$E$2:$E$5001,"Em ajustes",$N$2:$N$5001,"&lt;"&amp;I4459)&gt;0,1,0),0))</f>
        <v/>
      </c>
      <c r="L4459" s="16" t="str">
        <f aca="false">IF(B4459="","",IF(N4459=_xlfn.MAXIFS($N$2:$N$5001,$B$2:$B$5001,B4459,$I$2:$I$5001,I4459),1,0))</f>
        <v/>
      </c>
      <c r="M4459" s="16" t="str">
        <f aca="false">IF(B4459="","",IF(E4459="Em ajustes",IF(N4459=_xlfn.MINIFS($N$2:$N$5001,$B$2:$B$5001,B4459,$E$2:$E$5001,"Em ajustes"),1,0),0))</f>
        <v/>
      </c>
      <c r="N4459" s="17" t="str">
        <f aca="false">IF(A4459="","",IF(ISNUMBER(A4459),A4459,IFERROR(DATE(VALUE(MID(A4459,7,4)),VALUE(MID(A4459,4,2)),VALUE(MID(A4459,1,2)))+TIME(VALUE(MID(A4459,12,2)),VALUE(MID(A4459,15,2)),VALUE(MID(A4459,18,2))),"")))</f>
        <v/>
      </c>
    </row>
    <row r="4460" customFormat="false" ht="15" hidden="false" customHeight="false" outlineLevel="0" collapsed="false">
      <c r="I4460" s="15" t="str">
        <f aca="false">IF(N4460="","",INT(N4460))</f>
        <v/>
      </c>
      <c r="J4460" s="16" t="str">
        <f aca="false">IF(B4460="","",IF(N4460=_xlfn.MINIFS($N$2:$N$5001,$B$2:$B$5001,B4460),1,0))</f>
        <v/>
      </c>
      <c r="K4460" s="16" t="str">
        <f aca="false">IF(B4460="","",IF(AND(D4460="Formalização",E4460="Concluído"),IF(COUNTIFS($B$2:$B$5001,B4460,$E$2:$E$5001,"Em ajustes",$N$2:$N$5001,"&lt;"&amp;I4460)&gt;0,1,0),0))</f>
        <v/>
      </c>
      <c r="L4460" s="16" t="str">
        <f aca="false">IF(B4460="","",IF(N4460=_xlfn.MAXIFS($N$2:$N$5001,$B$2:$B$5001,B4460,$I$2:$I$5001,I4460),1,0))</f>
        <v/>
      </c>
      <c r="M4460" s="16" t="str">
        <f aca="false">IF(B4460="","",IF(E4460="Em ajustes",IF(N4460=_xlfn.MINIFS($N$2:$N$5001,$B$2:$B$5001,B4460,$E$2:$E$5001,"Em ajustes"),1,0),0))</f>
        <v/>
      </c>
      <c r="N4460" s="17" t="str">
        <f aca="false">IF(A4460="","",IF(ISNUMBER(A4460),A4460,IFERROR(DATE(VALUE(MID(A4460,7,4)),VALUE(MID(A4460,4,2)),VALUE(MID(A4460,1,2)))+TIME(VALUE(MID(A4460,12,2)),VALUE(MID(A4460,15,2)),VALUE(MID(A4460,18,2))),"")))</f>
        <v/>
      </c>
    </row>
    <row r="4461" customFormat="false" ht="15" hidden="false" customHeight="false" outlineLevel="0" collapsed="false">
      <c r="I4461" s="15" t="str">
        <f aca="false">IF(N4461="","",INT(N4461))</f>
        <v/>
      </c>
      <c r="J4461" s="16" t="str">
        <f aca="false">IF(B4461="","",IF(N4461=_xlfn.MINIFS($N$2:$N$5001,$B$2:$B$5001,B4461),1,0))</f>
        <v/>
      </c>
      <c r="K4461" s="16" t="str">
        <f aca="false">IF(B4461="","",IF(AND(D4461="Formalização",E4461="Concluído"),IF(COUNTIFS($B$2:$B$5001,B4461,$E$2:$E$5001,"Em ajustes",$N$2:$N$5001,"&lt;"&amp;I4461)&gt;0,1,0),0))</f>
        <v/>
      </c>
      <c r="L4461" s="16" t="str">
        <f aca="false">IF(B4461="","",IF(N4461=_xlfn.MAXIFS($N$2:$N$5001,$B$2:$B$5001,B4461,$I$2:$I$5001,I4461),1,0))</f>
        <v/>
      </c>
      <c r="M4461" s="16" t="str">
        <f aca="false">IF(B4461="","",IF(E4461="Em ajustes",IF(N4461=_xlfn.MINIFS($N$2:$N$5001,$B$2:$B$5001,B4461,$E$2:$E$5001,"Em ajustes"),1,0),0))</f>
        <v/>
      </c>
      <c r="N4461" s="17" t="str">
        <f aca="false">IF(A4461="","",IF(ISNUMBER(A4461),A4461,IFERROR(DATE(VALUE(MID(A4461,7,4)),VALUE(MID(A4461,4,2)),VALUE(MID(A4461,1,2)))+TIME(VALUE(MID(A4461,12,2)),VALUE(MID(A4461,15,2)),VALUE(MID(A4461,18,2))),"")))</f>
        <v/>
      </c>
    </row>
    <row r="4462" customFormat="false" ht="15" hidden="false" customHeight="false" outlineLevel="0" collapsed="false">
      <c r="I4462" s="15" t="str">
        <f aca="false">IF(N4462="","",INT(N4462))</f>
        <v/>
      </c>
      <c r="J4462" s="16" t="str">
        <f aca="false">IF(B4462="","",IF(N4462=_xlfn.MINIFS($N$2:$N$5001,$B$2:$B$5001,B4462),1,0))</f>
        <v/>
      </c>
      <c r="K4462" s="16" t="str">
        <f aca="false">IF(B4462="","",IF(AND(D4462="Formalização",E4462="Concluído"),IF(COUNTIFS($B$2:$B$5001,B4462,$E$2:$E$5001,"Em ajustes",$N$2:$N$5001,"&lt;"&amp;I4462)&gt;0,1,0),0))</f>
        <v/>
      </c>
      <c r="L4462" s="16" t="str">
        <f aca="false">IF(B4462="","",IF(N4462=_xlfn.MAXIFS($N$2:$N$5001,$B$2:$B$5001,B4462,$I$2:$I$5001,I4462),1,0))</f>
        <v/>
      </c>
      <c r="M4462" s="16" t="str">
        <f aca="false">IF(B4462="","",IF(E4462="Em ajustes",IF(N4462=_xlfn.MINIFS($N$2:$N$5001,$B$2:$B$5001,B4462,$E$2:$E$5001,"Em ajustes"),1,0),0))</f>
        <v/>
      </c>
      <c r="N4462" s="17" t="str">
        <f aca="false">IF(A4462="","",IF(ISNUMBER(A4462),A4462,IFERROR(DATE(VALUE(MID(A4462,7,4)),VALUE(MID(A4462,4,2)),VALUE(MID(A4462,1,2)))+TIME(VALUE(MID(A4462,12,2)),VALUE(MID(A4462,15,2)),VALUE(MID(A4462,18,2))),"")))</f>
        <v/>
      </c>
    </row>
    <row r="4463" customFormat="false" ht="15" hidden="false" customHeight="false" outlineLevel="0" collapsed="false">
      <c r="I4463" s="15" t="str">
        <f aca="false">IF(N4463="","",INT(N4463))</f>
        <v/>
      </c>
      <c r="J4463" s="16" t="str">
        <f aca="false">IF(B4463="","",IF(N4463=_xlfn.MINIFS($N$2:$N$5001,$B$2:$B$5001,B4463),1,0))</f>
        <v/>
      </c>
      <c r="K4463" s="16" t="str">
        <f aca="false">IF(B4463="","",IF(AND(D4463="Formalização",E4463="Concluído"),IF(COUNTIFS($B$2:$B$5001,B4463,$E$2:$E$5001,"Em ajustes",$N$2:$N$5001,"&lt;"&amp;I4463)&gt;0,1,0),0))</f>
        <v/>
      </c>
      <c r="L4463" s="16" t="str">
        <f aca="false">IF(B4463="","",IF(N4463=_xlfn.MAXIFS($N$2:$N$5001,$B$2:$B$5001,B4463,$I$2:$I$5001,I4463),1,0))</f>
        <v/>
      </c>
      <c r="M4463" s="16" t="str">
        <f aca="false">IF(B4463="","",IF(E4463="Em ajustes",IF(N4463=_xlfn.MINIFS($N$2:$N$5001,$B$2:$B$5001,B4463,$E$2:$E$5001,"Em ajustes"),1,0),0))</f>
        <v/>
      </c>
      <c r="N4463" s="17" t="str">
        <f aca="false">IF(A4463="","",IF(ISNUMBER(A4463),A4463,IFERROR(DATE(VALUE(MID(A4463,7,4)),VALUE(MID(A4463,4,2)),VALUE(MID(A4463,1,2)))+TIME(VALUE(MID(A4463,12,2)),VALUE(MID(A4463,15,2)),VALUE(MID(A4463,18,2))),"")))</f>
        <v/>
      </c>
    </row>
    <row r="4464" customFormat="false" ht="15" hidden="false" customHeight="false" outlineLevel="0" collapsed="false">
      <c r="I4464" s="15" t="str">
        <f aca="false">IF(N4464="","",INT(N4464))</f>
        <v/>
      </c>
      <c r="J4464" s="16" t="str">
        <f aca="false">IF(B4464="","",IF(N4464=_xlfn.MINIFS($N$2:$N$5001,$B$2:$B$5001,B4464),1,0))</f>
        <v/>
      </c>
      <c r="K4464" s="16" t="str">
        <f aca="false">IF(B4464="","",IF(AND(D4464="Formalização",E4464="Concluído"),IF(COUNTIFS($B$2:$B$5001,B4464,$E$2:$E$5001,"Em ajustes",$N$2:$N$5001,"&lt;"&amp;I4464)&gt;0,1,0),0))</f>
        <v/>
      </c>
      <c r="L4464" s="16" t="str">
        <f aca="false">IF(B4464="","",IF(N4464=_xlfn.MAXIFS($N$2:$N$5001,$B$2:$B$5001,B4464,$I$2:$I$5001,I4464),1,0))</f>
        <v/>
      </c>
      <c r="M4464" s="16" t="str">
        <f aca="false">IF(B4464="","",IF(E4464="Em ajustes",IF(N4464=_xlfn.MINIFS($N$2:$N$5001,$B$2:$B$5001,B4464,$E$2:$E$5001,"Em ajustes"),1,0),0))</f>
        <v/>
      </c>
      <c r="N4464" s="17" t="str">
        <f aca="false">IF(A4464="","",IF(ISNUMBER(A4464),A4464,IFERROR(DATE(VALUE(MID(A4464,7,4)),VALUE(MID(A4464,4,2)),VALUE(MID(A4464,1,2)))+TIME(VALUE(MID(A4464,12,2)),VALUE(MID(A4464,15,2)),VALUE(MID(A4464,18,2))),"")))</f>
        <v/>
      </c>
    </row>
    <row r="4465" customFormat="false" ht="15" hidden="false" customHeight="false" outlineLevel="0" collapsed="false">
      <c r="I4465" s="15" t="str">
        <f aca="false">IF(N4465="","",INT(N4465))</f>
        <v/>
      </c>
      <c r="J4465" s="16" t="str">
        <f aca="false">IF(B4465="","",IF(N4465=_xlfn.MINIFS($N$2:$N$5001,$B$2:$B$5001,B4465),1,0))</f>
        <v/>
      </c>
      <c r="K4465" s="16" t="str">
        <f aca="false">IF(B4465="","",IF(AND(D4465="Formalização",E4465="Concluído"),IF(COUNTIFS($B$2:$B$5001,B4465,$E$2:$E$5001,"Em ajustes",$N$2:$N$5001,"&lt;"&amp;I4465)&gt;0,1,0),0))</f>
        <v/>
      </c>
      <c r="L4465" s="16" t="str">
        <f aca="false">IF(B4465="","",IF(N4465=_xlfn.MAXIFS($N$2:$N$5001,$B$2:$B$5001,B4465,$I$2:$I$5001,I4465),1,0))</f>
        <v/>
      </c>
      <c r="M4465" s="16" t="str">
        <f aca="false">IF(B4465="","",IF(E4465="Em ajustes",IF(N4465=_xlfn.MINIFS($N$2:$N$5001,$B$2:$B$5001,B4465,$E$2:$E$5001,"Em ajustes"),1,0),0))</f>
        <v/>
      </c>
      <c r="N4465" s="17" t="str">
        <f aca="false">IF(A4465="","",IF(ISNUMBER(A4465),A4465,IFERROR(DATE(VALUE(MID(A4465,7,4)),VALUE(MID(A4465,4,2)),VALUE(MID(A4465,1,2)))+TIME(VALUE(MID(A4465,12,2)),VALUE(MID(A4465,15,2)),VALUE(MID(A4465,18,2))),"")))</f>
        <v/>
      </c>
    </row>
    <row r="4466" customFormat="false" ht="15" hidden="false" customHeight="false" outlineLevel="0" collapsed="false">
      <c r="I4466" s="15" t="str">
        <f aca="false">IF(N4466="","",INT(N4466))</f>
        <v/>
      </c>
      <c r="J4466" s="16" t="str">
        <f aca="false">IF(B4466="","",IF(N4466=_xlfn.MINIFS($N$2:$N$5001,$B$2:$B$5001,B4466),1,0))</f>
        <v/>
      </c>
      <c r="K4466" s="16" t="str">
        <f aca="false">IF(B4466="","",IF(AND(D4466="Formalização",E4466="Concluído"),IF(COUNTIFS($B$2:$B$5001,B4466,$E$2:$E$5001,"Em ajustes",$N$2:$N$5001,"&lt;"&amp;I4466)&gt;0,1,0),0))</f>
        <v/>
      </c>
      <c r="L4466" s="16" t="str">
        <f aca="false">IF(B4466="","",IF(N4466=_xlfn.MAXIFS($N$2:$N$5001,$B$2:$B$5001,B4466,$I$2:$I$5001,I4466),1,0))</f>
        <v/>
      </c>
      <c r="M4466" s="16" t="str">
        <f aca="false">IF(B4466="","",IF(E4466="Em ajustes",IF(N4466=_xlfn.MINIFS($N$2:$N$5001,$B$2:$B$5001,B4466,$E$2:$E$5001,"Em ajustes"),1,0),0))</f>
        <v/>
      </c>
      <c r="N4466" s="17" t="str">
        <f aca="false">IF(A4466="","",IF(ISNUMBER(A4466),A4466,IFERROR(DATE(VALUE(MID(A4466,7,4)),VALUE(MID(A4466,4,2)),VALUE(MID(A4466,1,2)))+TIME(VALUE(MID(A4466,12,2)),VALUE(MID(A4466,15,2)),VALUE(MID(A4466,18,2))),"")))</f>
        <v/>
      </c>
    </row>
    <row r="4467" customFormat="false" ht="15" hidden="false" customHeight="false" outlineLevel="0" collapsed="false">
      <c r="I4467" s="15" t="str">
        <f aca="false">IF(N4467="","",INT(N4467))</f>
        <v/>
      </c>
      <c r="J4467" s="16" t="str">
        <f aca="false">IF(B4467="","",IF(N4467=_xlfn.MINIFS($N$2:$N$5001,$B$2:$B$5001,B4467),1,0))</f>
        <v/>
      </c>
      <c r="K4467" s="16" t="str">
        <f aca="false">IF(B4467="","",IF(AND(D4467="Formalização",E4467="Concluído"),IF(COUNTIFS($B$2:$B$5001,B4467,$E$2:$E$5001,"Em ajustes",$N$2:$N$5001,"&lt;"&amp;I4467)&gt;0,1,0),0))</f>
        <v/>
      </c>
      <c r="L4467" s="16" t="str">
        <f aca="false">IF(B4467="","",IF(N4467=_xlfn.MAXIFS($N$2:$N$5001,$B$2:$B$5001,B4467,$I$2:$I$5001,I4467),1,0))</f>
        <v/>
      </c>
      <c r="M4467" s="16" t="str">
        <f aca="false">IF(B4467="","",IF(E4467="Em ajustes",IF(N4467=_xlfn.MINIFS($N$2:$N$5001,$B$2:$B$5001,B4467,$E$2:$E$5001,"Em ajustes"),1,0),0))</f>
        <v/>
      </c>
      <c r="N4467" s="17" t="str">
        <f aca="false">IF(A4467="","",IF(ISNUMBER(A4467),A4467,IFERROR(DATE(VALUE(MID(A4467,7,4)),VALUE(MID(A4467,4,2)),VALUE(MID(A4467,1,2)))+TIME(VALUE(MID(A4467,12,2)),VALUE(MID(A4467,15,2)),VALUE(MID(A4467,18,2))),"")))</f>
        <v/>
      </c>
    </row>
    <row r="4468" customFormat="false" ht="15" hidden="false" customHeight="false" outlineLevel="0" collapsed="false">
      <c r="I4468" s="15" t="str">
        <f aca="false">IF(N4468="","",INT(N4468))</f>
        <v/>
      </c>
      <c r="J4468" s="16" t="str">
        <f aca="false">IF(B4468="","",IF(N4468=_xlfn.MINIFS($N$2:$N$5001,$B$2:$B$5001,B4468),1,0))</f>
        <v/>
      </c>
      <c r="K4468" s="16" t="str">
        <f aca="false">IF(B4468="","",IF(AND(D4468="Formalização",E4468="Concluído"),IF(COUNTIFS($B$2:$B$5001,B4468,$E$2:$E$5001,"Em ajustes",$N$2:$N$5001,"&lt;"&amp;I4468)&gt;0,1,0),0))</f>
        <v/>
      </c>
      <c r="L4468" s="16" t="str">
        <f aca="false">IF(B4468="","",IF(N4468=_xlfn.MAXIFS($N$2:$N$5001,$B$2:$B$5001,B4468,$I$2:$I$5001,I4468),1,0))</f>
        <v/>
      </c>
      <c r="M4468" s="16" t="str">
        <f aca="false">IF(B4468="","",IF(E4468="Em ajustes",IF(N4468=_xlfn.MINIFS($N$2:$N$5001,$B$2:$B$5001,B4468,$E$2:$E$5001,"Em ajustes"),1,0),0))</f>
        <v/>
      </c>
      <c r="N4468" s="17" t="str">
        <f aca="false">IF(A4468="","",IF(ISNUMBER(A4468),A4468,IFERROR(DATE(VALUE(MID(A4468,7,4)),VALUE(MID(A4468,4,2)),VALUE(MID(A4468,1,2)))+TIME(VALUE(MID(A4468,12,2)),VALUE(MID(A4468,15,2)),VALUE(MID(A4468,18,2))),"")))</f>
        <v/>
      </c>
    </row>
    <row r="4469" customFormat="false" ht="15" hidden="false" customHeight="false" outlineLevel="0" collapsed="false">
      <c r="I4469" s="15" t="str">
        <f aca="false">IF(N4469="","",INT(N4469))</f>
        <v/>
      </c>
      <c r="J4469" s="16" t="str">
        <f aca="false">IF(B4469="","",IF(N4469=_xlfn.MINIFS($N$2:$N$5001,$B$2:$B$5001,B4469),1,0))</f>
        <v/>
      </c>
      <c r="K4469" s="16" t="str">
        <f aca="false">IF(B4469="","",IF(AND(D4469="Formalização",E4469="Concluído"),IF(COUNTIFS($B$2:$B$5001,B4469,$E$2:$E$5001,"Em ajustes",$N$2:$N$5001,"&lt;"&amp;I4469)&gt;0,1,0),0))</f>
        <v/>
      </c>
      <c r="L4469" s="16" t="str">
        <f aca="false">IF(B4469="","",IF(N4469=_xlfn.MAXIFS($N$2:$N$5001,$B$2:$B$5001,B4469,$I$2:$I$5001,I4469),1,0))</f>
        <v/>
      </c>
      <c r="M4469" s="16" t="str">
        <f aca="false">IF(B4469="","",IF(E4469="Em ajustes",IF(N4469=_xlfn.MINIFS($N$2:$N$5001,$B$2:$B$5001,B4469,$E$2:$E$5001,"Em ajustes"),1,0),0))</f>
        <v/>
      </c>
      <c r="N4469" s="17" t="str">
        <f aca="false">IF(A4469="","",IF(ISNUMBER(A4469),A4469,IFERROR(DATE(VALUE(MID(A4469,7,4)),VALUE(MID(A4469,4,2)),VALUE(MID(A4469,1,2)))+TIME(VALUE(MID(A4469,12,2)),VALUE(MID(A4469,15,2)),VALUE(MID(A4469,18,2))),"")))</f>
        <v/>
      </c>
    </row>
    <row r="4470" customFormat="false" ht="15" hidden="false" customHeight="false" outlineLevel="0" collapsed="false">
      <c r="I4470" s="15" t="str">
        <f aca="false">IF(N4470="","",INT(N4470))</f>
        <v/>
      </c>
      <c r="J4470" s="16" t="str">
        <f aca="false">IF(B4470="","",IF(N4470=_xlfn.MINIFS($N$2:$N$5001,$B$2:$B$5001,B4470),1,0))</f>
        <v/>
      </c>
      <c r="K4470" s="16" t="str">
        <f aca="false">IF(B4470="","",IF(AND(D4470="Formalização",E4470="Concluído"),IF(COUNTIFS($B$2:$B$5001,B4470,$E$2:$E$5001,"Em ajustes",$N$2:$N$5001,"&lt;"&amp;I4470)&gt;0,1,0),0))</f>
        <v/>
      </c>
      <c r="L4470" s="16" t="str">
        <f aca="false">IF(B4470="","",IF(N4470=_xlfn.MAXIFS($N$2:$N$5001,$B$2:$B$5001,B4470,$I$2:$I$5001,I4470),1,0))</f>
        <v/>
      </c>
      <c r="M4470" s="16" t="str">
        <f aca="false">IF(B4470="","",IF(E4470="Em ajustes",IF(N4470=_xlfn.MINIFS($N$2:$N$5001,$B$2:$B$5001,B4470,$E$2:$E$5001,"Em ajustes"),1,0),0))</f>
        <v/>
      </c>
      <c r="N4470" s="17" t="str">
        <f aca="false">IF(A4470="","",IF(ISNUMBER(A4470),A4470,IFERROR(DATE(VALUE(MID(A4470,7,4)),VALUE(MID(A4470,4,2)),VALUE(MID(A4470,1,2)))+TIME(VALUE(MID(A4470,12,2)),VALUE(MID(A4470,15,2)),VALUE(MID(A4470,18,2))),"")))</f>
        <v/>
      </c>
    </row>
    <row r="4471" customFormat="false" ht="15" hidden="false" customHeight="false" outlineLevel="0" collapsed="false">
      <c r="I4471" s="15" t="str">
        <f aca="false">IF(N4471="","",INT(N4471))</f>
        <v/>
      </c>
      <c r="J4471" s="16" t="str">
        <f aca="false">IF(B4471="","",IF(N4471=_xlfn.MINIFS($N$2:$N$5001,$B$2:$B$5001,B4471),1,0))</f>
        <v/>
      </c>
      <c r="K4471" s="16" t="str">
        <f aca="false">IF(B4471="","",IF(AND(D4471="Formalização",E4471="Concluído"),IF(COUNTIFS($B$2:$B$5001,B4471,$E$2:$E$5001,"Em ajustes",$N$2:$N$5001,"&lt;"&amp;I4471)&gt;0,1,0),0))</f>
        <v/>
      </c>
      <c r="L4471" s="16" t="str">
        <f aca="false">IF(B4471="","",IF(N4471=_xlfn.MAXIFS($N$2:$N$5001,$B$2:$B$5001,B4471,$I$2:$I$5001,I4471),1,0))</f>
        <v/>
      </c>
      <c r="M4471" s="16" t="str">
        <f aca="false">IF(B4471="","",IF(E4471="Em ajustes",IF(N4471=_xlfn.MINIFS($N$2:$N$5001,$B$2:$B$5001,B4471,$E$2:$E$5001,"Em ajustes"),1,0),0))</f>
        <v/>
      </c>
      <c r="N4471" s="17" t="str">
        <f aca="false">IF(A4471="","",IF(ISNUMBER(A4471),A4471,IFERROR(DATE(VALUE(MID(A4471,7,4)),VALUE(MID(A4471,4,2)),VALUE(MID(A4471,1,2)))+TIME(VALUE(MID(A4471,12,2)),VALUE(MID(A4471,15,2)),VALUE(MID(A4471,18,2))),"")))</f>
        <v/>
      </c>
    </row>
    <row r="4472" customFormat="false" ht="15" hidden="false" customHeight="false" outlineLevel="0" collapsed="false">
      <c r="I4472" s="15" t="str">
        <f aca="false">IF(N4472="","",INT(N4472))</f>
        <v/>
      </c>
      <c r="J4472" s="16" t="str">
        <f aca="false">IF(B4472="","",IF(N4472=_xlfn.MINIFS($N$2:$N$5001,$B$2:$B$5001,B4472),1,0))</f>
        <v/>
      </c>
      <c r="K4472" s="16" t="str">
        <f aca="false">IF(B4472="","",IF(AND(D4472="Formalização",E4472="Concluído"),IF(COUNTIFS($B$2:$B$5001,B4472,$E$2:$E$5001,"Em ajustes",$N$2:$N$5001,"&lt;"&amp;I4472)&gt;0,1,0),0))</f>
        <v/>
      </c>
      <c r="L4472" s="16" t="str">
        <f aca="false">IF(B4472="","",IF(N4472=_xlfn.MAXIFS($N$2:$N$5001,$B$2:$B$5001,B4472,$I$2:$I$5001,I4472),1,0))</f>
        <v/>
      </c>
      <c r="M4472" s="16" t="str">
        <f aca="false">IF(B4472="","",IF(E4472="Em ajustes",IF(N4472=_xlfn.MINIFS($N$2:$N$5001,$B$2:$B$5001,B4472,$E$2:$E$5001,"Em ajustes"),1,0),0))</f>
        <v/>
      </c>
      <c r="N4472" s="17" t="str">
        <f aca="false">IF(A4472="","",IF(ISNUMBER(A4472),A4472,IFERROR(DATE(VALUE(MID(A4472,7,4)),VALUE(MID(A4472,4,2)),VALUE(MID(A4472,1,2)))+TIME(VALUE(MID(A4472,12,2)),VALUE(MID(A4472,15,2)),VALUE(MID(A4472,18,2))),"")))</f>
        <v/>
      </c>
    </row>
    <row r="4473" customFormat="false" ht="15" hidden="false" customHeight="false" outlineLevel="0" collapsed="false">
      <c r="I4473" s="15" t="str">
        <f aca="false">IF(N4473="","",INT(N4473))</f>
        <v/>
      </c>
      <c r="J4473" s="16" t="str">
        <f aca="false">IF(B4473="","",IF(N4473=_xlfn.MINIFS($N$2:$N$5001,$B$2:$B$5001,B4473),1,0))</f>
        <v/>
      </c>
      <c r="K4473" s="16" t="str">
        <f aca="false">IF(B4473="","",IF(AND(D4473="Formalização",E4473="Concluído"),IF(COUNTIFS($B$2:$B$5001,B4473,$E$2:$E$5001,"Em ajustes",$N$2:$N$5001,"&lt;"&amp;I4473)&gt;0,1,0),0))</f>
        <v/>
      </c>
      <c r="L4473" s="16" t="str">
        <f aca="false">IF(B4473="","",IF(N4473=_xlfn.MAXIFS($N$2:$N$5001,$B$2:$B$5001,B4473,$I$2:$I$5001,I4473),1,0))</f>
        <v/>
      </c>
      <c r="M4473" s="16" t="str">
        <f aca="false">IF(B4473="","",IF(E4473="Em ajustes",IF(N4473=_xlfn.MINIFS($N$2:$N$5001,$B$2:$B$5001,B4473,$E$2:$E$5001,"Em ajustes"),1,0),0))</f>
        <v/>
      </c>
      <c r="N4473" s="17" t="str">
        <f aca="false">IF(A4473="","",IF(ISNUMBER(A4473),A4473,IFERROR(DATE(VALUE(MID(A4473,7,4)),VALUE(MID(A4473,4,2)),VALUE(MID(A4473,1,2)))+TIME(VALUE(MID(A4473,12,2)),VALUE(MID(A4473,15,2)),VALUE(MID(A4473,18,2))),"")))</f>
        <v/>
      </c>
    </row>
    <row r="4474" customFormat="false" ht="15" hidden="false" customHeight="false" outlineLevel="0" collapsed="false">
      <c r="I4474" s="15" t="str">
        <f aca="false">IF(N4474="","",INT(N4474))</f>
        <v/>
      </c>
      <c r="J4474" s="16" t="str">
        <f aca="false">IF(B4474="","",IF(N4474=_xlfn.MINIFS($N$2:$N$5001,$B$2:$B$5001,B4474),1,0))</f>
        <v/>
      </c>
      <c r="K4474" s="16" t="str">
        <f aca="false">IF(B4474="","",IF(AND(D4474="Formalização",E4474="Concluído"),IF(COUNTIFS($B$2:$B$5001,B4474,$E$2:$E$5001,"Em ajustes",$N$2:$N$5001,"&lt;"&amp;I4474)&gt;0,1,0),0))</f>
        <v/>
      </c>
      <c r="L4474" s="16" t="str">
        <f aca="false">IF(B4474="","",IF(N4474=_xlfn.MAXIFS($N$2:$N$5001,$B$2:$B$5001,B4474,$I$2:$I$5001,I4474),1,0))</f>
        <v/>
      </c>
      <c r="M4474" s="16" t="str">
        <f aca="false">IF(B4474="","",IF(E4474="Em ajustes",IF(N4474=_xlfn.MINIFS($N$2:$N$5001,$B$2:$B$5001,B4474,$E$2:$E$5001,"Em ajustes"),1,0),0))</f>
        <v/>
      </c>
      <c r="N4474" s="17" t="str">
        <f aca="false">IF(A4474="","",IF(ISNUMBER(A4474),A4474,IFERROR(DATE(VALUE(MID(A4474,7,4)),VALUE(MID(A4474,4,2)),VALUE(MID(A4474,1,2)))+TIME(VALUE(MID(A4474,12,2)),VALUE(MID(A4474,15,2)),VALUE(MID(A4474,18,2))),"")))</f>
        <v/>
      </c>
    </row>
    <row r="4475" customFormat="false" ht="15" hidden="false" customHeight="false" outlineLevel="0" collapsed="false">
      <c r="I4475" s="15" t="str">
        <f aca="false">IF(N4475="","",INT(N4475))</f>
        <v/>
      </c>
      <c r="J4475" s="16" t="str">
        <f aca="false">IF(B4475="","",IF(N4475=_xlfn.MINIFS($N$2:$N$5001,$B$2:$B$5001,B4475),1,0))</f>
        <v/>
      </c>
      <c r="K4475" s="16" t="str">
        <f aca="false">IF(B4475="","",IF(AND(D4475="Formalização",E4475="Concluído"),IF(COUNTIFS($B$2:$B$5001,B4475,$E$2:$E$5001,"Em ajustes",$N$2:$N$5001,"&lt;"&amp;I4475)&gt;0,1,0),0))</f>
        <v/>
      </c>
      <c r="L4475" s="16" t="str">
        <f aca="false">IF(B4475="","",IF(N4475=_xlfn.MAXIFS($N$2:$N$5001,$B$2:$B$5001,B4475,$I$2:$I$5001,I4475),1,0))</f>
        <v/>
      </c>
      <c r="M4475" s="16" t="str">
        <f aca="false">IF(B4475="","",IF(E4475="Em ajustes",IF(N4475=_xlfn.MINIFS($N$2:$N$5001,$B$2:$B$5001,B4475,$E$2:$E$5001,"Em ajustes"),1,0),0))</f>
        <v/>
      </c>
      <c r="N4475" s="17" t="str">
        <f aca="false">IF(A4475="","",IF(ISNUMBER(A4475),A4475,IFERROR(DATE(VALUE(MID(A4475,7,4)),VALUE(MID(A4475,4,2)),VALUE(MID(A4475,1,2)))+TIME(VALUE(MID(A4475,12,2)),VALUE(MID(A4475,15,2)),VALUE(MID(A4475,18,2))),"")))</f>
        <v/>
      </c>
    </row>
    <row r="4476" customFormat="false" ht="15" hidden="false" customHeight="false" outlineLevel="0" collapsed="false">
      <c r="I4476" s="15" t="str">
        <f aca="false">IF(N4476="","",INT(N4476))</f>
        <v/>
      </c>
      <c r="J4476" s="16" t="str">
        <f aca="false">IF(B4476="","",IF(N4476=_xlfn.MINIFS($N$2:$N$5001,$B$2:$B$5001,B4476),1,0))</f>
        <v/>
      </c>
      <c r="K4476" s="16" t="str">
        <f aca="false">IF(B4476="","",IF(AND(D4476="Formalização",E4476="Concluído"),IF(COUNTIFS($B$2:$B$5001,B4476,$E$2:$E$5001,"Em ajustes",$N$2:$N$5001,"&lt;"&amp;I4476)&gt;0,1,0),0))</f>
        <v/>
      </c>
      <c r="L4476" s="16" t="str">
        <f aca="false">IF(B4476="","",IF(N4476=_xlfn.MAXIFS($N$2:$N$5001,$B$2:$B$5001,B4476,$I$2:$I$5001,I4476),1,0))</f>
        <v/>
      </c>
      <c r="M4476" s="16" t="str">
        <f aca="false">IF(B4476="","",IF(E4476="Em ajustes",IF(N4476=_xlfn.MINIFS($N$2:$N$5001,$B$2:$B$5001,B4476,$E$2:$E$5001,"Em ajustes"),1,0),0))</f>
        <v/>
      </c>
      <c r="N4476" s="17" t="str">
        <f aca="false">IF(A4476="","",IF(ISNUMBER(A4476),A4476,IFERROR(DATE(VALUE(MID(A4476,7,4)),VALUE(MID(A4476,4,2)),VALUE(MID(A4476,1,2)))+TIME(VALUE(MID(A4476,12,2)),VALUE(MID(A4476,15,2)),VALUE(MID(A4476,18,2))),"")))</f>
        <v/>
      </c>
    </row>
    <row r="4477" customFormat="false" ht="15" hidden="false" customHeight="false" outlineLevel="0" collapsed="false">
      <c r="I4477" s="15" t="str">
        <f aca="false">IF(N4477="","",INT(N4477))</f>
        <v/>
      </c>
      <c r="J4477" s="16" t="str">
        <f aca="false">IF(B4477="","",IF(N4477=_xlfn.MINIFS($N$2:$N$5001,$B$2:$B$5001,B4477),1,0))</f>
        <v/>
      </c>
      <c r="K4477" s="16" t="str">
        <f aca="false">IF(B4477="","",IF(AND(D4477="Formalização",E4477="Concluído"),IF(COUNTIFS($B$2:$B$5001,B4477,$E$2:$E$5001,"Em ajustes",$N$2:$N$5001,"&lt;"&amp;I4477)&gt;0,1,0),0))</f>
        <v/>
      </c>
      <c r="L4477" s="16" t="str">
        <f aca="false">IF(B4477="","",IF(N4477=_xlfn.MAXIFS($N$2:$N$5001,$B$2:$B$5001,B4477,$I$2:$I$5001,I4477),1,0))</f>
        <v/>
      </c>
      <c r="M4477" s="16" t="str">
        <f aca="false">IF(B4477="","",IF(E4477="Em ajustes",IF(N4477=_xlfn.MINIFS($N$2:$N$5001,$B$2:$B$5001,B4477,$E$2:$E$5001,"Em ajustes"),1,0),0))</f>
        <v/>
      </c>
      <c r="N4477" s="17" t="str">
        <f aca="false">IF(A4477="","",IF(ISNUMBER(A4477),A4477,IFERROR(DATE(VALUE(MID(A4477,7,4)),VALUE(MID(A4477,4,2)),VALUE(MID(A4477,1,2)))+TIME(VALUE(MID(A4477,12,2)),VALUE(MID(A4477,15,2)),VALUE(MID(A4477,18,2))),"")))</f>
        <v/>
      </c>
    </row>
    <row r="4478" customFormat="false" ht="15" hidden="false" customHeight="false" outlineLevel="0" collapsed="false">
      <c r="I4478" s="15" t="str">
        <f aca="false">IF(N4478="","",INT(N4478))</f>
        <v/>
      </c>
      <c r="J4478" s="16" t="str">
        <f aca="false">IF(B4478="","",IF(N4478=_xlfn.MINIFS($N$2:$N$5001,$B$2:$B$5001,B4478),1,0))</f>
        <v/>
      </c>
      <c r="K4478" s="16" t="str">
        <f aca="false">IF(B4478="","",IF(AND(D4478="Formalização",E4478="Concluído"),IF(COUNTIFS($B$2:$B$5001,B4478,$E$2:$E$5001,"Em ajustes",$N$2:$N$5001,"&lt;"&amp;I4478)&gt;0,1,0),0))</f>
        <v/>
      </c>
      <c r="L4478" s="16" t="str">
        <f aca="false">IF(B4478="","",IF(N4478=_xlfn.MAXIFS($N$2:$N$5001,$B$2:$B$5001,B4478,$I$2:$I$5001,I4478),1,0))</f>
        <v/>
      </c>
      <c r="M4478" s="16" t="str">
        <f aca="false">IF(B4478="","",IF(E4478="Em ajustes",IF(N4478=_xlfn.MINIFS($N$2:$N$5001,$B$2:$B$5001,B4478,$E$2:$E$5001,"Em ajustes"),1,0),0))</f>
        <v/>
      </c>
      <c r="N4478" s="17" t="str">
        <f aca="false">IF(A4478="","",IF(ISNUMBER(A4478),A4478,IFERROR(DATE(VALUE(MID(A4478,7,4)),VALUE(MID(A4478,4,2)),VALUE(MID(A4478,1,2)))+TIME(VALUE(MID(A4478,12,2)),VALUE(MID(A4478,15,2)),VALUE(MID(A4478,18,2))),"")))</f>
        <v/>
      </c>
    </row>
    <row r="4479" customFormat="false" ht="15" hidden="false" customHeight="false" outlineLevel="0" collapsed="false">
      <c r="I4479" s="15" t="str">
        <f aca="false">IF(N4479="","",INT(N4479))</f>
        <v/>
      </c>
      <c r="J4479" s="16" t="str">
        <f aca="false">IF(B4479="","",IF(N4479=_xlfn.MINIFS($N$2:$N$5001,$B$2:$B$5001,B4479),1,0))</f>
        <v/>
      </c>
      <c r="K4479" s="16" t="str">
        <f aca="false">IF(B4479="","",IF(AND(D4479="Formalização",E4479="Concluído"),IF(COUNTIFS($B$2:$B$5001,B4479,$E$2:$E$5001,"Em ajustes",$N$2:$N$5001,"&lt;"&amp;I4479)&gt;0,1,0),0))</f>
        <v/>
      </c>
      <c r="L4479" s="16" t="str">
        <f aca="false">IF(B4479="","",IF(N4479=_xlfn.MAXIFS($N$2:$N$5001,$B$2:$B$5001,B4479,$I$2:$I$5001,I4479),1,0))</f>
        <v/>
      </c>
      <c r="M4479" s="16" t="str">
        <f aca="false">IF(B4479="","",IF(E4479="Em ajustes",IF(N4479=_xlfn.MINIFS($N$2:$N$5001,$B$2:$B$5001,B4479,$E$2:$E$5001,"Em ajustes"),1,0),0))</f>
        <v/>
      </c>
      <c r="N4479" s="17" t="str">
        <f aca="false">IF(A4479="","",IF(ISNUMBER(A4479),A4479,IFERROR(DATE(VALUE(MID(A4479,7,4)),VALUE(MID(A4479,4,2)),VALUE(MID(A4479,1,2)))+TIME(VALUE(MID(A4479,12,2)),VALUE(MID(A4479,15,2)),VALUE(MID(A4479,18,2))),"")))</f>
        <v/>
      </c>
    </row>
    <row r="4480" customFormat="false" ht="15" hidden="false" customHeight="false" outlineLevel="0" collapsed="false">
      <c r="I4480" s="15" t="str">
        <f aca="false">IF(N4480="","",INT(N4480))</f>
        <v/>
      </c>
      <c r="J4480" s="16" t="str">
        <f aca="false">IF(B4480="","",IF(N4480=_xlfn.MINIFS($N$2:$N$5001,$B$2:$B$5001,B4480),1,0))</f>
        <v/>
      </c>
      <c r="K4480" s="16" t="str">
        <f aca="false">IF(B4480="","",IF(AND(D4480="Formalização",E4480="Concluído"),IF(COUNTIFS($B$2:$B$5001,B4480,$E$2:$E$5001,"Em ajustes",$N$2:$N$5001,"&lt;"&amp;I4480)&gt;0,1,0),0))</f>
        <v/>
      </c>
      <c r="L4480" s="16" t="str">
        <f aca="false">IF(B4480="","",IF(N4480=_xlfn.MAXIFS($N$2:$N$5001,$B$2:$B$5001,B4480,$I$2:$I$5001,I4480),1,0))</f>
        <v/>
      </c>
      <c r="M4480" s="16" t="str">
        <f aca="false">IF(B4480="","",IF(E4480="Em ajustes",IF(N4480=_xlfn.MINIFS($N$2:$N$5001,$B$2:$B$5001,B4480,$E$2:$E$5001,"Em ajustes"),1,0),0))</f>
        <v/>
      </c>
      <c r="N4480" s="17" t="str">
        <f aca="false">IF(A4480="","",IF(ISNUMBER(A4480),A4480,IFERROR(DATE(VALUE(MID(A4480,7,4)),VALUE(MID(A4480,4,2)),VALUE(MID(A4480,1,2)))+TIME(VALUE(MID(A4480,12,2)),VALUE(MID(A4480,15,2)),VALUE(MID(A4480,18,2))),"")))</f>
        <v/>
      </c>
    </row>
    <row r="4481" customFormat="false" ht="15" hidden="false" customHeight="false" outlineLevel="0" collapsed="false">
      <c r="I4481" s="15" t="str">
        <f aca="false">IF(N4481="","",INT(N4481))</f>
        <v/>
      </c>
      <c r="J4481" s="16" t="str">
        <f aca="false">IF(B4481="","",IF(N4481=_xlfn.MINIFS($N$2:$N$5001,$B$2:$B$5001,B4481),1,0))</f>
        <v/>
      </c>
      <c r="K4481" s="16" t="str">
        <f aca="false">IF(B4481="","",IF(AND(D4481="Formalização",E4481="Concluído"),IF(COUNTIFS($B$2:$B$5001,B4481,$E$2:$E$5001,"Em ajustes",$N$2:$N$5001,"&lt;"&amp;I4481)&gt;0,1,0),0))</f>
        <v/>
      </c>
      <c r="L4481" s="16" t="str">
        <f aca="false">IF(B4481="","",IF(N4481=_xlfn.MAXIFS($N$2:$N$5001,$B$2:$B$5001,B4481,$I$2:$I$5001,I4481),1,0))</f>
        <v/>
      </c>
      <c r="M4481" s="16" t="str">
        <f aca="false">IF(B4481="","",IF(E4481="Em ajustes",IF(N4481=_xlfn.MINIFS($N$2:$N$5001,$B$2:$B$5001,B4481,$E$2:$E$5001,"Em ajustes"),1,0),0))</f>
        <v/>
      </c>
      <c r="N4481" s="17" t="str">
        <f aca="false">IF(A4481="","",IF(ISNUMBER(A4481),A4481,IFERROR(DATE(VALUE(MID(A4481,7,4)),VALUE(MID(A4481,4,2)),VALUE(MID(A4481,1,2)))+TIME(VALUE(MID(A4481,12,2)),VALUE(MID(A4481,15,2)),VALUE(MID(A4481,18,2))),"")))</f>
        <v/>
      </c>
    </row>
    <row r="4482" customFormat="false" ht="15" hidden="false" customHeight="false" outlineLevel="0" collapsed="false">
      <c r="I4482" s="15" t="str">
        <f aca="false">IF(N4482="","",INT(N4482))</f>
        <v/>
      </c>
      <c r="J4482" s="16" t="str">
        <f aca="false">IF(B4482="","",IF(N4482=_xlfn.MINIFS($N$2:$N$5001,$B$2:$B$5001,B4482),1,0))</f>
        <v/>
      </c>
      <c r="K4482" s="16" t="str">
        <f aca="false">IF(B4482="","",IF(AND(D4482="Formalização",E4482="Concluído"),IF(COUNTIFS($B$2:$B$5001,B4482,$E$2:$E$5001,"Em ajustes",$N$2:$N$5001,"&lt;"&amp;I4482)&gt;0,1,0),0))</f>
        <v/>
      </c>
      <c r="L4482" s="16" t="str">
        <f aca="false">IF(B4482="","",IF(N4482=_xlfn.MAXIFS($N$2:$N$5001,$B$2:$B$5001,B4482,$I$2:$I$5001,I4482),1,0))</f>
        <v/>
      </c>
      <c r="M4482" s="16" t="str">
        <f aca="false">IF(B4482="","",IF(E4482="Em ajustes",IF(N4482=_xlfn.MINIFS($N$2:$N$5001,$B$2:$B$5001,B4482,$E$2:$E$5001,"Em ajustes"),1,0),0))</f>
        <v/>
      </c>
      <c r="N4482" s="17" t="str">
        <f aca="false">IF(A4482="","",IF(ISNUMBER(A4482),A4482,IFERROR(DATE(VALUE(MID(A4482,7,4)),VALUE(MID(A4482,4,2)),VALUE(MID(A4482,1,2)))+TIME(VALUE(MID(A4482,12,2)),VALUE(MID(A4482,15,2)),VALUE(MID(A4482,18,2))),"")))</f>
        <v/>
      </c>
    </row>
    <row r="4483" customFormat="false" ht="15" hidden="false" customHeight="false" outlineLevel="0" collapsed="false">
      <c r="I4483" s="15" t="str">
        <f aca="false">IF(N4483="","",INT(N4483))</f>
        <v/>
      </c>
      <c r="J4483" s="16" t="str">
        <f aca="false">IF(B4483="","",IF(N4483=_xlfn.MINIFS($N$2:$N$5001,$B$2:$B$5001,B4483),1,0))</f>
        <v/>
      </c>
      <c r="K4483" s="16" t="str">
        <f aca="false">IF(B4483="","",IF(AND(D4483="Formalização",E4483="Concluído"),IF(COUNTIFS($B$2:$B$5001,B4483,$E$2:$E$5001,"Em ajustes",$N$2:$N$5001,"&lt;"&amp;I4483)&gt;0,1,0),0))</f>
        <v/>
      </c>
      <c r="L4483" s="16" t="str">
        <f aca="false">IF(B4483="","",IF(N4483=_xlfn.MAXIFS($N$2:$N$5001,$B$2:$B$5001,B4483,$I$2:$I$5001,I4483),1,0))</f>
        <v/>
      </c>
      <c r="M4483" s="16" t="str">
        <f aca="false">IF(B4483="","",IF(E4483="Em ajustes",IF(N4483=_xlfn.MINIFS($N$2:$N$5001,$B$2:$B$5001,B4483,$E$2:$E$5001,"Em ajustes"),1,0),0))</f>
        <v/>
      </c>
      <c r="N4483" s="17" t="str">
        <f aca="false">IF(A4483="","",IF(ISNUMBER(A4483),A4483,IFERROR(DATE(VALUE(MID(A4483,7,4)),VALUE(MID(A4483,4,2)),VALUE(MID(A4483,1,2)))+TIME(VALUE(MID(A4483,12,2)),VALUE(MID(A4483,15,2)),VALUE(MID(A4483,18,2))),"")))</f>
        <v/>
      </c>
    </row>
    <row r="4484" customFormat="false" ht="15" hidden="false" customHeight="false" outlineLevel="0" collapsed="false">
      <c r="I4484" s="15" t="str">
        <f aca="false">IF(N4484="","",INT(N4484))</f>
        <v/>
      </c>
      <c r="J4484" s="16" t="str">
        <f aca="false">IF(B4484="","",IF(N4484=_xlfn.MINIFS($N$2:$N$5001,$B$2:$B$5001,B4484),1,0))</f>
        <v/>
      </c>
      <c r="K4484" s="16" t="str">
        <f aca="false">IF(B4484="","",IF(AND(D4484="Formalização",E4484="Concluído"),IF(COUNTIFS($B$2:$B$5001,B4484,$E$2:$E$5001,"Em ajustes",$N$2:$N$5001,"&lt;"&amp;I4484)&gt;0,1,0),0))</f>
        <v/>
      </c>
      <c r="L4484" s="16" t="str">
        <f aca="false">IF(B4484="","",IF(N4484=_xlfn.MAXIFS($N$2:$N$5001,$B$2:$B$5001,B4484,$I$2:$I$5001,I4484),1,0))</f>
        <v/>
      </c>
      <c r="M4484" s="16" t="str">
        <f aca="false">IF(B4484="","",IF(E4484="Em ajustes",IF(N4484=_xlfn.MINIFS($N$2:$N$5001,$B$2:$B$5001,B4484,$E$2:$E$5001,"Em ajustes"),1,0),0))</f>
        <v/>
      </c>
      <c r="N4484" s="17" t="str">
        <f aca="false">IF(A4484="","",IF(ISNUMBER(A4484),A4484,IFERROR(DATE(VALUE(MID(A4484,7,4)),VALUE(MID(A4484,4,2)),VALUE(MID(A4484,1,2)))+TIME(VALUE(MID(A4484,12,2)),VALUE(MID(A4484,15,2)),VALUE(MID(A4484,18,2))),"")))</f>
        <v/>
      </c>
    </row>
    <row r="4485" customFormat="false" ht="15" hidden="false" customHeight="false" outlineLevel="0" collapsed="false">
      <c r="I4485" s="15" t="str">
        <f aca="false">IF(N4485="","",INT(N4485))</f>
        <v/>
      </c>
      <c r="J4485" s="16" t="str">
        <f aca="false">IF(B4485="","",IF(N4485=_xlfn.MINIFS($N$2:$N$5001,$B$2:$B$5001,B4485),1,0))</f>
        <v/>
      </c>
      <c r="K4485" s="16" t="str">
        <f aca="false">IF(B4485="","",IF(AND(D4485="Formalização",E4485="Concluído"),IF(COUNTIFS($B$2:$B$5001,B4485,$E$2:$E$5001,"Em ajustes",$N$2:$N$5001,"&lt;"&amp;I4485)&gt;0,1,0),0))</f>
        <v/>
      </c>
      <c r="L4485" s="16" t="str">
        <f aca="false">IF(B4485="","",IF(N4485=_xlfn.MAXIFS($N$2:$N$5001,$B$2:$B$5001,B4485,$I$2:$I$5001,I4485),1,0))</f>
        <v/>
      </c>
      <c r="M4485" s="16" t="str">
        <f aca="false">IF(B4485="","",IF(E4485="Em ajustes",IF(N4485=_xlfn.MINIFS($N$2:$N$5001,$B$2:$B$5001,B4485,$E$2:$E$5001,"Em ajustes"),1,0),0))</f>
        <v/>
      </c>
      <c r="N4485" s="17" t="str">
        <f aca="false">IF(A4485="","",IF(ISNUMBER(A4485),A4485,IFERROR(DATE(VALUE(MID(A4485,7,4)),VALUE(MID(A4485,4,2)),VALUE(MID(A4485,1,2)))+TIME(VALUE(MID(A4485,12,2)),VALUE(MID(A4485,15,2)),VALUE(MID(A4485,18,2))),"")))</f>
        <v/>
      </c>
    </row>
    <row r="4486" customFormat="false" ht="15" hidden="false" customHeight="false" outlineLevel="0" collapsed="false">
      <c r="I4486" s="15" t="str">
        <f aca="false">IF(N4486="","",INT(N4486))</f>
        <v/>
      </c>
      <c r="J4486" s="16" t="str">
        <f aca="false">IF(B4486="","",IF(N4486=_xlfn.MINIFS($N$2:$N$5001,$B$2:$B$5001,B4486),1,0))</f>
        <v/>
      </c>
      <c r="K4486" s="16" t="str">
        <f aca="false">IF(B4486="","",IF(AND(D4486="Formalização",E4486="Concluído"),IF(COUNTIFS($B$2:$B$5001,B4486,$E$2:$E$5001,"Em ajustes",$N$2:$N$5001,"&lt;"&amp;I4486)&gt;0,1,0),0))</f>
        <v/>
      </c>
      <c r="L4486" s="16" t="str">
        <f aca="false">IF(B4486="","",IF(N4486=_xlfn.MAXIFS($N$2:$N$5001,$B$2:$B$5001,B4486,$I$2:$I$5001,I4486),1,0))</f>
        <v/>
      </c>
      <c r="M4486" s="16" t="str">
        <f aca="false">IF(B4486="","",IF(E4486="Em ajustes",IF(N4486=_xlfn.MINIFS($N$2:$N$5001,$B$2:$B$5001,B4486,$E$2:$E$5001,"Em ajustes"),1,0),0))</f>
        <v/>
      </c>
      <c r="N4486" s="17" t="str">
        <f aca="false">IF(A4486="","",IF(ISNUMBER(A4486),A4486,IFERROR(DATE(VALUE(MID(A4486,7,4)),VALUE(MID(A4486,4,2)),VALUE(MID(A4486,1,2)))+TIME(VALUE(MID(A4486,12,2)),VALUE(MID(A4486,15,2)),VALUE(MID(A4486,18,2))),"")))</f>
        <v/>
      </c>
    </row>
    <row r="4487" customFormat="false" ht="15" hidden="false" customHeight="false" outlineLevel="0" collapsed="false">
      <c r="I4487" s="15" t="str">
        <f aca="false">IF(N4487="","",INT(N4487))</f>
        <v/>
      </c>
      <c r="J4487" s="16" t="str">
        <f aca="false">IF(B4487="","",IF(N4487=_xlfn.MINIFS($N$2:$N$5001,$B$2:$B$5001,B4487),1,0))</f>
        <v/>
      </c>
      <c r="K4487" s="16" t="str">
        <f aca="false">IF(B4487="","",IF(AND(D4487="Formalização",E4487="Concluído"),IF(COUNTIFS($B$2:$B$5001,B4487,$E$2:$E$5001,"Em ajustes",$N$2:$N$5001,"&lt;"&amp;I4487)&gt;0,1,0),0))</f>
        <v/>
      </c>
      <c r="L4487" s="16" t="str">
        <f aca="false">IF(B4487="","",IF(N4487=_xlfn.MAXIFS($N$2:$N$5001,$B$2:$B$5001,B4487,$I$2:$I$5001,I4487),1,0))</f>
        <v/>
      </c>
      <c r="M4487" s="16" t="str">
        <f aca="false">IF(B4487="","",IF(E4487="Em ajustes",IF(N4487=_xlfn.MINIFS($N$2:$N$5001,$B$2:$B$5001,B4487,$E$2:$E$5001,"Em ajustes"),1,0),0))</f>
        <v/>
      </c>
      <c r="N4487" s="17" t="str">
        <f aca="false">IF(A4487="","",IF(ISNUMBER(A4487),A4487,IFERROR(DATE(VALUE(MID(A4487,7,4)),VALUE(MID(A4487,4,2)),VALUE(MID(A4487,1,2)))+TIME(VALUE(MID(A4487,12,2)),VALUE(MID(A4487,15,2)),VALUE(MID(A4487,18,2))),"")))</f>
        <v/>
      </c>
    </row>
    <row r="4488" customFormat="false" ht="15" hidden="false" customHeight="false" outlineLevel="0" collapsed="false">
      <c r="I4488" s="15" t="str">
        <f aca="false">IF(N4488="","",INT(N4488))</f>
        <v/>
      </c>
      <c r="J4488" s="16" t="str">
        <f aca="false">IF(B4488="","",IF(N4488=_xlfn.MINIFS($N$2:$N$5001,$B$2:$B$5001,B4488),1,0))</f>
        <v/>
      </c>
      <c r="K4488" s="16" t="str">
        <f aca="false">IF(B4488="","",IF(AND(D4488="Formalização",E4488="Concluído"),IF(COUNTIFS($B$2:$B$5001,B4488,$E$2:$E$5001,"Em ajustes",$N$2:$N$5001,"&lt;"&amp;I4488)&gt;0,1,0),0))</f>
        <v/>
      </c>
      <c r="L4488" s="16" t="str">
        <f aca="false">IF(B4488="","",IF(N4488=_xlfn.MAXIFS($N$2:$N$5001,$B$2:$B$5001,B4488,$I$2:$I$5001,I4488),1,0))</f>
        <v/>
      </c>
      <c r="M4488" s="16" t="str">
        <f aca="false">IF(B4488="","",IF(E4488="Em ajustes",IF(N4488=_xlfn.MINIFS($N$2:$N$5001,$B$2:$B$5001,B4488,$E$2:$E$5001,"Em ajustes"),1,0),0))</f>
        <v/>
      </c>
      <c r="N4488" s="17" t="str">
        <f aca="false">IF(A4488="","",IF(ISNUMBER(A4488),A4488,IFERROR(DATE(VALUE(MID(A4488,7,4)),VALUE(MID(A4488,4,2)),VALUE(MID(A4488,1,2)))+TIME(VALUE(MID(A4488,12,2)),VALUE(MID(A4488,15,2)),VALUE(MID(A4488,18,2))),"")))</f>
        <v/>
      </c>
    </row>
    <row r="4489" customFormat="false" ht="15" hidden="false" customHeight="false" outlineLevel="0" collapsed="false">
      <c r="I4489" s="15" t="str">
        <f aca="false">IF(N4489="","",INT(N4489))</f>
        <v/>
      </c>
      <c r="J4489" s="16" t="str">
        <f aca="false">IF(B4489="","",IF(N4489=_xlfn.MINIFS($N$2:$N$5001,$B$2:$B$5001,B4489),1,0))</f>
        <v/>
      </c>
      <c r="K4489" s="16" t="str">
        <f aca="false">IF(B4489="","",IF(AND(D4489="Formalização",E4489="Concluído"),IF(COUNTIFS($B$2:$B$5001,B4489,$E$2:$E$5001,"Em ajustes",$N$2:$N$5001,"&lt;"&amp;I4489)&gt;0,1,0),0))</f>
        <v/>
      </c>
      <c r="L4489" s="16" t="str">
        <f aca="false">IF(B4489="","",IF(N4489=_xlfn.MAXIFS($N$2:$N$5001,$B$2:$B$5001,B4489,$I$2:$I$5001,I4489),1,0))</f>
        <v/>
      </c>
      <c r="M4489" s="16" t="str">
        <f aca="false">IF(B4489="","",IF(E4489="Em ajustes",IF(N4489=_xlfn.MINIFS($N$2:$N$5001,$B$2:$B$5001,B4489,$E$2:$E$5001,"Em ajustes"),1,0),0))</f>
        <v/>
      </c>
      <c r="N4489" s="17" t="str">
        <f aca="false">IF(A4489="","",IF(ISNUMBER(A4489),A4489,IFERROR(DATE(VALUE(MID(A4489,7,4)),VALUE(MID(A4489,4,2)),VALUE(MID(A4489,1,2)))+TIME(VALUE(MID(A4489,12,2)),VALUE(MID(A4489,15,2)),VALUE(MID(A4489,18,2))),"")))</f>
        <v/>
      </c>
    </row>
    <row r="4490" customFormat="false" ht="15" hidden="false" customHeight="false" outlineLevel="0" collapsed="false">
      <c r="I4490" s="15" t="str">
        <f aca="false">IF(N4490="","",INT(N4490))</f>
        <v/>
      </c>
      <c r="J4490" s="16" t="str">
        <f aca="false">IF(B4490="","",IF(N4490=_xlfn.MINIFS($N$2:$N$5001,$B$2:$B$5001,B4490),1,0))</f>
        <v/>
      </c>
      <c r="K4490" s="16" t="str">
        <f aca="false">IF(B4490="","",IF(AND(D4490="Formalização",E4490="Concluído"),IF(COUNTIFS($B$2:$B$5001,B4490,$E$2:$E$5001,"Em ajustes",$N$2:$N$5001,"&lt;"&amp;I4490)&gt;0,1,0),0))</f>
        <v/>
      </c>
      <c r="L4490" s="16" t="str">
        <f aca="false">IF(B4490="","",IF(N4490=_xlfn.MAXIFS($N$2:$N$5001,$B$2:$B$5001,B4490,$I$2:$I$5001,I4490),1,0))</f>
        <v/>
      </c>
      <c r="M4490" s="16" t="str">
        <f aca="false">IF(B4490="","",IF(E4490="Em ajustes",IF(N4490=_xlfn.MINIFS($N$2:$N$5001,$B$2:$B$5001,B4490,$E$2:$E$5001,"Em ajustes"),1,0),0))</f>
        <v/>
      </c>
      <c r="N4490" s="17" t="str">
        <f aca="false">IF(A4490="","",IF(ISNUMBER(A4490),A4490,IFERROR(DATE(VALUE(MID(A4490,7,4)),VALUE(MID(A4490,4,2)),VALUE(MID(A4490,1,2)))+TIME(VALUE(MID(A4490,12,2)),VALUE(MID(A4490,15,2)),VALUE(MID(A4490,18,2))),"")))</f>
        <v/>
      </c>
    </row>
    <row r="4491" customFormat="false" ht="15" hidden="false" customHeight="false" outlineLevel="0" collapsed="false">
      <c r="I4491" s="15" t="str">
        <f aca="false">IF(N4491="","",INT(N4491))</f>
        <v/>
      </c>
      <c r="J4491" s="16" t="str">
        <f aca="false">IF(B4491="","",IF(N4491=_xlfn.MINIFS($N$2:$N$5001,$B$2:$B$5001,B4491),1,0))</f>
        <v/>
      </c>
      <c r="K4491" s="16" t="str">
        <f aca="false">IF(B4491="","",IF(AND(D4491="Formalização",E4491="Concluído"),IF(COUNTIFS($B$2:$B$5001,B4491,$E$2:$E$5001,"Em ajustes",$N$2:$N$5001,"&lt;"&amp;I4491)&gt;0,1,0),0))</f>
        <v/>
      </c>
      <c r="L4491" s="16" t="str">
        <f aca="false">IF(B4491="","",IF(N4491=_xlfn.MAXIFS($N$2:$N$5001,$B$2:$B$5001,B4491,$I$2:$I$5001,I4491),1,0))</f>
        <v/>
      </c>
      <c r="M4491" s="16" t="str">
        <f aca="false">IF(B4491="","",IF(E4491="Em ajustes",IF(N4491=_xlfn.MINIFS($N$2:$N$5001,$B$2:$B$5001,B4491,$E$2:$E$5001,"Em ajustes"),1,0),0))</f>
        <v/>
      </c>
      <c r="N4491" s="17" t="str">
        <f aca="false">IF(A4491="","",IF(ISNUMBER(A4491),A4491,IFERROR(DATE(VALUE(MID(A4491,7,4)),VALUE(MID(A4491,4,2)),VALUE(MID(A4491,1,2)))+TIME(VALUE(MID(A4491,12,2)),VALUE(MID(A4491,15,2)),VALUE(MID(A4491,18,2))),"")))</f>
        <v/>
      </c>
    </row>
    <row r="4492" customFormat="false" ht="15" hidden="false" customHeight="false" outlineLevel="0" collapsed="false">
      <c r="I4492" s="15" t="str">
        <f aca="false">IF(N4492="","",INT(N4492))</f>
        <v/>
      </c>
      <c r="J4492" s="16" t="str">
        <f aca="false">IF(B4492="","",IF(N4492=_xlfn.MINIFS($N$2:$N$5001,$B$2:$B$5001,B4492),1,0))</f>
        <v/>
      </c>
      <c r="K4492" s="16" t="str">
        <f aca="false">IF(B4492="","",IF(AND(D4492="Formalização",E4492="Concluído"),IF(COUNTIFS($B$2:$B$5001,B4492,$E$2:$E$5001,"Em ajustes",$N$2:$N$5001,"&lt;"&amp;I4492)&gt;0,1,0),0))</f>
        <v/>
      </c>
      <c r="L4492" s="16" t="str">
        <f aca="false">IF(B4492="","",IF(N4492=_xlfn.MAXIFS($N$2:$N$5001,$B$2:$B$5001,B4492,$I$2:$I$5001,I4492),1,0))</f>
        <v/>
      </c>
      <c r="M4492" s="16" t="str">
        <f aca="false">IF(B4492="","",IF(E4492="Em ajustes",IF(N4492=_xlfn.MINIFS($N$2:$N$5001,$B$2:$B$5001,B4492,$E$2:$E$5001,"Em ajustes"),1,0),0))</f>
        <v/>
      </c>
      <c r="N4492" s="17" t="str">
        <f aca="false">IF(A4492="","",IF(ISNUMBER(A4492),A4492,IFERROR(DATE(VALUE(MID(A4492,7,4)),VALUE(MID(A4492,4,2)),VALUE(MID(A4492,1,2)))+TIME(VALUE(MID(A4492,12,2)),VALUE(MID(A4492,15,2)),VALUE(MID(A4492,18,2))),"")))</f>
        <v/>
      </c>
    </row>
    <row r="4493" customFormat="false" ht="15" hidden="false" customHeight="false" outlineLevel="0" collapsed="false">
      <c r="I4493" s="15" t="str">
        <f aca="false">IF(N4493="","",INT(N4493))</f>
        <v/>
      </c>
      <c r="J4493" s="16" t="str">
        <f aca="false">IF(B4493="","",IF(N4493=_xlfn.MINIFS($N$2:$N$5001,$B$2:$B$5001,B4493),1,0))</f>
        <v/>
      </c>
      <c r="K4493" s="16" t="str">
        <f aca="false">IF(B4493="","",IF(AND(D4493="Formalização",E4493="Concluído"),IF(COUNTIFS($B$2:$B$5001,B4493,$E$2:$E$5001,"Em ajustes",$N$2:$N$5001,"&lt;"&amp;I4493)&gt;0,1,0),0))</f>
        <v/>
      </c>
      <c r="L4493" s="16" t="str">
        <f aca="false">IF(B4493="","",IF(N4493=_xlfn.MAXIFS($N$2:$N$5001,$B$2:$B$5001,B4493,$I$2:$I$5001,I4493),1,0))</f>
        <v/>
      </c>
      <c r="M4493" s="16" t="str">
        <f aca="false">IF(B4493="","",IF(E4493="Em ajustes",IF(N4493=_xlfn.MINIFS($N$2:$N$5001,$B$2:$B$5001,B4493,$E$2:$E$5001,"Em ajustes"),1,0),0))</f>
        <v/>
      </c>
      <c r="N4493" s="17" t="str">
        <f aca="false">IF(A4493="","",IF(ISNUMBER(A4493),A4493,IFERROR(DATE(VALUE(MID(A4493,7,4)),VALUE(MID(A4493,4,2)),VALUE(MID(A4493,1,2)))+TIME(VALUE(MID(A4493,12,2)),VALUE(MID(A4493,15,2)),VALUE(MID(A4493,18,2))),"")))</f>
        <v/>
      </c>
    </row>
    <row r="4494" customFormat="false" ht="15" hidden="false" customHeight="false" outlineLevel="0" collapsed="false">
      <c r="I4494" s="15" t="str">
        <f aca="false">IF(N4494="","",INT(N4494))</f>
        <v/>
      </c>
      <c r="J4494" s="16" t="str">
        <f aca="false">IF(B4494="","",IF(N4494=_xlfn.MINIFS($N$2:$N$5001,$B$2:$B$5001,B4494),1,0))</f>
        <v/>
      </c>
      <c r="K4494" s="16" t="str">
        <f aca="false">IF(B4494="","",IF(AND(D4494="Formalização",E4494="Concluído"),IF(COUNTIFS($B$2:$B$5001,B4494,$E$2:$E$5001,"Em ajustes",$N$2:$N$5001,"&lt;"&amp;I4494)&gt;0,1,0),0))</f>
        <v/>
      </c>
      <c r="L4494" s="16" t="str">
        <f aca="false">IF(B4494="","",IF(N4494=_xlfn.MAXIFS($N$2:$N$5001,$B$2:$B$5001,B4494,$I$2:$I$5001,I4494),1,0))</f>
        <v/>
      </c>
      <c r="M4494" s="16" t="str">
        <f aca="false">IF(B4494="","",IF(E4494="Em ajustes",IF(N4494=_xlfn.MINIFS($N$2:$N$5001,$B$2:$B$5001,B4494,$E$2:$E$5001,"Em ajustes"),1,0),0))</f>
        <v/>
      </c>
      <c r="N4494" s="17" t="str">
        <f aca="false">IF(A4494="","",IF(ISNUMBER(A4494),A4494,IFERROR(DATE(VALUE(MID(A4494,7,4)),VALUE(MID(A4494,4,2)),VALUE(MID(A4494,1,2)))+TIME(VALUE(MID(A4494,12,2)),VALUE(MID(A4494,15,2)),VALUE(MID(A4494,18,2))),"")))</f>
        <v/>
      </c>
    </row>
    <row r="4495" customFormat="false" ht="15" hidden="false" customHeight="false" outlineLevel="0" collapsed="false">
      <c r="I4495" s="15" t="str">
        <f aca="false">IF(N4495="","",INT(N4495))</f>
        <v/>
      </c>
      <c r="J4495" s="16" t="str">
        <f aca="false">IF(B4495="","",IF(N4495=_xlfn.MINIFS($N$2:$N$5001,$B$2:$B$5001,B4495),1,0))</f>
        <v/>
      </c>
      <c r="K4495" s="16" t="str">
        <f aca="false">IF(B4495="","",IF(AND(D4495="Formalização",E4495="Concluído"),IF(COUNTIFS($B$2:$B$5001,B4495,$E$2:$E$5001,"Em ajustes",$N$2:$N$5001,"&lt;"&amp;I4495)&gt;0,1,0),0))</f>
        <v/>
      </c>
      <c r="L4495" s="16" t="str">
        <f aca="false">IF(B4495="","",IF(N4495=_xlfn.MAXIFS($N$2:$N$5001,$B$2:$B$5001,B4495,$I$2:$I$5001,I4495),1,0))</f>
        <v/>
      </c>
      <c r="M4495" s="16" t="str">
        <f aca="false">IF(B4495="","",IF(E4495="Em ajustes",IF(N4495=_xlfn.MINIFS($N$2:$N$5001,$B$2:$B$5001,B4495,$E$2:$E$5001,"Em ajustes"),1,0),0))</f>
        <v/>
      </c>
      <c r="N4495" s="17" t="str">
        <f aca="false">IF(A4495="","",IF(ISNUMBER(A4495),A4495,IFERROR(DATE(VALUE(MID(A4495,7,4)),VALUE(MID(A4495,4,2)),VALUE(MID(A4495,1,2)))+TIME(VALUE(MID(A4495,12,2)),VALUE(MID(A4495,15,2)),VALUE(MID(A4495,18,2))),"")))</f>
        <v/>
      </c>
    </row>
    <row r="4496" customFormat="false" ht="15" hidden="false" customHeight="false" outlineLevel="0" collapsed="false">
      <c r="I4496" s="15" t="str">
        <f aca="false">IF(N4496="","",INT(N4496))</f>
        <v/>
      </c>
      <c r="J4496" s="16" t="str">
        <f aca="false">IF(B4496="","",IF(N4496=_xlfn.MINIFS($N$2:$N$5001,$B$2:$B$5001,B4496),1,0))</f>
        <v/>
      </c>
      <c r="K4496" s="16" t="str">
        <f aca="false">IF(B4496="","",IF(AND(D4496="Formalização",E4496="Concluído"),IF(COUNTIFS($B$2:$B$5001,B4496,$E$2:$E$5001,"Em ajustes",$N$2:$N$5001,"&lt;"&amp;I4496)&gt;0,1,0),0))</f>
        <v/>
      </c>
      <c r="L4496" s="16" t="str">
        <f aca="false">IF(B4496="","",IF(N4496=_xlfn.MAXIFS($N$2:$N$5001,$B$2:$B$5001,B4496,$I$2:$I$5001,I4496),1,0))</f>
        <v/>
      </c>
      <c r="M4496" s="16" t="str">
        <f aca="false">IF(B4496="","",IF(E4496="Em ajustes",IF(N4496=_xlfn.MINIFS($N$2:$N$5001,$B$2:$B$5001,B4496,$E$2:$E$5001,"Em ajustes"),1,0),0))</f>
        <v/>
      </c>
      <c r="N4496" s="17" t="str">
        <f aca="false">IF(A4496="","",IF(ISNUMBER(A4496),A4496,IFERROR(DATE(VALUE(MID(A4496,7,4)),VALUE(MID(A4496,4,2)),VALUE(MID(A4496,1,2)))+TIME(VALUE(MID(A4496,12,2)),VALUE(MID(A4496,15,2)),VALUE(MID(A4496,18,2))),"")))</f>
        <v/>
      </c>
    </row>
    <row r="4497" customFormat="false" ht="15" hidden="false" customHeight="false" outlineLevel="0" collapsed="false">
      <c r="I4497" s="15" t="str">
        <f aca="false">IF(N4497="","",INT(N4497))</f>
        <v/>
      </c>
      <c r="J4497" s="16" t="str">
        <f aca="false">IF(B4497="","",IF(N4497=_xlfn.MINIFS($N$2:$N$5001,$B$2:$B$5001,B4497),1,0))</f>
        <v/>
      </c>
      <c r="K4497" s="16" t="str">
        <f aca="false">IF(B4497="","",IF(AND(D4497="Formalização",E4497="Concluído"),IF(COUNTIFS($B$2:$B$5001,B4497,$E$2:$E$5001,"Em ajustes",$N$2:$N$5001,"&lt;"&amp;I4497)&gt;0,1,0),0))</f>
        <v/>
      </c>
      <c r="L4497" s="16" t="str">
        <f aca="false">IF(B4497="","",IF(N4497=_xlfn.MAXIFS($N$2:$N$5001,$B$2:$B$5001,B4497,$I$2:$I$5001,I4497),1,0))</f>
        <v/>
      </c>
      <c r="M4497" s="16" t="str">
        <f aca="false">IF(B4497="","",IF(E4497="Em ajustes",IF(N4497=_xlfn.MINIFS($N$2:$N$5001,$B$2:$B$5001,B4497,$E$2:$E$5001,"Em ajustes"),1,0),0))</f>
        <v/>
      </c>
      <c r="N4497" s="17" t="str">
        <f aca="false">IF(A4497="","",IF(ISNUMBER(A4497),A4497,IFERROR(DATE(VALUE(MID(A4497,7,4)),VALUE(MID(A4497,4,2)),VALUE(MID(A4497,1,2)))+TIME(VALUE(MID(A4497,12,2)),VALUE(MID(A4497,15,2)),VALUE(MID(A4497,18,2))),"")))</f>
        <v/>
      </c>
    </row>
    <row r="4498" customFormat="false" ht="15" hidden="false" customHeight="false" outlineLevel="0" collapsed="false">
      <c r="I4498" s="15" t="str">
        <f aca="false">IF(N4498="","",INT(N4498))</f>
        <v/>
      </c>
      <c r="J4498" s="16" t="str">
        <f aca="false">IF(B4498="","",IF(N4498=_xlfn.MINIFS($N$2:$N$5001,$B$2:$B$5001,B4498),1,0))</f>
        <v/>
      </c>
      <c r="K4498" s="16" t="str">
        <f aca="false">IF(B4498="","",IF(AND(D4498="Formalização",E4498="Concluído"),IF(COUNTIFS($B$2:$B$5001,B4498,$E$2:$E$5001,"Em ajustes",$N$2:$N$5001,"&lt;"&amp;I4498)&gt;0,1,0),0))</f>
        <v/>
      </c>
      <c r="L4498" s="16" t="str">
        <f aca="false">IF(B4498="","",IF(N4498=_xlfn.MAXIFS($N$2:$N$5001,$B$2:$B$5001,B4498,$I$2:$I$5001,I4498),1,0))</f>
        <v/>
      </c>
      <c r="M4498" s="16" t="str">
        <f aca="false">IF(B4498="","",IF(E4498="Em ajustes",IF(N4498=_xlfn.MINIFS($N$2:$N$5001,$B$2:$B$5001,B4498,$E$2:$E$5001,"Em ajustes"),1,0),0))</f>
        <v/>
      </c>
      <c r="N4498" s="17" t="str">
        <f aca="false">IF(A4498="","",IF(ISNUMBER(A4498),A4498,IFERROR(DATE(VALUE(MID(A4498,7,4)),VALUE(MID(A4498,4,2)),VALUE(MID(A4498,1,2)))+TIME(VALUE(MID(A4498,12,2)),VALUE(MID(A4498,15,2)),VALUE(MID(A4498,18,2))),"")))</f>
        <v/>
      </c>
    </row>
    <row r="4499" customFormat="false" ht="15" hidden="false" customHeight="false" outlineLevel="0" collapsed="false">
      <c r="I4499" s="15" t="str">
        <f aca="false">IF(N4499="","",INT(N4499))</f>
        <v/>
      </c>
      <c r="J4499" s="16" t="str">
        <f aca="false">IF(B4499="","",IF(N4499=_xlfn.MINIFS($N$2:$N$5001,$B$2:$B$5001,B4499),1,0))</f>
        <v/>
      </c>
      <c r="K4499" s="16" t="str">
        <f aca="false">IF(B4499="","",IF(AND(D4499="Formalização",E4499="Concluído"),IF(COUNTIFS($B$2:$B$5001,B4499,$E$2:$E$5001,"Em ajustes",$N$2:$N$5001,"&lt;"&amp;I4499)&gt;0,1,0),0))</f>
        <v/>
      </c>
      <c r="L4499" s="16" t="str">
        <f aca="false">IF(B4499="","",IF(N4499=_xlfn.MAXIFS($N$2:$N$5001,$B$2:$B$5001,B4499,$I$2:$I$5001,I4499),1,0))</f>
        <v/>
      </c>
      <c r="M4499" s="16" t="str">
        <f aca="false">IF(B4499="","",IF(E4499="Em ajustes",IF(N4499=_xlfn.MINIFS($N$2:$N$5001,$B$2:$B$5001,B4499,$E$2:$E$5001,"Em ajustes"),1,0),0))</f>
        <v/>
      </c>
      <c r="N4499" s="17" t="str">
        <f aca="false">IF(A4499="","",IF(ISNUMBER(A4499),A4499,IFERROR(DATE(VALUE(MID(A4499,7,4)),VALUE(MID(A4499,4,2)),VALUE(MID(A4499,1,2)))+TIME(VALUE(MID(A4499,12,2)),VALUE(MID(A4499,15,2)),VALUE(MID(A4499,18,2))),"")))</f>
        <v/>
      </c>
    </row>
    <row r="4500" customFormat="false" ht="15" hidden="false" customHeight="false" outlineLevel="0" collapsed="false">
      <c r="I4500" s="15" t="str">
        <f aca="false">IF(N4500="","",INT(N4500))</f>
        <v/>
      </c>
      <c r="J4500" s="16" t="str">
        <f aca="false">IF(B4500="","",IF(N4500=_xlfn.MINIFS($N$2:$N$5001,$B$2:$B$5001,B4500),1,0))</f>
        <v/>
      </c>
      <c r="K4500" s="16" t="str">
        <f aca="false">IF(B4500="","",IF(AND(D4500="Formalização",E4500="Concluído"),IF(COUNTIFS($B$2:$B$5001,B4500,$E$2:$E$5001,"Em ajustes",$N$2:$N$5001,"&lt;"&amp;I4500)&gt;0,1,0),0))</f>
        <v/>
      </c>
      <c r="L4500" s="16" t="str">
        <f aca="false">IF(B4500="","",IF(N4500=_xlfn.MAXIFS($N$2:$N$5001,$B$2:$B$5001,B4500,$I$2:$I$5001,I4500),1,0))</f>
        <v/>
      </c>
      <c r="M4500" s="16" t="str">
        <f aca="false">IF(B4500="","",IF(E4500="Em ajustes",IF(N4500=_xlfn.MINIFS($N$2:$N$5001,$B$2:$B$5001,B4500,$E$2:$E$5001,"Em ajustes"),1,0),0))</f>
        <v/>
      </c>
      <c r="N4500" s="17" t="str">
        <f aca="false">IF(A4500="","",IF(ISNUMBER(A4500),A4500,IFERROR(DATE(VALUE(MID(A4500,7,4)),VALUE(MID(A4500,4,2)),VALUE(MID(A4500,1,2)))+TIME(VALUE(MID(A4500,12,2)),VALUE(MID(A4500,15,2)),VALUE(MID(A4500,18,2))),"")))</f>
        <v/>
      </c>
    </row>
    <row r="4501" customFormat="false" ht="15" hidden="false" customHeight="false" outlineLevel="0" collapsed="false">
      <c r="I4501" s="15" t="str">
        <f aca="false">IF(N4501="","",INT(N4501))</f>
        <v/>
      </c>
      <c r="J4501" s="16" t="str">
        <f aca="false">IF(B4501="","",IF(N4501=_xlfn.MINIFS($N$2:$N$5001,$B$2:$B$5001,B4501),1,0))</f>
        <v/>
      </c>
      <c r="K4501" s="16" t="str">
        <f aca="false">IF(B4501="","",IF(AND(D4501="Formalização",E4501="Concluído"),IF(COUNTIFS($B$2:$B$5001,B4501,$E$2:$E$5001,"Em ajustes",$N$2:$N$5001,"&lt;"&amp;I4501)&gt;0,1,0),0))</f>
        <v/>
      </c>
      <c r="L4501" s="16" t="str">
        <f aca="false">IF(B4501="","",IF(N4501=_xlfn.MAXIFS($N$2:$N$5001,$B$2:$B$5001,B4501,$I$2:$I$5001,I4501),1,0))</f>
        <v/>
      </c>
      <c r="M4501" s="16" t="str">
        <f aca="false">IF(B4501="","",IF(E4501="Em ajustes",IF(N4501=_xlfn.MINIFS($N$2:$N$5001,$B$2:$B$5001,B4501,$E$2:$E$5001,"Em ajustes"),1,0),0))</f>
        <v/>
      </c>
      <c r="N4501" s="17" t="str">
        <f aca="false">IF(A4501="","",IF(ISNUMBER(A4501),A4501,IFERROR(DATE(VALUE(MID(A4501,7,4)),VALUE(MID(A4501,4,2)),VALUE(MID(A4501,1,2)))+TIME(VALUE(MID(A4501,12,2)),VALUE(MID(A4501,15,2)),VALUE(MID(A4501,18,2))),"")))</f>
        <v/>
      </c>
    </row>
    <row r="4502" customFormat="false" ht="15" hidden="false" customHeight="false" outlineLevel="0" collapsed="false">
      <c r="I4502" s="15" t="str">
        <f aca="false">IF(N4502="","",INT(N4502))</f>
        <v/>
      </c>
      <c r="J4502" s="16" t="str">
        <f aca="false">IF(B4502="","",IF(N4502=_xlfn.MINIFS($N$2:$N$5001,$B$2:$B$5001,B4502),1,0))</f>
        <v/>
      </c>
      <c r="K4502" s="16" t="str">
        <f aca="false">IF(B4502="","",IF(AND(D4502="Formalização",E4502="Concluído"),IF(COUNTIFS($B$2:$B$5001,B4502,$E$2:$E$5001,"Em ajustes",$N$2:$N$5001,"&lt;"&amp;I4502)&gt;0,1,0),0))</f>
        <v/>
      </c>
      <c r="L4502" s="16" t="str">
        <f aca="false">IF(B4502="","",IF(N4502=_xlfn.MAXIFS($N$2:$N$5001,$B$2:$B$5001,B4502,$I$2:$I$5001,I4502),1,0))</f>
        <v/>
      </c>
      <c r="M4502" s="16" t="str">
        <f aca="false">IF(B4502="","",IF(E4502="Em ajustes",IF(N4502=_xlfn.MINIFS($N$2:$N$5001,$B$2:$B$5001,B4502,$E$2:$E$5001,"Em ajustes"),1,0),0))</f>
        <v/>
      </c>
      <c r="N4502" s="17" t="str">
        <f aca="false">IF(A4502="","",IF(ISNUMBER(A4502),A4502,IFERROR(DATE(VALUE(MID(A4502,7,4)),VALUE(MID(A4502,4,2)),VALUE(MID(A4502,1,2)))+TIME(VALUE(MID(A4502,12,2)),VALUE(MID(A4502,15,2)),VALUE(MID(A4502,18,2))),"")))</f>
        <v/>
      </c>
    </row>
    <row r="4503" customFormat="false" ht="15" hidden="false" customHeight="false" outlineLevel="0" collapsed="false">
      <c r="I4503" s="15" t="str">
        <f aca="false">IF(N4503="","",INT(N4503))</f>
        <v/>
      </c>
      <c r="J4503" s="16" t="str">
        <f aca="false">IF(B4503="","",IF(N4503=_xlfn.MINIFS($N$2:$N$5001,$B$2:$B$5001,B4503),1,0))</f>
        <v/>
      </c>
      <c r="K4503" s="16" t="str">
        <f aca="false">IF(B4503="","",IF(AND(D4503="Formalização",E4503="Concluído"),IF(COUNTIFS($B$2:$B$5001,B4503,$E$2:$E$5001,"Em ajustes",$N$2:$N$5001,"&lt;"&amp;I4503)&gt;0,1,0),0))</f>
        <v/>
      </c>
      <c r="L4503" s="16" t="str">
        <f aca="false">IF(B4503="","",IF(N4503=_xlfn.MAXIFS($N$2:$N$5001,$B$2:$B$5001,B4503,$I$2:$I$5001,I4503),1,0))</f>
        <v/>
      </c>
      <c r="M4503" s="16" t="str">
        <f aca="false">IF(B4503="","",IF(E4503="Em ajustes",IF(N4503=_xlfn.MINIFS($N$2:$N$5001,$B$2:$B$5001,B4503,$E$2:$E$5001,"Em ajustes"),1,0),0))</f>
        <v/>
      </c>
      <c r="N4503" s="17" t="str">
        <f aca="false">IF(A4503="","",IF(ISNUMBER(A4503),A4503,IFERROR(DATE(VALUE(MID(A4503,7,4)),VALUE(MID(A4503,4,2)),VALUE(MID(A4503,1,2)))+TIME(VALUE(MID(A4503,12,2)),VALUE(MID(A4503,15,2)),VALUE(MID(A4503,18,2))),"")))</f>
        <v/>
      </c>
    </row>
    <row r="4504" customFormat="false" ht="15" hidden="false" customHeight="false" outlineLevel="0" collapsed="false">
      <c r="I4504" s="15" t="str">
        <f aca="false">IF(N4504="","",INT(N4504))</f>
        <v/>
      </c>
      <c r="J4504" s="16" t="str">
        <f aca="false">IF(B4504="","",IF(N4504=_xlfn.MINIFS($N$2:$N$5001,$B$2:$B$5001,B4504),1,0))</f>
        <v/>
      </c>
      <c r="K4504" s="16" t="str">
        <f aca="false">IF(B4504="","",IF(AND(D4504="Formalização",E4504="Concluído"),IF(COUNTIFS($B$2:$B$5001,B4504,$E$2:$E$5001,"Em ajustes",$N$2:$N$5001,"&lt;"&amp;I4504)&gt;0,1,0),0))</f>
        <v/>
      </c>
      <c r="L4504" s="16" t="str">
        <f aca="false">IF(B4504="","",IF(N4504=_xlfn.MAXIFS($N$2:$N$5001,$B$2:$B$5001,B4504,$I$2:$I$5001,I4504),1,0))</f>
        <v/>
      </c>
      <c r="M4504" s="16" t="str">
        <f aca="false">IF(B4504="","",IF(E4504="Em ajustes",IF(N4504=_xlfn.MINIFS($N$2:$N$5001,$B$2:$B$5001,B4504,$E$2:$E$5001,"Em ajustes"),1,0),0))</f>
        <v/>
      </c>
      <c r="N4504" s="17" t="str">
        <f aca="false">IF(A4504="","",IF(ISNUMBER(A4504),A4504,IFERROR(DATE(VALUE(MID(A4504,7,4)),VALUE(MID(A4504,4,2)),VALUE(MID(A4504,1,2)))+TIME(VALUE(MID(A4504,12,2)),VALUE(MID(A4504,15,2)),VALUE(MID(A4504,18,2))),"")))</f>
        <v/>
      </c>
    </row>
    <row r="4505" customFormat="false" ht="15" hidden="false" customHeight="false" outlineLevel="0" collapsed="false">
      <c r="I4505" s="15" t="str">
        <f aca="false">IF(N4505="","",INT(N4505))</f>
        <v/>
      </c>
      <c r="J4505" s="16" t="str">
        <f aca="false">IF(B4505="","",IF(N4505=_xlfn.MINIFS($N$2:$N$5001,$B$2:$B$5001,B4505),1,0))</f>
        <v/>
      </c>
      <c r="K4505" s="16" t="str">
        <f aca="false">IF(B4505="","",IF(AND(D4505="Formalização",E4505="Concluído"),IF(COUNTIFS($B$2:$B$5001,B4505,$E$2:$E$5001,"Em ajustes",$N$2:$N$5001,"&lt;"&amp;I4505)&gt;0,1,0),0))</f>
        <v/>
      </c>
      <c r="L4505" s="16" t="str">
        <f aca="false">IF(B4505="","",IF(N4505=_xlfn.MAXIFS($N$2:$N$5001,$B$2:$B$5001,B4505,$I$2:$I$5001,I4505),1,0))</f>
        <v/>
      </c>
      <c r="M4505" s="16" t="str">
        <f aca="false">IF(B4505="","",IF(E4505="Em ajustes",IF(N4505=_xlfn.MINIFS($N$2:$N$5001,$B$2:$B$5001,B4505,$E$2:$E$5001,"Em ajustes"),1,0),0))</f>
        <v/>
      </c>
      <c r="N4505" s="17" t="str">
        <f aca="false">IF(A4505="","",IF(ISNUMBER(A4505),A4505,IFERROR(DATE(VALUE(MID(A4505,7,4)),VALUE(MID(A4505,4,2)),VALUE(MID(A4505,1,2)))+TIME(VALUE(MID(A4505,12,2)),VALUE(MID(A4505,15,2)),VALUE(MID(A4505,18,2))),"")))</f>
        <v/>
      </c>
    </row>
    <row r="4506" customFormat="false" ht="15" hidden="false" customHeight="false" outlineLevel="0" collapsed="false">
      <c r="I4506" s="15" t="str">
        <f aca="false">IF(N4506="","",INT(N4506))</f>
        <v/>
      </c>
      <c r="J4506" s="16" t="str">
        <f aca="false">IF(B4506="","",IF(N4506=_xlfn.MINIFS($N$2:$N$5001,$B$2:$B$5001,B4506),1,0))</f>
        <v/>
      </c>
      <c r="K4506" s="16" t="str">
        <f aca="false">IF(B4506="","",IF(AND(D4506="Formalização",E4506="Concluído"),IF(COUNTIFS($B$2:$B$5001,B4506,$E$2:$E$5001,"Em ajustes",$N$2:$N$5001,"&lt;"&amp;I4506)&gt;0,1,0),0))</f>
        <v/>
      </c>
      <c r="L4506" s="16" t="str">
        <f aca="false">IF(B4506="","",IF(N4506=_xlfn.MAXIFS($N$2:$N$5001,$B$2:$B$5001,B4506,$I$2:$I$5001,I4506),1,0))</f>
        <v/>
      </c>
      <c r="M4506" s="16" t="str">
        <f aca="false">IF(B4506="","",IF(E4506="Em ajustes",IF(N4506=_xlfn.MINIFS($N$2:$N$5001,$B$2:$B$5001,B4506,$E$2:$E$5001,"Em ajustes"),1,0),0))</f>
        <v/>
      </c>
      <c r="N4506" s="17" t="str">
        <f aca="false">IF(A4506="","",IF(ISNUMBER(A4506),A4506,IFERROR(DATE(VALUE(MID(A4506,7,4)),VALUE(MID(A4506,4,2)),VALUE(MID(A4506,1,2)))+TIME(VALUE(MID(A4506,12,2)),VALUE(MID(A4506,15,2)),VALUE(MID(A4506,18,2))),"")))</f>
        <v/>
      </c>
    </row>
    <row r="4507" customFormat="false" ht="15" hidden="false" customHeight="false" outlineLevel="0" collapsed="false">
      <c r="I4507" s="15" t="str">
        <f aca="false">IF(N4507="","",INT(N4507))</f>
        <v/>
      </c>
      <c r="J4507" s="16" t="str">
        <f aca="false">IF(B4507="","",IF(N4507=_xlfn.MINIFS($N$2:$N$5001,$B$2:$B$5001,B4507),1,0))</f>
        <v/>
      </c>
      <c r="K4507" s="16" t="str">
        <f aca="false">IF(B4507="","",IF(AND(D4507="Formalização",E4507="Concluído"),IF(COUNTIFS($B$2:$B$5001,B4507,$E$2:$E$5001,"Em ajustes",$N$2:$N$5001,"&lt;"&amp;I4507)&gt;0,1,0),0))</f>
        <v/>
      </c>
      <c r="L4507" s="16" t="str">
        <f aca="false">IF(B4507="","",IF(N4507=_xlfn.MAXIFS($N$2:$N$5001,$B$2:$B$5001,B4507,$I$2:$I$5001,I4507),1,0))</f>
        <v/>
      </c>
      <c r="M4507" s="16" t="str">
        <f aca="false">IF(B4507="","",IF(E4507="Em ajustes",IF(N4507=_xlfn.MINIFS($N$2:$N$5001,$B$2:$B$5001,B4507,$E$2:$E$5001,"Em ajustes"),1,0),0))</f>
        <v/>
      </c>
      <c r="N4507" s="17" t="str">
        <f aca="false">IF(A4507="","",IF(ISNUMBER(A4507),A4507,IFERROR(DATE(VALUE(MID(A4507,7,4)),VALUE(MID(A4507,4,2)),VALUE(MID(A4507,1,2)))+TIME(VALUE(MID(A4507,12,2)),VALUE(MID(A4507,15,2)),VALUE(MID(A4507,18,2))),"")))</f>
        <v/>
      </c>
    </row>
    <row r="4508" customFormat="false" ht="15" hidden="false" customHeight="false" outlineLevel="0" collapsed="false">
      <c r="I4508" s="15" t="str">
        <f aca="false">IF(N4508="","",INT(N4508))</f>
        <v/>
      </c>
      <c r="J4508" s="16" t="str">
        <f aca="false">IF(B4508="","",IF(N4508=_xlfn.MINIFS($N$2:$N$5001,$B$2:$B$5001,B4508),1,0))</f>
        <v/>
      </c>
      <c r="K4508" s="16" t="str">
        <f aca="false">IF(B4508="","",IF(AND(D4508="Formalização",E4508="Concluído"),IF(COUNTIFS($B$2:$B$5001,B4508,$E$2:$E$5001,"Em ajustes",$N$2:$N$5001,"&lt;"&amp;I4508)&gt;0,1,0),0))</f>
        <v/>
      </c>
      <c r="L4508" s="16" t="str">
        <f aca="false">IF(B4508="","",IF(N4508=_xlfn.MAXIFS($N$2:$N$5001,$B$2:$B$5001,B4508,$I$2:$I$5001,I4508),1,0))</f>
        <v/>
      </c>
      <c r="M4508" s="16" t="str">
        <f aca="false">IF(B4508="","",IF(E4508="Em ajustes",IF(N4508=_xlfn.MINIFS($N$2:$N$5001,$B$2:$B$5001,B4508,$E$2:$E$5001,"Em ajustes"),1,0),0))</f>
        <v/>
      </c>
      <c r="N4508" s="17" t="str">
        <f aca="false">IF(A4508="","",IF(ISNUMBER(A4508),A4508,IFERROR(DATE(VALUE(MID(A4508,7,4)),VALUE(MID(A4508,4,2)),VALUE(MID(A4508,1,2)))+TIME(VALUE(MID(A4508,12,2)),VALUE(MID(A4508,15,2)),VALUE(MID(A4508,18,2))),"")))</f>
        <v/>
      </c>
    </row>
    <row r="4509" customFormat="false" ht="15" hidden="false" customHeight="false" outlineLevel="0" collapsed="false">
      <c r="I4509" s="15" t="str">
        <f aca="false">IF(N4509="","",INT(N4509))</f>
        <v/>
      </c>
      <c r="J4509" s="16" t="str">
        <f aca="false">IF(B4509="","",IF(N4509=_xlfn.MINIFS($N$2:$N$5001,$B$2:$B$5001,B4509),1,0))</f>
        <v/>
      </c>
      <c r="K4509" s="16" t="str">
        <f aca="false">IF(B4509="","",IF(AND(D4509="Formalização",E4509="Concluído"),IF(COUNTIFS($B$2:$B$5001,B4509,$E$2:$E$5001,"Em ajustes",$N$2:$N$5001,"&lt;"&amp;I4509)&gt;0,1,0),0))</f>
        <v/>
      </c>
      <c r="L4509" s="16" t="str">
        <f aca="false">IF(B4509="","",IF(N4509=_xlfn.MAXIFS($N$2:$N$5001,$B$2:$B$5001,B4509,$I$2:$I$5001,I4509),1,0))</f>
        <v/>
      </c>
      <c r="M4509" s="16" t="str">
        <f aca="false">IF(B4509="","",IF(E4509="Em ajustes",IF(N4509=_xlfn.MINIFS($N$2:$N$5001,$B$2:$B$5001,B4509,$E$2:$E$5001,"Em ajustes"),1,0),0))</f>
        <v/>
      </c>
      <c r="N4509" s="17" t="str">
        <f aca="false">IF(A4509="","",IF(ISNUMBER(A4509),A4509,IFERROR(DATE(VALUE(MID(A4509,7,4)),VALUE(MID(A4509,4,2)),VALUE(MID(A4509,1,2)))+TIME(VALUE(MID(A4509,12,2)),VALUE(MID(A4509,15,2)),VALUE(MID(A4509,18,2))),"")))</f>
        <v/>
      </c>
    </row>
    <row r="4510" customFormat="false" ht="15" hidden="false" customHeight="false" outlineLevel="0" collapsed="false">
      <c r="I4510" s="15" t="str">
        <f aca="false">IF(N4510="","",INT(N4510))</f>
        <v/>
      </c>
      <c r="J4510" s="16" t="str">
        <f aca="false">IF(B4510="","",IF(N4510=_xlfn.MINIFS($N$2:$N$5001,$B$2:$B$5001,B4510),1,0))</f>
        <v/>
      </c>
      <c r="K4510" s="16" t="str">
        <f aca="false">IF(B4510="","",IF(AND(D4510="Formalização",E4510="Concluído"),IF(COUNTIFS($B$2:$B$5001,B4510,$E$2:$E$5001,"Em ajustes",$N$2:$N$5001,"&lt;"&amp;I4510)&gt;0,1,0),0))</f>
        <v/>
      </c>
      <c r="L4510" s="16" t="str">
        <f aca="false">IF(B4510="","",IF(N4510=_xlfn.MAXIFS($N$2:$N$5001,$B$2:$B$5001,B4510,$I$2:$I$5001,I4510),1,0))</f>
        <v/>
      </c>
      <c r="M4510" s="16" t="str">
        <f aca="false">IF(B4510="","",IF(E4510="Em ajustes",IF(N4510=_xlfn.MINIFS($N$2:$N$5001,$B$2:$B$5001,B4510,$E$2:$E$5001,"Em ajustes"),1,0),0))</f>
        <v/>
      </c>
      <c r="N4510" s="17" t="str">
        <f aca="false">IF(A4510="","",IF(ISNUMBER(A4510),A4510,IFERROR(DATE(VALUE(MID(A4510,7,4)),VALUE(MID(A4510,4,2)),VALUE(MID(A4510,1,2)))+TIME(VALUE(MID(A4510,12,2)),VALUE(MID(A4510,15,2)),VALUE(MID(A4510,18,2))),"")))</f>
        <v/>
      </c>
    </row>
    <row r="4511" customFormat="false" ht="15" hidden="false" customHeight="false" outlineLevel="0" collapsed="false">
      <c r="I4511" s="15" t="str">
        <f aca="false">IF(N4511="","",INT(N4511))</f>
        <v/>
      </c>
      <c r="J4511" s="16" t="str">
        <f aca="false">IF(B4511="","",IF(N4511=_xlfn.MINIFS($N$2:$N$5001,$B$2:$B$5001,B4511),1,0))</f>
        <v/>
      </c>
      <c r="K4511" s="16" t="str">
        <f aca="false">IF(B4511="","",IF(AND(D4511="Formalização",E4511="Concluído"),IF(COUNTIFS($B$2:$B$5001,B4511,$E$2:$E$5001,"Em ajustes",$N$2:$N$5001,"&lt;"&amp;I4511)&gt;0,1,0),0))</f>
        <v/>
      </c>
      <c r="L4511" s="16" t="str">
        <f aca="false">IF(B4511="","",IF(N4511=_xlfn.MAXIFS($N$2:$N$5001,$B$2:$B$5001,B4511,$I$2:$I$5001,I4511),1,0))</f>
        <v/>
      </c>
      <c r="M4511" s="16" t="str">
        <f aca="false">IF(B4511="","",IF(E4511="Em ajustes",IF(N4511=_xlfn.MINIFS($N$2:$N$5001,$B$2:$B$5001,B4511,$E$2:$E$5001,"Em ajustes"),1,0),0))</f>
        <v/>
      </c>
      <c r="N4511" s="17" t="str">
        <f aca="false">IF(A4511="","",IF(ISNUMBER(A4511),A4511,IFERROR(DATE(VALUE(MID(A4511,7,4)),VALUE(MID(A4511,4,2)),VALUE(MID(A4511,1,2)))+TIME(VALUE(MID(A4511,12,2)),VALUE(MID(A4511,15,2)),VALUE(MID(A4511,18,2))),"")))</f>
        <v/>
      </c>
    </row>
    <row r="4512" customFormat="false" ht="15" hidden="false" customHeight="false" outlineLevel="0" collapsed="false">
      <c r="I4512" s="15" t="str">
        <f aca="false">IF(N4512="","",INT(N4512))</f>
        <v/>
      </c>
      <c r="J4512" s="16" t="str">
        <f aca="false">IF(B4512="","",IF(N4512=_xlfn.MINIFS($N$2:$N$5001,$B$2:$B$5001,B4512),1,0))</f>
        <v/>
      </c>
      <c r="K4512" s="16" t="str">
        <f aca="false">IF(B4512="","",IF(AND(D4512="Formalização",E4512="Concluído"),IF(COUNTIFS($B$2:$B$5001,B4512,$E$2:$E$5001,"Em ajustes",$N$2:$N$5001,"&lt;"&amp;I4512)&gt;0,1,0),0))</f>
        <v/>
      </c>
      <c r="L4512" s="16" t="str">
        <f aca="false">IF(B4512="","",IF(N4512=_xlfn.MAXIFS($N$2:$N$5001,$B$2:$B$5001,B4512,$I$2:$I$5001,I4512),1,0))</f>
        <v/>
      </c>
      <c r="M4512" s="16" t="str">
        <f aca="false">IF(B4512="","",IF(E4512="Em ajustes",IF(N4512=_xlfn.MINIFS($N$2:$N$5001,$B$2:$B$5001,B4512,$E$2:$E$5001,"Em ajustes"),1,0),0))</f>
        <v/>
      </c>
      <c r="N4512" s="17" t="str">
        <f aca="false">IF(A4512="","",IF(ISNUMBER(A4512),A4512,IFERROR(DATE(VALUE(MID(A4512,7,4)),VALUE(MID(A4512,4,2)),VALUE(MID(A4512,1,2)))+TIME(VALUE(MID(A4512,12,2)),VALUE(MID(A4512,15,2)),VALUE(MID(A4512,18,2))),"")))</f>
        <v/>
      </c>
    </row>
    <row r="4513" customFormat="false" ht="15" hidden="false" customHeight="false" outlineLevel="0" collapsed="false">
      <c r="I4513" s="15" t="str">
        <f aca="false">IF(N4513="","",INT(N4513))</f>
        <v/>
      </c>
      <c r="J4513" s="16" t="str">
        <f aca="false">IF(B4513="","",IF(N4513=_xlfn.MINIFS($N$2:$N$5001,$B$2:$B$5001,B4513),1,0))</f>
        <v/>
      </c>
      <c r="K4513" s="16" t="str">
        <f aca="false">IF(B4513="","",IF(AND(D4513="Formalização",E4513="Concluído"),IF(COUNTIFS($B$2:$B$5001,B4513,$E$2:$E$5001,"Em ajustes",$N$2:$N$5001,"&lt;"&amp;I4513)&gt;0,1,0),0))</f>
        <v/>
      </c>
      <c r="L4513" s="16" t="str">
        <f aca="false">IF(B4513="","",IF(N4513=_xlfn.MAXIFS($N$2:$N$5001,$B$2:$B$5001,B4513,$I$2:$I$5001,I4513),1,0))</f>
        <v/>
      </c>
      <c r="M4513" s="16" t="str">
        <f aca="false">IF(B4513="","",IF(E4513="Em ajustes",IF(N4513=_xlfn.MINIFS($N$2:$N$5001,$B$2:$B$5001,B4513,$E$2:$E$5001,"Em ajustes"),1,0),0))</f>
        <v/>
      </c>
      <c r="N4513" s="17" t="str">
        <f aca="false">IF(A4513="","",IF(ISNUMBER(A4513),A4513,IFERROR(DATE(VALUE(MID(A4513,7,4)),VALUE(MID(A4513,4,2)),VALUE(MID(A4513,1,2)))+TIME(VALUE(MID(A4513,12,2)),VALUE(MID(A4513,15,2)),VALUE(MID(A4513,18,2))),"")))</f>
        <v/>
      </c>
    </row>
    <row r="4514" customFormat="false" ht="15" hidden="false" customHeight="false" outlineLevel="0" collapsed="false">
      <c r="I4514" s="15" t="str">
        <f aca="false">IF(N4514="","",INT(N4514))</f>
        <v/>
      </c>
      <c r="J4514" s="16" t="str">
        <f aca="false">IF(B4514="","",IF(N4514=_xlfn.MINIFS($N$2:$N$5001,$B$2:$B$5001,B4514),1,0))</f>
        <v/>
      </c>
      <c r="K4514" s="16" t="str">
        <f aca="false">IF(B4514="","",IF(AND(D4514="Formalização",E4514="Concluído"),IF(COUNTIFS($B$2:$B$5001,B4514,$E$2:$E$5001,"Em ajustes",$N$2:$N$5001,"&lt;"&amp;I4514)&gt;0,1,0),0))</f>
        <v/>
      </c>
      <c r="L4514" s="16" t="str">
        <f aca="false">IF(B4514="","",IF(N4514=_xlfn.MAXIFS($N$2:$N$5001,$B$2:$B$5001,B4514,$I$2:$I$5001,I4514),1,0))</f>
        <v/>
      </c>
      <c r="M4514" s="16" t="str">
        <f aca="false">IF(B4514="","",IF(E4514="Em ajustes",IF(N4514=_xlfn.MINIFS($N$2:$N$5001,$B$2:$B$5001,B4514,$E$2:$E$5001,"Em ajustes"),1,0),0))</f>
        <v/>
      </c>
      <c r="N4514" s="17" t="str">
        <f aca="false">IF(A4514="","",IF(ISNUMBER(A4514),A4514,IFERROR(DATE(VALUE(MID(A4514,7,4)),VALUE(MID(A4514,4,2)),VALUE(MID(A4514,1,2)))+TIME(VALUE(MID(A4514,12,2)),VALUE(MID(A4514,15,2)),VALUE(MID(A4514,18,2))),"")))</f>
        <v/>
      </c>
    </row>
    <row r="4515" customFormat="false" ht="15" hidden="false" customHeight="false" outlineLevel="0" collapsed="false">
      <c r="I4515" s="15" t="str">
        <f aca="false">IF(N4515="","",INT(N4515))</f>
        <v/>
      </c>
      <c r="J4515" s="16" t="str">
        <f aca="false">IF(B4515="","",IF(N4515=_xlfn.MINIFS($N$2:$N$5001,$B$2:$B$5001,B4515),1,0))</f>
        <v/>
      </c>
      <c r="K4515" s="16" t="str">
        <f aca="false">IF(B4515="","",IF(AND(D4515="Formalização",E4515="Concluído"),IF(COUNTIFS($B$2:$B$5001,B4515,$E$2:$E$5001,"Em ajustes",$N$2:$N$5001,"&lt;"&amp;I4515)&gt;0,1,0),0))</f>
        <v/>
      </c>
      <c r="L4515" s="16" t="str">
        <f aca="false">IF(B4515="","",IF(N4515=_xlfn.MAXIFS($N$2:$N$5001,$B$2:$B$5001,B4515,$I$2:$I$5001,I4515),1,0))</f>
        <v/>
      </c>
      <c r="M4515" s="16" t="str">
        <f aca="false">IF(B4515="","",IF(E4515="Em ajustes",IF(N4515=_xlfn.MINIFS($N$2:$N$5001,$B$2:$B$5001,B4515,$E$2:$E$5001,"Em ajustes"),1,0),0))</f>
        <v/>
      </c>
      <c r="N4515" s="17" t="str">
        <f aca="false">IF(A4515="","",IF(ISNUMBER(A4515),A4515,IFERROR(DATE(VALUE(MID(A4515,7,4)),VALUE(MID(A4515,4,2)),VALUE(MID(A4515,1,2)))+TIME(VALUE(MID(A4515,12,2)),VALUE(MID(A4515,15,2)),VALUE(MID(A4515,18,2))),"")))</f>
        <v/>
      </c>
    </row>
    <row r="4516" customFormat="false" ht="15" hidden="false" customHeight="false" outlineLevel="0" collapsed="false">
      <c r="I4516" s="15" t="str">
        <f aca="false">IF(N4516="","",INT(N4516))</f>
        <v/>
      </c>
      <c r="J4516" s="16" t="str">
        <f aca="false">IF(B4516="","",IF(N4516=_xlfn.MINIFS($N$2:$N$5001,$B$2:$B$5001,B4516),1,0))</f>
        <v/>
      </c>
      <c r="K4516" s="16" t="str">
        <f aca="false">IF(B4516="","",IF(AND(D4516="Formalização",E4516="Concluído"),IF(COUNTIFS($B$2:$B$5001,B4516,$E$2:$E$5001,"Em ajustes",$N$2:$N$5001,"&lt;"&amp;I4516)&gt;0,1,0),0))</f>
        <v/>
      </c>
      <c r="L4516" s="16" t="str">
        <f aca="false">IF(B4516="","",IF(N4516=_xlfn.MAXIFS($N$2:$N$5001,$B$2:$B$5001,B4516,$I$2:$I$5001,I4516),1,0))</f>
        <v/>
      </c>
      <c r="M4516" s="16" t="str">
        <f aca="false">IF(B4516="","",IF(E4516="Em ajustes",IF(N4516=_xlfn.MINIFS($N$2:$N$5001,$B$2:$B$5001,B4516,$E$2:$E$5001,"Em ajustes"),1,0),0))</f>
        <v/>
      </c>
      <c r="N4516" s="17" t="str">
        <f aca="false">IF(A4516="","",IF(ISNUMBER(A4516),A4516,IFERROR(DATE(VALUE(MID(A4516,7,4)),VALUE(MID(A4516,4,2)),VALUE(MID(A4516,1,2)))+TIME(VALUE(MID(A4516,12,2)),VALUE(MID(A4516,15,2)),VALUE(MID(A4516,18,2))),"")))</f>
        <v/>
      </c>
    </row>
    <row r="4517" customFormat="false" ht="15" hidden="false" customHeight="false" outlineLevel="0" collapsed="false">
      <c r="I4517" s="15" t="str">
        <f aca="false">IF(N4517="","",INT(N4517))</f>
        <v/>
      </c>
      <c r="J4517" s="16" t="str">
        <f aca="false">IF(B4517="","",IF(N4517=_xlfn.MINIFS($N$2:$N$5001,$B$2:$B$5001,B4517),1,0))</f>
        <v/>
      </c>
      <c r="K4517" s="16" t="str">
        <f aca="false">IF(B4517="","",IF(AND(D4517="Formalização",E4517="Concluído"),IF(COUNTIFS($B$2:$B$5001,B4517,$E$2:$E$5001,"Em ajustes",$N$2:$N$5001,"&lt;"&amp;I4517)&gt;0,1,0),0))</f>
        <v/>
      </c>
      <c r="L4517" s="16" t="str">
        <f aca="false">IF(B4517="","",IF(N4517=_xlfn.MAXIFS($N$2:$N$5001,$B$2:$B$5001,B4517,$I$2:$I$5001,I4517),1,0))</f>
        <v/>
      </c>
      <c r="M4517" s="16" t="str">
        <f aca="false">IF(B4517="","",IF(E4517="Em ajustes",IF(N4517=_xlfn.MINIFS($N$2:$N$5001,$B$2:$B$5001,B4517,$E$2:$E$5001,"Em ajustes"),1,0),0))</f>
        <v/>
      </c>
      <c r="N4517" s="17" t="str">
        <f aca="false">IF(A4517="","",IF(ISNUMBER(A4517),A4517,IFERROR(DATE(VALUE(MID(A4517,7,4)),VALUE(MID(A4517,4,2)),VALUE(MID(A4517,1,2)))+TIME(VALUE(MID(A4517,12,2)),VALUE(MID(A4517,15,2)),VALUE(MID(A4517,18,2))),"")))</f>
        <v/>
      </c>
    </row>
    <row r="4518" customFormat="false" ht="15" hidden="false" customHeight="false" outlineLevel="0" collapsed="false">
      <c r="I4518" s="15" t="str">
        <f aca="false">IF(N4518="","",INT(N4518))</f>
        <v/>
      </c>
      <c r="J4518" s="16" t="str">
        <f aca="false">IF(B4518="","",IF(N4518=_xlfn.MINIFS($N$2:$N$5001,$B$2:$B$5001,B4518),1,0))</f>
        <v/>
      </c>
      <c r="K4518" s="16" t="str">
        <f aca="false">IF(B4518="","",IF(AND(D4518="Formalização",E4518="Concluído"),IF(COUNTIFS($B$2:$B$5001,B4518,$E$2:$E$5001,"Em ajustes",$N$2:$N$5001,"&lt;"&amp;I4518)&gt;0,1,0),0))</f>
        <v/>
      </c>
      <c r="L4518" s="16" t="str">
        <f aca="false">IF(B4518="","",IF(N4518=_xlfn.MAXIFS($N$2:$N$5001,$B$2:$B$5001,B4518,$I$2:$I$5001,I4518),1,0))</f>
        <v/>
      </c>
      <c r="M4518" s="16" t="str">
        <f aca="false">IF(B4518="","",IF(E4518="Em ajustes",IF(N4518=_xlfn.MINIFS($N$2:$N$5001,$B$2:$B$5001,B4518,$E$2:$E$5001,"Em ajustes"),1,0),0))</f>
        <v/>
      </c>
      <c r="N4518" s="17" t="str">
        <f aca="false">IF(A4518="","",IF(ISNUMBER(A4518),A4518,IFERROR(DATE(VALUE(MID(A4518,7,4)),VALUE(MID(A4518,4,2)),VALUE(MID(A4518,1,2)))+TIME(VALUE(MID(A4518,12,2)),VALUE(MID(A4518,15,2)),VALUE(MID(A4518,18,2))),"")))</f>
        <v/>
      </c>
    </row>
    <row r="4519" customFormat="false" ht="15" hidden="false" customHeight="false" outlineLevel="0" collapsed="false">
      <c r="I4519" s="15" t="str">
        <f aca="false">IF(N4519="","",INT(N4519))</f>
        <v/>
      </c>
      <c r="J4519" s="16" t="str">
        <f aca="false">IF(B4519="","",IF(N4519=_xlfn.MINIFS($N$2:$N$5001,$B$2:$B$5001,B4519),1,0))</f>
        <v/>
      </c>
      <c r="K4519" s="16" t="str">
        <f aca="false">IF(B4519="","",IF(AND(D4519="Formalização",E4519="Concluído"),IF(COUNTIFS($B$2:$B$5001,B4519,$E$2:$E$5001,"Em ajustes",$N$2:$N$5001,"&lt;"&amp;I4519)&gt;0,1,0),0))</f>
        <v/>
      </c>
      <c r="L4519" s="16" t="str">
        <f aca="false">IF(B4519="","",IF(N4519=_xlfn.MAXIFS($N$2:$N$5001,$B$2:$B$5001,B4519,$I$2:$I$5001,I4519),1,0))</f>
        <v/>
      </c>
      <c r="M4519" s="16" t="str">
        <f aca="false">IF(B4519="","",IF(E4519="Em ajustes",IF(N4519=_xlfn.MINIFS($N$2:$N$5001,$B$2:$B$5001,B4519,$E$2:$E$5001,"Em ajustes"),1,0),0))</f>
        <v/>
      </c>
      <c r="N4519" s="17" t="str">
        <f aca="false">IF(A4519="","",IF(ISNUMBER(A4519),A4519,IFERROR(DATE(VALUE(MID(A4519,7,4)),VALUE(MID(A4519,4,2)),VALUE(MID(A4519,1,2)))+TIME(VALUE(MID(A4519,12,2)),VALUE(MID(A4519,15,2)),VALUE(MID(A4519,18,2))),"")))</f>
        <v/>
      </c>
    </row>
    <row r="4520" customFormat="false" ht="15" hidden="false" customHeight="false" outlineLevel="0" collapsed="false">
      <c r="I4520" s="15" t="str">
        <f aca="false">IF(N4520="","",INT(N4520))</f>
        <v/>
      </c>
      <c r="J4520" s="16" t="str">
        <f aca="false">IF(B4520="","",IF(N4520=_xlfn.MINIFS($N$2:$N$5001,$B$2:$B$5001,B4520),1,0))</f>
        <v/>
      </c>
      <c r="K4520" s="16" t="str">
        <f aca="false">IF(B4520="","",IF(AND(D4520="Formalização",E4520="Concluído"),IF(COUNTIFS($B$2:$B$5001,B4520,$E$2:$E$5001,"Em ajustes",$N$2:$N$5001,"&lt;"&amp;I4520)&gt;0,1,0),0))</f>
        <v/>
      </c>
      <c r="L4520" s="16" t="str">
        <f aca="false">IF(B4520="","",IF(N4520=_xlfn.MAXIFS($N$2:$N$5001,$B$2:$B$5001,B4520,$I$2:$I$5001,I4520),1,0))</f>
        <v/>
      </c>
      <c r="M4520" s="16" t="str">
        <f aca="false">IF(B4520="","",IF(E4520="Em ajustes",IF(N4520=_xlfn.MINIFS($N$2:$N$5001,$B$2:$B$5001,B4520,$E$2:$E$5001,"Em ajustes"),1,0),0))</f>
        <v/>
      </c>
      <c r="N4520" s="17" t="str">
        <f aca="false">IF(A4520="","",IF(ISNUMBER(A4520),A4520,IFERROR(DATE(VALUE(MID(A4520,7,4)),VALUE(MID(A4520,4,2)),VALUE(MID(A4520,1,2)))+TIME(VALUE(MID(A4520,12,2)),VALUE(MID(A4520,15,2)),VALUE(MID(A4520,18,2))),"")))</f>
        <v/>
      </c>
    </row>
    <row r="4521" customFormat="false" ht="15" hidden="false" customHeight="false" outlineLevel="0" collapsed="false">
      <c r="I4521" s="15" t="str">
        <f aca="false">IF(N4521="","",INT(N4521))</f>
        <v/>
      </c>
      <c r="J4521" s="16" t="str">
        <f aca="false">IF(B4521="","",IF(N4521=_xlfn.MINIFS($N$2:$N$5001,$B$2:$B$5001,B4521),1,0))</f>
        <v/>
      </c>
      <c r="K4521" s="16" t="str">
        <f aca="false">IF(B4521="","",IF(AND(D4521="Formalização",E4521="Concluído"),IF(COUNTIFS($B$2:$B$5001,B4521,$E$2:$E$5001,"Em ajustes",$N$2:$N$5001,"&lt;"&amp;I4521)&gt;0,1,0),0))</f>
        <v/>
      </c>
      <c r="L4521" s="16" t="str">
        <f aca="false">IF(B4521="","",IF(N4521=_xlfn.MAXIFS($N$2:$N$5001,$B$2:$B$5001,B4521,$I$2:$I$5001,I4521),1,0))</f>
        <v/>
      </c>
      <c r="M4521" s="16" t="str">
        <f aca="false">IF(B4521="","",IF(E4521="Em ajustes",IF(N4521=_xlfn.MINIFS($N$2:$N$5001,$B$2:$B$5001,B4521,$E$2:$E$5001,"Em ajustes"),1,0),0))</f>
        <v/>
      </c>
      <c r="N4521" s="17" t="str">
        <f aca="false">IF(A4521="","",IF(ISNUMBER(A4521),A4521,IFERROR(DATE(VALUE(MID(A4521,7,4)),VALUE(MID(A4521,4,2)),VALUE(MID(A4521,1,2)))+TIME(VALUE(MID(A4521,12,2)),VALUE(MID(A4521,15,2)),VALUE(MID(A4521,18,2))),"")))</f>
        <v/>
      </c>
    </row>
    <row r="4522" customFormat="false" ht="15" hidden="false" customHeight="false" outlineLevel="0" collapsed="false">
      <c r="I4522" s="15" t="str">
        <f aca="false">IF(N4522="","",INT(N4522))</f>
        <v/>
      </c>
      <c r="J4522" s="16" t="str">
        <f aca="false">IF(B4522="","",IF(N4522=_xlfn.MINIFS($N$2:$N$5001,$B$2:$B$5001,B4522),1,0))</f>
        <v/>
      </c>
      <c r="K4522" s="16" t="str">
        <f aca="false">IF(B4522="","",IF(AND(D4522="Formalização",E4522="Concluído"),IF(COUNTIFS($B$2:$B$5001,B4522,$E$2:$E$5001,"Em ajustes",$N$2:$N$5001,"&lt;"&amp;I4522)&gt;0,1,0),0))</f>
        <v/>
      </c>
      <c r="L4522" s="16" t="str">
        <f aca="false">IF(B4522="","",IF(N4522=_xlfn.MAXIFS($N$2:$N$5001,$B$2:$B$5001,B4522,$I$2:$I$5001,I4522),1,0))</f>
        <v/>
      </c>
      <c r="M4522" s="16" t="str">
        <f aca="false">IF(B4522="","",IF(E4522="Em ajustes",IF(N4522=_xlfn.MINIFS($N$2:$N$5001,$B$2:$B$5001,B4522,$E$2:$E$5001,"Em ajustes"),1,0),0))</f>
        <v/>
      </c>
      <c r="N4522" s="17" t="str">
        <f aca="false">IF(A4522="","",IF(ISNUMBER(A4522),A4522,IFERROR(DATE(VALUE(MID(A4522,7,4)),VALUE(MID(A4522,4,2)),VALUE(MID(A4522,1,2)))+TIME(VALUE(MID(A4522,12,2)),VALUE(MID(A4522,15,2)),VALUE(MID(A4522,18,2))),"")))</f>
        <v/>
      </c>
    </row>
    <row r="4523" customFormat="false" ht="15" hidden="false" customHeight="false" outlineLevel="0" collapsed="false">
      <c r="I4523" s="15" t="str">
        <f aca="false">IF(N4523="","",INT(N4523))</f>
        <v/>
      </c>
      <c r="J4523" s="16" t="str">
        <f aca="false">IF(B4523="","",IF(N4523=_xlfn.MINIFS($N$2:$N$5001,$B$2:$B$5001,B4523),1,0))</f>
        <v/>
      </c>
      <c r="K4523" s="16" t="str">
        <f aca="false">IF(B4523="","",IF(AND(D4523="Formalização",E4523="Concluído"),IF(COUNTIFS($B$2:$B$5001,B4523,$E$2:$E$5001,"Em ajustes",$N$2:$N$5001,"&lt;"&amp;I4523)&gt;0,1,0),0))</f>
        <v/>
      </c>
      <c r="L4523" s="16" t="str">
        <f aca="false">IF(B4523="","",IF(N4523=_xlfn.MAXIFS($N$2:$N$5001,$B$2:$B$5001,B4523,$I$2:$I$5001,I4523),1,0))</f>
        <v/>
      </c>
      <c r="M4523" s="16" t="str">
        <f aca="false">IF(B4523="","",IF(E4523="Em ajustes",IF(N4523=_xlfn.MINIFS($N$2:$N$5001,$B$2:$B$5001,B4523,$E$2:$E$5001,"Em ajustes"),1,0),0))</f>
        <v/>
      </c>
      <c r="N4523" s="17" t="str">
        <f aca="false">IF(A4523="","",IF(ISNUMBER(A4523),A4523,IFERROR(DATE(VALUE(MID(A4523,7,4)),VALUE(MID(A4523,4,2)),VALUE(MID(A4523,1,2)))+TIME(VALUE(MID(A4523,12,2)),VALUE(MID(A4523,15,2)),VALUE(MID(A4523,18,2))),"")))</f>
        <v/>
      </c>
    </row>
    <row r="4524" customFormat="false" ht="15" hidden="false" customHeight="false" outlineLevel="0" collapsed="false">
      <c r="I4524" s="15" t="str">
        <f aca="false">IF(N4524="","",INT(N4524))</f>
        <v/>
      </c>
      <c r="J4524" s="16" t="str">
        <f aca="false">IF(B4524="","",IF(N4524=_xlfn.MINIFS($N$2:$N$5001,$B$2:$B$5001,B4524),1,0))</f>
        <v/>
      </c>
      <c r="K4524" s="16" t="str">
        <f aca="false">IF(B4524="","",IF(AND(D4524="Formalização",E4524="Concluído"),IF(COUNTIFS($B$2:$B$5001,B4524,$E$2:$E$5001,"Em ajustes",$N$2:$N$5001,"&lt;"&amp;I4524)&gt;0,1,0),0))</f>
        <v/>
      </c>
      <c r="L4524" s="16" t="str">
        <f aca="false">IF(B4524="","",IF(N4524=_xlfn.MAXIFS($N$2:$N$5001,$B$2:$B$5001,B4524,$I$2:$I$5001,I4524),1,0))</f>
        <v/>
      </c>
      <c r="M4524" s="16" t="str">
        <f aca="false">IF(B4524="","",IF(E4524="Em ajustes",IF(N4524=_xlfn.MINIFS($N$2:$N$5001,$B$2:$B$5001,B4524,$E$2:$E$5001,"Em ajustes"),1,0),0))</f>
        <v/>
      </c>
      <c r="N4524" s="17" t="str">
        <f aca="false">IF(A4524="","",IF(ISNUMBER(A4524),A4524,IFERROR(DATE(VALUE(MID(A4524,7,4)),VALUE(MID(A4524,4,2)),VALUE(MID(A4524,1,2)))+TIME(VALUE(MID(A4524,12,2)),VALUE(MID(A4524,15,2)),VALUE(MID(A4524,18,2))),"")))</f>
        <v/>
      </c>
    </row>
    <row r="4525" customFormat="false" ht="15" hidden="false" customHeight="false" outlineLevel="0" collapsed="false">
      <c r="I4525" s="15" t="str">
        <f aca="false">IF(N4525="","",INT(N4525))</f>
        <v/>
      </c>
      <c r="J4525" s="16" t="str">
        <f aca="false">IF(B4525="","",IF(N4525=_xlfn.MINIFS($N$2:$N$5001,$B$2:$B$5001,B4525),1,0))</f>
        <v/>
      </c>
      <c r="K4525" s="16" t="str">
        <f aca="false">IF(B4525="","",IF(AND(D4525="Formalização",E4525="Concluído"),IF(COUNTIFS($B$2:$B$5001,B4525,$E$2:$E$5001,"Em ajustes",$N$2:$N$5001,"&lt;"&amp;I4525)&gt;0,1,0),0))</f>
        <v/>
      </c>
      <c r="L4525" s="16" t="str">
        <f aca="false">IF(B4525="","",IF(N4525=_xlfn.MAXIFS($N$2:$N$5001,$B$2:$B$5001,B4525,$I$2:$I$5001,I4525),1,0))</f>
        <v/>
      </c>
      <c r="M4525" s="16" t="str">
        <f aca="false">IF(B4525="","",IF(E4525="Em ajustes",IF(N4525=_xlfn.MINIFS($N$2:$N$5001,$B$2:$B$5001,B4525,$E$2:$E$5001,"Em ajustes"),1,0),0))</f>
        <v/>
      </c>
      <c r="N4525" s="17" t="str">
        <f aca="false">IF(A4525="","",IF(ISNUMBER(A4525),A4525,IFERROR(DATE(VALUE(MID(A4525,7,4)),VALUE(MID(A4525,4,2)),VALUE(MID(A4525,1,2)))+TIME(VALUE(MID(A4525,12,2)),VALUE(MID(A4525,15,2)),VALUE(MID(A4525,18,2))),"")))</f>
        <v/>
      </c>
    </row>
    <row r="4526" customFormat="false" ht="15" hidden="false" customHeight="false" outlineLevel="0" collapsed="false">
      <c r="I4526" s="15" t="str">
        <f aca="false">IF(N4526="","",INT(N4526))</f>
        <v/>
      </c>
      <c r="J4526" s="16" t="str">
        <f aca="false">IF(B4526="","",IF(N4526=_xlfn.MINIFS($N$2:$N$5001,$B$2:$B$5001,B4526),1,0))</f>
        <v/>
      </c>
      <c r="K4526" s="16" t="str">
        <f aca="false">IF(B4526="","",IF(AND(D4526="Formalização",E4526="Concluído"),IF(COUNTIFS($B$2:$B$5001,B4526,$E$2:$E$5001,"Em ajustes",$N$2:$N$5001,"&lt;"&amp;I4526)&gt;0,1,0),0))</f>
        <v/>
      </c>
      <c r="L4526" s="16" t="str">
        <f aca="false">IF(B4526="","",IF(N4526=_xlfn.MAXIFS($N$2:$N$5001,$B$2:$B$5001,B4526,$I$2:$I$5001,I4526),1,0))</f>
        <v/>
      </c>
      <c r="M4526" s="16" t="str">
        <f aca="false">IF(B4526="","",IF(E4526="Em ajustes",IF(N4526=_xlfn.MINIFS($N$2:$N$5001,$B$2:$B$5001,B4526,$E$2:$E$5001,"Em ajustes"),1,0),0))</f>
        <v/>
      </c>
      <c r="N4526" s="17" t="str">
        <f aca="false">IF(A4526="","",IF(ISNUMBER(A4526),A4526,IFERROR(DATE(VALUE(MID(A4526,7,4)),VALUE(MID(A4526,4,2)),VALUE(MID(A4526,1,2)))+TIME(VALUE(MID(A4526,12,2)),VALUE(MID(A4526,15,2)),VALUE(MID(A4526,18,2))),"")))</f>
        <v/>
      </c>
    </row>
    <row r="4527" customFormat="false" ht="15" hidden="false" customHeight="false" outlineLevel="0" collapsed="false">
      <c r="I4527" s="15" t="str">
        <f aca="false">IF(N4527="","",INT(N4527))</f>
        <v/>
      </c>
      <c r="J4527" s="16" t="str">
        <f aca="false">IF(B4527="","",IF(N4527=_xlfn.MINIFS($N$2:$N$5001,$B$2:$B$5001,B4527),1,0))</f>
        <v/>
      </c>
      <c r="K4527" s="16" t="str">
        <f aca="false">IF(B4527="","",IF(AND(D4527="Formalização",E4527="Concluído"),IF(COUNTIFS($B$2:$B$5001,B4527,$E$2:$E$5001,"Em ajustes",$N$2:$N$5001,"&lt;"&amp;I4527)&gt;0,1,0),0))</f>
        <v/>
      </c>
      <c r="L4527" s="16" t="str">
        <f aca="false">IF(B4527="","",IF(N4527=_xlfn.MAXIFS($N$2:$N$5001,$B$2:$B$5001,B4527,$I$2:$I$5001,I4527),1,0))</f>
        <v/>
      </c>
      <c r="M4527" s="16" t="str">
        <f aca="false">IF(B4527="","",IF(E4527="Em ajustes",IF(N4527=_xlfn.MINIFS($N$2:$N$5001,$B$2:$B$5001,B4527,$E$2:$E$5001,"Em ajustes"),1,0),0))</f>
        <v/>
      </c>
      <c r="N4527" s="17" t="str">
        <f aca="false">IF(A4527="","",IF(ISNUMBER(A4527),A4527,IFERROR(DATE(VALUE(MID(A4527,7,4)),VALUE(MID(A4527,4,2)),VALUE(MID(A4527,1,2)))+TIME(VALUE(MID(A4527,12,2)),VALUE(MID(A4527,15,2)),VALUE(MID(A4527,18,2))),"")))</f>
        <v/>
      </c>
    </row>
    <row r="4528" customFormat="false" ht="15" hidden="false" customHeight="false" outlineLevel="0" collapsed="false">
      <c r="I4528" s="15" t="str">
        <f aca="false">IF(N4528="","",INT(N4528))</f>
        <v/>
      </c>
      <c r="J4528" s="16" t="str">
        <f aca="false">IF(B4528="","",IF(N4528=_xlfn.MINIFS($N$2:$N$5001,$B$2:$B$5001,B4528),1,0))</f>
        <v/>
      </c>
      <c r="K4528" s="16" t="str">
        <f aca="false">IF(B4528="","",IF(AND(D4528="Formalização",E4528="Concluído"),IF(COUNTIFS($B$2:$B$5001,B4528,$E$2:$E$5001,"Em ajustes",$N$2:$N$5001,"&lt;"&amp;I4528)&gt;0,1,0),0))</f>
        <v/>
      </c>
      <c r="L4528" s="16" t="str">
        <f aca="false">IF(B4528="","",IF(N4528=_xlfn.MAXIFS($N$2:$N$5001,$B$2:$B$5001,B4528,$I$2:$I$5001,I4528),1,0))</f>
        <v/>
      </c>
      <c r="M4528" s="16" t="str">
        <f aca="false">IF(B4528="","",IF(E4528="Em ajustes",IF(N4528=_xlfn.MINIFS($N$2:$N$5001,$B$2:$B$5001,B4528,$E$2:$E$5001,"Em ajustes"),1,0),0))</f>
        <v/>
      </c>
      <c r="N4528" s="17" t="str">
        <f aca="false">IF(A4528="","",IF(ISNUMBER(A4528),A4528,IFERROR(DATE(VALUE(MID(A4528,7,4)),VALUE(MID(A4528,4,2)),VALUE(MID(A4528,1,2)))+TIME(VALUE(MID(A4528,12,2)),VALUE(MID(A4528,15,2)),VALUE(MID(A4528,18,2))),"")))</f>
        <v/>
      </c>
    </row>
    <row r="4529" customFormat="false" ht="15" hidden="false" customHeight="false" outlineLevel="0" collapsed="false">
      <c r="I4529" s="15" t="str">
        <f aca="false">IF(N4529="","",INT(N4529))</f>
        <v/>
      </c>
      <c r="J4529" s="16" t="str">
        <f aca="false">IF(B4529="","",IF(N4529=_xlfn.MINIFS($N$2:$N$5001,$B$2:$B$5001,B4529),1,0))</f>
        <v/>
      </c>
      <c r="K4529" s="16" t="str">
        <f aca="false">IF(B4529="","",IF(AND(D4529="Formalização",E4529="Concluído"),IF(COUNTIFS($B$2:$B$5001,B4529,$E$2:$E$5001,"Em ajustes",$N$2:$N$5001,"&lt;"&amp;I4529)&gt;0,1,0),0))</f>
        <v/>
      </c>
      <c r="L4529" s="16" t="str">
        <f aca="false">IF(B4529="","",IF(N4529=_xlfn.MAXIFS($N$2:$N$5001,$B$2:$B$5001,B4529,$I$2:$I$5001,I4529),1,0))</f>
        <v/>
      </c>
      <c r="M4529" s="16" t="str">
        <f aca="false">IF(B4529="","",IF(E4529="Em ajustes",IF(N4529=_xlfn.MINIFS($N$2:$N$5001,$B$2:$B$5001,B4529,$E$2:$E$5001,"Em ajustes"),1,0),0))</f>
        <v/>
      </c>
      <c r="N4529" s="17" t="str">
        <f aca="false">IF(A4529="","",IF(ISNUMBER(A4529),A4529,IFERROR(DATE(VALUE(MID(A4529,7,4)),VALUE(MID(A4529,4,2)),VALUE(MID(A4529,1,2)))+TIME(VALUE(MID(A4529,12,2)),VALUE(MID(A4529,15,2)),VALUE(MID(A4529,18,2))),"")))</f>
        <v/>
      </c>
    </row>
    <row r="4530" customFormat="false" ht="15" hidden="false" customHeight="false" outlineLevel="0" collapsed="false">
      <c r="I4530" s="15" t="str">
        <f aca="false">IF(N4530="","",INT(N4530))</f>
        <v/>
      </c>
      <c r="J4530" s="16" t="str">
        <f aca="false">IF(B4530="","",IF(N4530=_xlfn.MINIFS($N$2:$N$5001,$B$2:$B$5001,B4530),1,0))</f>
        <v/>
      </c>
      <c r="K4530" s="16" t="str">
        <f aca="false">IF(B4530="","",IF(AND(D4530="Formalização",E4530="Concluído"),IF(COUNTIFS($B$2:$B$5001,B4530,$E$2:$E$5001,"Em ajustes",$N$2:$N$5001,"&lt;"&amp;I4530)&gt;0,1,0),0))</f>
        <v/>
      </c>
      <c r="L4530" s="16" t="str">
        <f aca="false">IF(B4530="","",IF(N4530=_xlfn.MAXIFS($N$2:$N$5001,$B$2:$B$5001,B4530,$I$2:$I$5001,I4530),1,0))</f>
        <v/>
      </c>
      <c r="M4530" s="16" t="str">
        <f aca="false">IF(B4530="","",IF(E4530="Em ajustes",IF(N4530=_xlfn.MINIFS($N$2:$N$5001,$B$2:$B$5001,B4530,$E$2:$E$5001,"Em ajustes"),1,0),0))</f>
        <v/>
      </c>
      <c r="N4530" s="17" t="str">
        <f aca="false">IF(A4530="","",IF(ISNUMBER(A4530),A4530,IFERROR(DATE(VALUE(MID(A4530,7,4)),VALUE(MID(A4530,4,2)),VALUE(MID(A4530,1,2)))+TIME(VALUE(MID(A4530,12,2)),VALUE(MID(A4530,15,2)),VALUE(MID(A4530,18,2))),"")))</f>
        <v/>
      </c>
    </row>
    <row r="4531" customFormat="false" ht="15" hidden="false" customHeight="false" outlineLevel="0" collapsed="false">
      <c r="I4531" s="15" t="str">
        <f aca="false">IF(N4531="","",INT(N4531))</f>
        <v/>
      </c>
      <c r="J4531" s="16" t="str">
        <f aca="false">IF(B4531="","",IF(N4531=_xlfn.MINIFS($N$2:$N$5001,$B$2:$B$5001,B4531),1,0))</f>
        <v/>
      </c>
      <c r="K4531" s="16" t="str">
        <f aca="false">IF(B4531="","",IF(AND(D4531="Formalização",E4531="Concluído"),IF(COUNTIFS($B$2:$B$5001,B4531,$E$2:$E$5001,"Em ajustes",$N$2:$N$5001,"&lt;"&amp;I4531)&gt;0,1,0),0))</f>
        <v/>
      </c>
      <c r="L4531" s="16" t="str">
        <f aca="false">IF(B4531="","",IF(N4531=_xlfn.MAXIFS($N$2:$N$5001,$B$2:$B$5001,B4531,$I$2:$I$5001,I4531),1,0))</f>
        <v/>
      </c>
      <c r="M4531" s="16" t="str">
        <f aca="false">IF(B4531="","",IF(E4531="Em ajustes",IF(N4531=_xlfn.MINIFS($N$2:$N$5001,$B$2:$B$5001,B4531,$E$2:$E$5001,"Em ajustes"),1,0),0))</f>
        <v/>
      </c>
      <c r="N4531" s="17" t="str">
        <f aca="false">IF(A4531="","",IF(ISNUMBER(A4531),A4531,IFERROR(DATE(VALUE(MID(A4531,7,4)),VALUE(MID(A4531,4,2)),VALUE(MID(A4531,1,2)))+TIME(VALUE(MID(A4531,12,2)),VALUE(MID(A4531,15,2)),VALUE(MID(A4531,18,2))),"")))</f>
        <v/>
      </c>
    </row>
    <row r="4532" customFormat="false" ht="15" hidden="false" customHeight="false" outlineLevel="0" collapsed="false">
      <c r="I4532" s="15" t="str">
        <f aca="false">IF(N4532="","",INT(N4532))</f>
        <v/>
      </c>
      <c r="J4532" s="16" t="str">
        <f aca="false">IF(B4532="","",IF(N4532=_xlfn.MINIFS($N$2:$N$5001,$B$2:$B$5001,B4532),1,0))</f>
        <v/>
      </c>
      <c r="K4532" s="16" t="str">
        <f aca="false">IF(B4532="","",IF(AND(D4532="Formalização",E4532="Concluído"),IF(COUNTIFS($B$2:$B$5001,B4532,$E$2:$E$5001,"Em ajustes",$N$2:$N$5001,"&lt;"&amp;I4532)&gt;0,1,0),0))</f>
        <v/>
      </c>
      <c r="L4532" s="16" t="str">
        <f aca="false">IF(B4532="","",IF(N4532=_xlfn.MAXIFS($N$2:$N$5001,$B$2:$B$5001,B4532,$I$2:$I$5001,I4532),1,0))</f>
        <v/>
      </c>
      <c r="M4532" s="16" t="str">
        <f aca="false">IF(B4532="","",IF(E4532="Em ajustes",IF(N4532=_xlfn.MINIFS($N$2:$N$5001,$B$2:$B$5001,B4532,$E$2:$E$5001,"Em ajustes"),1,0),0))</f>
        <v/>
      </c>
      <c r="N4532" s="17" t="str">
        <f aca="false">IF(A4532="","",IF(ISNUMBER(A4532),A4532,IFERROR(DATE(VALUE(MID(A4532,7,4)),VALUE(MID(A4532,4,2)),VALUE(MID(A4532,1,2)))+TIME(VALUE(MID(A4532,12,2)),VALUE(MID(A4532,15,2)),VALUE(MID(A4532,18,2))),"")))</f>
        <v/>
      </c>
    </row>
    <row r="4533" customFormat="false" ht="15" hidden="false" customHeight="false" outlineLevel="0" collapsed="false">
      <c r="I4533" s="15" t="str">
        <f aca="false">IF(N4533="","",INT(N4533))</f>
        <v/>
      </c>
      <c r="J4533" s="16" t="str">
        <f aca="false">IF(B4533="","",IF(N4533=_xlfn.MINIFS($N$2:$N$5001,$B$2:$B$5001,B4533),1,0))</f>
        <v/>
      </c>
      <c r="K4533" s="16" t="str">
        <f aca="false">IF(B4533="","",IF(AND(D4533="Formalização",E4533="Concluído"),IF(COUNTIFS($B$2:$B$5001,B4533,$E$2:$E$5001,"Em ajustes",$N$2:$N$5001,"&lt;"&amp;I4533)&gt;0,1,0),0))</f>
        <v/>
      </c>
      <c r="L4533" s="16" t="str">
        <f aca="false">IF(B4533="","",IF(N4533=_xlfn.MAXIFS($N$2:$N$5001,$B$2:$B$5001,B4533,$I$2:$I$5001,I4533),1,0))</f>
        <v/>
      </c>
      <c r="M4533" s="16" t="str">
        <f aca="false">IF(B4533="","",IF(E4533="Em ajustes",IF(N4533=_xlfn.MINIFS($N$2:$N$5001,$B$2:$B$5001,B4533,$E$2:$E$5001,"Em ajustes"),1,0),0))</f>
        <v/>
      </c>
      <c r="N4533" s="17" t="str">
        <f aca="false">IF(A4533="","",IF(ISNUMBER(A4533),A4533,IFERROR(DATE(VALUE(MID(A4533,7,4)),VALUE(MID(A4533,4,2)),VALUE(MID(A4533,1,2)))+TIME(VALUE(MID(A4533,12,2)),VALUE(MID(A4533,15,2)),VALUE(MID(A4533,18,2))),"")))</f>
        <v/>
      </c>
    </row>
    <row r="4534" customFormat="false" ht="15" hidden="false" customHeight="false" outlineLevel="0" collapsed="false">
      <c r="I4534" s="15" t="str">
        <f aca="false">IF(N4534="","",INT(N4534))</f>
        <v/>
      </c>
      <c r="J4534" s="16" t="str">
        <f aca="false">IF(B4534="","",IF(N4534=_xlfn.MINIFS($N$2:$N$5001,$B$2:$B$5001,B4534),1,0))</f>
        <v/>
      </c>
      <c r="K4534" s="16" t="str">
        <f aca="false">IF(B4534="","",IF(AND(D4534="Formalização",E4534="Concluído"),IF(COUNTIFS($B$2:$B$5001,B4534,$E$2:$E$5001,"Em ajustes",$N$2:$N$5001,"&lt;"&amp;I4534)&gt;0,1,0),0))</f>
        <v/>
      </c>
      <c r="L4534" s="16" t="str">
        <f aca="false">IF(B4534="","",IF(N4534=_xlfn.MAXIFS($N$2:$N$5001,$B$2:$B$5001,B4534,$I$2:$I$5001,I4534),1,0))</f>
        <v/>
      </c>
      <c r="M4534" s="16" t="str">
        <f aca="false">IF(B4534="","",IF(E4534="Em ajustes",IF(N4534=_xlfn.MINIFS($N$2:$N$5001,$B$2:$B$5001,B4534,$E$2:$E$5001,"Em ajustes"),1,0),0))</f>
        <v/>
      </c>
      <c r="N4534" s="17" t="str">
        <f aca="false">IF(A4534="","",IF(ISNUMBER(A4534),A4534,IFERROR(DATE(VALUE(MID(A4534,7,4)),VALUE(MID(A4534,4,2)),VALUE(MID(A4534,1,2)))+TIME(VALUE(MID(A4534,12,2)),VALUE(MID(A4534,15,2)),VALUE(MID(A4534,18,2))),"")))</f>
        <v/>
      </c>
    </row>
    <row r="4535" customFormat="false" ht="15" hidden="false" customHeight="false" outlineLevel="0" collapsed="false">
      <c r="I4535" s="15" t="str">
        <f aca="false">IF(N4535="","",INT(N4535))</f>
        <v/>
      </c>
      <c r="J4535" s="16" t="str">
        <f aca="false">IF(B4535="","",IF(N4535=_xlfn.MINIFS($N$2:$N$5001,$B$2:$B$5001,B4535),1,0))</f>
        <v/>
      </c>
      <c r="K4535" s="16" t="str">
        <f aca="false">IF(B4535="","",IF(AND(D4535="Formalização",E4535="Concluído"),IF(COUNTIFS($B$2:$B$5001,B4535,$E$2:$E$5001,"Em ajustes",$N$2:$N$5001,"&lt;"&amp;I4535)&gt;0,1,0),0))</f>
        <v/>
      </c>
      <c r="L4535" s="16" t="str">
        <f aca="false">IF(B4535="","",IF(N4535=_xlfn.MAXIFS($N$2:$N$5001,$B$2:$B$5001,B4535,$I$2:$I$5001,I4535),1,0))</f>
        <v/>
      </c>
      <c r="M4535" s="16" t="str">
        <f aca="false">IF(B4535="","",IF(E4535="Em ajustes",IF(N4535=_xlfn.MINIFS($N$2:$N$5001,$B$2:$B$5001,B4535,$E$2:$E$5001,"Em ajustes"),1,0),0))</f>
        <v/>
      </c>
      <c r="N4535" s="17" t="str">
        <f aca="false">IF(A4535="","",IF(ISNUMBER(A4535),A4535,IFERROR(DATE(VALUE(MID(A4535,7,4)),VALUE(MID(A4535,4,2)),VALUE(MID(A4535,1,2)))+TIME(VALUE(MID(A4535,12,2)),VALUE(MID(A4535,15,2)),VALUE(MID(A4535,18,2))),"")))</f>
        <v/>
      </c>
    </row>
    <row r="4536" customFormat="false" ht="15" hidden="false" customHeight="false" outlineLevel="0" collapsed="false">
      <c r="I4536" s="15" t="str">
        <f aca="false">IF(N4536="","",INT(N4536))</f>
        <v/>
      </c>
      <c r="J4536" s="16" t="str">
        <f aca="false">IF(B4536="","",IF(N4536=_xlfn.MINIFS($N$2:$N$5001,$B$2:$B$5001,B4536),1,0))</f>
        <v/>
      </c>
      <c r="K4536" s="16" t="str">
        <f aca="false">IF(B4536="","",IF(AND(D4536="Formalização",E4536="Concluído"),IF(COUNTIFS($B$2:$B$5001,B4536,$E$2:$E$5001,"Em ajustes",$N$2:$N$5001,"&lt;"&amp;I4536)&gt;0,1,0),0))</f>
        <v/>
      </c>
      <c r="L4536" s="16" t="str">
        <f aca="false">IF(B4536="","",IF(N4536=_xlfn.MAXIFS($N$2:$N$5001,$B$2:$B$5001,B4536,$I$2:$I$5001,I4536),1,0))</f>
        <v/>
      </c>
      <c r="M4536" s="16" t="str">
        <f aca="false">IF(B4536="","",IF(E4536="Em ajustes",IF(N4536=_xlfn.MINIFS($N$2:$N$5001,$B$2:$B$5001,B4536,$E$2:$E$5001,"Em ajustes"),1,0),0))</f>
        <v/>
      </c>
      <c r="N4536" s="17" t="str">
        <f aca="false">IF(A4536="","",IF(ISNUMBER(A4536),A4536,IFERROR(DATE(VALUE(MID(A4536,7,4)),VALUE(MID(A4536,4,2)),VALUE(MID(A4536,1,2)))+TIME(VALUE(MID(A4536,12,2)),VALUE(MID(A4536,15,2)),VALUE(MID(A4536,18,2))),"")))</f>
        <v/>
      </c>
    </row>
    <row r="4537" customFormat="false" ht="15" hidden="false" customHeight="false" outlineLevel="0" collapsed="false">
      <c r="I4537" s="15" t="str">
        <f aca="false">IF(N4537="","",INT(N4537))</f>
        <v/>
      </c>
      <c r="J4537" s="16" t="str">
        <f aca="false">IF(B4537="","",IF(N4537=_xlfn.MINIFS($N$2:$N$5001,$B$2:$B$5001,B4537),1,0))</f>
        <v/>
      </c>
      <c r="K4537" s="16" t="str">
        <f aca="false">IF(B4537="","",IF(AND(D4537="Formalização",E4537="Concluído"),IF(COUNTIFS($B$2:$B$5001,B4537,$E$2:$E$5001,"Em ajustes",$N$2:$N$5001,"&lt;"&amp;I4537)&gt;0,1,0),0))</f>
        <v/>
      </c>
      <c r="L4537" s="16" t="str">
        <f aca="false">IF(B4537="","",IF(N4537=_xlfn.MAXIFS($N$2:$N$5001,$B$2:$B$5001,B4537,$I$2:$I$5001,I4537),1,0))</f>
        <v/>
      </c>
      <c r="M4537" s="16" t="str">
        <f aca="false">IF(B4537="","",IF(E4537="Em ajustes",IF(N4537=_xlfn.MINIFS($N$2:$N$5001,$B$2:$B$5001,B4537,$E$2:$E$5001,"Em ajustes"),1,0),0))</f>
        <v/>
      </c>
      <c r="N4537" s="17" t="str">
        <f aca="false">IF(A4537="","",IF(ISNUMBER(A4537),A4537,IFERROR(DATE(VALUE(MID(A4537,7,4)),VALUE(MID(A4537,4,2)),VALUE(MID(A4537,1,2)))+TIME(VALUE(MID(A4537,12,2)),VALUE(MID(A4537,15,2)),VALUE(MID(A4537,18,2))),"")))</f>
        <v/>
      </c>
    </row>
    <row r="4538" customFormat="false" ht="15" hidden="false" customHeight="false" outlineLevel="0" collapsed="false">
      <c r="I4538" s="15" t="str">
        <f aca="false">IF(N4538="","",INT(N4538))</f>
        <v/>
      </c>
      <c r="J4538" s="16" t="str">
        <f aca="false">IF(B4538="","",IF(N4538=_xlfn.MINIFS($N$2:$N$5001,$B$2:$B$5001,B4538),1,0))</f>
        <v/>
      </c>
      <c r="K4538" s="16" t="str">
        <f aca="false">IF(B4538="","",IF(AND(D4538="Formalização",E4538="Concluído"),IF(COUNTIFS($B$2:$B$5001,B4538,$E$2:$E$5001,"Em ajustes",$N$2:$N$5001,"&lt;"&amp;I4538)&gt;0,1,0),0))</f>
        <v/>
      </c>
      <c r="L4538" s="16" t="str">
        <f aca="false">IF(B4538="","",IF(N4538=_xlfn.MAXIFS($N$2:$N$5001,$B$2:$B$5001,B4538,$I$2:$I$5001,I4538),1,0))</f>
        <v/>
      </c>
      <c r="M4538" s="16" t="str">
        <f aca="false">IF(B4538="","",IF(E4538="Em ajustes",IF(N4538=_xlfn.MINIFS($N$2:$N$5001,$B$2:$B$5001,B4538,$E$2:$E$5001,"Em ajustes"),1,0),0))</f>
        <v/>
      </c>
      <c r="N4538" s="17" t="str">
        <f aca="false">IF(A4538="","",IF(ISNUMBER(A4538),A4538,IFERROR(DATE(VALUE(MID(A4538,7,4)),VALUE(MID(A4538,4,2)),VALUE(MID(A4538,1,2)))+TIME(VALUE(MID(A4538,12,2)),VALUE(MID(A4538,15,2)),VALUE(MID(A4538,18,2))),"")))</f>
        <v/>
      </c>
    </row>
    <row r="4539" customFormat="false" ht="15" hidden="false" customHeight="false" outlineLevel="0" collapsed="false">
      <c r="I4539" s="15" t="str">
        <f aca="false">IF(N4539="","",INT(N4539))</f>
        <v/>
      </c>
      <c r="J4539" s="16" t="str">
        <f aca="false">IF(B4539="","",IF(N4539=_xlfn.MINIFS($N$2:$N$5001,$B$2:$B$5001,B4539),1,0))</f>
        <v/>
      </c>
      <c r="K4539" s="16" t="str">
        <f aca="false">IF(B4539="","",IF(AND(D4539="Formalização",E4539="Concluído"),IF(COUNTIFS($B$2:$B$5001,B4539,$E$2:$E$5001,"Em ajustes",$N$2:$N$5001,"&lt;"&amp;I4539)&gt;0,1,0),0))</f>
        <v/>
      </c>
      <c r="L4539" s="16" t="str">
        <f aca="false">IF(B4539="","",IF(N4539=_xlfn.MAXIFS($N$2:$N$5001,$B$2:$B$5001,B4539,$I$2:$I$5001,I4539),1,0))</f>
        <v/>
      </c>
      <c r="M4539" s="16" t="str">
        <f aca="false">IF(B4539="","",IF(E4539="Em ajustes",IF(N4539=_xlfn.MINIFS($N$2:$N$5001,$B$2:$B$5001,B4539,$E$2:$E$5001,"Em ajustes"),1,0),0))</f>
        <v/>
      </c>
      <c r="N4539" s="17" t="str">
        <f aca="false">IF(A4539="","",IF(ISNUMBER(A4539),A4539,IFERROR(DATE(VALUE(MID(A4539,7,4)),VALUE(MID(A4539,4,2)),VALUE(MID(A4539,1,2)))+TIME(VALUE(MID(A4539,12,2)),VALUE(MID(A4539,15,2)),VALUE(MID(A4539,18,2))),"")))</f>
        <v/>
      </c>
    </row>
    <row r="4540" customFormat="false" ht="15" hidden="false" customHeight="false" outlineLevel="0" collapsed="false">
      <c r="I4540" s="15" t="str">
        <f aca="false">IF(N4540="","",INT(N4540))</f>
        <v/>
      </c>
      <c r="J4540" s="16" t="str">
        <f aca="false">IF(B4540="","",IF(N4540=_xlfn.MINIFS($N$2:$N$5001,$B$2:$B$5001,B4540),1,0))</f>
        <v/>
      </c>
      <c r="K4540" s="16" t="str">
        <f aca="false">IF(B4540="","",IF(AND(D4540="Formalização",E4540="Concluído"),IF(COUNTIFS($B$2:$B$5001,B4540,$E$2:$E$5001,"Em ajustes",$N$2:$N$5001,"&lt;"&amp;I4540)&gt;0,1,0),0))</f>
        <v/>
      </c>
      <c r="L4540" s="16" t="str">
        <f aca="false">IF(B4540="","",IF(N4540=_xlfn.MAXIFS($N$2:$N$5001,$B$2:$B$5001,B4540,$I$2:$I$5001,I4540),1,0))</f>
        <v/>
      </c>
      <c r="M4540" s="16" t="str">
        <f aca="false">IF(B4540="","",IF(E4540="Em ajustes",IF(N4540=_xlfn.MINIFS($N$2:$N$5001,$B$2:$B$5001,B4540,$E$2:$E$5001,"Em ajustes"),1,0),0))</f>
        <v/>
      </c>
      <c r="N4540" s="17" t="str">
        <f aca="false">IF(A4540="","",IF(ISNUMBER(A4540),A4540,IFERROR(DATE(VALUE(MID(A4540,7,4)),VALUE(MID(A4540,4,2)),VALUE(MID(A4540,1,2)))+TIME(VALUE(MID(A4540,12,2)),VALUE(MID(A4540,15,2)),VALUE(MID(A4540,18,2))),"")))</f>
        <v/>
      </c>
    </row>
    <row r="4541" customFormat="false" ht="15" hidden="false" customHeight="false" outlineLevel="0" collapsed="false">
      <c r="I4541" s="15" t="str">
        <f aca="false">IF(N4541="","",INT(N4541))</f>
        <v/>
      </c>
      <c r="J4541" s="16" t="str">
        <f aca="false">IF(B4541="","",IF(N4541=_xlfn.MINIFS($N$2:$N$5001,$B$2:$B$5001,B4541),1,0))</f>
        <v/>
      </c>
      <c r="K4541" s="16" t="str">
        <f aca="false">IF(B4541="","",IF(AND(D4541="Formalização",E4541="Concluído"),IF(COUNTIFS($B$2:$B$5001,B4541,$E$2:$E$5001,"Em ajustes",$N$2:$N$5001,"&lt;"&amp;I4541)&gt;0,1,0),0))</f>
        <v/>
      </c>
      <c r="L4541" s="16" t="str">
        <f aca="false">IF(B4541="","",IF(N4541=_xlfn.MAXIFS($N$2:$N$5001,$B$2:$B$5001,B4541,$I$2:$I$5001,I4541),1,0))</f>
        <v/>
      </c>
      <c r="M4541" s="16" t="str">
        <f aca="false">IF(B4541="","",IF(E4541="Em ajustes",IF(N4541=_xlfn.MINIFS($N$2:$N$5001,$B$2:$B$5001,B4541,$E$2:$E$5001,"Em ajustes"),1,0),0))</f>
        <v/>
      </c>
      <c r="N4541" s="17" t="str">
        <f aca="false">IF(A4541="","",IF(ISNUMBER(A4541),A4541,IFERROR(DATE(VALUE(MID(A4541,7,4)),VALUE(MID(A4541,4,2)),VALUE(MID(A4541,1,2)))+TIME(VALUE(MID(A4541,12,2)),VALUE(MID(A4541,15,2)),VALUE(MID(A4541,18,2))),"")))</f>
        <v/>
      </c>
    </row>
    <row r="4542" customFormat="false" ht="15" hidden="false" customHeight="false" outlineLevel="0" collapsed="false">
      <c r="I4542" s="15" t="str">
        <f aca="false">IF(N4542="","",INT(N4542))</f>
        <v/>
      </c>
      <c r="J4542" s="16" t="str">
        <f aca="false">IF(B4542="","",IF(N4542=_xlfn.MINIFS($N$2:$N$5001,$B$2:$B$5001,B4542),1,0))</f>
        <v/>
      </c>
      <c r="K4542" s="16" t="str">
        <f aca="false">IF(B4542="","",IF(AND(D4542="Formalização",E4542="Concluído"),IF(COUNTIFS($B$2:$B$5001,B4542,$E$2:$E$5001,"Em ajustes",$N$2:$N$5001,"&lt;"&amp;I4542)&gt;0,1,0),0))</f>
        <v/>
      </c>
      <c r="L4542" s="16" t="str">
        <f aca="false">IF(B4542="","",IF(N4542=_xlfn.MAXIFS($N$2:$N$5001,$B$2:$B$5001,B4542,$I$2:$I$5001,I4542),1,0))</f>
        <v/>
      </c>
      <c r="M4542" s="16" t="str">
        <f aca="false">IF(B4542="","",IF(E4542="Em ajustes",IF(N4542=_xlfn.MINIFS($N$2:$N$5001,$B$2:$B$5001,B4542,$E$2:$E$5001,"Em ajustes"),1,0),0))</f>
        <v/>
      </c>
      <c r="N4542" s="17" t="str">
        <f aca="false">IF(A4542="","",IF(ISNUMBER(A4542),A4542,IFERROR(DATE(VALUE(MID(A4542,7,4)),VALUE(MID(A4542,4,2)),VALUE(MID(A4542,1,2)))+TIME(VALUE(MID(A4542,12,2)),VALUE(MID(A4542,15,2)),VALUE(MID(A4542,18,2))),"")))</f>
        <v/>
      </c>
    </row>
    <row r="4543" customFormat="false" ht="15" hidden="false" customHeight="false" outlineLevel="0" collapsed="false">
      <c r="I4543" s="15" t="str">
        <f aca="false">IF(N4543="","",INT(N4543))</f>
        <v/>
      </c>
      <c r="J4543" s="16" t="str">
        <f aca="false">IF(B4543="","",IF(N4543=_xlfn.MINIFS($N$2:$N$5001,$B$2:$B$5001,B4543),1,0))</f>
        <v/>
      </c>
      <c r="K4543" s="16" t="str">
        <f aca="false">IF(B4543="","",IF(AND(D4543="Formalização",E4543="Concluído"),IF(COUNTIFS($B$2:$B$5001,B4543,$E$2:$E$5001,"Em ajustes",$N$2:$N$5001,"&lt;"&amp;I4543)&gt;0,1,0),0))</f>
        <v/>
      </c>
      <c r="L4543" s="16" t="str">
        <f aca="false">IF(B4543="","",IF(N4543=_xlfn.MAXIFS($N$2:$N$5001,$B$2:$B$5001,B4543,$I$2:$I$5001,I4543),1,0))</f>
        <v/>
      </c>
      <c r="M4543" s="16" t="str">
        <f aca="false">IF(B4543="","",IF(E4543="Em ajustes",IF(N4543=_xlfn.MINIFS($N$2:$N$5001,$B$2:$B$5001,B4543,$E$2:$E$5001,"Em ajustes"),1,0),0))</f>
        <v/>
      </c>
      <c r="N4543" s="17" t="str">
        <f aca="false">IF(A4543="","",IF(ISNUMBER(A4543),A4543,IFERROR(DATE(VALUE(MID(A4543,7,4)),VALUE(MID(A4543,4,2)),VALUE(MID(A4543,1,2)))+TIME(VALUE(MID(A4543,12,2)),VALUE(MID(A4543,15,2)),VALUE(MID(A4543,18,2))),"")))</f>
        <v/>
      </c>
    </row>
    <row r="4544" customFormat="false" ht="15" hidden="false" customHeight="false" outlineLevel="0" collapsed="false">
      <c r="I4544" s="15" t="str">
        <f aca="false">IF(N4544="","",INT(N4544))</f>
        <v/>
      </c>
      <c r="J4544" s="16" t="str">
        <f aca="false">IF(B4544="","",IF(N4544=_xlfn.MINIFS($N$2:$N$5001,$B$2:$B$5001,B4544),1,0))</f>
        <v/>
      </c>
      <c r="K4544" s="16" t="str">
        <f aca="false">IF(B4544="","",IF(AND(D4544="Formalização",E4544="Concluído"),IF(COUNTIFS($B$2:$B$5001,B4544,$E$2:$E$5001,"Em ajustes",$N$2:$N$5001,"&lt;"&amp;I4544)&gt;0,1,0),0))</f>
        <v/>
      </c>
      <c r="L4544" s="16" t="str">
        <f aca="false">IF(B4544="","",IF(N4544=_xlfn.MAXIFS($N$2:$N$5001,$B$2:$B$5001,B4544,$I$2:$I$5001,I4544),1,0))</f>
        <v/>
      </c>
      <c r="M4544" s="16" t="str">
        <f aca="false">IF(B4544="","",IF(E4544="Em ajustes",IF(N4544=_xlfn.MINIFS($N$2:$N$5001,$B$2:$B$5001,B4544,$E$2:$E$5001,"Em ajustes"),1,0),0))</f>
        <v/>
      </c>
      <c r="N4544" s="17" t="str">
        <f aca="false">IF(A4544="","",IF(ISNUMBER(A4544),A4544,IFERROR(DATE(VALUE(MID(A4544,7,4)),VALUE(MID(A4544,4,2)),VALUE(MID(A4544,1,2)))+TIME(VALUE(MID(A4544,12,2)),VALUE(MID(A4544,15,2)),VALUE(MID(A4544,18,2))),"")))</f>
        <v/>
      </c>
    </row>
    <row r="4545" customFormat="false" ht="15" hidden="false" customHeight="false" outlineLevel="0" collapsed="false">
      <c r="I4545" s="15" t="str">
        <f aca="false">IF(N4545="","",INT(N4545))</f>
        <v/>
      </c>
      <c r="J4545" s="16" t="str">
        <f aca="false">IF(B4545="","",IF(N4545=_xlfn.MINIFS($N$2:$N$5001,$B$2:$B$5001,B4545),1,0))</f>
        <v/>
      </c>
      <c r="K4545" s="16" t="str">
        <f aca="false">IF(B4545="","",IF(AND(D4545="Formalização",E4545="Concluído"),IF(COUNTIFS($B$2:$B$5001,B4545,$E$2:$E$5001,"Em ajustes",$N$2:$N$5001,"&lt;"&amp;I4545)&gt;0,1,0),0))</f>
        <v/>
      </c>
      <c r="L4545" s="16" t="str">
        <f aca="false">IF(B4545="","",IF(N4545=_xlfn.MAXIFS($N$2:$N$5001,$B$2:$B$5001,B4545,$I$2:$I$5001,I4545),1,0))</f>
        <v/>
      </c>
      <c r="M4545" s="16" t="str">
        <f aca="false">IF(B4545="","",IF(E4545="Em ajustes",IF(N4545=_xlfn.MINIFS($N$2:$N$5001,$B$2:$B$5001,B4545,$E$2:$E$5001,"Em ajustes"),1,0),0))</f>
        <v/>
      </c>
      <c r="N4545" s="17" t="str">
        <f aca="false">IF(A4545="","",IF(ISNUMBER(A4545),A4545,IFERROR(DATE(VALUE(MID(A4545,7,4)),VALUE(MID(A4545,4,2)),VALUE(MID(A4545,1,2)))+TIME(VALUE(MID(A4545,12,2)),VALUE(MID(A4545,15,2)),VALUE(MID(A4545,18,2))),"")))</f>
        <v/>
      </c>
    </row>
    <row r="4546" customFormat="false" ht="15" hidden="false" customHeight="false" outlineLevel="0" collapsed="false">
      <c r="I4546" s="15" t="str">
        <f aca="false">IF(N4546="","",INT(N4546))</f>
        <v/>
      </c>
      <c r="J4546" s="16" t="str">
        <f aca="false">IF(B4546="","",IF(N4546=_xlfn.MINIFS($N$2:$N$5001,$B$2:$B$5001,B4546),1,0))</f>
        <v/>
      </c>
      <c r="K4546" s="16" t="str">
        <f aca="false">IF(B4546="","",IF(AND(D4546="Formalização",E4546="Concluído"),IF(COUNTIFS($B$2:$B$5001,B4546,$E$2:$E$5001,"Em ajustes",$N$2:$N$5001,"&lt;"&amp;I4546)&gt;0,1,0),0))</f>
        <v/>
      </c>
      <c r="L4546" s="16" t="str">
        <f aca="false">IF(B4546="","",IF(N4546=_xlfn.MAXIFS($N$2:$N$5001,$B$2:$B$5001,B4546,$I$2:$I$5001,I4546),1,0))</f>
        <v/>
      </c>
      <c r="M4546" s="16" t="str">
        <f aca="false">IF(B4546="","",IF(E4546="Em ajustes",IF(N4546=_xlfn.MINIFS($N$2:$N$5001,$B$2:$B$5001,B4546,$E$2:$E$5001,"Em ajustes"),1,0),0))</f>
        <v/>
      </c>
      <c r="N4546" s="17" t="str">
        <f aca="false">IF(A4546="","",IF(ISNUMBER(A4546),A4546,IFERROR(DATE(VALUE(MID(A4546,7,4)),VALUE(MID(A4546,4,2)),VALUE(MID(A4546,1,2)))+TIME(VALUE(MID(A4546,12,2)),VALUE(MID(A4546,15,2)),VALUE(MID(A4546,18,2))),"")))</f>
        <v/>
      </c>
    </row>
    <row r="4547" customFormat="false" ht="15" hidden="false" customHeight="false" outlineLevel="0" collapsed="false">
      <c r="I4547" s="15" t="str">
        <f aca="false">IF(N4547="","",INT(N4547))</f>
        <v/>
      </c>
      <c r="J4547" s="16" t="str">
        <f aca="false">IF(B4547="","",IF(N4547=_xlfn.MINIFS($N$2:$N$5001,$B$2:$B$5001,B4547),1,0))</f>
        <v/>
      </c>
      <c r="K4547" s="16" t="str">
        <f aca="false">IF(B4547="","",IF(AND(D4547="Formalização",E4547="Concluído"),IF(COUNTIFS($B$2:$B$5001,B4547,$E$2:$E$5001,"Em ajustes",$N$2:$N$5001,"&lt;"&amp;I4547)&gt;0,1,0),0))</f>
        <v/>
      </c>
      <c r="L4547" s="16" t="str">
        <f aca="false">IF(B4547="","",IF(N4547=_xlfn.MAXIFS($N$2:$N$5001,$B$2:$B$5001,B4547,$I$2:$I$5001,I4547),1,0))</f>
        <v/>
      </c>
      <c r="M4547" s="16" t="str">
        <f aca="false">IF(B4547="","",IF(E4547="Em ajustes",IF(N4547=_xlfn.MINIFS($N$2:$N$5001,$B$2:$B$5001,B4547,$E$2:$E$5001,"Em ajustes"),1,0),0))</f>
        <v/>
      </c>
      <c r="N4547" s="17" t="str">
        <f aca="false">IF(A4547="","",IF(ISNUMBER(A4547),A4547,IFERROR(DATE(VALUE(MID(A4547,7,4)),VALUE(MID(A4547,4,2)),VALUE(MID(A4547,1,2)))+TIME(VALUE(MID(A4547,12,2)),VALUE(MID(A4547,15,2)),VALUE(MID(A4547,18,2))),"")))</f>
        <v/>
      </c>
    </row>
    <row r="4548" customFormat="false" ht="15" hidden="false" customHeight="false" outlineLevel="0" collapsed="false">
      <c r="I4548" s="15" t="str">
        <f aca="false">IF(N4548="","",INT(N4548))</f>
        <v/>
      </c>
      <c r="J4548" s="16" t="str">
        <f aca="false">IF(B4548="","",IF(N4548=_xlfn.MINIFS($N$2:$N$5001,$B$2:$B$5001,B4548),1,0))</f>
        <v/>
      </c>
      <c r="K4548" s="16" t="str">
        <f aca="false">IF(B4548="","",IF(AND(D4548="Formalização",E4548="Concluído"),IF(COUNTIFS($B$2:$B$5001,B4548,$E$2:$E$5001,"Em ajustes",$N$2:$N$5001,"&lt;"&amp;I4548)&gt;0,1,0),0))</f>
        <v/>
      </c>
      <c r="L4548" s="16" t="str">
        <f aca="false">IF(B4548="","",IF(N4548=_xlfn.MAXIFS($N$2:$N$5001,$B$2:$B$5001,B4548,$I$2:$I$5001,I4548),1,0))</f>
        <v/>
      </c>
      <c r="M4548" s="16" t="str">
        <f aca="false">IF(B4548="","",IF(E4548="Em ajustes",IF(N4548=_xlfn.MINIFS($N$2:$N$5001,$B$2:$B$5001,B4548,$E$2:$E$5001,"Em ajustes"),1,0),0))</f>
        <v/>
      </c>
      <c r="N4548" s="17" t="str">
        <f aca="false">IF(A4548="","",IF(ISNUMBER(A4548),A4548,IFERROR(DATE(VALUE(MID(A4548,7,4)),VALUE(MID(A4548,4,2)),VALUE(MID(A4548,1,2)))+TIME(VALUE(MID(A4548,12,2)),VALUE(MID(A4548,15,2)),VALUE(MID(A4548,18,2))),"")))</f>
        <v/>
      </c>
    </row>
    <row r="4549" customFormat="false" ht="15" hidden="false" customHeight="false" outlineLevel="0" collapsed="false">
      <c r="I4549" s="15" t="str">
        <f aca="false">IF(N4549="","",INT(N4549))</f>
        <v/>
      </c>
      <c r="J4549" s="16" t="str">
        <f aca="false">IF(B4549="","",IF(N4549=_xlfn.MINIFS($N$2:$N$5001,$B$2:$B$5001,B4549),1,0))</f>
        <v/>
      </c>
      <c r="K4549" s="16" t="str">
        <f aca="false">IF(B4549="","",IF(AND(D4549="Formalização",E4549="Concluído"),IF(COUNTIFS($B$2:$B$5001,B4549,$E$2:$E$5001,"Em ajustes",$N$2:$N$5001,"&lt;"&amp;I4549)&gt;0,1,0),0))</f>
        <v/>
      </c>
      <c r="L4549" s="16" t="str">
        <f aca="false">IF(B4549="","",IF(N4549=_xlfn.MAXIFS($N$2:$N$5001,$B$2:$B$5001,B4549,$I$2:$I$5001,I4549),1,0))</f>
        <v/>
      </c>
      <c r="M4549" s="16" t="str">
        <f aca="false">IF(B4549="","",IF(E4549="Em ajustes",IF(N4549=_xlfn.MINIFS($N$2:$N$5001,$B$2:$B$5001,B4549,$E$2:$E$5001,"Em ajustes"),1,0),0))</f>
        <v/>
      </c>
      <c r="N4549" s="17" t="str">
        <f aca="false">IF(A4549="","",IF(ISNUMBER(A4549),A4549,IFERROR(DATE(VALUE(MID(A4549,7,4)),VALUE(MID(A4549,4,2)),VALUE(MID(A4549,1,2)))+TIME(VALUE(MID(A4549,12,2)),VALUE(MID(A4549,15,2)),VALUE(MID(A4549,18,2))),"")))</f>
        <v/>
      </c>
    </row>
    <row r="4550" customFormat="false" ht="15" hidden="false" customHeight="false" outlineLevel="0" collapsed="false">
      <c r="I4550" s="15" t="str">
        <f aca="false">IF(N4550="","",INT(N4550))</f>
        <v/>
      </c>
      <c r="J4550" s="16" t="str">
        <f aca="false">IF(B4550="","",IF(N4550=_xlfn.MINIFS($N$2:$N$5001,$B$2:$B$5001,B4550),1,0))</f>
        <v/>
      </c>
      <c r="K4550" s="16" t="str">
        <f aca="false">IF(B4550="","",IF(AND(D4550="Formalização",E4550="Concluído"),IF(COUNTIFS($B$2:$B$5001,B4550,$E$2:$E$5001,"Em ajustes",$N$2:$N$5001,"&lt;"&amp;I4550)&gt;0,1,0),0))</f>
        <v/>
      </c>
      <c r="L4550" s="16" t="str">
        <f aca="false">IF(B4550="","",IF(N4550=_xlfn.MAXIFS($N$2:$N$5001,$B$2:$B$5001,B4550,$I$2:$I$5001,I4550),1,0))</f>
        <v/>
      </c>
      <c r="M4550" s="16" t="str">
        <f aca="false">IF(B4550="","",IF(E4550="Em ajustes",IF(N4550=_xlfn.MINIFS($N$2:$N$5001,$B$2:$B$5001,B4550,$E$2:$E$5001,"Em ajustes"),1,0),0))</f>
        <v/>
      </c>
      <c r="N4550" s="17" t="str">
        <f aca="false">IF(A4550="","",IF(ISNUMBER(A4550),A4550,IFERROR(DATE(VALUE(MID(A4550,7,4)),VALUE(MID(A4550,4,2)),VALUE(MID(A4550,1,2)))+TIME(VALUE(MID(A4550,12,2)),VALUE(MID(A4550,15,2)),VALUE(MID(A4550,18,2))),"")))</f>
        <v/>
      </c>
    </row>
    <row r="4551" customFormat="false" ht="15" hidden="false" customHeight="false" outlineLevel="0" collapsed="false">
      <c r="I4551" s="15" t="str">
        <f aca="false">IF(N4551="","",INT(N4551))</f>
        <v/>
      </c>
      <c r="J4551" s="16" t="str">
        <f aca="false">IF(B4551="","",IF(N4551=_xlfn.MINIFS($N$2:$N$5001,$B$2:$B$5001,B4551),1,0))</f>
        <v/>
      </c>
      <c r="K4551" s="16" t="str">
        <f aca="false">IF(B4551="","",IF(AND(D4551="Formalização",E4551="Concluído"),IF(COUNTIFS($B$2:$B$5001,B4551,$E$2:$E$5001,"Em ajustes",$N$2:$N$5001,"&lt;"&amp;I4551)&gt;0,1,0),0))</f>
        <v/>
      </c>
      <c r="L4551" s="16" t="str">
        <f aca="false">IF(B4551="","",IF(N4551=_xlfn.MAXIFS($N$2:$N$5001,$B$2:$B$5001,B4551,$I$2:$I$5001,I4551),1,0))</f>
        <v/>
      </c>
      <c r="M4551" s="16" t="str">
        <f aca="false">IF(B4551="","",IF(E4551="Em ajustes",IF(N4551=_xlfn.MINIFS($N$2:$N$5001,$B$2:$B$5001,B4551,$E$2:$E$5001,"Em ajustes"),1,0),0))</f>
        <v/>
      </c>
      <c r="N4551" s="17" t="str">
        <f aca="false">IF(A4551="","",IF(ISNUMBER(A4551),A4551,IFERROR(DATE(VALUE(MID(A4551,7,4)),VALUE(MID(A4551,4,2)),VALUE(MID(A4551,1,2)))+TIME(VALUE(MID(A4551,12,2)),VALUE(MID(A4551,15,2)),VALUE(MID(A4551,18,2))),"")))</f>
        <v/>
      </c>
    </row>
    <row r="4552" customFormat="false" ht="15" hidden="false" customHeight="false" outlineLevel="0" collapsed="false">
      <c r="I4552" s="15" t="str">
        <f aca="false">IF(N4552="","",INT(N4552))</f>
        <v/>
      </c>
      <c r="J4552" s="16" t="str">
        <f aca="false">IF(B4552="","",IF(N4552=_xlfn.MINIFS($N$2:$N$5001,$B$2:$B$5001,B4552),1,0))</f>
        <v/>
      </c>
      <c r="K4552" s="16" t="str">
        <f aca="false">IF(B4552="","",IF(AND(D4552="Formalização",E4552="Concluído"),IF(COUNTIFS($B$2:$B$5001,B4552,$E$2:$E$5001,"Em ajustes",$N$2:$N$5001,"&lt;"&amp;I4552)&gt;0,1,0),0))</f>
        <v/>
      </c>
      <c r="L4552" s="16" t="str">
        <f aca="false">IF(B4552="","",IF(N4552=_xlfn.MAXIFS($N$2:$N$5001,$B$2:$B$5001,B4552,$I$2:$I$5001,I4552),1,0))</f>
        <v/>
      </c>
      <c r="M4552" s="16" t="str">
        <f aca="false">IF(B4552="","",IF(E4552="Em ajustes",IF(N4552=_xlfn.MINIFS($N$2:$N$5001,$B$2:$B$5001,B4552,$E$2:$E$5001,"Em ajustes"),1,0),0))</f>
        <v/>
      </c>
      <c r="N4552" s="17" t="str">
        <f aca="false">IF(A4552="","",IF(ISNUMBER(A4552),A4552,IFERROR(DATE(VALUE(MID(A4552,7,4)),VALUE(MID(A4552,4,2)),VALUE(MID(A4552,1,2)))+TIME(VALUE(MID(A4552,12,2)),VALUE(MID(A4552,15,2)),VALUE(MID(A4552,18,2))),"")))</f>
        <v/>
      </c>
    </row>
    <row r="4553" customFormat="false" ht="15" hidden="false" customHeight="false" outlineLevel="0" collapsed="false">
      <c r="I4553" s="15" t="str">
        <f aca="false">IF(N4553="","",INT(N4553))</f>
        <v/>
      </c>
      <c r="J4553" s="16" t="str">
        <f aca="false">IF(B4553="","",IF(N4553=_xlfn.MINIFS($N$2:$N$5001,$B$2:$B$5001,B4553),1,0))</f>
        <v/>
      </c>
      <c r="K4553" s="16" t="str">
        <f aca="false">IF(B4553="","",IF(AND(D4553="Formalização",E4553="Concluído"),IF(COUNTIFS($B$2:$B$5001,B4553,$E$2:$E$5001,"Em ajustes",$N$2:$N$5001,"&lt;"&amp;I4553)&gt;0,1,0),0))</f>
        <v/>
      </c>
      <c r="L4553" s="16" t="str">
        <f aca="false">IF(B4553="","",IF(N4553=_xlfn.MAXIFS($N$2:$N$5001,$B$2:$B$5001,B4553,$I$2:$I$5001,I4553),1,0))</f>
        <v/>
      </c>
      <c r="M4553" s="16" t="str">
        <f aca="false">IF(B4553="","",IF(E4553="Em ajustes",IF(N4553=_xlfn.MINIFS($N$2:$N$5001,$B$2:$B$5001,B4553,$E$2:$E$5001,"Em ajustes"),1,0),0))</f>
        <v/>
      </c>
      <c r="N4553" s="17" t="str">
        <f aca="false">IF(A4553="","",IF(ISNUMBER(A4553),A4553,IFERROR(DATE(VALUE(MID(A4553,7,4)),VALUE(MID(A4553,4,2)),VALUE(MID(A4553,1,2)))+TIME(VALUE(MID(A4553,12,2)),VALUE(MID(A4553,15,2)),VALUE(MID(A4553,18,2))),"")))</f>
        <v/>
      </c>
    </row>
    <row r="4554" customFormat="false" ht="15" hidden="false" customHeight="false" outlineLevel="0" collapsed="false">
      <c r="I4554" s="15" t="str">
        <f aca="false">IF(N4554="","",INT(N4554))</f>
        <v/>
      </c>
      <c r="J4554" s="16" t="str">
        <f aca="false">IF(B4554="","",IF(N4554=_xlfn.MINIFS($N$2:$N$5001,$B$2:$B$5001,B4554),1,0))</f>
        <v/>
      </c>
      <c r="K4554" s="16" t="str">
        <f aca="false">IF(B4554="","",IF(AND(D4554="Formalização",E4554="Concluído"),IF(COUNTIFS($B$2:$B$5001,B4554,$E$2:$E$5001,"Em ajustes",$N$2:$N$5001,"&lt;"&amp;I4554)&gt;0,1,0),0))</f>
        <v/>
      </c>
      <c r="L4554" s="16" t="str">
        <f aca="false">IF(B4554="","",IF(N4554=_xlfn.MAXIFS($N$2:$N$5001,$B$2:$B$5001,B4554,$I$2:$I$5001,I4554),1,0))</f>
        <v/>
      </c>
      <c r="M4554" s="16" t="str">
        <f aca="false">IF(B4554="","",IF(E4554="Em ajustes",IF(N4554=_xlfn.MINIFS($N$2:$N$5001,$B$2:$B$5001,B4554,$E$2:$E$5001,"Em ajustes"),1,0),0))</f>
        <v/>
      </c>
      <c r="N4554" s="17" t="str">
        <f aca="false">IF(A4554="","",IF(ISNUMBER(A4554),A4554,IFERROR(DATE(VALUE(MID(A4554,7,4)),VALUE(MID(A4554,4,2)),VALUE(MID(A4554,1,2)))+TIME(VALUE(MID(A4554,12,2)),VALUE(MID(A4554,15,2)),VALUE(MID(A4554,18,2))),"")))</f>
        <v/>
      </c>
    </row>
    <row r="4555" customFormat="false" ht="15" hidden="false" customHeight="false" outlineLevel="0" collapsed="false">
      <c r="I4555" s="15" t="str">
        <f aca="false">IF(N4555="","",INT(N4555))</f>
        <v/>
      </c>
      <c r="J4555" s="16" t="str">
        <f aca="false">IF(B4555="","",IF(N4555=_xlfn.MINIFS($N$2:$N$5001,$B$2:$B$5001,B4555),1,0))</f>
        <v/>
      </c>
      <c r="K4555" s="16" t="str">
        <f aca="false">IF(B4555="","",IF(AND(D4555="Formalização",E4555="Concluído"),IF(COUNTIFS($B$2:$B$5001,B4555,$E$2:$E$5001,"Em ajustes",$N$2:$N$5001,"&lt;"&amp;I4555)&gt;0,1,0),0))</f>
        <v/>
      </c>
      <c r="L4555" s="16" t="str">
        <f aca="false">IF(B4555="","",IF(N4555=_xlfn.MAXIFS($N$2:$N$5001,$B$2:$B$5001,B4555,$I$2:$I$5001,I4555),1,0))</f>
        <v/>
      </c>
      <c r="M4555" s="16" t="str">
        <f aca="false">IF(B4555="","",IF(E4555="Em ajustes",IF(N4555=_xlfn.MINIFS($N$2:$N$5001,$B$2:$B$5001,B4555,$E$2:$E$5001,"Em ajustes"),1,0),0))</f>
        <v/>
      </c>
      <c r="N4555" s="17" t="str">
        <f aca="false">IF(A4555="","",IF(ISNUMBER(A4555),A4555,IFERROR(DATE(VALUE(MID(A4555,7,4)),VALUE(MID(A4555,4,2)),VALUE(MID(A4555,1,2)))+TIME(VALUE(MID(A4555,12,2)),VALUE(MID(A4555,15,2)),VALUE(MID(A4555,18,2))),"")))</f>
        <v/>
      </c>
    </row>
    <row r="4556" customFormat="false" ht="15" hidden="false" customHeight="false" outlineLevel="0" collapsed="false">
      <c r="I4556" s="15" t="str">
        <f aca="false">IF(N4556="","",INT(N4556))</f>
        <v/>
      </c>
      <c r="J4556" s="16" t="str">
        <f aca="false">IF(B4556="","",IF(N4556=_xlfn.MINIFS($N$2:$N$5001,$B$2:$B$5001,B4556),1,0))</f>
        <v/>
      </c>
      <c r="K4556" s="16" t="str">
        <f aca="false">IF(B4556="","",IF(AND(D4556="Formalização",E4556="Concluído"),IF(COUNTIFS($B$2:$B$5001,B4556,$E$2:$E$5001,"Em ajustes",$N$2:$N$5001,"&lt;"&amp;I4556)&gt;0,1,0),0))</f>
        <v/>
      </c>
      <c r="L4556" s="16" t="str">
        <f aca="false">IF(B4556="","",IF(N4556=_xlfn.MAXIFS($N$2:$N$5001,$B$2:$B$5001,B4556,$I$2:$I$5001,I4556),1,0))</f>
        <v/>
      </c>
      <c r="M4556" s="16" t="str">
        <f aca="false">IF(B4556="","",IF(E4556="Em ajustes",IF(N4556=_xlfn.MINIFS($N$2:$N$5001,$B$2:$B$5001,B4556,$E$2:$E$5001,"Em ajustes"),1,0),0))</f>
        <v/>
      </c>
      <c r="N4556" s="17" t="str">
        <f aca="false">IF(A4556="","",IF(ISNUMBER(A4556),A4556,IFERROR(DATE(VALUE(MID(A4556,7,4)),VALUE(MID(A4556,4,2)),VALUE(MID(A4556,1,2)))+TIME(VALUE(MID(A4556,12,2)),VALUE(MID(A4556,15,2)),VALUE(MID(A4556,18,2))),"")))</f>
        <v/>
      </c>
    </row>
    <row r="4557" customFormat="false" ht="15" hidden="false" customHeight="false" outlineLevel="0" collapsed="false">
      <c r="I4557" s="15" t="str">
        <f aca="false">IF(N4557="","",INT(N4557))</f>
        <v/>
      </c>
      <c r="J4557" s="16" t="str">
        <f aca="false">IF(B4557="","",IF(N4557=_xlfn.MINIFS($N$2:$N$5001,$B$2:$B$5001,B4557),1,0))</f>
        <v/>
      </c>
      <c r="K4557" s="16" t="str">
        <f aca="false">IF(B4557="","",IF(AND(D4557="Formalização",E4557="Concluído"),IF(COUNTIFS($B$2:$B$5001,B4557,$E$2:$E$5001,"Em ajustes",$N$2:$N$5001,"&lt;"&amp;I4557)&gt;0,1,0),0))</f>
        <v/>
      </c>
      <c r="L4557" s="16" t="str">
        <f aca="false">IF(B4557="","",IF(N4557=_xlfn.MAXIFS($N$2:$N$5001,$B$2:$B$5001,B4557,$I$2:$I$5001,I4557),1,0))</f>
        <v/>
      </c>
      <c r="M4557" s="16" t="str">
        <f aca="false">IF(B4557="","",IF(E4557="Em ajustes",IF(N4557=_xlfn.MINIFS($N$2:$N$5001,$B$2:$B$5001,B4557,$E$2:$E$5001,"Em ajustes"),1,0),0))</f>
        <v/>
      </c>
      <c r="N4557" s="17" t="str">
        <f aca="false">IF(A4557="","",IF(ISNUMBER(A4557),A4557,IFERROR(DATE(VALUE(MID(A4557,7,4)),VALUE(MID(A4557,4,2)),VALUE(MID(A4557,1,2)))+TIME(VALUE(MID(A4557,12,2)),VALUE(MID(A4557,15,2)),VALUE(MID(A4557,18,2))),"")))</f>
        <v/>
      </c>
    </row>
    <row r="4558" customFormat="false" ht="15" hidden="false" customHeight="false" outlineLevel="0" collapsed="false">
      <c r="I4558" s="15" t="str">
        <f aca="false">IF(N4558="","",INT(N4558))</f>
        <v/>
      </c>
      <c r="J4558" s="16" t="str">
        <f aca="false">IF(B4558="","",IF(N4558=_xlfn.MINIFS($N$2:$N$5001,$B$2:$B$5001,B4558),1,0))</f>
        <v/>
      </c>
      <c r="K4558" s="16" t="str">
        <f aca="false">IF(B4558="","",IF(AND(D4558="Formalização",E4558="Concluído"),IF(COUNTIFS($B$2:$B$5001,B4558,$E$2:$E$5001,"Em ajustes",$N$2:$N$5001,"&lt;"&amp;I4558)&gt;0,1,0),0))</f>
        <v/>
      </c>
      <c r="L4558" s="16" t="str">
        <f aca="false">IF(B4558="","",IF(N4558=_xlfn.MAXIFS($N$2:$N$5001,$B$2:$B$5001,B4558,$I$2:$I$5001,I4558),1,0))</f>
        <v/>
      </c>
      <c r="M4558" s="16" t="str">
        <f aca="false">IF(B4558="","",IF(E4558="Em ajustes",IF(N4558=_xlfn.MINIFS($N$2:$N$5001,$B$2:$B$5001,B4558,$E$2:$E$5001,"Em ajustes"),1,0),0))</f>
        <v/>
      </c>
      <c r="N4558" s="17" t="str">
        <f aca="false">IF(A4558="","",IF(ISNUMBER(A4558),A4558,IFERROR(DATE(VALUE(MID(A4558,7,4)),VALUE(MID(A4558,4,2)),VALUE(MID(A4558,1,2)))+TIME(VALUE(MID(A4558,12,2)),VALUE(MID(A4558,15,2)),VALUE(MID(A4558,18,2))),"")))</f>
        <v/>
      </c>
    </row>
    <row r="4559" customFormat="false" ht="15" hidden="false" customHeight="false" outlineLevel="0" collapsed="false">
      <c r="I4559" s="15" t="str">
        <f aca="false">IF(N4559="","",INT(N4559))</f>
        <v/>
      </c>
      <c r="J4559" s="16" t="str">
        <f aca="false">IF(B4559="","",IF(N4559=_xlfn.MINIFS($N$2:$N$5001,$B$2:$B$5001,B4559),1,0))</f>
        <v/>
      </c>
      <c r="K4559" s="16" t="str">
        <f aca="false">IF(B4559="","",IF(AND(D4559="Formalização",E4559="Concluído"),IF(COUNTIFS($B$2:$B$5001,B4559,$E$2:$E$5001,"Em ajustes",$N$2:$N$5001,"&lt;"&amp;I4559)&gt;0,1,0),0))</f>
        <v/>
      </c>
      <c r="L4559" s="16" t="str">
        <f aca="false">IF(B4559="","",IF(N4559=_xlfn.MAXIFS($N$2:$N$5001,$B$2:$B$5001,B4559,$I$2:$I$5001,I4559),1,0))</f>
        <v/>
      </c>
      <c r="M4559" s="16" t="str">
        <f aca="false">IF(B4559="","",IF(E4559="Em ajustes",IF(N4559=_xlfn.MINIFS($N$2:$N$5001,$B$2:$B$5001,B4559,$E$2:$E$5001,"Em ajustes"),1,0),0))</f>
        <v/>
      </c>
      <c r="N4559" s="17" t="str">
        <f aca="false">IF(A4559="","",IF(ISNUMBER(A4559),A4559,IFERROR(DATE(VALUE(MID(A4559,7,4)),VALUE(MID(A4559,4,2)),VALUE(MID(A4559,1,2)))+TIME(VALUE(MID(A4559,12,2)),VALUE(MID(A4559,15,2)),VALUE(MID(A4559,18,2))),"")))</f>
        <v/>
      </c>
    </row>
    <row r="4560" customFormat="false" ht="15" hidden="false" customHeight="false" outlineLevel="0" collapsed="false">
      <c r="I4560" s="15" t="str">
        <f aca="false">IF(N4560="","",INT(N4560))</f>
        <v/>
      </c>
      <c r="J4560" s="16" t="str">
        <f aca="false">IF(B4560="","",IF(N4560=_xlfn.MINIFS($N$2:$N$5001,$B$2:$B$5001,B4560),1,0))</f>
        <v/>
      </c>
      <c r="K4560" s="16" t="str">
        <f aca="false">IF(B4560="","",IF(AND(D4560="Formalização",E4560="Concluído"),IF(COUNTIFS($B$2:$B$5001,B4560,$E$2:$E$5001,"Em ajustes",$N$2:$N$5001,"&lt;"&amp;I4560)&gt;0,1,0),0))</f>
        <v/>
      </c>
      <c r="L4560" s="16" t="str">
        <f aca="false">IF(B4560="","",IF(N4560=_xlfn.MAXIFS($N$2:$N$5001,$B$2:$B$5001,B4560,$I$2:$I$5001,I4560),1,0))</f>
        <v/>
      </c>
      <c r="M4560" s="16" t="str">
        <f aca="false">IF(B4560="","",IF(E4560="Em ajustes",IF(N4560=_xlfn.MINIFS($N$2:$N$5001,$B$2:$B$5001,B4560,$E$2:$E$5001,"Em ajustes"),1,0),0))</f>
        <v/>
      </c>
      <c r="N4560" s="17" t="str">
        <f aca="false">IF(A4560="","",IF(ISNUMBER(A4560),A4560,IFERROR(DATE(VALUE(MID(A4560,7,4)),VALUE(MID(A4560,4,2)),VALUE(MID(A4560,1,2)))+TIME(VALUE(MID(A4560,12,2)),VALUE(MID(A4560,15,2)),VALUE(MID(A4560,18,2))),"")))</f>
        <v/>
      </c>
    </row>
    <row r="4561" customFormat="false" ht="15" hidden="false" customHeight="false" outlineLevel="0" collapsed="false">
      <c r="I4561" s="15" t="str">
        <f aca="false">IF(N4561="","",INT(N4561))</f>
        <v/>
      </c>
      <c r="J4561" s="16" t="str">
        <f aca="false">IF(B4561="","",IF(N4561=_xlfn.MINIFS($N$2:$N$5001,$B$2:$B$5001,B4561),1,0))</f>
        <v/>
      </c>
      <c r="K4561" s="16" t="str">
        <f aca="false">IF(B4561="","",IF(AND(D4561="Formalização",E4561="Concluído"),IF(COUNTIFS($B$2:$B$5001,B4561,$E$2:$E$5001,"Em ajustes",$N$2:$N$5001,"&lt;"&amp;I4561)&gt;0,1,0),0))</f>
        <v/>
      </c>
      <c r="L4561" s="16" t="str">
        <f aca="false">IF(B4561="","",IF(N4561=_xlfn.MAXIFS($N$2:$N$5001,$B$2:$B$5001,B4561,$I$2:$I$5001,I4561),1,0))</f>
        <v/>
      </c>
      <c r="M4561" s="16" t="str">
        <f aca="false">IF(B4561="","",IF(E4561="Em ajustes",IF(N4561=_xlfn.MINIFS($N$2:$N$5001,$B$2:$B$5001,B4561,$E$2:$E$5001,"Em ajustes"),1,0),0))</f>
        <v/>
      </c>
      <c r="N4561" s="17" t="str">
        <f aca="false">IF(A4561="","",IF(ISNUMBER(A4561),A4561,IFERROR(DATE(VALUE(MID(A4561,7,4)),VALUE(MID(A4561,4,2)),VALUE(MID(A4561,1,2)))+TIME(VALUE(MID(A4561,12,2)),VALUE(MID(A4561,15,2)),VALUE(MID(A4561,18,2))),"")))</f>
        <v/>
      </c>
    </row>
    <row r="4562" customFormat="false" ht="15" hidden="false" customHeight="false" outlineLevel="0" collapsed="false">
      <c r="I4562" s="15" t="str">
        <f aca="false">IF(N4562="","",INT(N4562))</f>
        <v/>
      </c>
      <c r="J4562" s="16" t="str">
        <f aca="false">IF(B4562="","",IF(N4562=_xlfn.MINIFS($N$2:$N$5001,$B$2:$B$5001,B4562),1,0))</f>
        <v/>
      </c>
      <c r="K4562" s="16" t="str">
        <f aca="false">IF(B4562="","",IF(AND(D4562="Formalização",E4562="Concluído"),IF(COUNTIFS($B$2:$B$5001,B4562,$E$2:$E$5001,"Em ajustes",$N$2:$N$5001,"&lt;"&amp;I4562)&gt;0,1,0),0))</f>
        <v/>
      </c>
      <c r="L4562" s="16" t="str">
        <f aca="false">IF(B4562="","",IF(N4562=_xlfn.MAXIFS($N$2:$N$5001,$B$2:$B$5001,B4562,$I$2:$I$5001,I4562),1,0))</f>
        <v/>
      </c>
      <c r="M4562" s="16" t="str">
        <f aca="false">IF(B4562="","",IF(E4562="Em ajustes",IF(N4562=_xlfn.MINIFS($N$2:$N$5001,$B$2:$B$5001,B4562,$E$2:$E$5001,"Em ajustes"),1,0),0))</f>
        <v/>
      </c>
      <c r="N4562" s="17" t="str">
        <f aca="false">IF(A4562="","",IF(ISNUMBER(A4562),A4562,IFERROR(DATE(VALUE(MID(A4562,7,4)),VALUE(MID(A4562,4,2)),VALUE(MID(A4562,1,2)))+TIME(VALUE(MID(A4562,12,2)),VALUE(MID(A4562,15,2)),VALUE(MID(A4562,18,2))),"")))</f>
        <v/>
      </c>
    </row>
    <row r="4563" customFormat="false" ht="15" hidden="false" customHeight="false" outlineLevel="0" collapsed="false">
      <c r="I4563" s="15" t="str">
        <f aca="false">IF(N4563="","",INT(N4563))</f>
        <v/>
      </c>
      <c r="J4563" s="16" t="str">
        <f aca="false">IF(B4563="","",IF(N4563=_xlfn.MINIFS($N$2:$N$5001,$B$2:$B$5001,B4563),1,0))</f>
        <v/>
      </c>
      <c r="K4563" s="16" t="str">
        <f aca="false">IF(B4563="","",IF(AND(D4563="Formalização",E4563="Concluído"),IF(COUNTIFS($B$2:$B$5001,B4563,$E$2:$E$5001,"Em ajustes",$N$2:$N$5001,"&lt;"&amp;I4563)&gt;0,1,0),0))</f>
        <v/>
      </c>
      <c r="L4563" s="16" t="str">
        <f aca="false">IF(B4563="","",IF(N4563=_xlfn.MAXIFS($N$2:$N$5001,$B$2:$B$5001,B4563,$I$2:$I$5001,I4563),1,0))</f>
        <v/>
      </c>
      <c r="M4563" s="16" t="str">
        <f aca="false">IF(B4563="","",IF(E4563="Em ajustes",IF(N4563=_xlfn.MINIFS($N$2:$N$5001,$B$2:$B$5001,B4563,$E$2:$E$5001,"Em ajustes"),1,0),0))</f>
        <v/>
      </c>
      <c r="N4563" s="17" t="str">
        <f aca="false">IF(A4563="","",IF(ISNUMBER(A4563),A4563,IFERROR(DATE(VALUE(MID(A4563,7,4)),VALUE(MID(A4563,4,2)),VALUE(MID(A4563,1,2)))+TIME(VALUE(MID(A4563,12,2)),VALUE(MID(A4563,15,2)),VALUE(MID(A4563,18,2))),"")))</f>
        <v/>
      </c>
    </row>
    <row r="4564" customFormat="false" ht="15" hidden="false" customHeight="false" outlineLevel="0" collapsed="false">
      <c r="I4564" s="15" t="str">
        <f aca="false">IF(N4564="","",INT(N4564))</f>
        <v/>
      </c>
      <c r="J4564" s="16" t="str">
        <f aca="false">IF(B4564="","",IF(N4564=_xlfn.MINIFS($N$2:$N$5001,$B$2:$B$5001,B4564),1,0))</f>
        <v/>
      </c>
      <c r="K4564" s="16" t="str">
        <f aca="false">IF(B4564="","",IF(AND(D4564="Formalização",E4564="Concluído"),IF(COUNTIFS($B$2:$B$5001,B4564,$E$2:$E$5001,"Em ajustes",$N$2:$N$5001,"&lt;"&amp;I4564)&gt;0,1,0),0))</f>
        <v/>
      </c>
      <c r="L4564" s="16" t="str">
        <f aca="false">IF(B4564="","",IF(N4564=_xlfn.MAXIFS($N$2:$N$5001,$B$2:$B$5001,B4564,$I$2:$I$5001,I4564),1,0))</f>
        <v/>
      </c>
      <c r="M4564" s="16" t="str">
        <f aca="false">IF(B4564="","",IF(E4564="Em ajustes",IF(N4564=_xlfn.MINIFS($N$2:$N$5001,$B$2:$B$5001,B4564,$E$2:$E$5001,"Em ajustes"),1,0),0))</f>
        <v/>
      </c>
      <c r="N4564" s="17" t="str">
        <f aca="false">IF(A4564="","",IF(ISNUMBER(A4564),A4564,IFERROR(DATE(VALUE(MID(A4564,7,4)),VALUE(MID(A4564,4,2)),VALUE(MID(A4564,1,2)))+TIME(VALUE(MID(A4564,12,2)),VALUE(MID(A4564,15,2)),VALUE(MID(A4564,18,2))),"")))</f>
        <v/>
      </c>
    </row>
    <row r="4565" customFormat="false" ht="15" hidden="false" customHeight="false" outlineLevel="0" collapsed="false">
      <c r="I4565" s="15" t="str">
        <f aca="false">IF(N4565="","",INT(N4565))</f>
        <v/>
      </c>
      <c r="J4565" s="16" t="str">
        <f aca="false">IF(B4565="","",IF(N4565=_xlfn.MINIFS($N$2:$N$5001,$B$2:$B$5001,B4565),1,0))</f>
        <v/>
      </c>
      <c r="K4565" s="16" t="str">
        <f aca="false">IF(B4565="","",IF(AND(D4565="Formalização",E4565="Concluído"),IF(COUNTIFS($B$2:$B$5001,B4565,$E$2:$E$5001,"Em ajustes",$N$2:$N$5001,"&lt;"&amp;I4565)&gt;0,1,0),0))</f>
        <v/>
      </c>
      <c r="L4565" s="16" t="str">
        <f aca="false">IF(B4565="","",IF(N4565=_xlfn.MAXIFS($N$2:$N$5001,$B$2:$B$5001,B4565,$I$2:$I$5001,I4565),1,0))</f>
        <v/>
      </c>
      <c r="M4565" s="16" t="str">
        <f aca="false">IF(B4565="","",IF(E4565="Em ajustes",IF(N4565=_xlfn.MINIFS($N$2:$N$5001,$B$2:$B$5001,B4565,$E$2:$E$5001,"Em ajustes"),1,0),0))</f>
        <v/>
      </c>
      <c r="N4565" s="17" t="str">
        <f aca="false">IF(A4565="","",IF(ISNUMBER(A4565),A4565,IFERROR(DATE(VALUE(MID(A4565,7,4)),VALUE(MID(A4565,4,2)),VALUE(MID(A4565,1,2)))+TIME(VALUE(MID(A4565,12,2)),VALUE(MID(A4565,15,2)),VALUE(MID(A4565,18,2))),"")))</f>
        <v/>
      </c>
    </row>
    <row r="4566" customFormat="false" ht="15" hidden="false" customHeight="false" outlineLevel="0" collapsed="false">
      <c r="I4566" s="15" t="str">
        <f aca="false">IF(N4566="","",INT(N4566))</f>
        <v/>
      </c>
      <c r="J4566" s="16" t="str">
        <f aca="false">IF(B4566="","",IF(N4566=_xlfn.MINIFS($N$2:$N$5001,$B$2:$B$5001,B4566),1,0))</f>
        <v/>
      </c>
      <c r="K4566" s="16" t="str">
        <f aca="false">IF(B4566="","",IF(AND(D4566="Formalização",E4566="Concluído"),IF(COUNTIFS($B$2:$B$5001,B4566,$E$2:$E$5001,"Em ajustes",$N$2:$N$5001,"&lt;"&amp;I4566)&gt;0,1,0),0))</f>
        <v/>
      </c>
      <c r="L4566" s="16" t="str">
        <f aca="false">IF(B4566="","",IF(N4566=_xlfn.MAXIFS($N$2:$N$5001,$B$2:$B$5001,B4566,$I$2:$I$5001,I4566),1,0))</f>
        <v/>
      </c>
      <c r="M4566" s="16" t="str">
        <f aca="false">IF(B4566="","",IF(E4566="Em ajustes",IF(N4566=_xlfn.MINIFS($N$2:$N$5001,$B$2:$B$5001,B4566,$E$2:$E$5001,"Em ajustes"),1,0),0))</f>
        <v/>
      </c>
      <c r="N4566" s="17" t="str">
        <f aca="false">IF(A4566="","",IF(ISNUMBER(A4566),A4566,IFERROR(DATE(VALUE(MID(A4566,7,4)),VALUE(MID(A4566,4,2)),VALUE(MID(A4566,1,2)))+TIME(VALUE(MID(A4566,12,2)),VALUE(MID(A4566,15,2)),VALUE(MID(A4566,18,2))),"")))</f>
        <v/>
      </c>
    </row>
    <row r="4567" customFormat="false" ht="15" hidden="false" customHeight="false" outlineLevel="0" collapsed="false">
      <c r="I4567" s="15" t="str">
        <f aca="false">IF(N4567="","",INT(N4567))</f>
        <v/>
      </c>
      <c r="J4567" s="16" t="str">
        <f aca="false">IF(B4567="","",IF(N4567=_xlfn.MINIFS($N$2:$N$5001,$B$2:$B$5001,B4567),1,0))</f>
        <v/>
      </c>
      <c r="K4567" s="16" t="str">
        <f aca="false">IF(B4567="","",IF(AND(D4567="Formalização",E4567="Concluído"),IF(COUNTIFS($B$2:$B$5001,B4567,$E$2:$E$5001,"Em ajustes",$N$2:$N$5001,"&lt;"&amp;I4567)&gt;0,1,0),0))</f>
        <v/>
      </c>
      <c r="L4567" s="16" t="str">
        <f aca="false">IF(B4567="","",IF(N4567=_xlfn.MAXIFS($N$2:$N$5001,$B$2:$B$5001,B4567,$I$2:$I$5001,I4567),1,0))</f>
        <v/>
      </c>
      <c r="M4567" s="16" t="str">
        <f aca="false">IF(B4567="","",IF(E4567="Em ajustes",IF(N4567=_xlfn.MINIFS($N$2:$N$5001,$B$2:$B$5001,B4567,$E$2:$E$5001,"Em ajustes"),1,0),0))</f>
        <v/>
      </c>
      <c r="N4567" s="17" t="str">
        <f aca="false">IF(A4567="","",IF(ISNUMBER(A4567),A4567,IFERROR(DATE(VALUE(MID(A4567,7,4)),VALUE(MID(A4567,4,2)),VALUE(MID(A4567,1,2)))+TIME(VALUE(MID(A4567,12,2)),VALUE(MID(A4567,15,2)),VALUE(MID(A4567,18,2))),"")))</f>
        <v/>
      </c>
    </row>
    <row r="4568" customFormat="false" ht="15" hidden="false" customHeight="false" outlineLevel="0" collapsed="false">
      <c r="I4568" s="15" t="str">
        <f aca="false">IF(N4568="","",INT(N4568))</f>
        <v/>
      </c>
      <c r="J4568" s="16" t="str">
        <f aca="false">IF(B4568="","",IF(N4568=_xlfn.MINIFS($N$2:$N$5001,$B$2:$B$5001,B4568),1,0))</f>
        <v/>
      </c>
      <c r="K4568" s="16" t="str">
        <f aca="false">IF(B4568="","",IF(AND(D4568="Formalização",E4568="Concluído"),IF(COUNTIFS($B$2:$B$5001,B4568,$E$2:$E$5001,"Em ajustes",$N$2:$N$5001,"&lt;"&amp;I4568)&gt;0,1,0),0))</f>
        <v/>
      </c>
      <c r="L4568" s="16" t="str">
        <f aca="false">IF(B4568="","",IF(N4568=_xlfn.MAXIFS($N$2:$N$5001,$B$2:$B$5001,B4568,$I$2:$I$5001,I4568),1,0))</f>
        <v/>
      </c>
      <c r="M4568" s="16" t="str">
        <f aca="false">IF(B4568="","",IF(E4568="Em ajustes",IF(N4568=_xlfn.MINIFS($N$2:$N$5001,$B$2:$B$5001,B4568,$E$2:$E$5001,"Em ajustes"),1,0),0))</f>
        <v/>
      </c>
      <c r="N4568" s="17" t="str">
        <f aca="false">IF(A4568="","",IF(ISNUMBER(A4568),A4568,IFERROR(DATE(VALUE(MID(A4568,7,4)),VALUE(MID(A4568,4,2)),VALUE(MID(A4568,1,2)))+TIME(VALUE(MID(A4568,12,2)),VALUE(MID(A4568,15,2)),VALUE(MID(A4568,18,2))),"")))</f>
        <v/>
      </c>
    </row>
    <row r="4569" customFormat="false" ht="15" hidden="false" customHeight="false" outlineLevel="0" collapsed="false">
      <c r="I4569" s="15" t="str">
        <f aca="false">IF(N4569="","",INT(N4569))</f>
        <v/>
      </c>
      <c r="J4569" s="16" t="str">
        <f aca="false">IF(B4569="","",IF(N4569=_xlfn.MINIFS($N$2:$N$5001,$B$2:$B$5001,B4569),1,0))</f>
        <v/>
      </c>
      <c r="K4569" s="16" t="str">
        <f aca="false">IF(B4569="","",IF(AND(D4569="Formalização",E4569="Concluído"),IF(COUNTIFS($B$2:$B$5001,B4569,$E$2:$E$5001,"Em ajustes",$N$2:$N$5001,"&lt;"&amp;I4569)&gt;0,1,0),0))</f>
        <v/>
      </c>
      <c r="L4569" s="16" t="str">
        <f aca="false">IF(B4569="","",IF(N4569=_xlfn.MAXIFS($N$2:$N$5001,$B$2:$B$5001,B4569,$I$2:$I$5001,I4569),1,0))</f>
        <v/>
      </c>
      <c r="M4569" s="16" t="str">
        <f aca="false">IF(B4569="","",IF(E4569="Em ajustes",IF(N4569=_xlfn.MINIFS($N$2:$N$5001,$B$2:$B$5001,B4569,$E$2:$E$5001,"Em ajustes"),1,0),0))</f>
        <v/>
      </c>
      <c r="N4569" s="17" t="str">
        <f aca="false">IF(A4569="","",IF(ISNUMBER(A4569),A4569,IFERROR(DATE(VALUE(MID(A4569,7,4)),VALUE(MID(A4569,4,2)),VALUE(MID(A4569,1,2)))+TIME(VALUE(MID(A4569,12,2)),VALUE(MID(A4569,15,2)),VALUE(MID(A4569,18,2))),"")))</f>
        <v/>
      </c>
    </row>
    <row r="4570" customFormat="false" ht="15" hidden="false" customHeight="false" outlineLevel="0" collapsed="false">
      <c r="I4570" s="15" t="str">
        <f aca="false">IF(N4570="","",INT(N4570))</f>
        <v/>
      </c>
      <c r="J4570" s="16" t="str">
        <f aca="false">IF(B4570="","",IF(N4570=_xlfn.MINIFS($N$2:$N$5001,$B$2:$B$5001,B4570),1,0))</f>
        <v/>
      </c>
      <c r="K4570" s="16" t="str">
        <f aca="false">IF(B4570="","",IF(AND(D4570="Formalização",E4570="Concluído"),IF(COUNTIFS($B$2:$B$5001,B4570,$E$2:$E$5001,"Em ajustes",$N$2:$N$5001,"&lt;"&amp;I4570)&gt;0,1,0),0))</f>
        <v/>
      </c>
      <c r="L4570" s="16" t="str">
        <f aca="false">IF(B4570="","",IF(N4570=_xlfn.MAXIFS($N$2:$N$5001,$B$2:$B$5001,B4570,$I$2:$I$5001,I4570),1,0))</f>
        <v/>
      </c>
      <c r="M4570" s="16" t="str">
        <f aca="false">IF(B4570="","",IF(E4570="Em ajustes",IF(N4570=_xlfn.MINIFS($N$2:$N$5001,$B$2:$B$5001,B4570,$E$2:$E$5001,"Em ajustes"),1,0),0))</f>
        <v/>
      </c>
      <c r="N4570" s="17" t="str">
        <f aca="false">IF(A4570="","",IF(ISNUMBER(A4570),A4570,IFERROR(DATE(VALUE(MID(A4570,7,4)),VALUE(MID(A4570,4,2)),VALUE(MID(A4570,1,2)))+TIME(VALUE(MID(A4570,12,2)),VALUE(MID(A4570,15,2)),VALUE(MID(A4570,18,2))),"")))</f>
        <v/>
      </c>
    </row>
    <row r="4571" customFormat="false" ht="15" hidden="false" customHeight="false" outlineLevel="0" collapsed="false">
      <c r="I4571" s="15" t="str">
        <f aca="false">IF(N4571="","",INT(N4571))</f>
        <v/>
      </c>
      <c r="J4571" s="16" t="str">
        <f aca="false">IF(B4571="","",IF(N4571=_xlfn.MINIFS($N$2:$N$5001,$B$2:$B$5001,B4571),1,0))</f>
        <v/>
      </c>
      <c r="K4571" s="16" t="str">
        <f aca="false">IF(B4571="","",IF(AND(D4571="Formalização",E4571="Concluído"),IF(COUNTIFS($B$2:$B$5001,B4571,$E$2:$E$5001,"Em ajustes",$N$2:$N$5001,"&lt;"&amp;I4571)&gt;0,1,0),0))</f>
        <v/>
      </c>
      <c r="L4571" s="16" t="str">
        <f aca="false">IF(B4571="","",IF(N4571=_xlfn.MAXIFS($N$2:$N$5001,$B$2:$B$5001,B4571,$I$2:$I$5001,I4571),1,0))</f>
        <v/>
      </c>
      <c r="M4571" s="16" t="str">
        <f aca="false">IF(B4571="","",IF(E4571="Em ajustes",IF(N4571=_xlfn.MINIFS($N$2:$N$5001,$B$2:$B$5001,B4571,$E$2:$E$5001,"Em ajustes"),1,0),0))</f>
        <v/>
      </c>
      <c r="N4571" s="17" t="str">
        <f aca="false">IF(A4571="","",IF(ISNUMBER(A4571),A4571,IFERROR(DATE(VALUE(MID(A4571,7,4)),VALUE(MID(A4571,4,2)),VALUE(MID(A4571,1,2)))+TIME(VALUE(MID(A4571,12,2)),VALUE(MID(A4571,15,2)),VALUE(MID(A4571,18,2))),"")))</f>
        <v/>
      </c>
    </row>
    <row r="4572" customFormat="false" ht="15" hidden="false" customHeight="false" outlineLevel="0" collapsed="false">
      <c r="I4572" s="15" t="str">
        <f aca="false">IF(N4572="","",INT(N4572))</f>
        <v/>
      </c>
      <c r="J4572" s="16" t="str">
        <f aca="false">IF(B4572="","",IF(N4572=_xlfn.MINIFS($N$2:$N$5001,$B$2:$B$5001,B4572),1,0))</f>
        <v/>
      </c>
      <c r="K4572" s="16" t="str">
        <f aca="false">IF(B4572="","",IF(AND(D4572="Formalização",E4572="Concluído"),IF(COUNTIFS($B$2:$B$5001,B4572,$E$2:$E$5001,"Em ajustes",$N$2:$N$5001,"&lt;"&amp;I4572)&gt;0,1,0),0))</f>
        <v/>
      </c>
      <c r="L4572" s="16" t="str">
        <f aca="false">IF(B4572="","",IF(N4572=_xlfn.MAXIFS($N$2:$N$5001,$B$2:$B$5001,B4572,$I$2:$I$5001,I4572),1,0))</f>
        <v/>
      </c>
      <c r="M4572" s="16" t="str">
        <f aca="false">IF(B4572="","",IF(E4572="Em ajustes",IF(N4572=_xlfn.MINIFS($N$2:$N$5001,$B$2:$B$5001,B4572,$E$2:$E$5001,"Em ajustes"),1,0),0))</f>
        <v/>
      </c>
      <c r="N4572" s="17" t="str">
        <f aca="false">IF(A4572="","",IF(ISNUMBER(A4572),A4572,IFERROR(DATE(VALUE(MID(A4572,7,4)),VALUE(MID(A4572,4,2)),VALUE(MID(A4572,1,2)))+TIME(VALUE(MID(A4572,12,2)),VALUE(MID(A4572,15,2)),VALUE(MID(A4572,18,2))),"")))</f>
        <v/>
      </c>
    </row>
    <row r="4573" customFormat="false" ht="15" hidden="false" customHeight="false" outlineLevel="0" collapsed="false">
      <c r="I4573" s="15" t="str">
        <f aca="false">IF(N4573="","",INT(N4573))</f>
        <v/>
      </c>
      <c r="J4573" s="16" t="str">
        <f aca="false">IF(B4573="","",IF(N4573=_xlfn.MINIFS($N$2:$N$5001,$B$2:$B$5001,B4573),1,0))</f>
        <v/>
      </c>
      <c r="K4573" s="16" t="str">
        <f aca="false">IF(B4573="","",IF(AND(D4573="Formalização",E4573="Concluído"),IF(COUNTIFS($B$2:$B$5001,B4573,$E$2:$E$5001,"Em ajustes",$N$2:$N$5001,"&lt;"&amp;I4573)&gt;0,1,0),0))</f>
        <v/>
      </c>
      <c r="L4573" s="16" t="str">
        <f aca="false">IF(B4573="","",IF(N4573=_xlfn.MAXIFS($N$2:$N$5001,$B$2:$B$5001,B4573,$I$2:$I$5001,I4573),1,0))</f>
        <v/>
      </c>
      <c r="M4573" s="16" t="str">
        <f aca="false">IF(B4573="","",IF(E4573="Em ajustes",IF(N4573=_xlfn.MINIFS($N$2:$N$5001,$B$2:$B$5001,B4573,$E$2:$E$5001,"Em ajustes"),1,0),0))</f>
        <v/>
      </c>
      <c r="N4573" s="17" t="str">
        <f aca="false">IF(A4573="","",IF(ISNUMBER(A4573),A4573,IFERROR(DATE(VALUE(MID(A4573,7,4)),VALUE(MID(A4573,4,2)),VALUE(MID(A4573,1,2)))+TIME(VALUE(MID(A4573,12,2)),VALUE(MID(A4573,15,2)),VALUE(MID(A4573,18,2))),"")))</f>
        <v/>
      </c>
    </row>
    <row r="4574" customFormat="false" ht="15" hidden="false" customHeight="false" outlineLevel="0" collapsed="false">
      <c r="I4574" s="15" t="str">
        <f aca="false">IF(N4574="","",INT(N4574))</f>
        <v/>
      </c>
      <c r="J4574" s="16" t="str">
        <f aca="false">IF(B4574="","",IF(N4574=_xlfn.MINIFS($N$2:$N$5001,$B$2:$B$5001,B4574),1,0))</f>
        <v/>
      </c>
      <c r="K4574" s="16" t="str">
        <f aca="false">IF(B4574="","",IF(AND(D4574="Formalização",E4574="Concluído"),IF(COUNTIFS($B$2:$B$5001,B4574,$E$2:$E$5001,"Em ajustes",$N$2:$N$5001,"&lt;"&amp;I4574)&gt;0,1,0),0))</f>
        <v/>
      </c>
      <c r="L4574" s="16" t="str">
        <f aca="false">IF(B4574="","",IF(N4574=_xlfn.MAXIFS($N$2:$N$5001,$B$2:$B$5001,B4574,$I$2:$I$5001,I4574),1,0))</f>
        <v/>
      </c>
      <c r="M4574" s="16" t="str">
        <f aca="false">IF(B4574="","",IF(E4574="Em ajustes",IF(N4574=_xlfn.MINIFS($N$2:$N$5001,$B$2:$B$5001,B4574,$E$2:$E$5001,"Em ajustes"),1,0),0))</f>
        <v/>
      </c>
      <c r="N4574" s="17" t="str">
        <f aca="false">IF(A4574="","",IF(ISNUMBER(A4574),A4574,IFERROR(DATE(VALUE(MID(A4574,7,4)),VALUE(MID(A4574,4,2)),VALUE(MID(A4574,1,2)))+TIME(VALUE(MID(A4574,12,2)),VALUE(MID(A4574,15,2)),VALUE(MID(A4574,18,2))),"")))</f>
        <v/>
      </c>
    </row>
    <row r="4575" customFormat="false" ht="15" hidden="false" customHeight="false" outlineLevel="0" collapsed="false">
      <c r="I4575" s="15" t="str">
        <f aca="false">IF(N4575="","",INT(N4575))</f>
        <v/>
      </c>
      <c r="J4575" s="16" t="str">
        <f aca="false">IF(B4575="","",IF(N4575=_xlfn.MINIFS($N$2:$N$5001,$B$2:$B$5001,B4575),1,0))</f>
        <v/>
      </c>
      <c r="K4575" s="16" t="str">
        <f aca="false">IF(B4575="","",IF(AND(D4575="Formalização",E4575="Concluído"),IF(COUNTIFS($B$2:$B$5001,B4575,$E$2:$E$5001,"Em ajustes",$N$2:$N$5001,"&lt;"&amp;I4575)&gt;0,1,0),0))</f>
        <v/>
      </c>
      <c r="L4575" s="16" t="str">
        <f aca="false">IF(B4575="","",IF(N4575=_xlfn.MAXIFS($N$2:$N$5001,$B$2:$B$5001,B4575,$I$2:$I$5001,I4575),1,0))</f>
        <v/>
      </c>
      <c r="M4575" s="16" t="str">
        <f aca="false">IF(B4575="","",IF(E4575="Em ajustes",IF(N4575=_xlfn.MINIFS($N$2:$N$5001,$B$2:$B$5001,B4575,$E$2:$E$5001,"Em ajustes"),1,0),0))</f>
        <v/>
      </c>
      <c r="N4575" s="17" t="str">
        <f aca="false">IF(A4575="","",IF(ISNUMBER(A4575),A4575,IFERROR(DATE(VALUE(MID(A4575,7,4)),VALUE(MID(A4575,4,2)),VALUE(MID(A4575,1,2)))+TIME(VALUE(MID(A4575,12,2)),VALUE(MID(A4575,15,2)),VALUE(MID(A4575,18,2))),"")))</f>
        <v/>
      </c>
    </row>
    <row r="4576" customFormat="false" ht="15" hidden="false" customHeight="false" outlineLevel="0" collapsed="false">
      <c r="I4576" s="15" t="str">
        <f aca="false">IF(N4576="","",INT(N4576))</f>
        <v/>
      </c>
      <c r="J4576" s="16" t="str">
        <f aca="false">IF(B4576="","",IF(N4576=_xlfn.MINIFS($N$2:$N$5001,$B$2:$B$5001,B4576),1,0))</f>
        <v/>
      </c>
      <c r="K4576" s="16" t="str">
        <f aca="false">IF(B4576="","",IF(AND(D4576="Formalização",E4576="Concluído"),IF(COUNTIFS($B$2:$B$5001,B4576,$E$2:$E$5001,"Em ajustes",$N$2:$N$5001,"&lt;"&amp;I4576)&gt;0,1,0),0))</f>
        <v/>
      </c>
      <c r="L4576" s="16" t="str">
        <f aca="false">IF(B4576="","",IF(N4576=_xlfn.MAXIFS($N$2:$N$5001,$B$2:$B$5001,B4576,$I$2:$I$5001,I4576),1,0))</f>
        <v/>
      </c>
      <c r="M4576" s="16" t="str">
        <f aca="false">IF(B4576="","",IF(E4576="Em ajustes",IF(N4576=_xlfn.MINIFS($N$2:$N$5001,$B$2:$B$5001,B4576,$E$2:$E$5001,"Em ajustes"),1,0),0))</f>
        <v/>
      </c>
      <c r="N4576" s="17" t="str">
        <f aca="false">IF(A4576="","",IF(ISNUMBER(A4576),A4576,IFERROR(DATE(VALUE(MID(A4576,7,4)),VALUE(MID(A4576,4,2)),VALUE(MID(A4576,1,2)))+TIME(VALUE(MID(A4576,12,2)),VALUE(MID(A4576,15,2)),VALUE(MID(A4576,18,2))),"")))</f>
        <v/>
      </c>
    </row>
    <row r="4577" customFormat="false" ht="15" hidden="false" customHeight="false" outlineLevel="0" collapsed="false">
      <c r="I4577" s="15" t="str">
        <f aca="false">IF(N4577="","",INT(N4577))</f>
        <v/>
      </c>
      <c r="J4577" s="16" t="str">
        <f aca="false">IF(B4577="","",IF(N4577=_xlfn.MINIFS($N$2:$N$5001,$B$2:$B$5001,B4577),1,0))</f>
        <v/>
      </c>
      <c r="K4577" s="16" t="str">
        <f aca="false">IF(B4577="","",IF(AND(D4577="Formalização",E4577="Concluído"),IF(COUNTIFS($B$2:$B$5001,B4577,$E$2:$E$5001,"Em ajustes",$N$2:$N$5001,"&lt;"&amp;I4577)&gt;0,1,0),0))</f>
        <v/>
      </c>
      <c r="L4577" s="16" t="str">
        <f aca="false">IF(B4577="","",IF(N4577=_xlfn.MAXIFS($N$2:$N$5001,$B$2:$B$5001,B4577,$I$2:$I$5001,I4577),1,0))</f>
        <v/>
      </c>
      <c r="M4577" s="16" t="str">
        <f aca="false">IF(B4577="","",IF(E4577="Em ajustes",IF(N4577=_xlfn.MINIFS($N$2:$N$5001,$B$2:$B$5001,B4577,$E$2:$E$5001,"Em ajustes"),1,0),0))</f>
        <v/>
      </c>
      <c r="N4577" s="17" t="str">
        <f aca="false">IF(A4577="","",IF(ISNUMBER(A4577),A4577,IFERROR(DATE(VALUE(MID(A4577,7,4)),VALUE(MID(A4577,4,2)),VALUE(MID(A4577,1,2)))+TIME(VALUE(MID(A4577,12,2)),VALUE(MID(A4577,15,2)),VALUE(MID(A4577,18,2))),"")))</f>
        <v/>
      </c>
    </row>
    <row r="4578" customFormat="false" ht="15" hidden="false" customHeight="false" outlineLevel="0" collapsed="false">
      <c r="I4578" s="15" t="str">
        <f aca="false">IF(N4578="","",INT(N4578))</f>
        <v/>
      </c>
      <c r="J4578" s="16" t="str">
        <f aca="false">IF(B4578="","",IF(N4578=_xlfn.MINIFS($N$2:$N$5001,$B$2:$B$5001,B4578),1,0))</f>
        <v/>
      </c>
      <c r="K4578" s="16" t="str">
        <f aca="false">IF(B4578="","",IF(AND(D4578="Formalização",E4578="Concluído"),IF(COUNTIFS($B$2:$B$5001,B4578,$E$2:$E$5001,"Em ajustes",$N$2:$N$5001,"&lt;"&amp;I4578)&gt;0,1,0),0))</f>
        <v/>
      </c>
      <c r="L4578" s="16" t="str">
        <f aca="false">IF(B4578="","",IF(N4578=_xlfn.MAXIFS($N$2:$N$5001,$B$2:$B$5001,B4578,$I$2:$I$5001,I4578),1,0))</f>
        <v/>
      </c>
      <c r="M4578" s="16" t="str">
        <f aca="false">IF(B4578="","",IF(E4578="Em ajustes",IF(N4578=_xlfn.MINIFS($N$2:$N$5001,$B$2:$B$5001,B4578,$E$2:$E$5001,"Em ajustes"),1,0),0))</f>
        <v/>
      </c>
      <c r="N4578" s="17" t="str">
        <f aca="false">IF(A4578="","",IF(ISNUMBER(A4578),A4578,IFERROR(DATE(VALUE(MID(A4578,7,4)),VALUE(MID(A4578,4,2)),VALUE(MID(A4578,1,2)))+TIME(VALUE(MID(A4578,12,2)),VALUE(MID(A4578,15,2)),VALUE(MID(A4578,18,2))),"")))</f>
        <v/>
      </c>
    </row>
    <row r="4579" customFormat="false" ht="15" hidden="false" customHeight="false" outlineLevel="0" collapsed="false">
      <c r="I4579" s="15" t="str">
        <f aca="false">IF(N4579="","",INT(N4579))</f>
        <v/>
      </c>
      <c r="J4579" s="16" t="str">
        <f aca="false">IF(B4579="","",IF(N4579=_xlfn.MINIFS($N$2:$N$5001,$B$2:$B$5001,B4579),1,0))</f>
        <v/>
      </c>
      <c r="K4579" s="16" t="str">
        <f aca="false">IF(B4579="","",IF(AND(D4579="Formalização",E4579="Concluído"),IF(COUNTIFS($B$2:$B$5001,B4579,$E$2:$E$5001,"Em ajustes",$N$2:$N$5001,"&lt;"&amp;I4579)&gt;0,1,0),0))</f>
        <v/>
      </c>
      <c r="L4579" s="16" t="str">
        <f aca="false">IF(B4579="","",IF(N4579=_xlfn.MAXIFS($N$2:$N$5001,$B$2:$B$5001,B4579,$I$2:$I$5001,I4579),1,0))</f>
        <v/>
      </c>
      <c r="M4579" s="16" t="str">
        <f aca="false">IF(B4579="","",IF(E4579="Em ajustes",IF(N4579=_xlfn.MINIFS($N$2:$N$5001,$B$2:$B$5001,B4579,$E$2:$E$5001,"Em ajustes"),1,0),0))</f>
        <v/>
      </c>
      <c r="N4579" s="17" t="str">
        <f aca="false">IF(A4579="","",IF(ISNUMBER(A4579),A4579,IFERROR(DATE(VALUE(MID(A4579,7,4)),VALUE(MID(A4579,4,2)),VALUE(MID(A4579,1,2)))+TIME(VALUE(MID(A4579,12,2)),VALUE(MID(A4579,15,2)),VALUE(MID(A4579,18,2))),"")))</f>
        <v/>
      </c>
    </row>
    <row r="4580" customFormat="false" ht="15" hidden="false" customHeight="false" outlineLevel="0" collapsed="false">
      <c r="I4580" s="15" t="str">
        <f aca="false">IF(N4580="","",INT(N4580))</f>
        <v/>
      </c>
      <c r="J4580" s="16" t="str">
        <f aca="false">IF(B4580="","",IF(N4580=_xlfn.MINIFS($N$2:$N$5001,$B$2:$B$5001,B4580),1,0))</f>
        <v/>
      </c>
      <c r="K4580" s="16" t="str">
        <f aca="false">IF(B4580="","",IF(AND(D4580="Formalização",E4580="Concluído"),IF(COUNTIFS($B$2:$B$5001,B4580,$E$2:$E$5001,"Em ajustes",$N$2:$N$5001,"&lt;"&amp;I4580)&gt;0,1,0),0))</f>
        <v/>
      </c>
      <c r="L4580" s="16" t="str">
        <f aca="false">IF(B4580="","",IF(N4580=_xlfn.MAXIFS($N$2:$N$5001,$B$2:$B$5001,B4580,$I$2:$I$5001,I4580),1,0))</f>
        <v/>
      </c>
      <c r="M4580" s="16" t="str">
        <f aca="false">IF(B4580="","",IF(E4580="Em ajustes",IF(N4580=_xlfn.MINIFS($N$2:$N$5001,$B$2:$B$5001,B4580,$E$2:$E$5001,"Em ajustes"),1,0),0))</f>
        <v/>
      </c>
      <c r="N4580" s="17" t="str">
        <f aca="false">IF(A4580="","",IF(ISNUMBER(A4580),A4580,IFERROR(DATE(VALUE(MID(A4580,7,4)),VALUE(MID(A4580,4,2)),VALUE(MID(A4580,1,2)))+TIME(VALUE(MID(A4580,12,2)),VALUE(MID(A4580,15,2)),VALUE(MID(A4580,18,2))),"")))</f>
        <v/>
      </c>
    </row>
    <row r="4581" customFormat="false" ht="15" hidden="false" customHeight="false" outlineLevel="0" collapsed="false">
      <c r="I4581" s="15" t="str">
        <f aca="false">IF(N4581="","",INT(N4581))</f>
        <v/>
      </c>
      <c r="J4581" s="16" t="str">
        <f aca="false">IF(B4581="","",IF(N4581=_xlfn.MINIFS($N$2:$N$5001,$B$2:$B$5001,B4581),1,0))</f>
        <v/>
      </c>
      <c r="K4581" s="16" t="str">
        <f aca="false">IF(B4581="","",IF(AND(D4581="Formalização",E4581="Concluído"),IF(COUNTIFS($B$2:$B$5001,B4581,$E$2:$E$5001,"Em ajustes",$N$2:$N$5001,"&lt;"&amp;I4581)&gt;0,1,0),0))</f>
        <v/>
      </c>
      <c r="L4581" s="16" t="str">
        <f aca="false">IF(B4581="","",IF(N4581=_xlfn.MAXIFS($N$2:$N$5001,$B$2:$B$5001,B4581,$I$2:$I$5001,I4581),1,0))</f>
        <v/>
      </c>
      <c r="M4581" s="16" t="str">
        <f aca="false">IF(B4581="","",IF(E4581="Em ajustes",IF(N4581=_xlfn.MINIFS($N$2:$N$5001,$B$2:$B$5001,B4581,$E$2:$E$5001,"Em ajustes"),1,0),0))</f>
        <v/>
      </c>
      <c r="N4581" s="17" t="str">
        <f aca="false">IF(A4581="","",IF(ISNUMBER(A4581),A4581,IFERROR(DATE(VALUE(MID(A4581,7,4)),VALUE(MID(A4581,4,2)),VALUE(MID(A4581,1,2)))+TIME(VALUE(MID(A4581,12,2)),VALUE(MID(A4581,15,2)),VALUE(MID(A4581,18,2))),"")))</f>
        <v/>
      </c>
    </row>
    <row r="4582" customFormat="false" ht="15" hidden="false" customHeight="false" outlineLevel="0" collapsed="false">
      <c r="I4582" s="15" t="str">
        <f aca="false">IF(N4582="","",INT(N4582))</f>
        <v/>
      </c>
      <c r="J4582" s="16" t="str">
        <f aca="false">IF(B4582="","",IF(N4582=_xlfn.MINIFS($N$2:$N$5001,$B$2:$B$5001,B4582),1,0))</f>
        <v/>
      </c>
      <c r="K4582" s="16" t="str">
        <f aca="false">IF(B4582="","",IF(AND(D4582="Formalização",E4582="Concluído"),IF(COUNTIFS($B$2:$B$5001,B4582,$E$2:$E$5001,"Em ajustes",$N$2:$N$5001,"&lt;"&amp;I4582)&gt;0,1,0),0))</f>
        <v/>
      </c>
      <c r="L4582" s="16" t="str">
        <f aca="false">IF(B4582="","",IF(N4582=_xlfn.MAXIFS($N$2:$N$5001,$B$2:$B$5001,B4582,$I$2:$I$5001,I4582),1,0))</f>
        <v/>
      </c>
      <c r="M4582" s="16" t="str">
        <f aca="false">IF(B4582="","",IF(E4582="Em ajustes",IF(N4582=_xlfn.MINIFS($N$2:$N$5001,$B$2:$B$5001,B4582,$E$2:$E$5001,"Em ajustes"),1,0),0))</f>
        <v/>
      </c>
      <c r="N4582" s="17" t="str">
        <f aca="false">IF(A4582="","",IF(ISNUMBER(A4582),A4582,IFERROR(DATE(VALUE(MID(A4582,7,4)),VALUE(MID(A4582,4,2)),VALUE(MID(A4582,1,2)))+TIME(VALUE(MID(A4582,12,2)),VALUE(MID(A4582,15,2)),VALUE(MID(A4582,18,2))),"")))</f>
        <v/>
      </c>
    </row>
    <row r="4583" customFormat="false" ht="15" hidden="false" customHeight="false" outlineLevel="0" collapsed="false">
      <c r="I4583" s="15" t="str">
        <f aca="false">IF(N4583="","",INT(N4583))</f>
        <v/>
      </c>
      <c r="J4583" s="16" t="str">
        <f aca="false">IF(B4583="","",IF(N4583=_xlfn.MINIFS($N$2:$N$5001,$B$2:$B$5001,B4583),1,0))</f>
        <v/>
      </c>
      <c r="K4583" s="16" t="str">
        <f aca="false">IF(B4583="","",IF(AND(D4583="Formalização",E4583="Concluído"),IF(COUNTIFS($B$2:$B$5001,B4583,$E$2:$E$5001,"Em ajustes",$N$2:$N$5001,"&lt;"&amp;I4583)&gt;0,1,0),0))</f>
        <v/>
      </c>
      <c r="L4583" s="16" t="str">
        <f aca="false">IF(B4583="","",IF(N4583=_xlfn.MAXIFS($N$2:$N$5001,$B$2:$B$5001,B4583,$I$2:$I$5001,I4583),1,0))</f>
        <v/>
      </c>
      <c r="M4583" s="16" t="str">
        <f aca="false">IF(B4583="","",IF(E4583="Em ajustes",IF(N4583=_xlfn.MINIFS($N$2:$N$5001,$B$2:$B$5001,B4583,$E$2:$E$5001,"Em ajustes"),1,0),0))</f>
        <v/>
      </c>
      <c r="N4583" s="17" t="str">
        <f aca="false">IF(A4583="","",IF(ISNUMBER(A4583),A4583,IFERROR(DATE(VALUE(MID(A4583,7,4)),VALUE(MID(A4583,4,2)),VALUE(MID(A4583,1,2)))+TIME(VALUE(MID(A4583,12,2)),VALUE(MID(A4583,15,2)),VALUE(MID(A4583,18,2))),"")))</f>
        <v/>
      </c>
    </row>
    <row r="4584" customFormat="false" ht="15" hidden="false" customHeight="false" outlineLevel="0" collapsed="false">
      <c r="I4584" s="15" t="str">
        <f aca="false">IF(N4584="","",INT(N4584))</f>
        <v/>
      </c>
      <c r="J4584" s="16" t="str">
        <f aca="false">IF(B4584="","",IF(N4584=_xlfn.MINIFS($N$2:$N$5001,$B$2:$B$5001,B4584),1,0))</f>
        <v/>
      </c>
      <c r="K4584" s="16" t="str">
        <f aca="false">IF(B4584="","",IF(AND(D4584="Formalização",E4584="Concluído"),IF(COUNTIFS($B$2:$B$5001,B4584,$E$2:$E$5001,"Em ajustes",$N$2:$N$5001,"&lt;"&amp;I4584)&gt;0,1,0),0))</f>
        <v/>
      </c>
      <c r="L4584" s="16" t="str">
        <f aca="false">IF(B4584="","",IF(N4584=_xlfn.MAXIFS($N$2:$N$5001,$B$2:$B$5001,B4584,$I$2:$I$5001,I4584),1,0))</f>
        <v/>
      </c>
      <c r="M4584" s="16" t="str">
        <f aca="false">IF(B4584="","",IF(E4584="Em ajustes",IF(N4584=_xlfn.MINIFS($N$2:$N$5001,$B$2:$B$5001,B4584,$E$2:$E$5001,"Em ajustes"),1,0),0))</f>
        <v/>
      </c>
      <c r="N4584" s="17" t="str">
        <f aca="false">IF(A4584="","",IF(ISNUMBER(A4584),A4584,IFERROR(DATE(VALUE(MID(A4584,7,4)),VALUE(MID(A4584,4,2)),VALUE(MID(A4584,1,2)))+TIME(VALUE(MID(A4584,12,2)),VALUE(MID(A4584,15,2)),VALUE(MID(A4584,18,2))),"")))</f>
        <v/>
      </c>
    </row>
    <row r="4585" customFormat="false" ht="15" hidden="false" customHeight="false" outlineLevel="0" collapsed="false">
      <c r="I4585" s="15" t="str">
        <f aca="false">IF(N4585="","",INT(N4585))</f>
        <v/>
      </c>
      <c r="J4585" s="16" t="str">
        <f aca="false">IF(B4585="","",IF(N4585=_xlfn.MINIFS($N$2:$N$5001,$B$2:$B$5001,B4585),1,0))</f>
        <v/>
      </c>
      <c r="K4585" s="16" t="str">
        <f aca="false">IF(B4585="","",IF(AND(D4585="Formalização",E4585="Concluído"),IF(COUNTIFS($B$2:$B$5001,B4585,$E$2:$E$5001,"Em ajustes",$N$2:$N$5001,"&lt;"&amp;I4585)&gt;0,1,0),0))</f>
        <v/>
      </c>
      <c r="L4585" s="16" t="str">
        <f aca="false">IF(B4585="","",IF(N4585=_xlfn.MAXIFS($N$2:$N$5001,$B$2:$B$5001,B4585,$I$2:$I$5001,I4585),1,0))</f>
        <v/>
      </c>
      <c r="M4585" s="16" t="str">
        <f aca="false">IF(B4585="","",IF(E4585="Em ajustes",IF(N4585=_xlfn.MINIFS($N$2:$N$5001,$B$2:$B$5001,B4585,$E$2:$E$5001,"Em ajustes"),1,0),0))</f>
        <v/>
      </c>
      <c r="N4585" s="17" t="str">
        <f aca="false">IF(A4585="","",IF(ISNUMBER(A4585),A4585,IFERROR(DATE(VALUE(MID(A4585,7,4)),VALUE(MID(A4585,4,2)),VALUE(MID(A4585,1,2)))+TIME(VALUE(MID(A4585,12,2)),VALUE(MID(A4585,15,2)),VALUE(MID(A4585,18,2))),"")))</f>
        <v/>
      </c>
    </row>
    <row r="4586" customFormat="false" ht="15" hidden="false" customHeight="false" outlineLevel="0" collapsed="false">
      <c r="I4586" s="15" t="str">
        <f aca="false">IF(N4586="","",INT(N4586))</f>
        <v/>
      </c>
      <c r="J4586" s="16" t="str">
        <f aca="false">IF(B4586="","",IF(N4586=_xlfn.MINIFS($N$2:$N$5001,$B$2:$B$5001,B4586),1,0))</f>
        <v/>
      </c>
      <c r="K4586" s="16" t="str">
        <f aca="false">IF(B4586="","",IF(AND(D4586="Formalização",E4586="Concluído"),IF(COUNTIFS($B$2:$B$5001,B4586,$E$2:$E$5001,"Em ajustes",$N$2:$N$5001,"&lt;"&amp;I4586)&gt;0,1,0),0))</f>
        <v/>
      </c>
      <c r="L4586" s="16" t="str">
        <f aca="false">IF(B4586="","",IF(N4586=_xlfn.MAXIFS($N$2:$N$5001,$B$2:$B$5001,B4586,$I$2:$I$5001,I4586),1,0))</f>
        <v/>
      </c>
      <c r="M4586" s="16" t="str">
        <f aca="false">IF(B4586="","",IF(E4586="Em ajustes",IF(N4586=_xlfn.MINIFS($N$2:$N$5001,$B$2:$B$5001,B4586,$E$2:$E$5001,"Em ajustes"),1,0),0))</f>
        <v/>
      </c>
      <c r="N4586" s="17" t="str">
        <f aca="false">IF(A4586="","",IF(ISNUMBER(A4586),A4586,IFERROR(DATE(VALUE(MID(A4586,7,4)),VALUE(MID(A4586,4,2)),VALUE(MID(A4586,1,2)))+TIME(VALUE(MID(A4586,12,2)),VALUE(MID(A4586,15,2)),VALUE(MID(A4586,18,2))),"")))</f>
        <v/>
      </c>
    </row>
    <row r="4587" customFormat="false" ht="15" hidden="false" customHeight="false" outlineLevel="0" collapsed="false">
      <c r="I4587" s="15" t="str">
        <f aca="false">IF(N4587="","",INT(N4587))</f>
        <v/>
      </c>
      <c r="J4587" s="16" t="str">
        <f aca="false">IF(B4587="","",IF(N4587=_xlfn.MINIFS($N$2:$N$5001,$B$2:$B$5001,B4587),1,0))</f>
        <v/>
      </c>
      <c r="K4587" s="16" t="str">
        <f aca="false">IF(B4587="","",IF(AND(D4587="Formalização",E4587="Concluído"),IF(COUNTIFS($B$2:$B$5001,B4587,$E$2:$E$5001,"Em ajustes",$N$2:$N$5001,"&lt;"&amp;I4587)&gt;0,1,0),0))</f>
        <v/>
      </c>
      <c r="L4587" s="16" t="str">
        <f aca="false">IF(B4587="","",IF(N4587=_xlfn.MAXIFS($N$2:$N$5001,$B$2:$B$5001,B4587,$I$2:$I$5001,I4587),1,0))</f>
        <v/>
      </c>
      <c r="M4587" s="16" t="str">
        <f aca="false">IF(B4587="","",IF(E4587="Em ajustes",IF(N4587=_xlfn.MINIFS($N$2:$N$5001,$B$2:$B$5001,B4587,$E$2:$E$5001,"Em ajustes"),1,0),0))</f>
        <v/>
      </c>
      <c r="N4587" s="17" t="str">
        <f aca="false">IF(A4587="","",IF(ISNUMBER(A4587),A4587,IFERROR(DATE(VALUE(MID(A4587,7,4)),VALUE(MID(A4587,4,2)),VALUE(MID(A4587,1,2)))+TIME(VALUE(MID(A4587,12,2)),VALUE(MID(A4587,15,2)),VALUE(MID(A4587,18,2))),"")))</f>
        <v/>
      </c>
    </row>
    <row r="4588" customFormat="false" ht="15" hidden="false" customHeight="false" outlineLevel="0" collapsed="false">
      <c r="I4588" s="15" t="str">
        <f aca="false">IF(N4588="","",INT(N4588))</f>
        <v/>
      </c>
      <c r="J4588" s="16" t="str">
        <f aca="false">IF(B4588="","",IF(N4588=_xlfn.MINIFS($N$2:$N$5001,$B$2:$B$5001,B4588),1,0))</f>
        <v/>
      </c>
      <c r="K4588" s="16" t="str">
        <f aca="false">IF(B4588="","",IF(AND(D4588="Formalização",E4588="Concluído"),IF(COUNTIFS($B$2:$B$5001,B4588,$E$2:$E$5001,"Em ajustes",$N$2:$N$5001,"&lt;"&amp;I4588)&gt;0,1,0),0))</f>
        <v/>
      </c>
      <c r="L4588" s="16" t="str">
        <f aca="false">IF(B4588="","",IF(N4588=_xlfn.MAXIFS($N$2:$N$5001,$B$2:$B$5001,B4588,$I$2:$I$5001,I4588),1,0))</f>
        <v/>
      </c>
      <c r="M4588" s="16" t="str">
        <f aca="false">IF(B4588="","",IF(E4588="Em ajustes",IF(N4588=_xlfn.MINIFS($N$2:$N$5001,$B$2:$B$5001,B4588,$E$2:$E$5001,"Em ajustes"),1,0),0))</f>
        <v/>
      </c>
      <c r="N4588" s="17" t="str">
        <f aca="false">IF(A4588="","",IF(ISNUMBER(A4588),A4588,IFERROR(DATE(VALUE(MID(A4588,7,4)),VALUE(MID(A4588,4,2)),VALUE(MID(A4588,1,2)))+TIME(VALUE(MID(A4588,12,2)),VALUE(MID(A4588,15,2)),VALUE(MID(A4588,18,2))),"")))</f>
        <v/>
      </c>
    </row>
    <row r="4589" customFormat="false" ht="15" hidden="false" customHeight="false" outlineLevel="0" collapsed="false">
      <c r="I4589" s="15" t="str">
        <f aca="false">IF(N4589="","",INT(N4589))</f>
        <v/>
      </c>
      <c r="J4589" s="16" t="str">
        <f aca="false">IF(B4589="","",IF(N4589=_xlfn.MINIFS($N$2:$N$5001,$B$2:$B$5001,B4589),1,0))</f>
        <v/>
      </c>
      <c r="K4589" s="16" t="str">
        <f aca="false">IF(B4589="","",IF(AND(D4589="Formalização",E4589="Concluído"),IF(COUNTIFS($B$2:$B$5001,B4589,$E$2:$E$5001,"Em ajustes",$N$2:$N$5001,"&lt;"&amp;I4589)&gt;0,1,0),0))</f>
        <v/>
      </c>
      <c r="L4589" s="16" t="str">
        <f aca="false">IF(B4589="","",IF(N4589=_xlfn.MAXIFS($N$2:$N$5001,$B$2:$B$5001,B4589,$I$2:$I$5001,I4589),1,0))</f>
        <v/>
      </c>
      <c r="M4589" s="16" t="str">
        <f aca="false">IF(B4589="","",IF(E4589="Em ajustes",IF(N4589=_xlfn.MINIFS($N$2:$N$5001,$B$2:$B$5001,B4589,$E$2:$E$5001,"Em ajustes"),1,0),0))</f>
        <v/>
      </c>
      <c r="N4589" s="17" t="str">
        <f aca="false">IF(A4589="","",IF(ISNUMBER(A4589),A4589,IFERROR(DATE(VALUE(MID(A4589,7,4)),VALUE(MID(A4589,4,2)),VALUE(MID(A4589,1,2)))+TIME(VALUE(MID(A4589,12,2)),VALUE(MID(A4589,15,2)),VALUE(MID(A4589,18,2))),"")))</f>
        <v/>
      </c>
    </row>
    <row r="4590" customFormat="false" ht="15" hidden="false" customHeight="false" outlineLevel="0" collapsed="false">
      <c r="I4590" s="15" t="str">
        <f aca="false">IF(N4590="","",INT(N4590))</f>
        <v/>
      </c>
      <c r="J4590" s="16" t="str">
        <f aca="false">IF(B4590="","",IF(N4590=_xlfn.MINIFS($N$2:$N$5001,$B$2:$B$5001,B4590),1,0))</f>
        <v/>
      </c>
      <c r="K4590" s="16" t="str">
        <f aca="false">IF(B4590="","",IF(AND(D4590="Formalização",E4590="Concluído"),IF(COUNTIFS($B$2:$B$5001,B4590,$E$2:$E$5001,"Em ajustes",$N$2:$N$5001,"&lt;"&amp;I4590)&gt;0,1,0),0))</f>
        <v/>
      </c>
      <c r="L4590" s="16" t="str">
        <f aca="false">IF(B4590="","",IF(N4590=_xlfn.MAXIFS($N$2:$N$5001,$B$2:$B$5001,B4590,$I$2:$I$5001,I4590),1,0))</f>
        <v/>
      </c>
      <c r="M4590" s="16" t="str">
        <f aca="false">IF(B4590="","",IF(E4590="Em ajustes",IF(N4590=_xlfn.MINIFS($N$2:$N$5001,$B$2:$B$5001,B4590,$E$2:$E$5001,"Em ajustes"),1,0),0))</f>
        <v/>
      </c>
      <c r="N4590" s="17" t="str">
        <f aca="false">IF(A4590="","",IF(ISNUMBER(A4590),A4590,IFERROR(DATE(VALUE(MID(A4590,7,4)),VALUE(MID(A4590,4,2)),VALUE(MID(A4590,1,2)))+TIME(VALUE(MID(A4590,12,2)),VALUE(MID(A4590,15,2)),VALUE(MID(A4590,18,2))),"")))</f>
        <v/>
      </c>
    </row>
    <row r="4591" customFormat="false" ht="15" hidden="false" customHeight="false" outlineLevel="0" collapsed="false">
      <c r="I4591" s="15" t="str">
        <f aca="false">IF(N4591="","",INT(N4591))</f>
        <v/>
      </c>
      <c r="J4591" s="16" t="str">
        <f aca="false">IF(B4591="","",IF(N4591=_xlfn.MINIFS($N$2:$N$5001,$B$2:$B$5001,B4591),1,0))</f>
        <v/>
      </c>
      <c r="K4591" s="16" t="str">
        <f aca="false">IF(B4591="","",IF(AND(D4591="Formalização",E4591="Concluído"),IF(COUNTIFS($B$2:$B$5001,B4591,$E$2:$E$5001,"Em ajustes",$N$2:$N$5001,"&lt;"&amp;I4591)&gt;0,1,0),0))</f>
        <v/>
      </c>
      <c r="L4591" s="16" t="str">
        <f aca="false">IF(B4591="","",IF(N4591=_xlfn.MAXIFS($N$2:$N$5001,$B$2:$B$5001,B4591,$I$2:$I$5001,I4591),1,0))</f>
        <v/>
      </c>
      <c r="M4591" s="16" t="str">
        <f aca="false">IF(B4591="","",IF(E4591="Em ajustes",IF(N4591=_xlfn.MINIFS($N$2:$N$5001,$B$2:$B$5001,B4591,$E$2:$E$5001,"Em ajustes"),1,0),0))</f>
        <v/>
      </c>
      <c r="N4591" s="17" t="str">
        <f aca="false">IF(A4591="","",IF(ISNUMBER(A4591),A4591,IFERROR(DATE(VALUE(MID(A4591,7,4)),VALUE(MID(A4591,4,2)),VALUE(MID(A4591,1,2)))+TIME(VALUE(MID(A4591,12,2)),VALUE(MID(A4591,15,2)),VALUE(MID(A4591,18,2))),"")))</f>
        <v/>
      </c>
    </row>
    <row r="4592" customFormat="false" ht="15" hidden="false" customHeight="false" outlineLevel="0" collapsed="false">
      <c r="I4592" s="15" t="str">
        <f aca="false">IF(N4592="","",INT(N4592))</f>
        <v/>
      </c>
      <c r="J4592" s="16" t="str">
        <f aca="false">IF(B4592="","",IF(N4592=_xlfn.MINIFS($N$2:$N$5001,$B$2:$B$5001,B4592),1,0))</f>
        <v/>
      </c>
      <c r="K4592" s="16" t="str">
        <f aca="false">IF(B4592="","",IF(AND(D4592="Formalização",E4592="Concluído"),IF(COUNTIFS($B$2:$B$5001,B4592,$E$2:$E$5001,"Em ajustes",$N$2:$N$5001,"&lt;"&amp;I4592)&gt;0,1,0),0))</f>
        <v/>
      </c>
      <c r="L4592" s="16" t="str">
        <f aca="false">IF(B4592="","",IF(N4592=_xlfn.MAXIFS($N$2:$N$5001,$B$2:$B$5001,B4592,$I$2:$I$5001,I4592),1,0))</f>
        <v/>
      </c>
      <c r="M4592" s="16" t="str">
        <f aca="false">IF(B4592="","",IF(E4592="Em ajustes",IF(N4592=_xlfn.MINIFS($N$2:$N$5001,$B$2:$B$5001,B4592,$E$2:$E$5001,"Em ajustes"),1,0),0))</f>
        <v/>
      </c>
      <c r="N4592" s="17" t="str">
        <f aca="false">IF(A4592="","",IF(ISNUMBER(A4592),A4592,IFERROR(DATE(VALUE(MID(A4592,7,4)),VALUE(MID(A4592,4,2)),VALUE(MID(A4592,1,2)))+TIME(VALUE(MID(A4592,12,2)),VALUE(MID(A4592,15,2)),VALUE(MID(A4592,18,2))),"")))</f>
        <v/>
      </c>
    </row>
    <row r="4593" customFormat="false" ht="15" hidden="false" customHeight="false" outlineLevel="0" collapsed="false">
      <c r="I4593" s="15" t="str">
        <f aca="false">IF(N4593="","",INT(N4593))</f>
        <v/>
      </c>
      <c r="J4593" s="16" t="str">
        <f aca="false">IF(B4593="","",IF(N4593=_xlfn.MINIFS($N$2:$N$5001,$B$2:$B$5001,B4593),1,0))</f>
        <v/>
      </c>
      <c r="K4593" s="16" t="str">
        <f aca="false">IF(B4593="","",IF(AND(D4593="Formalização",E4593="Concluído"),IF(COUNTIFS($B$2:$B$5001,B4593,$E$2:$E$5001,"Em ajustes",$N$2:$N$5001,"&lt;"&amp;I4593)&gt;0,1,0),0))</f>
        <v/>
      </c>
      <c r="L4593" s="16" t="str">
        <f aca="false">IF(B4593="","",IF(N4593=_xlfn.MAXIFS($N$2:$N$5001,$B$2:$B$5001,B4593,$I$2:$I$5001,I4593),1,0))</f>
        <v/>
      </c>
      <c r="M4593" s="16" t="str">
        <f aca="false">IF(B4593="","",IF(E4593="Em ajustes",IF(N4593=_xlfn.MINIFS($N$2:$N$5001,$B$2:$B$5001,B4593,$E$2:$E$5001,"Em ajustes"),1,0),0))</f>
        <v/>
      </c>
      <c r="N4593" s="17" t="str">
        <f aca="false">IF(A4593="","",IF(ISNUMBER(A4593),A4593,IFERROR(DATE(VALUE(MID(A4593,7,4)),VALUE(MID(A4593,4,2)),VALUE(MID(A4593,1,2)))+TIME(VALUE(MID(A4593,12,2)),VALUE(MID(A4593,15,2)),VALUE(MID(A4593,18,2))),"")))</f>
        <v/>
      </c>
    </row>
    <row r="4594" customFormat="false" ht="15" hidden="false" customHeight="false" outlineLevel="0" collapsed="false">
      <c r="I4594" s="15" t="str">
        <f aca="false">IF(N4594="","",INT(N4594))</f>
        <v/>
      </c>
      <c r="J4594" s="16" t="str">
        <f aca="false">IF(B4594="","",IF(N4594=_xlfn.MINIFS($N$2:$N$5001,$B$2:$B$5001,B4594),1,0))</f>
        <v/>
      </c>
      <c r="K4594" s="16" t="str">
        <f aca="false">IF(B4594="","",IF(AND(D4594="Formalização",E4594="Concluído"),IF(COUNTIFS($B$2:$B$5001,B4594,$E$2:$E$5001,"Em ajustes",$N$2:$N$5001,"&lt;"&amp;I4594)&gt;0,1,0),0))</f>
        <v/>
      </c>
      <c r="L4594" s="16" t="str">
        <f aca="false">IF(B4594="","",IF(N4594=_xlfn.MAXIFS($N$2:$N$5001,$B$2:$B$5001,B4594,$I$2:$I$5001,I4594),1,0))</f>
        <v/>
      </c>
      <c r="M4594" s="16" t="str">
        <f aca="false">IF(B4594="","",IF(E4594="Em ajustes",IF(N4594=_xlfn.MINIFS($N$2:$N$5001,$B$2:$B$5001,B4594,$E$2:$E$5001,"Em ajustes"),1,0),0))</f>
        <v/>
      </c>
      <c r="N4594" s="17" t="str">
        <f aca="false">IF(A4594="","",IF(ISNUMBER(A4594),A4594,IFERROR(DATE(VALUE(MID(A4594,7,4)),VALUE(MID(A4594,4,2)),VALUE(MID(A4594,1,2)))+TIME(VALUE(MID(A4594,12,2)),VALUE(MID(A4594,15,2)),VALUE(MID(A4594,18,2))),"")))</f>
        <v/>
      </c>
    </row>
    <row r="4595" customFormat="false" ht="15" hidden="false" customHeight="false" outlineLevel="0" collapsed="false">
      <c r="I4595" s="15" t="str">
        <f aca="false">IF(N4595="","",INT(N4595))</f>
        <v/>
      </c>
      <c r="J4595" s="16" t="str">
        <f aca="false">IF(B4595="","",IF(N4595=_xlfn.MINIFS($N$2:$N$5001,$B$2:$B$5001,B4595),1,0))</f>
        <v/>
      </c>
      <c r="K4595" s="16" t="str">
        <f aca="false">IF(B4595="","",IF(AND(D4595="Formalização",E4595="Concluído"),IF(COUNTIFS($B$2:$B$5001,B4595,$E$2:$E$5001,"Em ajustes",$N$2:$N$5001,"&lt;"&amp;I4595)&gt;0,1,0),0))</f>
        <v/>
      </c>
      <c r="L4595" s="16" t="str">
        <f aca="false">IF(B4595="","",IF(N4595=_xlfn.MAXIFS($N$2:$N$5001,$B$2:$B$5001,B4595,$I$2:$I$5001,I4595),1,0))</f>
        <v/>
      </c>
      <c r="M4595" s="16" t="str">
        <f aca="false">IF(B4595="","",IF(E4595="Em ajustes",IF(N4595=_xlfn.MINIFS($N$2:$N$5001,$B$2:$B$5001,B4595,$E$2:$E$5001,"Em ajustes"),1,0),0))</f>
        <v/>
      </c>
      <c r="N4595" s="17" t="str">
        <f aca="false">IF(A4595="","",IF(ISNUMBER(A4595),A4595,IFERROR(DATE(VALUE(MID(A4595,7,4)),VALUE(MID(A4595,4,2)),VALUE(MID(A4595,1,2)))+TIME(VALUE(MID(A4595,12,2)),VALUE(MID(A4595,15,2)),VALUE(MID(A4595,18,2))),"")))</f>
        <v/>
      </c>
    </row>
    <row r="4596" customFormat="false" ht="15" hidden="false" customHeight="false" outlineLevel="0" collapsed="false">
      <c r="I4596" s="15" t="str">
        <f aca="false">IF(N4596="","",INT(N4596))</f>
        <v/>
      </c>
      <c r="J4596" s="16" t="str">
        <f aca="false">IF(B4596="","",IF(N4596=_xlfn.MINIFS($N$2:$N$5001,$B$2:$B$5001,B4596),1,0))</f>
        <v/>
      </c>
      <c r="K4596" s="16" t="str">
        <f aca="false">IF(B4596="","",IF(AND(D4596="Formalização",E4596="Concluído"),IF(COUNTIFS($B$2:$B$5001,B4596,$E$2:$E$5001,"Em ajustes",$N$2:$N$5001,"&lt;"&amp;I4596)&gt;0,1,0),0))</f>
        <v/>
      </c>
      <c r="L4596" s="16" t="str">
        <f aca="false">IF(B4596="","",IF(N4596=_xlfn.MAXIFS($N$2:$N$5001,$B$2:$B$5001,B4596,$I$2:$I$5001,I4596),1,0))</f>
        <v/>
      </c>
      <c r="M4596" s="16" t="str">
        <f aca="false">IF(B4596="","",IF(E4596="Em ajustes",IF(N4596=_xlfn.MINIFS($N$2:$N$5001,$B$2:$B$5001,B4596,$E$2:$E$5001,"Em ajustes"),1,0),0))</f>
        <v/>
      </c>
      <c r="N4596" s="17" t="str">
        <f aca="false">IF(A4596="","",IF(ISNUMBER(A4596),A4596,IFERROR(DATE(VALUE(MID(A4596,7,4)),VALUE(MID(A4596,4,2)),VALUE(MID(A4596,1,2)))+TIME(VALUE(MID(A4596,12,2)),VALUE(MID(A4596,15,2)),VALUE(MID(A4596,18,2))),"")))</f>
        <v/>
      </c>
    </row>
    <row r="4597" customFormat="false" ht="15" hidden="false" customHeight="false" outlineLevel="0" collapsed="false">
      <c r="I4597" s="15" t="str">
        <f aca="false">IF(N4597="","",INT(N4597))</f>
        <v/>
      </c>
      <c r="J4597" s="16" t="str">
        <f aca="false">IF(B4597="","",IF(N4597=_xlfn.MINIFS($N$2:$N$5001,$B$2:$B$5001,B4597),1,0))</f>
        <v/>
      </c>
      <c r="K4597" s="16" t="str">
        <f aca="false">IF(B4597="","",IF(AND(D4597="Formalização",E4597="Concluído"),IF(COUNTIFS($B$2:$B$5001,B4597,$E$2:$E$5001,"Em ajustes",$N$2:$N$5001,"&lt;"&amp;I4597)&gt;0,1,0),0))</f>
        <v/>
      </c>
      <c r="L4597" s="16" t="str">
        <f aca="false">IF(B4597="","",IF(N4597=_xlfn.MAXIFS($N$2:$N$5001,$B$2:$B$5001,B4597,$I$2:$I$5001,I4597),1,0))</f>
        <v/>
      </c>
      <c r="M4597" s="16" t="str">
        <f aca="false">IF(B4597="","",IF(E4597="Em ajustes",IF(N4597=_xlfn.MINIFS($N$2:$N$5001,$B$2:$B$5001,B4597,$E$2:$E$5001,"Em ajustes"),1,0),0))</f>
        <v/>
      </c>
      <c r="N4597" s="17" t="str">
        <f aca="false">IF(A4597="","",IF(ISNUMBER(A4597),A4597,IFERROR(DATE(VALUE(MID(A4597,7,4)),VALUE(MID(A4597,4,2)),VALUE(MID(A4597,1,2)))+TIME(VALUE(MID(A4597,12,2)),VALUE(MID(A4597,15,2)),VALUE(MID(A4597,18,2))),"")))</f>
        <v/>
      </c>
    </row>
    <row r="4598" customFormat="false" ht="15" hidden="false" customHeight="false" outlineLevel="0" collapsed="false">
      <c r="I4598" s="15" t="str">
        <f aca="false">IF(N4598="","",INT(N4598))</f>
        <v/>
      </c>
      <c r="J4598" s="16" t="str">
        <f aca="false">IF(B4598="","",IF(N4598=_xlfn.MINIFS($N$2:$N$5001,$B$2:$B$5001,B4598),1,0))</f>
        <v/>
      </c>
      <c r="K4598" s="16" t="str">
        <f aca="false">IF(B4598="","",IF(AND(D4598="Formalização",E4598="Concluído"),IF(COUNTIFS($B$2:$B$5001,B4598,$E$2:$E$5001,"Em ajustes",$N$2:$N$5001,"&lt;"&amp;I4598)&gt;0,1,0),0))</f>
        <v/>
      </c>
      <c r="L4598" s="16" t="str">
        <f aca="false">IF(B4598="","",IF(N4598=_xlfn.MAXIFS($N$2:$N$5001,$B$2:$B$5001,B4598,$I$2:$I$5001,I4598),1,0))</f>
        <v/>
      </c>
      <c r="M4598" s="16" t="str">
        <f aca="false">IF(B4598="","",IF(E4598="Em ajustes",IF(N4598=_xlfn.MINIFS($N$2:$N$5001,$B$2:$B$5001,B4598,$E$2:$E$5001,"Em ajustes"),1,0),0))</f>
        <v/>
      </c>
      <c r="N4598" s="17" t="str">
        <f aca="false">IF(A4598="","",IF(ISNUMBER(A4598),A4598,IFERROR(DATE(VALUE(MID(A4598,7,4)),VALUE(MID(A4598,4,2)),VALUE(MID(A4598,1,2)))+TIME(VALUE(MID(A4598,12,2)),VALUE(MID(A4598,15,2)),VALUE(MID(A4598,18,2))),"")))</f>
        <v/>
      </c>
    </row>
    <row r="4599" customFormat="false" ht="15" hidden="false" customHeight="false" outlineLevel="0" collapsed="false">
      <c r="I4599" s="15" t="str">
        <f aca="false">IF(N4599="","",INT(N4599))</f>
        <v/>
      </c>
      <c r="J4599" s="16" t="str">
        <f aca="false">IF(B4599="","",IF(N4599=_xlfn.MINIFS($N$2:$N$5001,$B$2:$B$5001,B4599),1,0))</f>
        <v/>
      </c>
      <c r="K4599" s="16" t="str">
        <f aca="false">IF(B4599="","",IF(AND(D4599="Formalização",E4599="Concluído"),IF(COUNTIFS($B$2:$B$5001,B4599,$E$2:$E$5001,"Em ajustes",$N$2:$N$5001,"&lt;"&amp;I4599)&gt;0,1,0),0))</f>
        <v/>
      </c>
      <c r="L4599" s="16" t="str">
        <f aca="false">IF(B4599="","",IF(N4599=_xlfn.MAXIFS($N$2:$N$5001,$B$2:$B$5001,B4599,$I$2:$I$5001,I4599),1,0))</f>
        <v/>
      </c>
      <c r="M4599" s="16" t="str">
        <f aca="false">IF(B4599="","",IF(E4599="Em ajustes",IF(N4599=_xlfn.MINIFS($N$2:$N$5001,$B$2:$B$5001,B4599,$E$2:$E$5001,"Em ajustes"),1,0),0))</f>
        <v/>
      </c>
      <c r="N4599" s="17" t="str">
        <f aca="false">IF(A4599="","",IF(ISNUMBER(A4599),A4599,IFERROR(DATE(VALUE(MID(A4599,7,4)),VALUE(MID(A4599,4,2)),VALUE(MID(A4599,1,2)))+TIME(VALUE(MID(A4599,12,2)),VALUE(MID(A4599,15,2)),VALUE(MID(A4599,18,2))),"")))</f>
        <v/>
      </c>
    </row>
    <row r="4600" customFormat="false" ht="15" hidden="false" customHeight="false" outlineLevel="0" collapsed="false">
      <c r="I4600" s="15" t="str">
        <f aca="false">IF(N4600="","",INT(N4600))</f>
        <v/>
      </c>
      <c r="J4600" s="16" t="str">
        <f aca="false">IF(B4600="","",IF(N4600=_xlfn.MINIFS($N$2:$N$5001,$B$2:$B$5001,B4600),1,0))</f>
        <v/>
      </c>
      <c r="K4600" s="16" t="str">
        <f aca="false">IF(B4600="","",IF(AND(D4600="Formalização",E4600="Concluído"),IF(COUNTIFS($B$2:$B$5001,B4600,$E$2:$E$5001,"Em ajustes",$N$2:$N$5001,"&lt;"&amp;I4600)&gt;0,1,0),0))</f>
        <v/>
      </c>
      <c r="L4600" s="16" t="str">
        <f aca="false">IF(B4600="","",IF(N4600=_xlfn.MAXIFS($N$2:$N$5001,$B$2:$B$5001,B4600,$I$2:$I$5001,I4600),1,0))</f>
        <v/>
      </c>
      <c r="M4600" s="16" t="str">
        <f aca="false">IF(B4600="","",IF(E4600="Em ajustes",IF(N4600=_xlfn.MINIFS($N$2:$N$5001,$B$2:$B$5001,B4600,$E$2:$E$5001,"Em ajustes"),1,0),0))</f>
        <v/>
      </c>
      <c r="N4600" s="17" t="str">
        <f aca="false">IF(A4600="","",IF(ISNUMBER(A4600),A4600,IFERROR(DATE(VALUE(MID(A4600,7,4)),VALUE(MID(A4600,4,2)),VALUE(MID(A4600,1,2)))+TIME(VALUE(MID(A4600,12,2)),VALUE(MID(A4600,15,2)),VALUE(MID(A4600,18,2))),"")))</f>
        <v/>
      </c>
    </row>
    <row r="4601" customFormat="false" ht="15" hidden="false" customHeight="false" outlineLevel="0" collapsed="false">
      <c r="I4601" s="15" t="str">
        <f aca="false">IF(N4601="","",INT(N4601))</f>
        <v/>
      </c>
      <c r="J4601" s="16" t="str">
        <f aca="false">IF(B4601="","",IF(N4601=_xlfn.MINIFS($N$2:$N$5001,$B$2:$B$5001,B4601),1,0))</f>
        <v/>
      </c>
      <c r="K4601" s="16" t="str">
        <f aca="false">IF(B4601="","",IF(AND(D4601="Formalização",E4601="Concluído"),IF(COUNTIFS($B$2:$B$5001,B4601,$E$2:$E$5001,"Em ajustes",$N$2:$N$5001,"&lt;"&amp;I4601)&gt;0,1,0),0))</f>
        <v/>
      </c>
      <c r="L4601" s="16" t="str">
        <f aca="false">IF(B4601="","",IF(N4601=_xlfn.MAXIFS($N$2:$N$5001,$B$2:$B$5001,B4601,$I$2:$I$5001,I4601),1,0))</f>
        <v/>
      </c>
      <c r="M4601" s="16" t="str">
        <f aca="false">IF(B4601="","",IF(E4601="Em ajustes",IF(N4601=_xlfn.MINIFS($N$2:$N$5001,$B$2:$B$5001,B4601,$E$2:$E$5001,"Em ajustes"),1,0),0))</f>
        <v/>
      </c>
      <c r="N4601" s="17" t="str">
        <f aca="false">IF(A4601="","",IF(ISNUMBER(A4601),A4601,IFERROR(DATE(VALUE(MID(A4601,7,4)),VALUE(MID(A4601,4,2)),VALUE(MID(A4601,1,2)))+TIME(VALUE(MID(A4601,12,2)),VALUE(MID(A4601,15,2)),VALUE(MID(A4601,18,2))),"")))</f>
        <v/>
      </c>
    </row>
    <row r="4602" customFormat="false" ht="15" hidden="false" customHeight="false" outlineLevel="0" collapsed="false">
      <c r="I4602" s="15" t="str">
        <f aca="false">IF(N4602="","",INT(N4602))</f>
        <v/>
      </c>
      <c r="J4602" s="16" t="str">
        <f aca="false">IF(B4602="","",IF(N4602=_xlfn.MINIFS($N$2:$N$5001,$B$2:$B$5001,B4602),1,0))</f>
        <v/>
      </c>
      <c r="K4602" s="16" t="str">
        <f aca="false">IF(B4602="","",IF(AND(D4602="Formalização",E4602="Concluído"),IF(COUNTIFS($B$2:$B$5001,B4602,$E$2:$E$5001,"Em ajustes",$N$2:$N$5001,"&lt;"&amp;I4602)&gt;0,1,0),0))</f>
        <v/>
      </c>
      <c r="L4602" s="16" t="str">
        <f aca="false">IF(B4602="","",IF(N4602=_xlfn.MAXIFS($N$2:$N$5001,$B$2:$B$5001,B4602,$I$2:$I$5001,I4602),1,0))</f>
        <v/>
      </c>
      <c r="M4602" s="16" t="str">
        <f aca="false">IF(B4602="","",IF(E4602="Em ajustes",IF(N4602=_xlfn.MINIFS($N$2:$N$5001,$B$2:$B$5001,B4602,$E$2:$E$5001,"Em ajustes"),1,0),0))</f>
        <v/>
      </c>
      <c r="N4602" s="17" t="str">
        <f aca="false">IF(A4602="","",IF(ISNUMBER(A4602),A4602,IFERROR(DATE(VALUE(MID(A4602,7,4)),VALUE(MID(A4602,4,2)),VALUE(MID(A4602,1,2)))+TIME(VALUE(MID(A4602,12,2)),VALUE(MID(A4602,15,2)),VALUE(MID(A4602,18,2))),"")))</f>
        <v/>
      </c>
    </row>
    <row r="4603" customFormat="false" ht="15" hidden="false" customHeight="false" outlineLevel="0" collapsed="false">
      <c r="I4603" s="15" t="str">
        <f aca="false">IF(N4603="","",INT(N4603))</f>
        <v/>
      </c>
      <c r="J4603" s="16" t="str">
        <f aca="false">IF(B4603="","",IF(N4603=_xlfn.MINIFS($N$2:$N$5001,$B$2:$B$5001,B4603),1,0))</f>
        <v/>
      </c>
      <c r="K4603" s="16" t="str">
        <f aca="false">IF(B4603="","",IF(AND(D4603="Formalização",E4603="Concluído"),IF(COUNTIFS($B$2:$B$5001,B4603,$E$2:$E$5001,"Em ajustes",$N$2:$N$5001,"&lt;"&amp;I4603)&gt;0,1,0),0))</f>
        <v/>
      </c>
      <c r="L4603" s="16" t="str">
        <f aca="false">IF(B4603="","",IF(N4603=_xlfn.MAXIFS($N$2:$N$5001,$B$2:$B$5001,B4603,$I$2:$I$5001,I4603),1,0))</f>
        <v/>
      </c>
      <c r="M4603" s="16" t="str">
        <f aca="false">IF(B4603="","",IF(E4603="Em ajustes",IF(N4603=_xlfn.MINIFS($N$2:$N$5001,$B$2:$B$5001,B4603,$E$2:$E$5001,"Em ajustes"),1,0),0))</f>
        <v/>
      </c>
      <c r="N4603" s="17" t="str">
        <f aca="false">IF(A4603="","",IF(ISNUMBER(A4603),A4603,IFERROR(DATE(VALUE(MID(A4603,7,4)),VALUE(MID(A4603,4,2)),VALUE(MID(A4603,1,2)))+TIME(VALUE(MID(A4603,12,2)),VALUE(MID(A4603,15,2)),VALUE(MID(A4603,18,2))),"")))</f>
        <v/>
      </c>
    </row>
    <row r="4604" customFormat="false" ht="15" hidden="false" customHeight="false" outlineLevel="0" collapsed="false">
      <c r="I4604" s="15" t="str">
        <f aca="false">IF(N4604="","",INT(N4604))</f>
        <v/>
      </c>
      <c r="J4604" s="16" t="str">
        <f aca="false">IF(B4604="","",IF(N4604=_xlfn.MINIFS($N$2:$N$5001,$B$2:$B$5001,B4604),1,0))</f>
        <v/>
      </c>
      <c r="K4604" s="16" t="str">
        <f aca="false">IF(B4604="","",IF(AND(D4604="Formalização",E4604="Concluído"),IF(COUNTIFS($B$2:$B$5001,B4604,$E$2:$E$5001,"Em ajustes",$N$2:$N$5001,"&lt;"&amp;I4604)&gt;0,1,0),0))</f>
        <v/>
      </c>
      <c r="L4604" s="16" t="str">
        <f aca="false">IF(B4604="","",IF(N4604=_xlfn.MAXIFS($N$2:$N$5001,$B$2:$B$5001,B4604,$I$2:$I$5001,I4604),1,0))</f>
        <v/>
      </c>
      <c r="M4604" s="16" t="str">
        <f aca="false">IF(B4604="","",IF(E4604="Em ajustes",IF(N4604=_xlfn.MINIFS($N$2:$N$5001,$B$2:$B$5001,B4604,$E$2:$E$5001,"Em ajustes"),1,0),0))</f>
        <v/>
      </c>
      <c r="N4604" s="17" t="str">
        <f aca="false">IF(A4604="","",IF(ISNUMBER(A4604),A4604,IFERROR(DATE(VALUE(MID(A4604,7,4)),VALUE(MID(A4604,4,2)),VALUE(MID(A4604,1,2)))+TIME(VALUE(MID(A4604,12,2)),VALUE(MID(A4604,15,2)),VALUE(MID(A4604,18,2))),"")))</f>
        <v/>
      </c>
    </row>
    <row r="4605" customFormat="false" ht="15" hidden="false" customHeight="false" outlineLevel="0" collapsed="false">
      <c r="I4605" s="15" t="str">
        <f aca="false">IF(N4605="","",INT(N4605))</f>
        <v/>
      </c>
      <c r="J4605" s="16" t="str">
        <f aca="false">IF(B4605="","",IF(N4605=_xlfn.MINIFS($N$2:$N$5001,$B$2:$B$5001,B4605),1,0))</f>
        <v/>
      </c>
      <c r="K4605" s="16" t="str">
        <f aca="false">IF(B4605="","",IF(AND(D4605="Formalização",E4605="Concluído"),IF(COUNTIFS($B$2:$B$5001,B4605,$E$2:$E$5001,"Em ajustes",$N$2:$N$5001,"&lt;"&amp;I4605)&gt;0,1,0),0))</f>
        <v/>
      </c>
      <c r="L4605" s="16" t="str">
        <f aca="false">IF(B4605="","",IF(N4605=_xlfn.MAXIFS($N$2:$N$5001,$B$2:$B$5001,B4605,$I$2:$I$5001,I4605),1,0))</f>
        <v/>
      </c>
      <c r="M4605" s="16" t="str">
        <f aca="false">IF(B4605="","",IF(E4605="Em ajustes",IF(N4605=_xlfn.MINIFS($N$2:$N$5001,$B$2:$B$5001,B4605,$E$2:$E$5001,"Em ajustes"),1,0),0))</f>
        <v/>
      </c>
      <c r="N4605" s="17" t="str">
        <f aca="false">IF(A4605="","",IF(ISNUMBER(A4605),A4605,IFERROR(DATE(VALUE(MID(A4605,7,4)),VALUE(MID(A4605,4,2)),VALUE(MID(A4605,1,2)))+TIME(VALUE(MID(A4605,12,2)),VALUE(MID(A4605,15,2)),VALUE(MID(A4605,18,2))),"")))</f>
        <v/>
      </c>
    </row>
    <row r="4606" customFormat="false" ht="15" hidden="false" customHeight="false" outlineLevel="0" collapsed="false">
      <c r="I4606" s="15" t="str">
        <f aca="false">IF(N4606="","",INT(N4606))</f>
        <v/>
      </c>
      <c r="J4606" s="16" t="str">
        <f aca="false">IF(B4606="","",IF(N4606=_xlfn.MINIFS($N$2:$N$5001,$B$2:$B$5001,B4606),1,0))</f>
        <v/>
      </c>
      <c r="K4606" s="16" t="str">
        <f aca="false">IF(B4606="","",IF(AND(D4606="Formalização",E4606="Concluído"),IF(COUNTIFS($B$2:$B$5001,B4606,$E$2:$E$5001,"Em ajustes",$N$2:$N$5001,"&lt;"&amp;I4606)&gt;0,1,0),0))</f>
        <v/>
      </c>
      <c r="L4606" s="16" t="str">
        <f aca="false">IF(B4606="","",IF(N4606=_xlfn.MAXIFS($N$2:$N$5001,$B$2:$B$5001,B4606,$I$2:$I$5001,I4606),1,0))</f>
        <v/>
      </c>
      <c r="M4606" s="16" t="str">
        <f aca="false">IF(B4606="","",IF(E4606="Em ajustes",IF(N4606=_xlfn.MINIFS($N$2:$N$5001,$B$2:$B$5001,B4606,$E$2:$E$5001,"Em ajustes"),1,0),0))</f>
        <v/>
      </c>
      <c r="N4606" s="17" t="str">
        <f aca="false">IF(A4606="","",IF(ISNUMBER(A4606),A4606,IFERROR(DATE(VALUE(MID(A4606,7,4)),VALUE(MID(A4606,4,2)),VALUE(MID(A4606,1,2)))+TIME(VALUE(MID(A4606,12,2)),VALUE(MID(A4606,15,2)),VALUE(MID(A4606,18,2))),"")))</f>
        <v/>
      </c>
    </row>
    <row r="4607" customFormat="false" ht="15" hidden="false" customHeight="false" outlineLevel="0" collapsed="false">
      <c r="I4607" s="15" t="str">
        <f aca="false">IF(N4607="","",INT(N4607))</f>
        <v/>
      </c>
      <c r="J4607" s="16" t="str">
        <f aca="false">IF(B4607="","",IF(N4607=_xlfn.MINIFS($N$2:$N$5001,$B$2:$B$5001,B4607),1,0))</f>
        <v/>
      </c>
      <c r="K4607" s="16" t="str">
        <f aca="false">IF(B4607="","",IF(AND(D4607="Formalização",E4607="Concluído"),IF(COUNTIFS($B$2:$B$5001,B4607,$E$2:$E$5001,"Em ajustes",$N$2:$N$5001,"&lt;"&amp;I4607)&gt;0,1,0),0))</f>
        <v/>
      </c>
      <c r="L4607" s="16" t="str">
        <f aca="false">IF(B4607="","",IF(N4607=_xlfn.MAXIFS($N$2:$N$5001,$B$2:$B$5001,B4607,$I$2:$I$5001,I4607),1,0))</f>
        <v/>
      </c>
      <c r="M4607" s="16" t="str">
        <f aca="false">IF(B4607="","",IF(E4607="Em ajustes",IF(N4607=_xlfn.MINIFS($N$2:$N$5001,$B$2:$B$5001,B4607,$E$2:$E$5001,"Em ajustes"),1,0),0))</f>
        <v/>
      </c>
      <c r="N4607" s="17" t="str">
        <f aca="false">IF(A4607="","",IF(ISNUMBER(A4607),A4607,IFERROR(DATE(VALUE(MID(A4607,7,4)),VALUE(MID(A4607,4,2)),VALUE(MID(A4607,1,2)))+TIME(VALUE(MID(A4607,12,2)),VALUE(MID(A4607,15,2)),VALUE(MID(A4607,18,2))),"")))</f>
        <v/>
      </c>
    </row>
    <row r="4608" customFormat="false" ht="15" hidden="false" customHeight="false" outlineLevel="0" collapsed="false">
      <c r="I4608" s="15" t="str">
        <f aca="false">IF(N4608="","",INT(N4608))</f>
        <v/>
      </c>
      <c r="J4608" s="16" t="str">
        <f aca="false">IF(B4608="","",IF(N4608=_xlfn.MINIFS($N$2:$N$5001,$B$2:$B$5001,B4608),1,0))</f>
        <v/>
      </c>
      <c r="K4608" s="16" t="str">
        <f aca="false">IF(B4608="","",IF(AND(D4608="Formalização",E4608="Concluído"),IF(COUNTIFS($B$2:$B$5001,B4608,$E$2:$E$5001,"Em ajustes",$N$2:$N$5001,"&lt;"&amp;I4608)&gt;0,1,0),0))</f>
        <v/>
      </c>
      <c r="L4608" s="16" t="str">
        <f aca="false">IF(B4608="","",IF(N4608=_xlfn.MAXIFS($N$2:$N$5001,$B$2:$B$5001,B4608,$I$2:$I$5001,I4608),1,0))</f>
        <v/>
      </c>
      <c r="M4608" s="16" t="str">
        <f aca="false">IF(B4608="","",IF(E4608="Em ajustes",IF(N4608=_xlfn.MINIFS($N$2:$N$5001,$B$2:$B$5001,B4608,$E$2:$E$5001,"Em ajustes"),1,0),0))</f>
        <v/>
      </c>
      <c r="N4608" s="17" t="str">
        <f aca="false">IF(A4608="","",IF(ISNUMBER(A4608),A4608,IFERROR(DATE(VALUE(MID(A4608,7,4)),VALUE(MID(A4608,4,2)),VALUE(MID(A4608,1,2)))+TIME(VALUE(MID(A4608,12,2)),VALUE(MID(A4608,15,2)),VALUE(MID(A4608,18,2))),"")))</f>
        <v/>
      </c>
    </row>
    <row r="4609" customFormat="false" ht="15" hidden="false" customHeight="false" outlineLevel="0" collapsed="false">
      <c r="I4609" s="15" t="str">
        <f aca="false">IF(N4609="","",INT(N4609))</f>
        <v/>
      </c>
      <c r="J4609" s="16" t="str">
        <f aca="false">IF(B4609="","",IF(N4609=_xlfn.MINIFS($N$2:$N$5001,$B$2:$B$5001,B4609),1,0))</f>
        <v/>
      </c>
      <c r="K4609" s="16" t="str">
        <f aca="false">IF(B4609="","",IF(AND(D4609="Formalização",E4609="Concluído"),IF(COUNTIFS($B$2:$B$5001,B4609,$E$2:$E$5001,"Em ajustes",$N$2:$N$5001,"&lt;"&amp;I4609)&gt;0,1,0),0))</f>
        <v/>
      </c>
      <c r="L4609" s="16" t="str">
        <f aca="false">IF(B4609="","",IF(N4609=_xlfn.MAXIFS($N$2:$N$5001,$B$2:$B$5001,B4609,$I$2:$I$5001,I4609),1,0))</f>
        <v/>
      </c>
      <c r="M4609" s="16" t="str">
        <f aca="false">IF(B4609="","",IF(E4609="Em ajustes",IF(N4609=_xlfn.MINIFS($N$2:$N$5001,$B$2:$B$5001,B4609,$E$2:$E$5001,"Em ajustes"),1,0),0))</f>
        <v/>
      </c>
      <c r="N4609" s="17" t="str">
        <f aca="false">IF(A4609="","",IF(ISNUMBER(A4609),A4609,IFERROR(DATE(VALUE(MID(A4609,7,4)),VALUE(MID(A4609,4,2)),VALUE(MID(A4609,1,2)))+TIME(VALUE(MID(A4609,12,2)),VALUE(MID(A4609,15,2)),VALUE(MID(A4609,18,2))),"")))</f>
        <v/>
      </c>
    </row>
    <row r="4610" customFormat="false" ht="15" hidden="false" customHeight="false" outlineLevel="0" collapsed="false">
      <c r="I4610" s="15" t="str">
        <f aca="false">IF(N4610="","",INT(N4610))</f>
        <v/>
      </c>
      <c r="J4610" s="16" t="str">
        <f aca="false">IF(B4610="","",IF(N4610=_xlfn.MINIFS($N$2:$N$5001,$B$2:$B$5001,B4610),1,0))</f>
        <v/>
      </c>
      <c r="K4610" s="16" t="str">
        <f aca="false">IF(B4610="","",IF(AND(D4610="Formalização",E4610="Concluído"),IF(COUNTIFS($B$2:$B$5001,B4610,$E$2:$E$5001,"Em ajustes",$N$2:$N$5001,"&lt;"&amp;I4610)&gt;0,1,0),0))</f>
        <v/>
      </c>
      <c r="L4610" s="16" t="str">
        <f aca="false">IF(B4610="","",IF(N4610=_xlfn.MAXIFS($N$2:$N$5001,$B$2:$B$5001,B4610,$I$2:$I$5001,I4610),1,0))</f>
        <v/>
      </c>
      <c r="M4610" s="16" t="str">
        <f aca="false">IF(B4610="","",IF(E4610="Em ajustes",IF(N4610=_xlfn.MINIFS($N$2:$N$5001,$B$2:$B$5001,B4610,$E$2:$E$5001,"Em ajustes"),1,0),0))</f>
        <v/>
      </c>
      <c r="N4610" s="17" t="str">
        <f aca="false">IF(A4610="","",IF(ISNUMBER(A4610),A4610,IFERROR(DATE(VALUE(MID(A4610,7,4)),VALUE(MID(A4610,4,2)),VALUE(MID(A4610,1,2)))+TIME(VALUE(MID(A4610,12,2)),VALUE(MID(A4610,15,2)),VALUE(MID(A4610,18,2))),"")))</f>
        <v/>
      </c>
    </row>
    <row r="4611" customFormat="false" ht="15" hidden="false" customHeight="false" outlineLevel="0" collapsed="false">
      <c r="I4611" s="15" t="str">
        <f aca="false">IF(N4611="","",INT(N4611))</f>
        <v/>
      </c>
      <c r="J4611" s="16" t="str">
        <f aca="false">IF(B4611="","",IF(N4611=_xlfn.MINIFS($N$2:$N$5001,$B$2:$B$5001,B4611),1,0))</f>
        <v/>
      </c>
      <c r="K4611" s="16" t="str">
        <f aca="false">IF(B4611="","",IF(AND(D4611="Formalização",E4611="Concluído"),IF(COUNTIFS($B$2:$B$5001,B4611,$E$2:$E$5001,"Em ajustes",$N$2:$N$5001,"&lt;"&amp;I4611)&gt;0,1,0),0))</f>
        <v/>
      </c>
      <c r="L4611" s="16" t="str">
        <f aca="false">IF(B4611="","",IF(N4611=_xlfn.MAXIFS($N$2:$N$5001,$B$2:$B$5001,B4611,$I$2:$I$5001,I4611),1,0))</f>
        <v/>
      </c>
      <c r="M4611" s="16" t="str">
        <f aca="false">IF(B4611="","",IF(E4611="Em ajustes",IF(N4611=_xlfn.MINIFS($N$2:$N$5001,$B$2:$B$5001,B4611,$E$2:$E$5001,"Em ajustes"),1,0),0))</f>
        <v/>
      </c>
      <c r="N4611" s="17" t="str">
        <f aca="false">IF(A4611="","",IF(ISNUMBER(A4611),A4611,IFERROR(DATE(VALUE(MID(A4611,7,4)),VALUE(MID(A4611,4,2)),VALUE(MID(A4611,1,2)))+TIME(VALUE(MID(A4611,12,2)),VALUE(MID(A4611,15,2)),VALUE(MID(A4611,18,2))),"")))</f>
        <v/>
      </c>
    </row>
    <row r="4612" customFormat="false" ht="15" hidden="false" customHeight="false" outlineLevel="0" collapsed="false">
      <c r="I4612" s="15" t="str">
        <f aca="false">IF(N4612="","",INT(N4612))</f>
        <v/>
      </c>
      <c r="J4612" s="16" t="str">
        <f aca="false">IF(B4612="","",IF(N4612=_xlfn.MINIFS($N$2:$N$5001,$B$2:$B$5001,B4612),1,0))</f>
        <v/>
      </c>
      <c r="K4612" s="16" t="str">
        <f aca="false">IF(B4612="","",IF(AND(D4612="Formalização",E4612="Concluído"),IF(COUNTIFS($B$2:$B$5001,B4612,$E$2:$E$5001,"Em ajustes",$N$2:$N$5001,"&lt;"&amp;I4612)&gt;0,1,0),0))</f>
        <v/>
      </c>
      <c r="L4612" s="16" t="str">
        <f aca="false">IF(B4612="","",IF(N4612=_xlfn.MAXIFS($N$2:$N$5001,$B$2:$B$5001,B4612,$I$2:$I$5001,I4612),1,0))</f>
        <v/>
      </c>
      <c r="M4612" s="16" t="str">
        <f aca="false">IF(B4612="","",IF(E4612="Em ajustes",IF(N4612=_xlfn.MINIFS($N$2:$N$5001,$B$2:$B$5001,B4612,$E$2:$E$5001,"Em ajustes"),1,0),0))</f>
        <v/>
      </c>
      <c r="N4612" s="17" t="str">
        <f aca="false">IF(A4612="","",IF(ISNUMBER(A4612),A4612,IFERROR(DATE(VALUE(MID(A4612,7,4)),VALUE(MID(A4612,4,2)),VALUE(MID(A4612,1,2)))+TIME(VALUE(MID(A4612,12,2)),VALUE(MID(A4612,15,2)),VALUE(MID(A4612,18,2))),"")))</f>
        <v/>
      </c>
    </row>
    <row r="4613" customFormat="false" ht="15" hidden="false" customHeight="false" outlineLevel="0" collapsed="false">
      <c r="I4613" s="15" t="str">
        <f aca="false">IF(N4613="","",INT(N4613))</f>
        <v/>
      </c>
      <c r="J4613" s="16" t="str">
        <f aca="false">IF(B4613="","",IF(N4613=_xlfn.MINIFS($N$2:$N$5001,$B$2:$B$5001,B4613),1,0))</f>
        <v/>
      </c>
      <c r="K4613" s="16" t="str">
        <f aca="false">IF(B4613="","",IF(AND(D4613="Formalização",E4613="Concluído"),IF(COUNTIFS($B$2:$B$5001,B4613,$E$2:$E$5001,"Em ajustes",$N$2:$N$5001,"&lt;"&amp;I4613)&gt;0,1,0),0))</f>
        <v/>
      </c>
      <c r="L4613" s="16" t="str">
        <f aca="false">IF(B4613="","",IF(N4613=_xlfn.MAXIFS($N$2:$N$5001,$B$2:$B$5001,B4613,$I$2:$I$5001,I4613),1,0))</f>
        <v/>
      </c>
      <c r="M4613" s="16" t="str">
        <f aca="false">IF(B4613="","",IF(E4613="Em ajustes",IF(N4613=_xlfn.MINIFS($N$2:$N$5001,$B$2:$B$5001,B4613,$E$2:$E$5001,"Em ajustes"),1,0),0))</f>
        <v/>
      </c>
      <c r="N4613" s="17" t="str">
        <f aca="false">IF(A4613="","",IF(ISNUMBER(A4613),A4613,IFERROR(DATE(VALUE(MID(A4613,7,4)),VALUE(MID(A4613,4,2)),VALUE(MID(A4613,1,2)))+TIME(VALUE(MID(A4613,12,2)),VALUE(MID(A4613,15,2)),VALUE(MID(A4613,18,2))),"")))</f>
        <v/>
      </c>
    </row>
    <row r="4614" customFormat="false" ht="15" hidden="false" customHeight="false" outlineLevel="0" collapsed="false">
      <c r="I4614" s="15" t="str">
        <f aca="false">IF(N4614="","",INT(N4614))</f>
        <v/>
      </c>
      <c r="J4614" s="16" t="str">
        <f aca="false">IF(B4614="","",IF(N4614=_xlfn.MINIFS($N$2:$N$5001,$B$2:$B$5001,B4614),1,0))</f>
        <v/>
      </c>
      <c r="K4614" s="16" t="str">
        <f aca="false">IF(B4614="","",IF(AND(D4614="Formalização",E4614="Concluído"),IF(COUNTIFS($B$2:$B$5001,B4614,$E$2:$E$5001,"Em ajustes",$N$2:$N$5001,"&lt;"&amp;I4614)&gt;0,1,0),0))</f>
        <v/>
      </c>
      <c r="L4614" s="16" t="str">
        <f aca="false">IF(B4614="","",IF(N4614=_xlfn.MAXIFS($N$2:$N$5001,$B$2:$B$5001,B4614,$I$2:$I$5001,I4614),1,0))</f>
        <v/>
      </c>
      <c r="M4614" s="16" t="str">
        <f aca="false">IF(B4614="","",IF(E4614="Em ajustes",IF(N4614=_xlfn.MINIFS($N$2:$N$5001,$B$2:$B$5001,B4614,$E$2:$E$5001,"Em ajustes"),1,0),0))</f>
        <v/>
      </c>
      <c r="N4614" s="17" t="str">
        <f aca="false">IF(A4614="","",IF(ISNUMBER(A4614),A4614,IFERROR(DATE(VALUE(MID(A4614,7,4)),VALUE(MID(A4614,4,2)),VALUE(MID(A4614,1,2)))+TIME(VALUE(MID(A4614,12,2)),VALUE(MID(A4614,15,2)),VALUE(MID(A4614,18,2))),"")))</f>
        <v/>
      </c>
    </row>
    <row r="4615" customFormat="false" ht="15" hidden="false" customHeight="false" outlineLevel="0" collapsed="false">
      <c r="I4615" s="15" t="str">
        <f aca="false">IF(N4615="","",INT(N4615))</f>
        <v/>
      </c>
      <c r="J4615" s="16" t="str">
        <f aca="false">IF(B4615="","",IF(N4615=_xlfn.MINIFS($N$2:$N$5001,$B$2:$B$5001,B4615),1,0))</f>
        <v/>
      </c>
      <c r="K4615" s="16" t="str">
        <f aca="false">IF(B4615="","",IF(AND(D4615="Formalização",E4615="Concluído"),IF(COUNTIFS($B$2:$B$5001,B4615,$E$2:$E$5001,"Em ajustes",$N$2:$N$5001,"&lt;"&amp;I4615)&gt;0,1,0),0))</f>
        <v/>
      </c>
      <c r="L4615" s="16" t="str">
        <f aca="false">IF(B4615="","",IF(N4615=_xlfn.MAXIFS($N$2:$N$5001,$B$2:$B$5001,B4615,$I$2:$I$5001,I4615),1,0))</f>
        <v/>
      </c>
      <c r="M4615" s="16" t="str">
        <f aca="false">IF(B4615="","",IF(E4615="Em ajustes",IF(N4615=_xlfn.MINIFS($N$2:$N$5001,$B$2:$B$5001,B4615,$E$2:$E$5001,"Em ajustes"),1,0),0))</f>
        <v/>
      </c>
      <c r="N4615" s="17" t="str">
        <f aca="false">IF(A4615="","",IF(ISNUMBER(A4615),A4615,IFERROR(DATE(VALUE(MID(A4615,7,4)),VALUE(MID(A4615,4,2)),VALUE(MID(A4615,1,2)))+TIME(VALUE(MID(A4615,12,2)),VALUE(MID(A4615,15,2)),VALUE(MID(A4615,18,2))),"")))</f>
        <v/>
      </c>
    </row>
    <row r="4616" customFormat="false" ht="15" hidden="false" customHeight="false" outlineLevel="0" collapsed="false">
      <c r="I4616" s="15" t="str">
        <f aca="false">IF(N4616="","",INT(N4616))</f>
        <v/>
      </c>
      <c r="J4616" s="16" t="str">
        <f aca="false">IF(B4616="","",IF(N4616=_xlfn.MINIFS($N$2:$N$5001,$B$2:$B$5001,B4616),1,0))</f>
        <v/>
      </c>
      <c r="K4616" s="16" t="str">
        <f aca="false">IF(B4616="","",IF(AND(D4616="Formalização",E4616="Concluído"),IF(COUNTIFS($B$2:$B$5001,B4616,$E$2:$E$5001,"Em ajustes",$N$2:$N$5001,"&lt;"&amp;I4616)&gt;0,1,0),0))</f>
        <v/>
      </c>
      <c r="L4616" s="16" t="str">
        <f aca="false">IF(B4616="","",IF(N4616=_xlfn.MAXIFS($N$2:$N$5001,$B$2:$B$5001,B4616,$I$2:$I$5001,I4616),1,0))</f>
        <v/>
      </c>
      <c r="M4616" s="16" t="str">
        <f aca="false">IF(B4616="","",IF(E4616="Em ajustes",IF(N4616=_xlfn.MINIFS($N$2:$N$5001,$B$2:$B$5001,B4616,$E$2:$E$5001,"Em ajustes"),1,0),0))</f>
        <v/>
      </c>
      <c r="N4616" s="17" t="str">
        <f aca="false">IF(A4616="","",IF(ISNUMBER(A4616),A4616,IFERROR(DATE(VALUE(MID(A4616,7,4)),VALUE(MID(A4616,4,2)),VALUE(MID(A4616,1,2)))+TIME(VALUE(MID(A4616,12,2)),VALUE(MID(A4616,15,2)),VALUE(MID(A4616,18,2))),"")))</f>
        <v/>
      </c>
    </row>
    <row r="4617" customFormat="false" ht="15" hidden="false" customHeight="false" outlineLevel="0" collapsed="false">
      <c r="I4617" s="15" t="str">
        <f aca="false">IF(N4617="","",INT(N4617))</f>
        <v/>
      </c>
      <c r="J4617" s="16" t="str">
        <f aca="false">IF(B4617="","",IF(N4617=_xlfn.MINIFS($N$2:$N$5001,$B$2:$B$5001,B4617),1,0))</f>
        <v/>
      </c>
      <c r="K4617" s="16" t="str">
        <f aca="false">IF(B4617="","",IF(AND(D4617="Formalização",E4617="Concluído"),IF(COUNTIFS($B$2:$B$5001,B4617,$E$2:$E$5001,"Em ajustes",$N$2:$N$5001,"&lt;"&amp;I4617)&gt;0,1,0),0))</f>
        <v/>
      </c>
      <c r="L4617" s="16" t="str">
        <f aca="false">IF(B4617="","",IF(N4617=_xlfn.MAXIFS($N$2:$N$5001,$B$2:$B$5001,B4617,$I$2:$I$5001,I4617),1,0))</f>
        <v/>
      </c>
      <c r="M4617" s="16" t="str">
        <f aca="false">IF(B4617="","",IF(E4617="Em ajustes",IF(N4617=_xlfn.MINIFS($N$2:$N$5001,$B$2:$B$5001,B4617,$E$2:$E$5001,"Em ajustes"),1,0),0))</f>
        <v/>
      </c>
      <c r="N4617" s="17" t="str">
        <f aca="false">IF(A4617="","",IF(ISNUMBER(A4617),A4617,IFERROR(DATE(VALUE(MID(A4617,7,4)),VALUE(MID(A4617,4,2)),VALUE(MID(A4617,1,2)))+TIME(VALUE(MID(A4617,12,2)),VALUE(MID(A4617,15,2)),VALUE(MID(A4617,18,2))),"")))</f>
        <v/>
      </c>
    </row>
    <row r="4618" customFormat="false" ht="15" hidden="false" customHeight="false" outlineLevel="0" collapsed="false">
      <c r="I4618" s="15" t="str">
        <f aca="false">IF(N4618="","",INT(N4618))</f>
        <v/>
      </c>
      <c r="J4618" s="16" t="str">
        <f aca="false">IF(B4618="","",IF(N4618=_xlfn.MINIFS($N$2:$N$5001,$B$2:$B$5001,B4618),1,0))</f>
        <v/>
      </c>
      <c r="K4618" s="16" t="str">
        <f aca="false">IF(B4618="","",IF(AND(D4618="Formalização",E4618="Concluído"),IF(COUNTIFS($B$2:$B$5001,B4618,$E$2:$E$5001,"Em ajustes",$N$2:$N$5001,"&lt;"&amp;I4618)&gt;0,1,0),0))</f>
        <v/>
      </c>
      <c r="L4618" s="16" t="str">
        <f aca="false">IF(B4618="","",IF(N4618=_xlfn.MAXIFS($N$2:$N$5001,$B$2:$B$5001,B4618,$I$2:$I$5001,I4618),1,0))</f>
        <v/>
      </c>
      <c r="M4618" s="16" t="str">
        <f aca="false">IF(B4618="","",IF(E4618="Em ajustes",IF(N4618=_xlfn.MINIFS($N$2:$N$5001,$B$2:$B$5001,B4618,$E$2:$E$5001,"Em ajustes"),1,0),0))</f>
        <v/>
      </c>
      <c r="N4618" s="17" t="str">
        <f aca="false">IF(A4618="","",IF(ISNUMBER(A4618),A4618,IFERROR(DATE(VALUE(MID(A4618,7,4)),VALUE(MID(A4618,4,2)),VALUE(MID(A4618,1,2)))+TIME(VALUE(MID(A4618,12,2)),VALUE(MID(A4618,15,2)),VALUE(MID(A4618,18,2))),"")))</f>
        <v/>
      </c>
    </row>
    <row r="4619" customFormat="false" ht="15" hidden="false" customHeight="false" outlineLevel="0" collapsed="false">
      <c r="I4619" s="15" t="str">
        <f aca="false">IF(N4619="","",INT(N4619))</f>
        <v/>
      </c>
      <c r="J4619" s="16" t="str">
        <f aca="false">IF(B4619="","",IF(N4619=_xlfn.MINIFS($N$2:$N$5001,$B$2:$B$5001,B4619),1,0))</f>
        <v/>
      </c>
      <c r="K4619" s="16" t="str">
        <f aca="false">IF(B4619="","",IF(AND(D4619="Formalização",E4619="Concluído"),IF(COUNTIFS($B$2:$B$5001,B4619,$E$2:$E$5001,"Em ajustes",$N$2:$N$5001,"&lt;"&amp;I4619)&gt;0,1,0),0))</f>
        <v/>
      </c>
      <c r="L4619" s="16" t="str">
        <f aca="false">IF(B4619="","",IF(N4619=_xlfn.MAXIFS($N$2:$N$5001,$B$2:$B$5001,B4619,$I$2:$I$5001,I4619),1,0))</f>
        <v/>
      </c>
      <c r="M4619" s="16" t="str">
        <f aca="false">IF(B4619="","",IF(E4619="Em ajustes",IF(N4619=_xlfn.MINIFS($N$2:$N$5001,$B$2:$B$5001,B4619,$E$2:$E$5001,"Em ajustes"),1,0),0))</f>
        <v/>
      </c>
      <c r="N4619" s="17" t="str">
        <f aca="false">IF(A4619="","",IF(ISNUMBER(A4619),A4619,IFERROR(DATE(VALUE(MID(A4619,7,4)),VALUE(MID(A4619,4,2)),VALUE(MID(A4619,1,2)))+TIME(VALUE(MID(A4619,12,2)),VALUE(MID(A4619,15,2)),VALUE(MID(A4619,18,2))),"")))</f>
        <v/>
      </c>
    </row>
    <row r="4620" customFormat="false" ht="15" hidden="false" customHeight="false" outlineLevel="0" collapsed="false">
      <c r="I4620" s="15" t="str">
        <f aca="false">IF(N4620="","",INT(N4620))</f>
        <v/>
      </c>
      <c r="J4620" s="16" t="str">
        <f aca="false">IF(B4620="","",IF(N4620=_xlfn.MINIFS($N$2:$N$5001,$B$2:$B$5001,B4620),1,0))</f>
        <v/>
      </c>
      <c r="K4620" s="16" t="str">
        <f aca="false">IF(B4620="","",IF(AND(D4620="Formalização",E4620="Concluído"),IF(COUNTIFS($B$2:$B$5001,B4620,$E$2:$E$5001,"Em ajustes",$N$2:$N$5001,"&lt;"&amp;I4620)&gt;0,1,0),0))</f>
        <v/>
      </c>
      <c r="L4620" s="16" t="str">
        <f aca="false">IF(B4620="","",IF(N4620=_xlfn.MAXIFS($N$2:$N$5001,$B$2:$B$5001,B4620,$I$2:$I$5001,I4620),1,0))</f>
        <v/>
      </c>
      <c r="M4620" s="16" t="str">
        <f aca="false">IF(B4620="","",IF(E4620="Em ajustes",IF(N4620=_xlfn.MINIFS($N$2:$N$5001,$B$2:$B$5001,B4620,$E$2:$E$5001,"Em ajustes"),1,0),0))</f>
        <v/>
      </c>
      <c r="N4620" s="17" t="str">
        <f aca="false">IF(A4620="","",IF(ISNUMBER(A4620),A4620,IFERROR(DATE(VALUE(MID(A4620,7,4)),VALUE(MID(A4620,4,2)),VALUE(MID(A4620,1,2)))+TIME(VALUE(MID(A4620,12,2)),VALUE(MID(A4620,15,2)),VALUE(MID(A4620,18,2))),"")))</f>
        <v/>
      </c>
    </row>
    <row r="4621" customFormat="false" ht="15" hidden="false" customHeight="false" outlineLevel="0" collapsed="false">
      <c r="I4621" s="15" t="str">
        <f aca="false">IF(N4621="","",INT(N4621))</f>
        <v/>
      </c>
      <c r="J4621" s="16" t="str">
        <f aca="false">IF(B4621="","",IF(N4621=_xlfn.MINIFS($N$2:$N$5001,$B$2:$B$5001,B4621),1,0))</f>
        <v/>
      </c>
      <c r="K4621" s="16" t="str">
        <f aca="false">IF(B4621="","",IF(AND(D4621="Formalização",E4621="Concluído"),IF(COUNTIFS($B$2:$B$5001,B4621,$E$2:$E$5001,"Em ajustes",$N$2:$N$5001,"&lt;"&amp;I4621)&gt;0,1,0),0))</f>
        <v/>
      </c>
      <c r="L4621" s="16" t="str">
        <f aca="false">IF(B4621="","",IF(N4621=_xlfn.MAXIFS($N$2:$N$5001,$B$2:$B$5001,B4621,$I$2:$I$5001,I4621),1,0))</f>
        <v/>
      </c>
      <c r="M4621" s="16" t="str">
        <f aca="false">IF(B4621="","",IF(E4621="Em ajustes",IF(N4621=_xlfn.MINIFS($N$2:$N$5001,$B$2:$B$5001,B4621,$E$2:$E$5001,"Em ajustes"),1,0),0))</f>
        <v/>
      </c>
      <c r="N4621" s="17" t="str">
        <f aca="false">IF(A4621="","",IF(ISNUMBER(A4621),A4621,IFERROR(DATE(VALUE(MID(A4621,7,4)),VALUE(MID(A4621,4,2)),VALUE(MID(A4621,1,2)))+TIME(VALUE(MID(A4621,12,2)),VALUE(MID(A4621,15,2)),VALUE(MID(A4621,18,2))),"")))</f>
        <v/>
      </c>
    </row>
    <row r="4622" customFormat="false" ht="15" hidden="false" customHeight="false" outlineLevel="0" collapsed="false">
      <c r="I4622" s="15" t="str">
        <f aca="false">IF(N4622="","",INT(N4622))</f>
        <v/>
      </c>
      <c r="J4622" s="16" t="str">
        <f aca="false">IF(B4622="","",IF(N4622=_xlfn.MINIFS($N$2:$N$5001,$B$2:$B$5001,B4622),1,0))</f>
        <v/>
      </c>
      <c r="K4622" s="16" t="str">
        <f aca="false">IF(B4622="","",IF(AND(D4622="Formalização",E4622="Concluído"),IF(COUNTIFS($B$2:$B$5001,B4622,$E$2:$E$5001,"Em ajustes",$N$2:$N$5001,"&lt;"&amp;I4622)&gt;0,1,0),0))</f>
        <v/>
      </c>
      <c r="L4622" s="16" t="str">
        <f aca="false">IF(B4622="","",IF(N4622=_xlfn.MAXIFS($N$2:$N$5001,$B$2:$B$5001,B4622,$I$2:$I$5001,I4622),1,0))</f>
        <v/>
      </c>
      <c r="M4622" s="16" t="str">
        <f aca="false">IF(B4622="","",IF(E4622="Em ajustes",IF(N4622=_xlfn.MINIFS($N$2:$N$5001,$B$2:$B$5001,B4622,$E$2:$E$5001,"Em ajustes"),1,0),0))</f>
        <v/>
      </c>
      <c r="N4622" s="17" t="str">
        <f aca="false">IF(A4622="","",IF(ISNUMBER(A4622),A4622,IFERROR(DATE(VALUE(MID(A4622,7,4)),VALUE(MID(A4622,4,2)),VALUE(MID(A4622,1,2)))+TIME(VALUE(MID(A4622,12,2)),VALUE(MID(A4622,15,2)),VALUE(MID(A4622,18,2))),"")))</f>
        <v/>
      </c>
    </row>
    <row r="4623" customFormat="false" ht="15" hidden="false" customHeight="false" outlineLevel="0" collapsed="false">
      <c r="I4623" s="15" t="str">
        <f aca="false">IF(N4623="","",INT(N4623))</f>
        <v/>
      </c>
      <c r="J4623" s="16" t="str">
        <f aca="false">IF(B4623="","",IF(N4623=_xlfn.MINIFS($N$2:$N$5001,$B$2:$B$5001,B4623),1,0))</f>
        <v/>
      </c>
      <c r="K4623" s="16" t="str">
        <f aca="false">IF(B4623="","",IF(AND(D4623="Formalização",E4623="Concluído"),IF(COUNTIFS($B$2:$B$5001,B4623,$E$2:$E$5001,"Em ajustes",$N$2:$N$5001,"&lt;"&amp;I4623)&gt;0,1,0),0))</f>
        <v/>
      </c>
      <c r="L4623" s="16" t="str">
        <f aca="false">IF(B4623="","",IF(N4623=_xlfn.MAXIFS($N$2:$N$5001,$B$2:$B$5001,B4623,$I$2:$I$5001,I4623),1,0))</f>
        <v/>
      </c>
      <c r="M4623" s="16" t="str">
        <f aca="false">IF(B4623="","",IF(E4623="Em ajustes",IF(N4623=_xlfn.MINIFS($N$2:$N$5001,$B$2:$B$5001,B4623,$E$2:$E$5001,"Em ajustes"),1,0),0))</f>
        <v/>
      </c>
      <c r="N4623" s="17" t="str">
        <f aca="false">IF(A4623="","",IF(ISNUMBER(A4623),A4623,IFERROR(DATE(VALUE(MID(A4623,7,4)),VALUE(MID(A4623,4,2)),VALUE(MID(A4623,1,2)))+TIME(VALUE(MID(A4623,12,2)),VALUE(MID(A4623,15,2)),VALUE(MID(A4623,18,2))),"")))</f>
        <v/>
      </c>
    </row>
    <row r="4624" customFormat="false" ht="15" hidden="false" customHeight="false" outlineLevel="0" collapsed="false">
      <c r="I4624" s="15" t="str">
        <f aca="false">IF(N4624="","",INT(N4624))</f>
        <v/>
      </c>
      <c r="J4624" s="16" t="str">
        <f aca="false">IF(B4624="","",IF(N4624=_xlfn.MINIFS($N$2:$N$5001,$B$2:$B$5001,B4624),1,0))</f>
        <v/>
      </c>
      <c r="K4624" s="16" t="str">
        <f aca="false">IF(B4624="","",IF(AND(D4624="Formalização",E4624="Concluído"),IF(COUNTIFS($B$2:$B$5001,B4624,$E$2:$E$5001,"Em ajustes",$N$2:$N$5001,"&lt;"&amp;I4624)&gt;0,1,0),0))</f>
        <v/>
      </c>
      <c r="L4624" s="16" t="str">
        <f aca="false">IF(B4624="","",IF(N4624=_xlfn.MAXIFS($N$2:$N$5001,$B$2:$B$5001,B4624,$I$2:$I$5001,I4624),1,0))</f>
        <v/>
      </c>
      <c r="M4624" s="16" t="str">
        <f aca="false">IF(B4624="","",IF(E4624="Em ajustes",IF(N4624=_xlfn.MINIFS($N$2:$N$5001,$B$2:$B$5001,B4624,$E$2:$E$5001,"Em ajustes"),1,0),0))</f>
        <v/>
      </c>
      <c r="N4624" s="17" t="str">
        <f aca="false">IF(A4624="","",IF(ISNUMBER(A4624),A4624,IFERROR(DATE(VALUE(MID(A4624,7,4)),VALUE(MID(A4624,4,2)),VALUE(MID(A4624,1,2)))+TIME(VALUE(MID(A4624,12,2)),VALUE(MID(A4624,15,2)),VALUE(MID(A4624,18,2))),"")))</f>
        <v/>
      </c>
    </row>
    <row r="4625" customFormat="false" ht="15" hidden="false" customHeight="false" outlineLevel="0" collapsed="false">
      <c r="I4625" s="15" t="str">
        <f aca="false">IF(N4625="","",INT(N4625))</f>
        <v/>
      </c>
      <c r="J4625" s="16" t="str">
        <f aca="false">IF(B4625="","",IF(N4625=_xlfn.MINIFS($N$2:$N$5001,$B$2:$B$5001,B4625),1,0))</f>
        <v/>
      </c>
      <c r="K4625" s="16" t="str">
        <f aca="false">IF(B4625="","",IF(AND(D4625="Formalização",E4625="Concluído"),IF(COUNTIFS($B$2:$B$5001,B4625,$E$2:$E$5001,"Em ajustes",$N$2:$N$5001,"&lt;"&amp;I4625)&gt;0,1,0),0))</f>
        <v/>
      </c>
      <c r="L4625" s="16" t="str">
        <f aca="false">IF(B4625="","",IF(N4625=_xlfn.MAXIFS($N$2:$N$5001,$B$2:$B$5001,B4625,$I$2:$I$5001,I4625),1,0))</f>
        <v/>
      </c>
      <c r="M4625" s="16" t="str">
        <f aca="false">IF(B4625="","",IF(E4625="Em ajustes",IF(N4625=_xlfn.MINIFS($N$2:$N$5001,$B$2:$B$5001,B4625,$E$2:$E$5001,"Em ajustes"),1,0),0))</f>
        <v/>
      </c>
      <c r="N4625" s="17" t="str">
        <f aca="false">IF(A4625="","",IF(ISNUMBER(A4625),A4625,IFERROR(DATE(VALUE(MID(A4625,7,4)),VALUE(MID(A4625,4,2)),VALUE(MID(A4625,1,2)))+TIME(VALUE(MID(A4625,12,2)),VALUE(MID(A4625,15,2)),VALUE(MID(A4625,18,2))),"")))</f>
        <v/>
      </c>
    </row>
    <row r="4626" customFormat="false" ht="15" hidden="false" customHeight="false" outlineLevel="0" collapsed="false">
      <c r="I4626" s="15" t="str">
        <f aca="false">IF(N4626="","",INT(N4626))</f>
        <v/>
      </c>
      <c r="J4626" s="16" t="str">
        <f aca="false">IF(B4626="","",IF(N4626=_xlfn.MINIFS($N$2:$N$5001,$B$2:$B$5001,B4626),1,0))</f>
        <v/>
      </c>
      <c r="K4626" s="16" t="str">
        <f aca="false">IF(B4626="","",IF(AND(D4626="Formalização",E4626="Concluído"),IF(COUNTIFS($B$2:$B$5001,B4626,$E$2:$E$5001,"Em ajustes",$N$2:$N$5001,"&lt;"&amp;I4626)&gt;0,1,0),0))</f>
        <v/>
      </c>
      <c r="L4626" s="16" t="str">
        <f aca="false">IF(B4626="","",IF(N4626=_xlfn.MAXIFS($N$2:$N$5001,$B$2:$B$5001,B4626,$I$2:$I$5001,I4626),1,0))</f>
        <v/>
      </c>
      <c r="M4626" s="16" t="str">
        <f aca="false">IF(B4626="","",IF(E4626="Em ajustes",IF(N4626=_xlfn.MINIFS($N$2:$N$5001,$B$2:$B$5001,B4626,$E$2:$E$5001,"Em ajustes"),1,0),0))</f>
        <v/>
      </c>
      <c r="N4626" s="17" t="str">
        <f aca="false">IF(A4626="","",IF(ISNUMBER(A4626),A4626,IFERROR(DATE(VALUE(MID(A4626,7,4)),VALUE(MID(A4626,4,2)),VALUE(MID(A4626,1,2)))+TIME(VALUE(MID(A4626,12,2)),VALUE(MID(A4626,15,2)),VALUE(MID(A4626,18,2))),"")))</f>
        <v/>
      </c>
    </row>
    <row r="4627" customFormat="false" ht="15" hidden="false" customHeight="false" outlineLevel="0" collapsed="false">
      <c r="I4627" s="15" t="str">
        <f aca="false">IF(N4627="","",INT(N4627))</f>
        <v/>
      </c>
      <c r="J4627" s="16" t="str">
        <f aca="false">IF(B4627="","",IF(N4627=_xlfn.MINIFS($N$2:$N$5001,$B$2:$B$5001,B4627),1,0))</f>
        <v/>
      </c>
      <c r="K4627" s="16" t="str">
        <f aca="false">IF(B4627="","",IF(AND(D4627="Formalização",E4627="Concluído"),IF(COUNTIFS($B$2:$B$5001,B4627,$E$2:$E$5001,"Em ajustes",$N$2:$N$5001,"&lt;"&amp;I4627)&gt;0,1,0),0))</f>
        <v/>
      </c>
      <c r="L4627" s="16" t="str">
        <f aca="false">IF(B4627="","",IF(N4627=_xlfn.MAXIFS($N$2:$N$5001,$B$2:$B$5001,B4627,$I$2:$I$5001,I4627),1,0))</f>
        <v/>
      </c>
      <c r="M4627" s="16" t="str">
        <f aca="false">IF(B4627="","",IF(E4627="Em ajustes",IF(N4627=_xlfn.MINIFS($N$2:$N$5001,$B$2:$B$5001,B4627,$E$2:$E$5001,"Em ajustes"),1,0),0))</f>
        <v/>
      </c>
      <c r="N4627" s="17" t="str">
        <f aca="false">IF(A4627="","",IF(ISNUMBER(A4627),A4627,IFERROR(DATE(VALUE(MID(A4627,7,4)),VALUE(MID(A4627,4,2)),VALUE(MID(A4627,1,2)))+TIME(VALUE(MID(A4627,12,2)),VALUE(MID(A4627,15,2)),VALUE(MID(A4627,18,2))),"")))</f>
        <v/>
      </c>
    </row>
    <row r="4628" customFormat="false" ht="15" hidden="false" customHeight="false" outlineLevel="0" collapsed="false">
      <c r="I4628" s="15" t="str">
        <f aca="false">IF(N4628="","",INT(N4628))</f>
        <v/>
      </c>
      <c r="J4628" s="16" t="str">
        <f aca="false">IF(B4628="","",IF(N4628=_xlfn.MINIFS($N$2:$N$5001,$B$2:$B$5001,B4628),1,0))</f>
        <v/>
      </c>
      <c r="K4628" s="16" t="str">
        <f aca="false">IF(B4628="","",IF(AND(D4628="Formalização",E4628="Concluído"),IF(COUNTIFS($B$2:$B$5001,B4628,$E$2:$E$5001,"Em ajustes",$N$2:$N$5001,"&lt;"&amp;I4628)&gt;0,1,0),0))</f>
        <v/>
      </c>
      <c r="L4628" s="16" t="str">
        <f aca="false">IF(B4628="","",IF(N4628=_xlfn.MAXIFS($N$2:$N$5001,$B$2:$B$5001,B4628,$I$2:$I$5001,I4628),1,0))</f>
        <v/>
      </c>
      <c r="M4628" s="16" t="str">
        <f aca="false">IF(B4628="","",IF(E4628="Em ajustes",IF(N4628=_xlfn.MINIFS($N$2:$N$5001,$B$2:$B$5001,B4628,$E$2:$E$5001,"Em ajustes"),1,0),0))</f>
        <v/>
      </c>
      <c r="N4628" s="17" t="str">
        <f aca="false">IF(A4628="","",IF(ISNUMBER(A4628),A4628,IFERROR(DATE(VALUE(MID(A4628,7,4)),VALUE(MID(A4628,4,2)),VALUE(MID(A4628,1,2)))+TIME(VALUE(MID(A4628,12,2)),VALUE(MID(A4628,15,2)),VALUE(MID(A4628,18,2))),"")))</f>
        <v/>
      </c>
    </row>
    <row r="4629" customFormat="false" ht="15" hidden="false" customHeight="false" outlineLevel="0" collapsed="false">
      <c r="I4629" s="15" t="str">
        <f aca="false">IF(N4629="","",INT(N4629))</f>
        <v/>
      </c>
      <c r="J4629" s="16" t="str">
        <f aca="false">IF(B4629="","",IF(N4629=_xlfn.MINIFS($N$2:$N$5001,$B$2:$B$5001,B4629),1,0))</f>
        <v/>
      </c>
      <c r="K4629" s="16" t="str">
        <f aca="false">IF(B4629="","",IF(AND(D4629="Formalização",E4629="Concluído"),IF(COUNTIFS($B$2:$B$5001,B4629,$E$2:$E$5001,"Em ajustes",$N$2:$N$5001,"&lt;"&amp;I4629)&gt;0,1,0),0))</f>
        <v/>
      </c>
      <c r="L4629" s="16" t="str">
        <f aca="false">IF(B4629="","",IF(N4629=_xlfn.MAXIFS($N$2:$N$5001,$B$2:$B$5001,B4629,$I$2:$I$5001,I4629),1,0))</f>
        <v/>
      </c>
      <c r="M4629" s="16" t="str">
        <f aca="false">IF(B4629="","",IF(E4629="Em ajustes",IF(N4629=_xlfn.MINIFS($N$2:$N$5001,$B$2:$B$5001,B4629,$E$2:$E$5001,"Em ajustes"),1,0),0))</f>
        <v/>
      </c>
      <c r="N4629" s="17" t="str">
        <f aca="false">IF(A4629="","",IF(ISNUMBER(A4629),A4629,IFERROR(DATE(VALUE(MID(A4629,7,4)),VALUE(MID(A4629,4,2)),VALUE(MID(A4629,1,2)))+TIME(VALUE(MID(A4629,12,2)),VALUE(MID(A4629,15,2)),VALUE(MID(A4629,18,2))),"")))</f>
        <v/>
      </c>
    </row>
    <row r="4630" customFormat="false" ht="15" hidden="false" customHeight="false" outlineLevel="0" collapsed="false">
      <c r="I4630" s="15" t="str">
        <f aca="false">IF(N4630="","",INT(N4630))</f>
        <v/>
      </c>
      <c r="J4630" s="16" t="str">
        <f aca="false">IF(B4630="","",IF(N4630=_xlfn.MINIFS($N$2:$N$5001,$B$2:$B$5001,B4630),1,0))</f>
        <v/>
      </c>
      <c r="K4630" s="16" t="str">
        <f aca="false">IF(B4630="","",IF(AND(D4630="Formalização",E4630="Concluído"),IF(COUNTIFS($B$2:$B$5001,B4630,$E$2:$E$5001,"Em ajustes",$N$2:$N$5001,"&lt;"&amp;I4630)&gt;0,1,0),0))</f>
        <v/>
      </c>
      <c r="L4630" s="16" t="str">
        <f aca="false">IF(B4630="","",IF(N4630=_xlfn.MAXIFS($N$2:$N$5001,$B$2:$B$5001,B4630,$I$2:$I$5001,I4630),1,0))</f>
        <v/>
      </c>
      <c r="M4630" s="16" t="str">
        <f aca="false">IF(B4630="","",IF(E4630="Em ajustes",IF(N4630=_xlfn.MINIFS($N$2:$N$5001,$B$2:$B$5001,B4630,$E$2:$E$5001,"Em ajustes"),1,0),0))</f>
        <v/>
      </c>
      <c r="N4630" s="17" t="str">
        <f aca="false">IF(A4630="","",IF(ISNUMBER(A4630),A4630,IFERROR(DATE(VALUE(MID(A4630,7,4)),VALUE(MID(A4630,4,2)),VALUE(MID(A4630,1,2)))+TIME(VALUE(MID(A4630,12,2)),VALUE(MID(A4630,15,2)),VALUE(MID(A4630,18,2))),"")))</f>
        <v/>
      </c>
    </row>
    <row r="4631" customFormat="false" ht="15" hidden="false" customHeight="false" outlineLevel="0" collapsed="false">
      <c r="I4631" s="15" t="str">
        <f aca="false">IF(N4631="","",INT(N4631))</f>
        <v/>
      </c>
      <c r="J4631" s="16" t="str">
        <f aca="false">IF(B4631="","",IF(N4631=_xlfn.MINIFS($N$2:$N$5001,$B$2:$B$5001,B4631),1,0))</f>
        <v/>
      </c>
      <c r="K4631" s="16" t="str">
        <f aca="false">IF(B4631="","",IF(AND(D4631="Formalização",E4631="Concluído"),IF(COUNTIFS($B$2:$B$5001,B4631,$E$2:$E$5001,"Em ajustes",$N$2:$N$5001,"&lt;"&amp;I4631)&gt;0,1,0),0))</f>
        <v/>
      </c>
      <c r="L4631" s="16" t="str">
        <f aca="false">IF(B4631="","",IF(N4631=_xlfn.MAXIFS($N$2:$N$5001,$B$2:$B$5001,B4631,$I$2:$I$5001,I4631),1,0))</f>
        <v/>
      </c>
      <c r="M4631" s="16" t="str">
        <f aca="false">IF(B4631="","",IF(E4631="Em ajustes",IF(N4631=_xlfn.MINIFS($N$2:$N$5001,$B$2:$B$5001,B4631,$E$2:$E$5001,"Em ajustes"),1,0),0))</f>
        <v/>
      </c>
      <c r="N4631" s="17" t="str">
        <f aca="false">IF(A4631="","",IF(ISNUMBER(A4631),A4631,IFERROR(DATE(VALUE(MID(A4631,7,4)),VALUE(MID(A4631,4,2)),VALUE(MID(A4631,1,2)))+TIME(VALUE(MID(A4631,12,2)),VALUE(MID(A4631,15,2)),VALUE(MID(A4631,18,2))),"")))</f>
        <v/>
      </c>
    </row>
    <row r="4632" customFormat="false" ht="15" hidden="false" customHeight="false" outlineLevel="0" collapsed="false">
      <c r="I4632" s="15" t="str">
        <f aca="false">IF(N4632="","",INT(N4632))</f>
        <v/>
      </c>
      <c r="J4632" s="16" t="str">
        <f aca="false">IF(B4632="","",IF(N4632=_xlfn.MINIFS($N$2:$N$5001,$B$2:$B$5001,B4632),1,0))</f>
        <v/>
      </c>
      <c r="K4632" s="16" t="str">
        <f aca="false">IF(B4632="","",IF(AND(D4632="Formalização",E4632="Concluído"),IF(COUNTIFS($B$2:$B$5001,B4632,$E$2:$E$5001,"Em ajustes",$N$2:$N$5001,"&lt;"&amp;I4632)&gt;0,1,0),0))</f>
        <v/>
      </c>
      <c r="L4632" s="16" t="str">
        <f aca="false">IF(B4632="","",IF(N4632=_xlfn.MAXIFS($N$2:$N$5001,$B$2:$B$5001,B4632,$I$2:$I$5001,I4632),1,0))</f>
        <v/>
      </c>
      <c r="M4632" s="16" t="str">
        <f aca="false">IF(B4632="","",IF(E4632="Em ajustes",IF(N4632=_xlfn.MINIFS($N$2:$N$5001,$B$2:$B$5001,B4632,$E$2:$E$5001,"Em ajustes"),1,0),0))</f>
        <v/>
      </c>
      <c r="N4632" s="17" t="str">
        <f aca="false">IF(A4632="","",IF(ISNUMBER(A4632),A4632,IFERROR(DATE(VALUE(MID(A4632,7,4)),VALUE(MID(A4632,4,2)),VALUE(MID(A4632,1,2)))+TIME(VALUE(MID(A4632,12,2)),VALUE(MID(A4632,15,2)),VALUE(MID(A4632,18,2))),"")))</f>
        <v/>
      </c>
    </row>
    <row r="4633" customFormat="false" ht="15" hidden="false" customHeight="false" outlineLevel="0" collapsed="false">
      <c r="I4633" s="15" t="str">
        <f aca="false">IF(N4633="","",INT(N4633))</f>
        <v/>
      </c>
      <c r="J4633" s="16" t="str">
        <f aca="false">IF(B4633="","",IF(N4633=_xlfn.MINIFS($N$2:$N$5001,$B$2:$B$5001,B4633),1,0))</f>
        <v/>
      </c>
      <c r="K4633" s="16" t="str">
        <f aca="false">IF(B4633="","",IF(AND(D4633="Formalização",E4633="Concluído"),IF(COUNTIFS($B$2:$B$5001,B4633,$E$2:$E$5001,"Em ajustes",$N$2:$N$5001,"&lt;"&amp;I4633)&gt;0,1,0),0))</f>
        <v/>
      </c>
      <c r="L4633" s="16" t="str">
        <f aca="false">IF(B4633="","",IF(N4633=_xlfn.MAXIFS($N$2:$N$5001,$B$2:$B$5001,B4633,$I$2:$I$5001,I4633),1,0))</f>
        <v/>
      </c>
      <c r="M4633" s="16" t="str">
        <f aca="false">IF(B4633="","",IF(E4633="Em ajustes",IF(N4633=_xlfn.MINIFS($N$2:$N$5001,$B$2:$B$5001,B4633,$E$2:$E$5001,"Em ajustes"),1,0),0))</f>
        <v/>
      </c>
      <c r="N4633" s="17" t="str">
        <f aca="false">IF(A4633="","",IF(ISNUMBER(A4633),A4633,IFERROR(DATE(VALUE(MID(A4633,7,4)),VALUE(MID(A4633,4,2)),VALUE(MID(A4633,1,2)))+TIME(VALUE(MID(A4633,12,2)),VALUE(MID(A4633,15,2)),VALUE(MID(A4633,18,2))),"")))</f>
        <v/>
      </c>
    </row>
    <row r="4634" customFormat="false" ht="15" hidden="false" customHeight="false" outlineLevel="0" collapsed="false">
      <c r="I4634" s="15" t="str">
        <f aca="false">IF(N4634="","",INT(N4634))</f>
        <v/>
      </c>
      <c r="J4634" s="16" t="str">
        <f aca="false">IF(B4634="","",IF(N4634=_xlfn.MINIFS($N$2:$N$5001,$B$2:$B$5001,B4634),1,0))</f>
        <v/>
      </c>
      <c r="K4634" s="16" t="str">
        <f aca="false">IF(B4634="","",IF(AND(D4634="Formalização",E4634="Concluído"),IF(COUNTIFS($B$2:$B$5001,B4634,$E$2:$E$5001,"Em ajustes",$N$2:$N$5001,"&lt;"&amp;I4634)&gt;0,1,0),0))</f>
        <v/>
      </c>
      <c r="L4634" s="16" t="str">
        <f aca="false">IF(B4634="","",IF(N4634=_xlfn.MAXIFS($N$2:$N$5001,$B$2:$B$5001,B4634,$I$2:$I$5001,I4634),1,0))</f>
        <v/>
      </c>
      <c r="M4634" s="16" t="str">
        <f aca="false">IF(B4634="","",IF(E4634="Em ajustes",IF(N4634=_xlfn.MINIFS($N$2:$N$5001,$B$2:$B$5001,B4634,$E$2:$E$5001,"Em ajustes"),1,0),0))</f>
        <v/>
      </c>
      <c r="N4634" s="17" t="str">
        <f aca="false">IF(A4634="","",IF(ISNUMBER(A4634),A4634,IFERROR(DATE(VALUE(MID(A4634,7,4)),VALUE(MID(A4634,4,2)),VALUE(MID(A4634,1,2)))+TIME(VALUE(MID(A4634,12,2)),VALUE(MID(A4634,15,2)),VALUE(MID(A4634,18,2))),"")))</f>
        <v/>
      </c>
    </row>
    <row r="4635" customFormat="false" ht="15" hidden="false" customHeight="false" outlineLevel="0" collapsed="false">
      <c r="I4635" s="15" t="str">
        <f aca="false">IF(N4635="","",INT(N4635))</f>
        <v/>
      </c>
      <c r="J4635" s="16" t="str">
        <f aca="false">IF(B4635="","",IF(N4635=_xlfn.MINIFS($N$2:$N$5001,$B$2:$B$5001,B4635),1,0))</f>
        <v/>
      </c>
      <c r="K4635" s="16" t="str">
        <f aca="false">IF(B4635="","",IF(AND(D4635="Formalização",E4635="Concluído"),IF(COUNTIFS($B$2:$B$5001,B4635,$E$2:$E$5001,"Em ajustes",$N$2:$N$5001,"&lt;"&amp;I4635)&gt;0,1,0),0))</f>
        <v/>
      </c>
      <c r="L4635" s="16" t="str">
        <f aca="false">IF(B4635="","",IF(N4635=_xlfn.MAXIFS($N$2:$N$5001,$B$2:$B$5001,B4635,$I$2:$I$5001,I4635),1,0))</f>
        <v/>
      </c>
      <c r="M4635" s="16" t="str">
        <f aca="false">IF(B4635="","",IF(E4635="Em ajustes",IF(N4635=_xlfn.MINIFS($N$2:$N$5001,$B$2:$B$5001,B4635,$E$2:$E$5001,"Em ajustes"),1,0),0))</f>
        <v/>
      </c>
      <c r="N4635" s="17" t="str">
        <f aca="false">IF(A4635="","",IF(ISNUMBER(A4635),A4635,IFERROR(DATE(VALUE(MID(A4635,7,4)),VALUE(MID(A4635,4,2)),VALUE(MID(A4635,1,2)))+TIME(VALUE(MID(A4635,12,2)),VALUE(MID(A4635,15,2)),VALUE(MID(A4635,18,2))),"")))</f>
        <v/>
      </c>
    </row>
    <row r="4636" customFormat="false" ht="15" hidden="false" customHeight="false" outlineLevel="0" collapsed="false">
      <c r="I4636" s="15" t="str">
        <f aca="false">IF(N4636="","",INT(N4636))</f>
        <v/>
      </c>
      <c r="J4636" s="16" t="str">
        <f aca="false">IF(B4636="","",IF(N4636=_xlfn.MINIFS($N$2:$N$5001,$B$2:$B$5001,B4636),1,0))</f>
        <v/>
      </c>
      <c r="K4636" s="16" t="str">
        <f aca="false">IF(B4636="","",IF(AND(D4636="Formalização",E4636="Concluído"),IF(COUNTIFS($B$2:$B$5001,B4636,$E$2:$E$5001,"Em ajustes",$N$2:$N$5001,"&lt;"&amp;I4636)&gt;0,1,0),0))</f>
        <v/>
      </c>
      <c r="L4636" s="16" t="str">
        <f aca="false">IF(B4636="","",IF(N4636=_xlfn.MAXIFS($N$2:$N$5001,$B$2:$B$5001,B4636,$I$2:$I$5001,I4636),1,0))</f>
        <v/>
      </c>
      <c r="M4636" s="16" t="str">
        <f aca="false">IF(B4636="","",IF(E4636="Em ajustes",IF(N4636=_xlfn.MINIFS($N$2:$N$5001,$B$2:$B$5001,B4636,$E$2:$E$5001,"Em ajustes"),1,0),0))</f>
        <v/>
      </c>
      <c r="N4636" s="17" t="str">
        <f aca="false">IF(A4636="","",IF(ISNUMBER(A4636),A4636,IFERROR(DATE(VALUE(MID(A4636,7,4)),VALUE(MID(A4636,4,2)),VALUE(MID(A4636,1,2)))+TIME(VALUE(MID(A4636,12,2)),VALUE(MID(A4636,15,2)),VALUE(MID(A4636,18,2))),"")))</f>
        <v/>
      </c>
    </row>
    <row r="4637" customFormat="false" ht="15" hidden="false" customHeight="false" outlineLevel="0" collapsed="false">
      <c r="I4637" s="15" t="str">
        <f aca="false">IF(N4637="","",INT(N4637))</f>
        <v/>
      </c>
      <c r="J4637" s="16" t="str">
        <f aca="false">IF(B4637="","",IF(N4637=_xlfn.MINIFS($N$2:$N$5001,$B$2:$B$5001,B4637),1,0))</f>
        <v/>
      </c>
      <c r="K4637" s="16" t="str">
        <f aca="false">IF(B4637="","",IF(AND(D4637="Formalização",E4637="Concluído"),IF(COUNTIFS($B$2:$B$5001,B4637,$E$2:$E$5001,"Em ajustes",$N$2:$N$5001,"&lt;"&amp;I4637)&gt;0,1,0),0))</f>
        <v/>
      </c>
      <c r="L4637" s="16" t="str">
        <f aca="false">IF(B4637="","",IF(N4637=_xlfn.MAXIFS($N$2:$N$5001,$B$2:$B$5001,B4637,$I$2:$I$5001,I4637),1,0))</f>
        <v/>
      </c>
      <c r="M4637" s="16" t="str">
        <f aca="false">IF(B4637="","",IF(E4637="Em ajustes",IF(N4637=_xlfn.MINIFS($N$2:$N$5001,$B$2:$B$5001,B4637,$E$2:$E$5001,"Em ajustes"),1,0),0))</f>
        <v/>
      </c>
      <c r="N4637" s="17" t="str">
        <f aca="false">IF(A4637="","",IF(ISNUMBER(A4637),A4637,IFERROR(DATE(VALUE(MID(A4637,7,4)),VALUE(MID(A4637,4,2)),VALUE(MID(A4637,1,2)))+TIME(VALUE(MID(A4637,12,2)),VALUE(MID(A4637,15,2)),VALUE(MID(A4637,18,2))),"")))</f>
        <v/>
      </c>
    </row>
    <row r="4638" customFormat="false" ht="15" hidden="false" customHeight="false" outlineLevel="0" collapsed="false">
      <c r="I4638" s="15" t="str">
        <f aca="false">IF(N4638="","",INT(N4638))</f>
        <v/>
      </c>
      <c r="J4638" s="16" t="str">
        <f aca="false">IF(B4638="","",IF(N4638=_xlfn.MINIFS($N$2:$N$5001,$B$2:$B$5001,B4638),1,0))</f>
        <v/>
      </c>
      <c r="K4638" s="16" t="str">
        <f aca="false">IF(B4638="","",IF(AND(D4638="Formalização",E4638="Concluído"),IF(COUNTIFS($B$2:$B$5001,B4638,$E$2:$E$5001,"Em ajustes",$N$2:$N$5001,"&lt;"&amp;I4638)&gt;0,1,0),0))</f>
        <v/>
      </c>
      <c r="L4638" s="16" t="str">
        <f aca="false">IF(B4638="","",IF(N4638=_xlfn.MAXIFS($N$2:$N$5001,$B$2:$B$5001,B4638,$I$2:$I$5001,I4638),1,0))</f>
        <v/>
      </c>
      <c r="M4638" s="16" t="str">
        <f aca="false">IF(B4638="","",IF(E4638="Em ajustes",IF(N4638=_xlfn.MINIFS($N$2:$N$5001,$B$2:$B$5001,B4638,$E$2:$E$5001,"Em ajustes"),1,0),0))</f>
        <v/>
      </c>
      <c r="N4638" s="17" t="str">
        <f aca="false">IF(A4638="","",IF(ISNUMBER(A4638),A4638,IFERROR(DATE(VALUE(MID(A4638,7,4)),VALUE(MID(A4638,4,2)),VALUE(MID(A4638,1,2)))+TIME(VALUE(MID(A4638,12,2)),VALUE(MID(A4638,15,2)),VALUE(MID(A4638,18,2))),"")))</f>
        <v/>
      </c>
    </row>
    <row r="4639" customFormat="false" ht="15" hidden="false" customHeight="false" outlineLevel="0" collapsed="false">
      <c r="I4639" s="15" t="str">
        <f aca="false">IF(N4639="","",INT(N4639))</f>
        <v/>
      </c>
      <c r="J4639" s="16" t="str">
        <f aca="false">IF(B4639="","",IF(N4639=_xlfn.MINIFS($N$2:$N$5001,$B$2:$B$5001,B4639),1,0))</f>
        <v/>
      </c>
      <c r="K4639" s="16" t="str">
        <f aca="false">IF(B4639="","",IF(AND(D4639="Formalização",E4639="Concluído"),IF(COUNTIFS($B$2:$B$5001,B4639,$E$2:$E$5001,"Em ajustes",$N$2:$N$5001,"&lt;"&amp;I4639)&gt;0,1,0),0))</f>
        <v/>
      </c>
      <c r="L4639" s="16" t="str">
        <f aca="false">IF(B4639="","",IF(N4639=_xlfn.MAXIFS($N$2:$N$5001,$B$2:$B$5001,B4639,$I$2:$I$5001,I4639),1,0))</f>
        <v/>
      </c>
      <c r="M4639" s="16" t="str">
        <f aca="false">IF(B4639="","",IF(E4639="Em ajustes",IF(N4639=_xlfn.MINIFS($N$2:$N$5001,$B$2:$B$5001,B4639,$E$2:$E$5001,"Em ajustes"),1,0),0))</f>
        <v/>
      </c>
      <c r="N4639" s="17" t="str">
        <f aca="false">IF(A4639="","",IF(ISNUMBER(A4639),A4639,IFERROR(DATE(VALUE(MID(A4639,7,4)),VALUE(MID(A4639,4,2)),VALUE(MID(A4639,1,2)))+TIME(VALUE(MID(A4639,12,2)),VALUE(MID(A4639,15,2)),VALUE(MID(A4639,18,2))),"")))</f>
        <v/>
      </c>
    </row>
    <row r="4640" customFormat="false" ht="15" hidden="false" customHeight="false" outlineLevel="0" collapsed="false">
      <c r="I4640" s="15" t="str">
        <f aca="false">IF(N4640="","",INT(N4640))</f>
        <v/>
      </c>
      <c r="J4640" s="16" t="str">
        <f aca="false">IF(B4640="","",IF(N4640=_xlfn.MINIFS($N$2:$N$5001,$B$2:$B$5001,B4640),1,0))</f>
        <v/>
      </c>
      <c r="K4640" s="16" t="str">
        <f aca="false">IF(B4640="","",IF(AND(D4640="Formalização",E4640="Concluído"),IF(COUNTIFS($B$2:$B$5001,B4640,$E$2:$E$5001,"Em ajustes",$N$2:$N$5001,"&lt;"&amp;I4640)&gt;0,1,0),0))</f>
        <v/>
      </c>
      <c r="L4640" s="16" t="str">
        <f aca="false">IF(B4640="","",IF(N4640=_xlfn.MAXIFS($N$2:$N$5001,$B$2:$B$5001,B4640,$I$2:$I$5001,I4640),1,0))</f>
        <v/>
      </c>
      <c r="M4640" s="16" t="str">
        <f aca="false">IF(B4640="","",IF(E4640="Em ajustes",IF(N4640=_xlfn.MINIFS($N$2:$N$5001,$B$2:$B$5001,B4640,$E$2:$E$5001,"Em ajustes"),1,0),0))</f>
        <v/>
      </c>
      <c r="N4640" s="17" t="str">
        <f aca="false">IF(A4640="","",IF(ISNUMBER(A4640),A4640,IFERROR(DATE(VALUE(MID(A4640,7,4)),VALUE(MID(A4640,4,2)),VALUE(MID(A4640,1,2)))+TIME(VALUE(MID(A4640,12,2)),VALUE(MID(A4640,15,2)),VALUE(MID(A4640,18,2))),"")))</f>
        <v/>
      </c>
    </row>
    <row r="4641" customFormat="false" ht="15" hidden="false" customHeight="false" outlineLevel="0" collapsed="false">
      <c r="I4641" s="15" t="str">
        <f aca="false">IF(N4641="","",INT(N4641))</f>
        <v/>
      </c>
      <c r="J4641" s="16" t="str">
        <f aca="false">IF(B4641="","",IF(N4641=_xlfn.MINIFS($N$2:$N$5001,$B$2:$B$5001,B4641),1,0))</f>
        <v/>
      </c>
      <c r="K4641" s="16" t="str">
        <f aca="false">IF(B4641="","",IF(AND(D4641="Formalização",E4641="Concluído"),IF(COUNTIFS($B$2:$B$5001,B4641,$E$2:$E$5001,"Em ajustes",$N$2:$N$5001,"&lt;"&amp;I4641)&gt;0,1,0),0))</f>
        <v/>
      </c>
      <c r="L4641" s="16" t="str">
        <f aca="false">IF(B4641="","",IF(N4641=_xlfn.MAXIFS($N$2:$N$5001,$B$2:$B$5001,B4641,$I$2:$I$5001,I4641),1,0))</f>
        <v/>
      </c>
      <c r="M4641" s="16" t="str">
        <f aca="false">IF(B4641="","",IF(E4641="Em ajustes",IF(N4641=_xlfn.MINIFS($N$2:$N$5001,$B$2:$B$5001,B4641,$E$2:$E$5001,"Em ajustes"),1,0),0))</f>
        <v/>
      </c>
      <c r="N4641" s="17" t="str">
        <f aca="false">IF(A4641="","",IF(ISNUMBER(A4641),A4641,IFERROR(DATE(VALUE(MID(A4641,7,4)),VALUE(MID(A4641,4,2)),VALUE(MID(A4641,1,2)))+TIME(VALUE(MID(A4641,12,2)),VALUE(MID(A4641,15,2)),VALUE(MID(A4641,18,2))),"")))</f>
        <v/>
      </c>
    </row>
    <row r="4642" customFormat="false" ht="15" hidden="false" customHeight="false" outlineLevel="0" collapsed="false">
      <c r="I4642" s="15" t="str">
        <f aca="false">IF(N4642="","",INT(N4642))</f>
        <v/>
      </c>
      <c r="J4642" s="16" t="str">
        <f aca="false">IF(B4642="","",IF(N4642=_xlfn.MINIFS($N$2:$N$5001,$B$2:$B$5001,B4642),1,0))</f>
        <v/>
      </c>
      <c r="K4642" s="16" t="str">
        <f aca="false">IF(B4642="","",IF(AND(D4642="Formalização",E4642="Concluído"),IF(COUNTIFS($B$2:$B$5001,B4642,$E$2:$E$5001,"Em ajustes",$N$2:$N$5001,"&lt;"&amp;I4642)&gt;0,1,0),0))</f>
        <v/>
      </c>
      <c r="L4642" s="16" t="str">
        <f aca="false">IF(B4642="","",IF(N4642=_xlfn.MAXIFS($N$2:$N$5001,$B$2:$B$5001,B4642,$I$2:$I$5001,I4642),1,0))</f>
        <v/>
      </c>
      <c r="M4642" s="16" t="str">
        <f aca="false">IF(B4642="","",IF(E4642="Em ajustes",IF(N4642=_xlfn.MINIFS($N$2:$N$5001,$B$2:$B$5001,B4642,$E$2:$E$5001,"Em ajustes"),1,0),0))</f>
        <v/>
      </c>
      <c r="N4642" s="17" t="str">
        <f aca="false">IF(A4642="","",IF(ISNUMBER(A4642),A4642,IFERROR(DATE(VALUE(MID(A4642,7,4)),VALUE(MID(A4642,4,2)),VALUE(MID(A4642,1,2)))+TIME(VALUE(MID(A4642,12,2)),VALUE(MID(A4642,15,2)),VALUE(MID(A4642,18,2))),"")))</f>
        <v/>
      </c>
    </row>
    <row r="4643" customFormat="false" ht="15" hidden="false" customHeight="false" outlineLevel="0" collapsed="false">
      <c r="I4643" s="15" t="str">
        <f aca="false">IF(N4643="","",INT(N4643))</f>
        <v/>
      </c>
      <c r="J4643" s="16" t="str">
        <f aca="false">IF(B4643="","",IF(N4643=_xlfn.MINIFS($N$2:$N$5001,$B$2:$B$5001,B4643),1,0))</f>
        <v/>
      </c>
      <c r="K4643" s="16" t="str">
        <f aca="false">IF(B4643="","",IF(AND(D4643="Formalização",E4643="Concluído"),IF(COUNTIFS($B$2:$B$5001,B4643,$E$2:$E$5001,"Em ajustes",$N$2:$N$5001,"&lt;"&amp;I4643)&gt;0,1,0),0))</f>
        <v/>
      </c>
      <c r="L4643" s="16" t="str">
        <f aca="false">IF(B4643="","",IF(N4643=_xlfn.MAXIFS($N$2:$N$5001,$B$2:$B$5001,B4643,$I$2:$I$5001,I4643),1,0))</f>
        <v/>
      </c>
      <c r="M4643" s="16" t="str">
        <f aca="false">IF(B4643="","",IF(E4643="Em ajustes",IF(N4643=_xlfn.MINIFS($N$2:$N$5001,$B$2:$B$5001,B4643,$E$2:$E$5001,"Em ajustes"),1,0),0))</f>
        <v/>
      </c>
      <c r="N4643" s="17" t="str">
        <f aca="false">IF(A4643="","",IF(ISNUMBER(A4643),A4643,IFERROR(DATE(VALUE(MID(A4643,7,4)),VALUE(MID(A4643,4,2)),VALUE(MID(A4643,1,2)))+TIME(VALUE(MID(A4643,12,2)),VALUE(MID(A4643,15,2)),VALUE(MID(A4643,18,2))),"")))</f>
        <v/>
      </c>
    </row>
    <row r="4644" customFormat="false" ht="15" hidden="false" customHeight="false" outlineLevel="0" collapsed="false">
      <c r="I4644" s="15" t="str">
        <f aca="false">IF(N4644="","",INT(N4644))</f>
        <v/>
      </c>
      <c r="J4644" s="16" t="str">
        <f aca="false">IF(B4644="","",IF(N4644=_xlfn.MINIFS($N$2:$N$5001,$B$2:$B$5001,B4644),1,0))</f>
        <v/>
      </c>
      <c r="K4644" s="16" t="str">
        <f aca="false">IF(B4644="","",IF(AND(D4644="Formalização",E4644="Concluído"),IF(COUNTIFS($B$2:$B$5001,B4644,$E$2:$E$5001,"Em ajustes",$N$2:$N$5001,"&lt;"&amp;I4644)&gt;0,1,0),0))</f>
        <v/>
      </c>
      <c r="L4644" s="16" t="str">
        <f aca="false">IF(B4644="","",IF(N4644=_xlfn.MAXIFS($N$2:$N$5001,$B$2:$B$5001,B4644,$I$2:$I$5001,I4644),1,0))</f>
        <v/>
      </c>
      <c r="M4644" s="16" t="str">
        <f aca="false">IF(B4644="","",IF(E4644="Em ajustes",IF(N4644=_xlfn.MINIFS($N$2:$N$5001,$B$2:$B$5001,B4644,$E$2:$E$5001,"Em ajustes"),1,0),0))</f>
        <v/>
      </c>
      <c r="N4644" s="17" t="str">
        <f aca="false">IF(A4644="","",IF(ISNUMBER(A4644),A4644,IFERROR(DATE(VALUE(MID(A4644,7,4)),VALUE(MID(A4644,4,2)),VALUE(MID(A4644,1,2)))+TIME(VALUE(MID(A4644,12,2)),VALUE(MID(A4644,15,2)),VALUE(MID(A4644,18,2))),"")))</f>
        <v/>
      </c>
    </row>
    <row r="4645" customFormat="false" ht="15" hidden="false" customHeight="false" outlineLevel="0" collapsed="false">
      <c r="I4645" s="15" t="str">
        <f aca="false">IF(N4645="","",INT(N4645))</f>
        <v/>
      </c>
      <c r="J4645" s="16" t="str">
        <f aca="false">IF(B4645="","",IF(N4645=_xlfn.MINIFS($N$2:$N$5001,$B$2:$B$5001,B4645),1,0))</f>
        <v/>
      </c>
      <c r="K4645" s="16" t="str">
        <f aca="false">IF(B4645="","",IF(AND(D4645="Formalização",E4645="Concluído"),IF(COUNTIFS($B$2:$B$5001,B4645,$E$2:$E$5001,"Em ajustes",$N$2:$N$5001,"&lt;"&amp;I4645)&gt;0,1,0),0))</f>
        <v/>
      </c>
      <c r="L4645" s="16" t="str">
        <f aca="false">IF(B4645="","",IF(N4645=_xlfn.MAXIFS($N$2:$N$5001,$B$2:$B$5001,B4645,$I$2:$I$5001,I4645),1,0))</f>
        <v/>
      </c>
      <c r="M4645" s="16" t="str">
        <f aca="false">IF(B4645="","",IF(E4645="Em ajustes",IF(N4645=_xlfn.MINIFS($N$2:$N$5001,$B$2:$B$5001,B4645,$E$2:$E$5001,"Em ajustes"),1,0),0))</f>
        <v/>
      </c>
      <c r="N4645" s="17" t="str">
        <f aca="false">IF(A4645="","",IF(ISNUMBER(A4645),A4645,IFERROR(DATE(VALUE(MID(A4645,7,4)),VALUE(MID(A4645,4,2)),VALUE(MID(A4645,1,2)))+TIME(VALUE(MID(A4645,12,2)),VALUE(MID(A4645,15,2)),VALUE(MID(A4645,18,2))),"")))</f>
        <v/>
      </c>
    </row>
    <row r="4646" customFormat="false" ht="15" hidden="false" customHeight="false" outlineLevel="0" collapsed="false">
      <c r="I4646" s="15" t="str">
        <f aca="false">IF(N4646="","",INT(N4646))</f>
        <v/>
      </c>
      <c r="J4646" s="16" t="str">
        <f aca="false">IF(B4646="","",IF(N4646=_xlfn.MINIFS($N$2:$N$5001,$B$2:$B$5001,B4646),1,0))</f>
        <v/>
      </c>
      <c r="K4646" s="16" t="str">
        <f aca="false">IF(B4646="","",IF(AND(D4646="Formalização",E4646="Concluído"),IF(COUNTIFS($B$2:$B$5001,B4646,$E$2:$E$5001,"Em ajustes",$N$2:$N$5001,"&lt;"&amp;I4646)&gt;0,1,0),0))</f>
        <v/>
      </c>
      <c r="L4646" s="16" t="str">
        <f aca="false">IF(B4646="","",IF(N4646=_xlfn.MAXIFS($N$2:$N$5001,$B$2:$B$5001,B4646,$I$2:$I$5001,I4646),1,0))</f>
        <v/>
      </c>
      <c r="M4646" s="16" t="str">
        <f aca="false">IF(B4646="","",IF(E4646="Em ajustes",IF(N4646=_xlfn.MINIFS($N$2:$N$5001,$B$2:$B$5001,B4646,$E$2:$E$5001,"Em ajustes"),1,0),0))</f>
        <v/>
      </c>
      <c r="N4646" s="17" t="str">
        <f aca="false">IF(A4646="","",IF(ISNUMBER(A4646),A4646,IFERROR(DATE(VALUE(MID(A4646,7,4)),VALUE(MID(A4646,4,2)),VALUE(MID(A4646,1,2)))+TIME(VALUE(MID(A4646,12,2)),VALUE(MID(A4646,15,2)),VALUE(MID(A4646,18,2))),"")))</f>
        <v/>
      </c>
    </row>
    <row r="4647" customFormat="false" ht="15" hidden="false" customHeight="false" outlineLevel="0" collapsed="false">
      <c r="I4647" s="15" t="str">
        <f aca="false">IF(N4647="","",INT(N4647))</f>
        <v/>
      </c>
      <c r="J4647" s="16" t="str">
        <f aca="false">IF(B4647="","",IF(N4647=_xlfn.MINIFS($N$2:$N$5001,$B$2:$B$5001,B4647),1,0))</f>
        <v/>
      </c>
      <c r="K4647" s="16" t="str">
        <f aca="false">IF(B4647="","",IF(AND(D4647="Formalização",E4647="Concluído"),IF(COUNTIFS($B$2:$B$5001,B4647,$E$2:$E$5001,"Em ajustes",$N$2:$N$5001,"&lt;"&amp;I4647)&gt;0,1,0),0))</f>
        <v/>
      </c>
      <c r="L4647" s="16" t="str">
        <f aca="false">IF(B4647="","",IF(N4647=_xlfn.MAXIFS($N$2:$N$5001,$B$2:$B$5001,B4647,$I$2:$I$5001,I4647),1,0))</f>
        <v/>
      </c>
      <c r="M4647" s="16" t="str">
        <f aca="false">IF(B4647="","",IF(E4647="Em ajustes",IF(N4647=_xlfn.MINIFS($N$2:$N$5001,$B$2:$B$5001,B4647,$E$2:$E$5001,"Em ajustes"),1,0),0))</f>
        <v/>
      </c>
      <c r="N4647" s="17" t="str">
        <f aca="false">IF(A4647="","",IF(ISNUMBER(A4647),A4647,IFERROR(DATE(VALUE(MID(A4647,7,4)),VALUE(MID(A4647,4,2)),VALUE(MID(A4647,1,2)))+TIME(VALUE(MID(A4647,12,2)),VALUE(MID(A4647,15,2)),VALUE(MID(A4647,18,2))),"")))</f>
        <v/>
      </c>
    </row>
    <row r="4648" customFormat="false" ht="15" hidden="false" customHeight="false" outlineLevel="0" collapsed="false">
      <c r="I4648" s="15" t="str">
        <f aca="false">IF(N4648="","",INT(N4648))</f>
        <v/>
      </c>
      <c r="J4648" s="16" t="str">
        <f aca="false">IF(B4648="","",IF(N4648=_xlfn.MINIFS($N$2:$N$5001,$B$2:$B$5001,B4648),1,0))</f>
        <v/>
      </c>
      <c r="K4648" s="16" t="str">
        <f aca="false">IF(B4648="","",IF(AND(D4648="Formalização",E4648="Concluído"),IF(COUNTIFS($B$2:$B$5001,B4648,$E$2:$E$5001,"Em ajustes",$N$2:$N$5001,"&lt;"&amp;I4648)&gt;0,1,0),0))</f>
        <v/>
      </c>
      <c r="L4648" s="16" t="str">
        <f aca="false">IF(B4648="","",IF(N4648=_xlfn.MAXIFS($N$2:$N$5001,$B$2:$B$5001,B4648,$I$2:$I$5001,I4648),1,0))</f>
        <v/>
      </c>
      <c r="M4648" s="16" t="str">
        <f aca="false">IF(B4648="","",IF(E4648="Em ajustes",IF(N4648=_xlfn.MINIFS($N$2:$N$5001,$B$2:$B$5001,B4648,$E$2:$E$5001,"Em ajustes"),1,0),0))</f>
        <v/>
      </c>
      <c r="N4648" s="17" t="str">
        <f aca="false">IF(A4648="","",IF(ISNUMBER(A4648),A4648,IFERROR(DATE(VALUE(MID(A4648,7,4)),VALUE(MID(A4648,4,2)),VALUE(MID(A4648,1,2)))+TIME(VALUE(MID(A4648,12,2)),VALUE(MID(A4648,15,2)),VALUE(MID(A4648,18,2))),"")))</f>
        <v/>
      </c>
    </row>
    <row r="4649" customFormat="false" ht="15" hidden="false" customHeight="false" outlineLevel="0" collapsed="false">
      <c r="I4649" s="15" t="str">
        <f aca="false">IF(N4649="","",INT(N4649))</f>
        <v/>
      </c>
      <c r="J4649" s="16" t="str">
        <f aca="false">IF(B4649="","",IF(N4649=_xlfn.MINIFS($N$2:$N$5001,$B$2:$B$5001,B4649),1,0))</f>
        <v/>
      </c>
      <c r="K4649" s="16" t="str">
        <f aca="false">IF(B4649="","",IF(AND(D4649="Formalização",E4649="Concluído"),IF(COUNTIFS($B$2:$B$5001,B4649,$E$2:$E$5001,"Em ajustes",$N$2:$N$5001,"&lt;"&amp;I4649)&gt;0,1,0),0))</f>
        <v/>
      </c>
      <c r="L4649" s="16" t="str">
        <f aca="false">IF(B4649="","",IF(N4649=_xlfn.MAXIFS($N$2:$N$5001,$B$2:$B$5001,B4649,$I$2:$I$5001,I4649),1,0))</f>
        <v/>
      </c>
      <c r="M4649" s="16" t="str">
        <f aca="false">IF(B4649="","",IF(E4649="Em ajustes",IF(N4649=_xlfn.MINIFS($N$2:$N$5001,$B$2:$B$5001,B4649,$E$2:$E$5001,"Em ajustes"),1,0),0))</f>
        <v/>
      </c>
      <c r="N4649" s="17" t="str">
        <f aca="false">IF(A4649="","",IF(ISNUMBER(A4649),A4649,IFERROR(DATE(VALUE(MID(A4649,7,4)),VALUE(MID(A4649,4,2)),VALUE(MID(A4649,1,2)))+TIME(VALUE(MID(A4649,12,2)),VALUE(MID(A4649,15,2)),VALUE(MID(A4649,18,2))),"")))</f>
        <v/>
      </c>
    </row>
    <row r="4650" customFormat="false" ht="15" hidden="false" customHeight="false" outlineLevel="0" collapsed="false">
      <c r="I4650" s="15" t="str">
        <f aca="false">IF(N4650="","",INT(N4650))</f>
        <v/>
      </c>
      <c r="J4650" s="16" t="str">
        <f aca="false">IF(B4650="","",IF(N4650=_xlfn.MINIFS($N$2:$N$5001,$B$2:$B$5001,B4650),1,0))</f>
        <v/>
      </c>
      <c r="K4650" s="16" t="str">
        <f aca="false">IF(B4650="","",IF(AND(D4650="Formalização",E4650="Concluído"),IF(COUNTIFS($B$2:$B$5001,B4650,$E$2:$E$5001,"Em ajustes",$N$2:$N$5001,"&lt;"&amp;I4650)&gt;0,1,0),0))</f>
        <v/>
      </c>
      <c r="L4650" s="16" t="str">
        <f aca="false">IF(B4650="","",IF(N4650=_xlfn.MAXIFS($N$2:$N$5001,$B$2:$B$5001,B4650,$I$2:$I$5001,I4650),1,0))</f>
        <v/>
      </c>
      <c r="M4650" s="16" t="str">
        <f aca="false">IF(B4650="","",IF(E4650="Em ajustes",IF(N4650=_xlfn.MINIFS($N$2:$N$5001,$B$2:$B$5001,B4650,$E$2:$E$5001,"Em ajustes"),1,0),0))</f>
        <v/>
      </c>
      <c r="N4650" s="17" t="str">
        <f aca="false">IF(A4650="","",IF(ISNUMBER(A4650),A4650,IFERROR(DATE(VALUE(MID(A4650,7,4)),VALUE(MID(A4650,4,2)),VALUE(MID(A4650,1,2)))+TIME(VALUE(MID(A4650,12,2)),VALUE(MID(A4650,15,2)),VALUE(MID(A4650,18,2))),"")))</f>
        <v/>
      </c>
    </row>
    <row r="4651" customFormat="false" ht="15" hidden="false" customHeight="false" outlineLevel="0" collapsed="false">
      <c r="I4651" s="15" t="str">
        <f aca="false">IF(N4651="","",INT(N4651))</f>
        <v/>
      </c>
      <c r="J4651" s="16" t="str">
        <f aca="false">IF(B4651="","",IF(N4651=_xlfn.MINIFS($N$2:$N$5001,$B$2:$B$5001,B4651),1,0))</f>
        <v/>
      </c>
      <c r="K4651" s="16" t="str">
        <f aca="false">IF(B4651="","",IF(AND(D4651="Formalização",E4651="Concluído"),IF(COUNTIFS($B$2:$B$5001,B4651,$E$2:$E$5001,"Em ajustes",$N$2:$N$5001,"&lt;"&amp;I4651)&gt;0,1,0),0))</f>
        <v/>
      </c>
      <c r="L4651" s="16" t="str">
        <f aca="false">IF(B4651="","",IF(N4651=_xlfn.MAXIFS($N$2:$N$5001,$B$2:$B$5001,B4651,$I$2:$I$5001,I4651),1,0))</f>
        <v/>
      </c>
      <c r="M4651" s="16" t="str">
        <f aca="false">IF(B4651="","",IF(E4651="Em ajustes",IF(N4651=_xlfn.MINIFS($N$2:$N$5001,$B$2:$B$5001,B4651,$E$2:$E$5001,"Em ajustes"),1,0),0))</f>
        <v/>
      </c>
      <c r="N4651" s="17" t="str">
        <f aca="false">IF(A4651="","",IF(ISNUMBER(A4651),A4651,IFERROR(DATE(VALUE(MID(A4651,7,4)),VALUE(MID(A4651,4,2)),VALUE(MID(A4651,1,2)))+TIME(VALUE(MID(A4651,12,2)),VALUE(MID(A4651,15,2)),VALUE(MID(A4651,18,2))),"")))</f>
        <v/>
      </c>
    </row>
    <row r="4652" customFormat="false" ht="15" hidden="false" customHeight="false" outlineLevel="0" collapsed="false">
      <c r="I4652" s="15" t="str">
        <f aca="false">IF(N4652="","",INT(N4652))</f>
        <v/>
      </c>
      <c r="J4652" s="16" t="str">
        <f aca="false">IF(B4652="","",IF(N4652=_xlfn.MINIFS($N$2:$N$5001,$B$2:$B$5001,B4652),1,0))</f>
        <v/>
      </c>
      <c r="K4652" s="16" t="str">
        <f aca="false">IF(B4652="","",IF(AND(D4652="Formalização",E4652="Concluído"),IF(COUNTIFS($B$2:$B$5001,B4652,$E$2:$E$5001,"Em ajustes",$N$2:$N$5001,"&lt;"&amp;I4652)&gt;0,1,0),0))</f>
        <v/>
      </c>
      <c r="L4652" s="16" t="str">
        <f aca="false">IF(B4652="","",IF(N4652=_xlfn.MAXIFS($N$2:$N$5001,$B$2:$B$5001,B4652,$I$2:$I$5001,I4652),1,0))</f>
        <v/>
      </c>
      <c r="M4652" s="16" t="str">
        <f aca="false">IF(B4652="","",IF(E4652="Em ajustes",IF(N4652=_xlfn.MINIFS($N$2:$N$5001,$B$2:$B$5001,B4652,$E$2:$E$5001,"Em ajustes"),1,0),0))</f>
        <v/>
      </c>
      <c r="N4652" s="17" t="str">
        <f aca="false">IF(A4652="","",IF(ISNUMBER(A4652),A4652,IFERROR(DATE(VALUE(MID(A4652,7,4)),VALUE(MID(A4652,4,2)),VALUE(MID(A4652,1,2)))+TIME(VALUE(MID(A4652,12,2)),VALUE(MID(A4652,15,2)),VALUE(MID(A4652,18,2))),"")))</f>
        <v/>
      </c>
    </row>
    <row r="4653" customFormat="false" ht="15" hidden="false" customHeight="false" outlineLevel="0" collapsed="false">
      <c r="I4653" s="15" t="str">
        <f aca="false">IF(N4653="","",INT(N4653))</f>
        <v/>
      </c>
      <c r="J4653" s="16" t="str">
        <f aca="false">IF(B4653="","",IF(N4653=_xlfn.MINIFS($N$2:$N$5001,$B$2:$B$5001,B4653),1,0))</f>
        <v/>
      </c>
      <c r="K4653" s="16" t="str">
        <f aca="false">IF(B4653="","",IF(AND(D4653="Formalização",E4653="Concluído"),IF(COUNTIFS($B$2:$B$5001,B4653,$E$2:$E$5001,"Em ajustes",$N$2:$N$5001,"&lt;"&amp;I4653)&gt;0,1,0),0))</f>
        <v/>
      </c>
      <c r="L4653" s="16" t="str">
        <f aca="false">IF(B4653="","",IF(N4653=_xlfn.MAXIFS($N$2:$N$5001,$B$2:$B$5001,B4653,$I$2:$I$5001,I4653),1,0))</f>
        <v/>
      </c>
      <c r="M4653" s="16" t="str">
        <f aca="false">IF(B4653="","",IF(E4653="Em ajustes",IF(N4653=_xlfn.MINIFS($N$2:$N$5001,$B$2:$B$5001,B4653,$E$2:$E$5001,"Em ajustes"),1,0),0))</f>
        <v/>
      </c>
      <c r="N4653" s="17" t="str">
        <f aca="false">IF(A4653="","",IF(ISNUMBER(A4653),A4653,IFERROR(DATE(VALUE(MID(A4653,7,4)),VALUE(MID(A4653,4,2)),VALUE(MID(A4653,1,2)))+TIME(VALUE(MID(A4653,12,2)),VALUE(MID(A4653,15,2)),VALUE(MID(A4653,18,2))),"")))</f>
        <v/>
      </c>
    </row>
    <row r="4654" customFormat="false" ht="15" hidden="false" customHeight="false" outlineLevel="0" collapsed="false">
      <c r="I4654" s="15" t="str">
        <f aca="false">IF(N4654="","",INT(N4654))</f>
        <v/>
      </c>
      <c r="J4654" s="16" t="str">
        <f aca="false">IF(B4654="","",IF(N4654=_xlfn.MINIFS($N$2:$N$5001,$B$2:$B$5001,B4654),1,0))</f>
        <v/>
      </c>
      <c r="K4654" s="16" t="str">
        <f aca="false">IF(B4654="","",IF(AND(D4654="Formalização",E4654="Concluído"),IF(COUNTIFS($B$2:$B$5001,B4654,$E$2:$E$5001,"Em ajustes",$N$2:$N$5001,"&lt;"&amp;I4654)&gt;0,1,0),0))</f>
        <v/>
      </c>
      <c r="L4654" s="16" t="str">
        <f aca="false">IF(B4654="","",IF(N4654=_xlfn.MAXIFS($N$2:$N$5001,$B$2:$B$5001,B4654,$I$2:$I$5001,I4654),1,0))</f>
        <v/>
      </c>
      <c r="M4654" s="16" t="str">
        <f aca="false">IF(B4654="","",IF(E4654="Em ajustes",IF(N4654=_xlfn.MINIFS($N$2:$N$5001,$B$2:$B$5001,B4654,$E$2:$E$5001,"Em ajustes"),1,0),0))</f>
        <v/>
      </c>
      <c r="N4654" s="17" t="str">
        <f aca="false">IF(A4654="","",IF(ISNUMBER(A4654),A4654,IFERROR(DATE(VALUE(MID(A4654,7,4)),VALUE(MID(A4654,4,2)),VALUE(MID(A4654,1,2)))+TIME(VALUE(MID(A4654,12,2)),VALUE(MID(A4654,15,2)),VALUE(MID(A4654,18,2))),"")))</f>
        <v/>
      </c>
    </row>
    <row r="4655" customFormat="false" ht="15" hidden="false" customHeight="false" outlineLevel="0" collapsed="false">
      <c r="I4655" s="15" t="str">
        <f aca="false">IF(N4655="","",INT(N4655))</f>
        <v/>
      </c>
      <c r="J4655" s="16" t="str">
        <f aca="false">IF(B4655="","",IF(N4655=_xlfn.MINIFS($N$2:$N$5001,$B$2:$B$5001,B4655),1,0))</f>
        <v/>
      </c>
      <c r="K4655" s="16" t="str">
        <f aca="false">IF(B4655="","",IF(AND(D4655="Formalização",E4655="Concluído"),IF(COUNTIFS($B$2:$B$5001,B4655,$E$2:$E$5001,"Em ajustes",$N$2:$N$5001,"&lt;"&amp;I4655)&gt;0,1,0),0))</f>
        <v/>
      </c>
      <c r="L4655" s="16" t="str">
        <f aca="false">IF(B4655="","",IF(N4655=_xlfn.MAXIFS($N$2:$N$5001,$B$2:$B$5001,B4655,$I$2:$I$5001,I4655),1,0))</f>
        <v/>
      </c>
      <c r="M4655" s="16" t="str">
        <f aca="false">IF(B4655="","",IF(E4655="Em ajustes",IF(N4655=_xlfn.MINIFS($N$2:$N$5001,$B$2:$B$5001,B4655,$E$2:$E$5001,"Em ajustes"),1,0),0))</f>
        <v/>
      </c>
      <c r="N4655" s="17" t="str">
        <f aca="false">IF(A4655="","",IF(ISNUMBER(A4655),A4655,IFERROR(DATE(VALUE(MID(A4655,7,4)),VALUE(MID(A4655,4,2)),VALUE(MID(A4655,1,2)))+TIME(VALUE(MID(A4655,12,2)),VALUE(MID(A4655,15,2)),VALUE(MID(A4655,18,2))),"")))</f>
        <v/>
      </c>
    </row>
    <row r="4656" customFormat="false" ht="15" hidden="false" customHeight="false" outlineLevel="0" collapsed="false">
      <c r="I4656" s="15" t="str">
        <f aca="false">IF(N4656="","",INT(N4656))</f>
        <v/>
      </c>
      <c r="J4656" s="16" t="str">
        <f aca="false">IF(B4656="","",IF(N4656=_xlfn.MINIFS($N$2:$N$5001,$B$2:$B$5001,B4656),1,0))</f>
        <v/>
      </c>
      <c r="K4656" s="16" t="str">
        <f aca="false">IF(B4656="","",IF(AND(D4656="Formalização",E4656="Concluído"),IF(COUNTIFS($B$2:$B$5001,B4656,$E$2:$E$5001,"Em ajustes",$N$2:$N$5001,"&lt;"&amp;I4656)&gt;0,1,0),0))</f>
        <v/>
      </c>
      <c r="L4656" s="16" t="str">
        <f aca="false">IF(B4656="","",IF(N4656=_xlfn.MAXIFS($N$2:$N$5001,$B$2:$B$5001,B4656,$I$2:$I$5001,I4656),1,0))</f>
        <v/>
      </c>
      <c r="M4656" s="16" t="str">
        <f aca="false">IF(B4656="","",IF(E4656="Em ajustes",IF(N4656=_xlfn.MINIFS($N$2:$N$5001,$B$2:$B$5001,B4656,$E$2:$E$5001,"Em ajustes"),1,0),0))</f>
        <v/>
      </c>
      <c r="N4656" s="17" t="str">
        <f aca="false">IF(A4656="","",IF(ISNUMBER(A4656),A4656,IFERROR(DATE(VALUE(MID(A4656,7,4)),VALUE(MID(A4656,4,2)),VALUE(MID(A4656,1,2)))+TIME(VALUE(MID(A4656,12,2)),VALUE(MID(A4656,15,2)),VALUE(MID(A4656,18,2))),"")))</f>
        <v/>
      </c>
    </row>
    <row r="4657" customFormat="false" ht="15" hidden="false" customHeight="false" outlineLevel="0" collapsed="false">
      <c r="I4657" s="15" t="str">
        <f aca="false">IF(N4657="","",INT(N4657))</f>
        <v/>
      </c>
      <c r="J4657" s="16" t="str">
        <f aca="false">IF(B4657="","",IF(N4657=_xlfn.MINIFS($N$2:$N$5001,$B$2:$B$5001,B4657),1,0))</f>
        <v/>
      </c>
      <c r="K4657" s="16" t="str">
        <f aca="false">IF(B4657="","",IF(AND(D4657="Formalização",E4657="Concluído"),IF(COUNTIFS($B$2:$B$5001,B4657,$E$2:$E$5001,"Em ajustes",$N$2:$N$5001,"&lt;"&amp;I4657)&gt;0,1,0),0))</f>
        <v/>
      </c>
      <c r="L4657" s="16" t="str">
        <f aca="false">IF(B4657="","",IF(N4657=_xlfn.MAXIFS($N$2:$N$5001,$B$2:$B$5001,B4657,$I$2:$I$5001,I4657),1,0))</f>
        <v/>
      </c>
      <c r="M4657" s="16" t="str">
        <f aca="false">IF(B4657="","",IF(E4657="Em ajustes",IF(N4657=_xlfn.MINIFS($N$2:$N$5001,$B$2:$B$5001,B4657,$E$2:$E$5001,"Em ajustes"),1,0),0))</f>
        <v/>
      </c>
      <c r="N4657" s="17" t="str">
        <f aca="false">IF(A4657="","",IF(ISNUMBER(A4657),A4657,IFERROR(DATE(VALUE(MID(A4657,7,4)),VALUE(MID(A4657,4,2)),VALUE(MID(A4657,1,2)))+TIME(VALUE(MID(A4657,12,2)),VALUE(MID(A4657,15,2)),VALUE(MID(A4657,18,2))),"")))</f>
        <v/>
      </c>
    </row>
    <row r="4658" customFormat="false" ht="15" hidden="false" customHeight="false" outlineLevel="0" collapsed="false">
      <c r="I4658" s="15" t="str">
        <f aca="false">IF(N4658="","",INT(N4658))</f>
        <v/>
      </c>
      <c r="J4658" s="16" t="str">
        <f aca="false">IF(B4658="","",IF(N4658=_xlfn.MINIFS($N$2:$N$5001,$B$2:$B$5001,B4658),1,0))</f>
        <v/>
      </c>
      <c r="K4658" s="16" t="str">
        <f aca="false">IF(B4658="","",IF(AND(D4658="Formalização",E4658="Concluído"),IF(COUNTIFS($B$2:$B$5001,B4658,$E$2:$E$5001,"Em ajustes",$N$2:$N$5001,"&lt;"&amp;I4658)&gt;0,1,0),0))</f>
        <v/>
      </c>
      <c r="L4658" s="16" t="str">
        <f aca="false">IF(B4658="","",IF(N4658=_xlfn.MAXIFS($N$2:$N$5001,$B$2:$B$5001,B4658,$I$2:$I$5001,I4658),1,0))</f>
        <v/>
      </c>
      <c r="M4658" s="16" t="str">
        <f aca="false">IF(B4658="","",IF(E4658="Em ajustes",IF(N4658=_xlfn.MINIFS($N$2:$N$5001,$B$2:$B$5001,B4658,$E$2:$E$5001,"Em ajustes"),1,0),0))</f>
        <v/>
      </c>
      <c r="N4658" s="17" t="str">
        <f aca="false">IF(A4658="","",IF(ISNUMBER(A4658),A4658,IFERROR(DATE(VALUE(MID(A4658,7,4)),VALUE(MID(A4658,4,2)),VALUE(MID(A4658,1,2)))+TIME(VALUE(MID(A4658,12,2)),VALUE(MID(A4658,15,2)),VALUE(MID(A4658,18,2))),"")))</f>
        <v/>
      </c>
    </row>
    <row r="4659" customFormat="false" ht="15" hidden="false" customHeight="false" outlineLevel="0" collapsed="false">
      <c r="I4659" s="15" t="str">
        <f aca="false">IF(N4659="","",INT(N4659))</f>
        <v/>
      </c>
      <c r="J4659" s="16" t="str">
        <f aca="false">IF(B4659="","",IF(N4659=_xlfn.MINIFS($N$2:$N$5001,$B$2:$B$5001,B4659),1,0))</f>
        <v/>
      </c>
      <c r="K4659" s="16" t="str">
        <f aca="false">IF(B4659="","",IF(AND(D4659="Formalização",E4659="Concluído"),IF(COUNTIFS($B$2:$B$5001,B4659,$E$2:$E$5001,"Em ajustes",$N$2:$N$5001,"&lt;"&amp;I4659)&gt;0,1,0),0))</f>
        <v/>
      </c>
      <c r="L4659" s="16" t="str">
        <f aca="false">IF(B4659="","",IF(N4659=_xlfn.MAXIFS($N$2:$N$5001,$B$2:$B$5001,B4659,$I$2:$I$5001,I4659),1,0))</f>
        <v/>
      </c>
      <c r="M4659" s="16" t="str">
        <f aca="false">IF(B4659="","",IF(E4659="Em ajustes",IF(N4659=_xlfn.MINIFS($N$2:$N$5001,$B$2:$B$5001,B4659,$E$2:$E$5001,"Em ajustes"),1,0),0))</f>
        <v/>
      </c>
      <c r="N4659" s="17" t="str">
        <f aca="false">IF(A4659="","",IF(ISNUMBER(A4659),A4659,IFERROR(DATE(VALUE(MID(A4659,7,4)),VALUE(MID(A4659,4,2)),VALUE(MID(A4659,1,2)))+TIME(VALUE(MID(A4659,12,2)),VALUE(MID(A4659,15,2)),VALUE(MID(A4659,18,2))),"")))</f>
        <v/>
      </c>
    </row>
    <row r="4660" customFormat="false" ht="15" hidden="false" customHeight="false" outlineLevel="0" collapsed="false">
      <c r="I4660" s="15" t="str">
        <f aca="false">IF(N4660="","",INT(N4660))</f>
        <v/>
      </c>
      <c r="J4660" s="16" t="str">
        <f aca="false">IF(B4660="","",IF(N4660=_xlfn.MINIFS($N$2:$N$5001,$B$2:$B$5001,B4660),1,0))</f>
        <v/>
      </c>
      <c r="K4660" s="16" t="str">
        <f aca="false">IF(B4660="","",IF(AND(D4660="Formalização",E4660="Concluído"),IF(COUNTIFS($B$2:$B$5001,B4660,$E$2:$E$5001,"Em ajustes",$N$2:$N$5001,"&lt;"&amp;I4660)&gt;0,1,0),0))</f>
        <v/>
      </c>
      <c r="L4660" s="16" t="str">
        <f aca="false">IF(B4660="","",IF(N4660=_xlfn.MAXIFS($N$2:$N$5001,$B$2:$B$5001,B4660,$I$2:$I$5001,I4660),1,0))</f>
        <v/>
      </c>
      <c r="M4660" s="16" t="str">
        <f aca="false">IF(B4660="","",IF(E4660="Em ajustes",IF(N4660=_xlfn.MINIFS($N$2:$N$5001,$B$2:$B$5001,B4660,$E$2:$E$5001,"Em ajustes"),1,0),0))</f>
        <v/>
      </c>
      <c r="N4660" s="17" t="str">
        <f aca="false">IF(A4660="","",IF(ISNUMBER(A4660),A4660,IFERROR(DATE(VALUE(MID(A4660,7,4)),VALUE(MID(A4660,4,2)),VALUE(MID(A4660,1,2)))+TIME(VALUE(MID(A4660,12,2)),VALUE(MID(A4660,15,2)),VALUE(MID(A4660,18,2))),"")))</f>
        <v/>
      </c>
    </row>
    <row r="4661" customFormat="false" ht="15" hidden="false" customHeight="false" outlineLevel="0" collapsed="false">
      <c r="I4661" s="15" t="str">
        <f aca="false">IF(N4661="","",INT(N4661))</f>
        <v/>
      </c>
      <c r="J4661" s="16" t="str">
        <f aca="false">IF(B4661="","",IF(N4661=_xlfn.MINIFS($N$2:$N$5001,$B$2:$B$5001,B4661),1,0))</f>
        <v/>
      </c>
      <c r="K4661" s="16" t="str">
        <f aca="false">IF(B4661="","",IF(AND(D4661="Formalização",E4661="Concluído"),IF(COUNTIFS($B$2:$B$5001,B4661,$E$2:$E$5001,"Em ajustes",$N$2:$N$5001,"&lt;"&amp;I4661)&gt;0,1,0),0))</f>
        <v/>
      </c>
      <c r="L4661" s="16" t="str">
        <f aca="false">IF(B4661="","",IF(N4661=_xlfn.MAXIFS($N$2:$N$5001,$B$2:$B$5001,B4661,$I$2:$I$5001,I4661),1,0))</f>
        <v/>
      </c>
      <c r="M4661" s="16" t="str">
        <f aca="false">IF(B4661="","",IF(E4661="Em ajustes",IF(N4661=_xlfn.MINIFS($N$2:$N$5001,$B$2:$B$5001,B4661,$E$2:$E$5001,"Em ajustes"),1,0),0))</f>
        <v/>
      </c>
      <c r="N4661" s="17" t="str">
        <f aca="false">IF(A4661="","",IF(ISNUMBER(A4661),A4661,IFERROR(DATE(VALUE(MID(A4661,7,4)),VALUE(MID(A4661,4,2)),VALUE(MID(A4661,1,2)))+TIME(VALUE(MID(A4661,12,2)),VALUE(MID(A4661,15,2)),VALUE(MID(A4661,18,2))),"")))</f>
        <v/>
      </c>
    </row>
    <row r="4662" customFormat="false" ht="15" hidden="false" customHeight="false" outlineLevel="0" collapsed="false">
      <c r="I4662" s="15" t="str">
        <f aca="false">IF(N4662="","",INT(N4662))</f>
        <v/>
      </c>
      <c r="J4662" s="16" t="str">
        <f aca="false">IF(B4662="","",IF(N4662=_xlfn.MINIFS($N$2:$N$5001,$B$2:$B$5001,B4662),1,0))</f>
        <v/>
      </c>
      <c r="K4662" s="16" t="str">
        <f aca="false">IF(B4662="","",IF(AND(D4662="Formalização",E4662="Concluído"),IF(COUNTIFS($B$2:$B$5001,B4662,$E$2:$E$5001,"Em ajustes",$N$2:$N$5001,"&lt;"&amp;I4662)&gt;0,1,0),0))</f>
        <v/>
      </c>
      <c r="L4662" s="16" t="str">
        <f aca="false">IF(B4662="","",IF(N4662=_xlfn.MAXIFS($N$2:$N$5001,$B$2:$B$5001,B4662,$I$2:$I$5001,I4662),1,0))</f>
        <v/>
      </c>
      <c r="M4662" s="16" t="str">
        <f aca="false">IF(B4662="","",IF(E4662="Em ajustes",IF(N4662=_xlfn.MINIFS($N$2:$N$5001,$B$2:$B$5001,B4662,$E$2:$E$5001,"Em ajustes"),1,0),0))</f>
        <v/>
      </c>
      <c r="N4662" s="17" t="str">
        <f aca="false">IF(A4662="","",IF(ISNUMBER(A4662),A4662,IFERROR(DATE(VALUE(MID(A4662,7,4)),VALUE(MID(A4662,4,2)),VALUE(MID(A4662,1,2)))+TIME(VALUE(MID(A4662,12,2)),VALUE(MID(A4662,15,2)),VALUE(MID(A4662,18,2))),"")))</f>
        <v/>
      </c>
    </row>
    <row r="4663" customFormat="false" ht="15" hidden="false" customHeight="false" outlineLevel="0" collapsed="false">
      <c r="I4663" s="15" t="str">
        <f aca="false">IF(N4663="","",INT(N4663))</f>
        <v/>
      </c>
      <c r="J4663" s="16" t="str">
        <f aca="false">IF(B4663="","",IF(N4663=_xlfn.MINIFS($N$2:$N$5001,$B$2:$B$5001,B4663),1,0))</f>
        <v/>
      </c>
      <c r="K4663" s="16" t="str">
        <f aca="false">IF(B4663="","",IF(AND(D4663="Formalização",E4663="Concluído"),IF(COUNTIFS($B$2:$B$5001,B4663,$E$2:$E$5001,"Em ajustes",$N$2:$N$5001,"&lt;"&amp;I4663)&gt;0,1,0),0))</f>
        <v/>
      </c>
      <c r="L4663" s="16" t="str">
        <f aca="false">IF(B4663="","",IF(N4663=_xlfn.MAXIFS($N$2:$N$5001,$B$2:$B$5001,B4663,$I$2:$I$5001,I4663),1,0))</f>
        <v/>
      </c>
      <c r="M4663" s="16" t="str">
        <f aca="false">IF(B4663="","",IF(E4663="Em ajustes",IF(N4663=_xlfn.MINIFS($N$2:$N$5001,$B$2:$B$5001,B4663,$E$2:$E$5001,"Em ajustes"),1,0),0))</f>
        <v/>
      </c>
      <c r="N4663" s="17" t="str">
        <f aca="false">IF(A4663="","",IF(ISNUMBER(A4663),A4663,IFERROR(DATE(VALUE(MID(A4663,7,4)),VALUE(MID(A4663,4,2)),VALUE(MID(A4663,1,2)))+TIME(VALUE(MID(A4663,12,2)),VALUE(MID(A4663,15,2)),VALUE(MID(A4663,18,2))),"")))</f>
        <v/>
      </c>
    </row>
    <row r="4664" customFormat="false" ht="15" hidden="false" customHeight="false" outlineLevel="0" collapsed="false">
      <c r="I4664" s="15" t="str">
        <f aca="false">IF(N4664="","",INT(N4664))</f>
        <v/>
      </c>
      <c r="J4664" s="16" t="str">
        <f aca="false">IF(B4664="","",IF(N4664=_xlfn.MINIFS($N$2:$N$5001,$B$2:$B$5001,B4664),1,0))</f>
        <v/>
      </c>
      <c r="K4664" s="16" t="str">
        <f aca="false">IF(B4664="","",IF(AND(D4664="Formalização",E4664="Concluído"),IF(COUNTIFS($B$2:$B$5001,B4664,$E$2:$E$5001,"Em ajustes",$N$2:$N$5001,"&lt;"&amp;I4664)&gt;0,1,0),0))</f>
        <v/>
      </c>
      <c r="L4664" s="16" t="str">
        <f aca="false">IF(B4664="","",IF(N4664=_xlfn.MAXIFS($N$2:$N$5001,$B$2:$B$5001,B4664,$I$2:$I$5001,I4664),1,0))</f>
        <v/>
      </c>
      <c r="M4664" s="16" t="str">
        <f aca="false">IF(B4664="","",IF(E4664="Em ajustes",IF(N4664=_xlfn.MINIFS($N$2:$N$5001,$B$2:$B$5001,B4664,$E$2:$E$5001,"Em ajustes"),1,0),0))</f>
        <v/>
      </c>
      <c r="N4664" s="17" t="str">
        <f aca="false">IF(A4664="","",IF(ISNUMBER(A4664),A4664,IFERROR(DATE(VALUE(MID(A4664,7,4)),VALUE(MID(A4664,4,2)),VALUE(MID(A4664,1,2)))+TIME(VALUE(MID(A4664,12,2)),VALUE(MID(A4664,15,2)),VALUE(MID(A4664,18,2))),"")))</f>
        <v/>
      </c>
    </row>
    <row r="4665" customFormat="false" ht="15" hidden="false" customHeight="false" outlineLevel="0" collapsed="false">
      <c r="I4665" s="15" t="str">
        <f aca="false">IF(N4665="","",INT(N4665))</f>
        <v/>
      </c>
      <c r="J4665" s="16" t="str">
        <f aca="false">IF(B4665="","",IF(N4665=_xlfn.MINIFS($N$2:$N$5001,$B$2:$B$5001,B4665),1,0))</f>
        <v/>
      </c>
      <c r="K4665" s="16" t="str">
        <f aca="false">IF(B4665="","",IF(AND(D4665="Formalização",E4665="Concluído"),IF(COUNTIFS($B$2:$B$5001,B4665,$E$2:$E$5001,"Em ajustes",$N$2:$N$5001,"&lt;"&amp;I4665)&gt;0,1,0),0))</f>
        <v/>
      </c>
      <c r="L4665" s="16" t="str">
        <f aca="false">IF(B4665="","",IF(N4665=_xlfn.MAXIFS($N$2:$N$5001,$B$2:$B$5001,B4665,$I$2:$I$5001,I4665),1,0))</f>
        <v/>
      </c>
      <c r="M4665" s="16" t="str">
        <f aca="false">IF(B4665="","",IF(E4665="Em ajustes",IF(N4665=_xlfn.MINIFS($N$2:$N$5001,$B$2:$B$5001,B4665,$E$2:$E$5001,"Em ajustes"),1,0),0))</f>
        <v/>
      </c>
      <c r="N4665" s="17" t="str">
        <f aca="false">IF(A4665="","",IF(ISNUMBER(A4665),A4665,IFERROR(DATE(VALUE(MID(A4665,7,4)),VALUE(MID(A4665,4,2)),VALUE(MID(A4665,1,2)))+TIME(VALUE(MID(A4665,12,2)),VALUE(MID(A4665,15,2)),VALUE(MID(A4665,18,2))),"")))</f>
        <v/>
      </c>
    </row>
    <row r="4666" customFormat="false" ht="15" hidden="false" customHeight="false" outlineLevel="0" collapsed="false">
      <c r="I4666" s="15" t="str">
        <f aca="false">IF(N4666="","",INT(N4666))</f>
        <v/>
      </c>
      <c r="J4666" s="16" t="str">
        <f aca="false">IF(B4666="","",IF(N4666=_xlfn.MINIFS($N$2:$N$5001,$B$2:$B$5001,B4666),1,0))</f>
        <v/>
      </c>
      <c r="K4666" s="16" t="str">
        <f aca="false">IF(B4666="","",IF(AND(D4666="Formalização",E4666="Concluído"),IF(COUNTIFS($B$2:$B$5001,B4666,$E$2:$E$5001,"Em ajustes",$N$2:$N$5001,"&lt;"&amp;I4666)&gt;0,1,0),0))</f>
        <v/>
      </c>
      <c r="L4666" s="16" t="str">
        <f aca="false">IF(B4666="","",IF(N4666=_xlfn.MAXIFS($N$2:$N$5001,$B$2:$B$5001,B4666,$I$2:$I$5001,I4666),1,0))</f>
        <v/>
      </c>
      <c r="M4666" s="16" t="str">
        <f aca="false">IF(B4666="","",IF(E4666="Em ajustes",IF(N4666=_xlfn.MINIFS($N$2:$N$5001,$B$2:$B$5001,B4666,$E$2:$E$5001,"Em ajustes"),1,0),0))</f>
        <v/>
      </c>
      <c r="N4666" s="17" t="str">
        <f aca="false">IF(A4666="","",IF(ISNUMBER(A4666),A4666,IFERROR(DATE(VALUE(MID(A4666,7,4)),VALUE(MID(A4666,4,2)),VALUE(MID(A4666,1,2)))+TIME(VALUE(MID(A4666,12,2)),VALUE(MID(A4666,15,2)),VALUE(MID(A4666,18,2))),"")))</f>
        <v/>
      </c>
    </row>
    <row r="4667" customFormat="false" ht="15" hidden="false" customHeight="false" outlineLevel="0" collapsed="false">
      <c r="I4667" s="15" t="str">
        <f aca="false">IF(N4667="","",INT(N4667))</f>
        <v/>
      </c>
      <c r="J4667" s="16" t="str">
        <f aca="false">IF(B4667="","",IF(N4667=_xlfn.MINIFS($N$2:$N$5001,$B$2:$B$5001,B4667),1,0))</f>
        <v/>
      </c>
      <c r="K4667" s="16" t="str">
        <f aca="false">IF(B4667="","",IF(AND(D4667="Formalização",E4667="Concluído"),IF(COUNTIFS($B$2:$B$5001,B4667,$E$2:$E$5001,"Em ajustes",$N$2:$N$5001,"&lt;"&amp;I4667)&gt;0,1,0),0))</f>
        <v/>
      </c>
      <c r="L4667" s="16" t="str">
        <f aca="false">IF(B4667="","",IF(N4667=_xlfn.MAXIFS($N$2:$N$5001,$B$2:$B$5001,B4667,$I$2:$I$5001,I4667),1,0))</f>
        <v/>
      </c>
      <c r="M4667" s="16" t="str">
        <f aca="false">IF(B4667="","",IF(E4667="Em ajustes",IF(N4667=_xlfn.MINIFS($N$2:$N$5001,$B$2:$B$5001,B4667,$E$2:$E$5001,"Em ajustes"),1,0),0))</f>
        <v/>
      </c>
      <c r="N4667" s="17" t="str">
        <f aca="false">IF(A4667="","",IF(ISNUMBER(A4667),A4667,IFERROR(DATE(VALUE(MID(A4667,7,4)),VALUE(MID(A4667,4,2)),VALUE(MID(A4667,1,2)))+TIME(VALUE(MID(A4667,12,2)),VALUE(MID(A4667,15,2)),VALUE(MID(A4667,18,2))),"")))</f>
        <v/>
      </c>
    </row>
    <row r="4668" customFormat="false" ht="15" hidden="false" customHeight="false" outlineLevel="0" collapsed="false">
      <c r="I4668" s="15" t="str">
        <f aca="false">IF(N4668="","",INT(N4668))</f>
        <v/>
      </c>
      <c r="J4668" s="16" t="str">
        <f aca="false">IF(B4668="","",IF(N4668=_xlfn.MINIFS($N$2:$N$5001,$B$2:$B$5001,B4668),1,0))</f>
        <v/>
      </c>
      <c r="K4668" s="16" t="str">
        <f aca="false">IF(B4668="","",IF(AND(D4668="Formalização",E4668="Concluído"),IF(COUNTIFS($B$2:$B$5001,B4668,$E$2:$E$5001,"Em ajustes",$N$2:$N$5001,"&lt;"&amp;I4668)&gt;0,1,0),0))</f>
        <v/>
      </c>
      <c r="L4668" s="16" t="str">
        <f aca="false">IF(B4668="","",IF(N4668=_xlfn.MAXIFS($N$2:$N$5001,$B$2:$B$5001,B4668,$I$2:$I$5001,I4668),1,0))</f>
        <v/>
      </c>
      <c r="M4668" s="16" t="str">
        <f aca="false">IF(B4668="","",IF(E4668="Em ajustes",IF(N4668=_xlfn.MINIFS($N$2:$N$5001,$B$2:$B$5001,B4668,$E$2:$E$5001,"Em ajustes"),1,0),0))</f>
        <v/>
      </c>
      <c r="N4668" s="17" t="str">
        <f aca="false">IF(A4668="","",IF(ISNUMBER(A4668),A4668,IFERROR(DATE(VALUE(MID(A4668,7,4)),VALUE(MID(A4668,4,2)),VALUE(MID(A4668,1,2)))+TIME(VALUE(MID(A4668,12,2)),VALUE(MID(A4668,15,2)),VALUE(MID(A4668,18,2))),"")))</f>
        <v/>
      </c>
    </row>
    <row r="4669" customFormat="false" ht="15" hidden="false" customHeight="false" outlineLevel="0" collapsed="false">
      <c r="I4669" s="15" t="str">
        <f aca="false">IF(N4669="","",INT(N4669))</f>
        <v/>
      </c>
      <c r="J4669" s="16" t="str">
        <f aca="false">IF(B4669="","",IF(N4669=_xlfn.MINIFS($N$2:$N$5001,$B$2:$B$5001,B4669),1,0))</f>
        <v/>
      </c>
      <c r="K4669" s="16" t="str">
        <f aca="false">IF(B4669="","",IF(AND(D4669="Formalização",E4669="Concluído"),IF(COUNTIFS($B$2:$B$5001,B4669,$E$2:$E$5001,"Em ajustes",$N$2:$N$5001,"&lt;"&amp;I4669)&gt;0,1,0),0))</f>
        <v/>
      </c>
      <c r="L4669" s="16" t="str">
        <f aca="false">IF(B4669="","",IF(N4669=_xlfn.MAXIFS($N$2:$N$5001,$B$2:$B$5001,B4669,$I$2:$I$5001,I4669),1,0))</f>
        <v/>
      </c>
      <c r="M4669" s="16" t="str">
        <f aca="false">IF(B4669="","",IF(E4669="Em ajustes",IF(N4669=_xlfn.MINIFS($N$2:$N$5001,$B$2:$B$5001,B4669,$E$2:$E$5001,"Em ajustes"),1,0),0))</f>
        <v/>
      </c>
      <c r="N4669" s="17" t="str">
        <f aca="false">IF(A4669="","",IF(ISNUMBER(A4669),A4669,IFERROR(DATE(VALUE(MID(A4669,7,4)),VALUE(MID(A4669,4,2)),VALUE(MID(A4669,1,2)))+TIME(VALUE(MID(A4669,12,2)),VALUE(MID(A4669,15,2)),VALUE(MID(A4669,18,2))),"")))</f>
        <v/>
      </c>
    </row>
    <row r="4670" customFormat="false" ht="15" hidden="false" customHeight="false" outlineLevel="0" collapsed="false">
      <c r="I4670" s="15" t="str">
        <f aca="false">IF(N4670="","",INT(N4670))</f>
        <v/>
      </c>
      <c r="J4670" s="16" t="str">
        <f aca="false">IF(B4670="","",IF(N4670=_xlfn.MINIFS($N$2:$N$5001,$B$2:$B$5001,B4670),1,0))</f>
        <v/>
      </c>
      <c r="K4670" s="16" t="str">
        <f aca="false">IF(B4670="","",IF(AND(D4670="Formalização",E4670="Concluído"),IF(COUNTIFS($B$2:$B$5001,B4670,$E$2:$E$5001,"Em ajustes",$N$2:$N$5001,"&lt;"&amp;I4670)&gt;0,1,0),0))</f>
        <v/>
      </c>
      <c r="L4670" s="16" t="str">
        <f aca="false">IF(B4670="","",IF(N4670=_xlfn.MAXIFS($N$2:$N$5001,$B$2:$B$5001,B4670,$I$2:$I$5001,I4670),1,0))</f>
        <v/>
      </c>
      <c r="M4670" s="16" t="str">
        <f aca="false">IF(B4670="","",IF(E4670="Em ajustes",IF(N4670=_xlfn.MINIFS($N$2:$N$5001,$B$2:$B$5001,B4670,$E$2:$E$5001,"Em ajustes"),1,0),0))</f>
        <v/>
      </c>
      <c r="N4670" s="17" t="str">
        <f aca="false">IF(A4670="","",IF(ISNUMBER(A4670),A4670,IFERROR(DATE(VALUE(MID(A4670,7,4)),VALUE(MID(A4670,4,2)),VALUE(MID(A4670,1,2)))+TIME(VALUE(MID(A4670,12,2)),VALUE(MID(A4670,15,2)),VALUE(MID(A4670,18,2))),"")))</f>
        <v/>
      </c>
    </row>
    <row r="4671" customFormat="false" ht="15" hidden="false" customHeight="false" outlineLevel="0" collapsed="false">
      <c r="I4671" s="15" t="str">
        <f aca="false">IF(N4671="","",INT(N4671))</f>
        <v/>
      </c>
      <c r="J4671" s="16" t="str">
        <f aca="false">IF(B4671="","",IF(N4671=_xlfn.MINIFS($N$2:$N$5001,$B$2:$B$5001,B4671),1,0))</f>
        <v/>
      </c>
      <c r="K4671" s="16" t="str">
        <f aca="false">IF(B4671="","",IF(AND(D4671="Formalização",E4671="Concluído"),IF(COUNTIFS($B$2:$B$5001,B4671,$E$2:$E$5001,"Em ajustes",$N$2:$N$5001,"&lt;"&amp;I4671)&gt;0,1,0),0))</f>
        <v/>
      </c>
      <c r="L4671" s="16" t="str">
        <f aca="false">IF(B4671="","",IF(N4671=_xlfn.MAXIFS($N$2:$N$5001,$B$2:$B$5001,B4671,$I$2:$I$5001,I4671),1,0))</f>
        <v/>
      </c>
      <c r="M4671" s="16" t="str">
        <f aca="false">IF(B4671="","",IF(E4671="Em ajustes",IF(N4671=_xlfn.MINIFS($N$2:$N$5001,$B$2:$B$5001,B4671,$E$2:$E$5001,"Em ajustes"),1,0),0))</f>
        <v/>
      </c>
      <c r="N4671" s="17" t="str">
        <f aca="false">IF(A4671="","",IF(ISNUMBER(A4671),A4671,IFERROR(DATE(VALUE(MID(A4671,7,4)),VALUE(MID(A4671,4,2)),VALUE(MID(A4671,1,2)))+TIME(VALUE(MID(A4671,12,2)),VALUE(MID(A4671,15,2)),VALUE(MID(A4671,18,2))),"")))</f>
        <v/>
      </c>
    </row>
    <row r="4672" customFormat="false" ht="15" hidden="false" customHeight="false" outlineLevel="0" collapsed="false">
      <c r="I4672" s="15" t="str">
        <f aca="false">IF(N4672="","",INT(N4672))</f>
        <v/>
      </c>
      <c r="J4672" s="16" t="str">
        <f aca="false">IF(B4672="","",IF(N4672=_xlfn.MINIFS($N$2:$N$5001,$B$2:$B$5001,B4672),1,0))</f>
        <v/>
      </c>
      <c r="K4672" s="16" t="str">
        <f aca="false">IF(B4672="","",IF(AND(D4672="Formalização",E4672="Concluído"),IF(COUNTIFS($B$2:$B$5001,B4672,$E$2:$E$5001,"Em ajustes",$N$2:$N$5001,"&lt;"&amp;I4672)&gt;0,1,0),0))</f>
        <v/>
      </c>
      <c r="L4672" s="16" t="str">
        <f aca="false">IF(B4672="","",IF(N4672=_xlfn.MAXIFS($N$2:$N$5001,$B$2:$B$5001,B4672,$I$2:$I$5001,I4672),1,0))</f>
        <v/>
      </c>
      <c r="M4672" s="16" t="str">
        <f aca="false">IF(B4672="","",IF(E4672="Em ajustes",IF(N4672=_xlfn.MINIFS($N$2:$N$5001,$B$2:$B$5001,B4672,$E$2:$E$5001,"Em ajustes"),1,0),0))</f>
        <v/>
      </c>
      <c r="N4672" s="17" t="str">
        <f aca="false">IF(A4672="","",IF(ISNUMBER(A4672),A4672,IFERROR(DATE(VALUE(MID(A4672,7,4)),VALUE(MID(A4672,4,2)),VALUE(MID(A4672,1,2)))+TIME(VALUE(MID(A4672,12,2)),VALUE(MID(A4672,15,2)),VALUE(MID(A4672,18,2))),"")))</f>
        <v/>
      </c>
    </row>
    <row r="4673" customFormat="false" ht="15" hidden="false" customHeight="false" outlineLevel="0" collapsed="false">
      <c r="I4673" s="15" t="str">
        <f aca="false">IF(N4673="","",INT(N4673))</f>
        <v/>
      </c>
      <c r="J4673" s="16" t="str">
        <f aca="false">IF(B4673="","",IF(N4673=_xlfn.MINIFS($N$2:$N$5001,$B$2:$B$5001,B4673),1,0))</f>
        <v/>
      </c>
      <c r="K4673" s="16" t="str">
        <f aca="false">IF(B4673="","",IF(AND(D4673="Formalização",E4673="Concluído"),IF(COUNTIFS($B$2:$B$5001,B4673,$E$2:$E$5001,"Em ajustes",$N$2:$N$5001,"&lt;"&amp;I4673)&gt;0,1,0),0))</f>
        <v/>
      </c>
      <c r="L4673" s="16" t="str">
        <f aca="false">IF(B4673="","",IF(N4673=_xlfn.MAXIFS($N$2:$N$5001,$B$2:$B$5001,B4673,$I$2:$I$5001,I4673),1,0))</f>
        <v/>
      </c>
      <c r="M4673" s="16" t="str">
        <f aca="false">IF(B4673="","",IF(E4673="Em ajustes",IF(N4673=_xlfn.MINIFS($N$2:$N$5001,$B$2:$B$5001,B4673,$E$2:$E$5001,"Em ajustes"),1,0),0))</f>
        <v/>
      </c>
      <c r="N4673" s="17" t="str">
        <f aca="false">IF(A4673="","",IF(ISNUMBER(A4673),A4673,IFERROR(DATE(VALUE(MID(A4673,7,4)),VALUE(MID(A4673,4,2)),VALUE(MID(A4673,1,2)))+TIME(VALUE(MID(A4673,12,2)),VALUE(MID(A4673,15,2)),VALUE(MID(A4673,18,2))),"")))</f>
        <v/>
      </c>
    </row>
    <row r="4674" customFormat="false" ht="15" hidden="false" customHeight="false" outlineLevel="0" collapsed="false">
      <c r="I4674" s="15" t="str">
        <f aca="false">IF(N4674="","",INT(N4674))</f>
        <v/>
      </c>
      <c r="J4674" s="16" t="str">
        <f aca="false">IF(B4674="","",IF(N4674=_xlfn.MINIFS($N$2:$N$5001,$B$2:$B$5001,B4674),1,0))</f>
        <v/>
      </c>
      <c r="K4674" s="16" t="str">
        <f aca="false">IF(B4674="","",IF(AND(D4674="Formalização",E4674="Concluído"),IF(COUNTIFS($B$2:$B$5001,B4674,$E$2:$E$5001,"Em ajustes",$N$2:$N$5001,"&lt;"&amp;I4674)&gt;0,1,0),0))</f>
        <v/>
      </c>
      <c r="L4674" s="16" t="str">
        <f aca="false">IF(B4674="","",IF(N4674=_xlfn.MAXIFS($N$2:$N$5001,$B$2:$B$5001,B4674,$I$2:$I$5001,I4674),1,0))</f>
        <v/>
      </c>
      <c r="M4674" s="16" t="str">
        <f aca="false">IF(B4674="","",IF(E4674="Em ajustes",IF(N4674=_xlfn.MINIFS($N$2:$N$5001,$B$2:$B$5001,B4674,$E$2:$E$5001,"Em ajustes"),1,0),0))</f>
        <v/>
      </c>
      <c r="N4674" s="17" t="str">
        <f aca="false">IF(A4674="","",IF(ISNUMBER(A4674),A4674,IFERROR(DATE(VALUE(MID(A4674,7,4)),VALUE(MID(A4674,4,2)),VALUE(MID(A4674,1,2)))+TIME(VALUE(MID(A4674,12,2)),VALUE(MID(A4674,15,2)),VALUE(MID(A4674,18,2))),"")))</f>
        <v/>
      </c>
    </row>
    <row r="4675" customFormat="false" ht="15" hidden="false" customHeight="false" outlineLevel="0" collapsed="false">
      <c r="I4675" s="15" t="str">
        <f aca="false">IF(N4675="","",INT(N4675))</f>
        <v/>
      </c>
      <c r="J4675" s="16" t="str">
        <f aca="false">IF(B4675="","",IF(N4675=_xlfn.MINIFS($N$2:$N$5001,$B$2:$B$5001,B4675),1,0))</f>
        <v/>
      </c>
      <c r="K4675" s="16" t="str">
        <f aca="false">IF(B4675="","",IF(AND(D4675="Formalização",E4675="Concluído"),IF(COUNTIFS($B$2:$B$5001,B4675,$E$2:$E$5001,"Em ajustes",$N$2:$N$5001,"&lt;"&amp;I4675)&gt;0,1,0),0))</f>
        <v/>
      </c>
      <c r="L4675" s="16" t="str">
        <f aca="false">IF(B4675="","",IF(N4675=_xlfn.MAXIFS($N$2:$N$5001,$B$2:$B$5001,B4675,$I$2:$I$5001,I4675),1,0))</f>
        <v/>
      </c>
      <c r="M4675" s="16" t="str">
        <f aca="false">IF(B4675="","",IF(E4675="Em ajustes",IF(N4675=_xlfn.MINIFS($N$2:$N$5001,$B$2:$B$5001,B4675,$E$2:$E$5001,"Em ajustes"),1,0),0))</f>
        <v/>
      </c>
      <c r="N4675" s="17" t="str">
        <f aca="false">IF(A4675="","",IF(ISNUMBER(A4675),A4675,IFERROR(DATE(VALUE(MID(A4675,7,4)),VALUE(MID(A4675,4,2)),VALUE(MID(A4675,1,2)))+TIME(VALUE(MID(A4675,12,2)),VALUE(MID(A4675,15,2)),VALUE(MID(A4675,18,2))),"")))</f>
        <v/>
      </c>
    </row>
    <row r="4676" customFormat="false" ht="15" hidden="false" customHeight="false" outlineLevel="0" collapsed="false">
      <c r="I4676" s="15" t="str">
        <f aca="false">IF(N4676="","",INT(N4676))</f>
        <v/>
      </c>
      <c r="J4676" s="16" t="str">
        <f aca="false">IF(B4676="","",IF(N4676=_xlfn.MINIFS($N$2:$N$5001,$B$2:$B$5001,B4676),1,0))</f>
        <v/>
      </c>
      <c r="K4676" s="16" t="str">
        <f aca="false">IF(B4676="","",IF(AND(D4676="Formalização",E4676="Concluído"),IF(COUNTIFS($B$2:$B$5001,B4676,$E$2:$E$5001,"Em ajustes",$N$2:$N$5001,"&lt;"&amp;I4676)&gt;0,1,0),0))</f>
        <v/>
      </c>
      <c r="L4676" s="16" t="str">
        <f aca="false">IF(B4676="","",IF(N4676=_xlfn.MAXIFS($N$2:$N$5001,$B$2:$B$5001,B4676,$I$2:$I$5001,I4676),1,0))</f>
        <v/>
      </c>
      <c r="M4676" s="16" t="str">
        <f aca="false">IF(B4676="","",IF(E4676="Em ajustes",IF(N4676=_xlfn.MINIFS($N$2:$N$5001,$B$2:$B$5001,B4676,$E$2:$E$5001,"Em ajustes"),1,0),0))</f>
        <v/>
      </c>
      <c r="N4676" s="17" t="str">
        <f aca="false">IF(A4676="","",IF(ISNUMBER(A4676),A4676,IFERROR(DATE(VALUE(MID(A4676,7,4)),VALUE(MID(A4676,4,2)),VALUE(MID(A4676,1,2)))+TIME(VALUE(MID(A4676,12,2)),VALUE(MID(A4676,15,2)),VALUE(MID(A4676,18,2))),"")))</f>
        <v/>
      </c>
    </row>
    <row r="4677" customFormat="false" ht="15" hidden="false" customHeight="false" outlineLevel="0" collapsed="false">
      <c r="I4677" s="15" t="str">
        <f aca="false">IF(N4677="","",INT(N4677))</f>
        <v/>
      </c>
      <c r="J4677" s="16" t="str">
        <f aca="false">IF(B4677="","",IF(N4677=_xlfn.MINIFS($N$2:$N$5001,$B$2:$B$5001,B4677),1,0))</f>
        <v/>
      </c>
      <c r="K4677" s="16" t="str">
        <f aca="false">IF(B4677="","",IF(AND(D4677="Formalização",E4677="Concluído"),IF(COUNTIFS($B$2:$B$5001,B4677,$E$2:$E$5001,"Em ajustes",$N$2:$N$5001,"&lt;"&amp;I4677)&gt;0,1,0),0))</f>
        <v/>
      </c>
      <c r="L4677" s="16" t="str">
        <f aca="false">IF(B4677="","",IF(N4677=_xlfn.MAXIFS($N$2:$N$5001,$B$2:$B$5001,B4677,$I$2:$I$5001,I4677),1,0))</f>
        <v/>
      </c>
      <c r="M4677" s="16" t="str">
        <f aca="false">IF(B4677="","",IF(E4677="Em ajustes",IF(N4677=_xlfn.MINIFS($N$2:$N$5001,$B$2:$B$5001,B4677,$E$2:$E$5001,"Em ajustes"),1,0),0))</f>
        <v/>
      </c>
      <c r="N4677" s="17" t="str">
        <f aca="false">IF(A4677="","",IF(ISNUMBER(A4677),A4677,IFERROR(DATE(VALUE(MID(A4677,7,4)),VALUE(MID(A4677,4,2)),VALUE(MID(A4677,1,2)))+TIME(VALUE(MID(A4677,12,2)),VALUE(MID(A4677,15,2)),VALUE(MID(A4677,18,2))),"")))</f>
        <v/>
      </c>
    </row>
    <row r="4678" customFormat="false" ht="15" hidden="false" customHeight="false" outlineLevel="0" collapsed="false">
      <c r="I4678" s="15" t="str">
        <f aca="false">IF(N4678="","",INT(N4678))</f>
        <v/>
      </c>
      <c r="J4678" s="16" t="str">
        <f aca="false">IF(B4678="","",IF(N4678=_xlfn.MINIFS($N$2:$N$5001,$B$2:$B$5001,B4678),1,0))</f>
        <v/>
      </c>
      <c r="K4678" s="16" t="str">
        <f aca="false">IF(B4678="","",IF(AND(D4678="Formalização",E4678="Concluído"),IF(COUNTIFS($B$2:$B$5001,B4678,$E$2:$E$5001,"Em ajustes",$N$2:$N$5001,"&lt;"&amp;I4678)&gt;0,1,0),0))</f>
        <v/>
      </c>
      <c r="L4678" s="16" t="str">
        <f aca="false">IF(B4678="","",IF(N4678=_xlfn.MAXIFS($N$2:$N$5001,$B$2:$B$5001,B4678,$I$2:$I$5001,I4678),1,0))</f>
        <v/>
      </c>
      <c r="M4678" s="16" t="str">
        <f aca="false">IF(B4678="","",IF(E4678="Em ajustes",IF(N4678=_xlfn.MINIFS($N$2:$N$5001,$B$2:$B$5001,B4678,$E$2:$E$5001,"Em ajustes"),1,0),0))</f>
        <v/>
      </c>
      <c r="N4678" s="17" t="str">
        <f aca="false">IF(A4678="","",IF(ISNUMBER(A4678),A4678,IFERROR(DATE(VALUE(MID(A4678,7,4)),VALUE(MID(A4678,4,2)),VALUE(MID(A4678,1,2)))+TIME(VALUE(MID(A4678,12,2)),VALUE(MID(A4678,15,2)),VALUE(MID(A4678,18,2))),"")))</f>
        <v/>
      </c>
    </row>
    <row r="4679" customFormat="false" ht="15" hidden="false" customHeight="false" outlineLevel="0" collapsed="false">
      <c r="I4679" s="15" t="str">
        <f aca="false">IF(N4679="","",INT(N4679))</f>
        <v/>
      </c>
      <c r="J4679" s="16" t="str">
        <f aca="false">IF(B4679="","",IF(N4679=_xlfn.MINIFS($N$2:$N$5001,$B$2:$B$5001,B4679),1,0))</f>
        <v/>
      </c>
      <c r="K4679" s="16" t="str">
        <f aca="false">IF(B4679="","",IF(AND(D4679="Formalização",E4679="Concluído"),IF(COUNTIFS($B$2:$B$5001,B4679,$E$2:$E$5001,"Em ajustes",$N$2:$N$5001,"&lt;"&amp;I4679)&gt;0,1,0),0))</f>
        <v/>
      </c>
      <c r="L4679" s="16" t="str">
        <f aca="false">IF(B4679="","",IF(N4679=_xlfn.MAXIFS($N$2:$N$5001,$B$2:$B$5001,B4679,$I$2:$I$5001,I4679),1,0))</f>
        <v/>
      </c>
      <c r="M4679" s="16" t="str">
        <f aca="false">IF(B4679="","",IF(E4679="Em ajustes",IF(N4679=_xlfn.MINIFS($N$2:$N$5001,$B$2:$B$5001,B4679,$E$2:$E$5001,"Em ajustes"),1,0),0))</f>
        <v/>
      </c>
      <c r="N4679" s="17" t="str">
        <f aca="false">IF(A4679="","",IF(ISNUMBER(A4679),A4679,IFERROR(DATE(VALUE(MID(A4679,7,4)),VALUE(MID(A4679,4,2)),VALUE(MID(A4679,1,2)))+TIME(VALUE(MID(A4679,12,2)),VALUE(MID(A4679,15,2)),VALUE(MID(A4679,18,2))),"")))</f>
        <v/>
      </c>
    </row>
    <row r="4680" customFormat="false" ht="15" hidden="false" customHeight="false" outlineLevel="0" collapsed="false">
      <c r="I4680" s="15" t="str">
        <f aca="false">IF(N4680="","",INT(N4680))</f>
        <v/>
      </c>
      <c r="J4680" s="16" t="str">
        <f aca="false">IF(B4680="","",IF(N4680=_xlfn.MINIFS($N$2:$N$5001,$B$2:$B$5001,B4680),1,0))</f>
        <v/>
      </c>
      <c r="K4680" s="16" t="str">
        <f aca="false">IF(B4680="","",IF(AND(D4680="Formalização",E4680="Concluído"),IF(COUNTIFS($B$2:$B$5001,B4680,$E$2:$E$5001,"Em ajustes",$N$2:$N$5001,"&lt;"&amp;I4680)&gt;0,1,0),0))</f>
        <v/>
      </c>
      <c r="L4680" s="16" t="str">
        <f aca="false">IF(B4680="","",IF(N4680=_xlfn.MAXIFS($N$2:$N$5001,$B$2:$B$5001,B4680,$I$2:$I$5001,I4680),1,0))</f>
        <v/>
      </c>
      <c r="M4680" s="16" t="str">
        <f aca="false">IF(B4680="","",IF(E4680="Em ajustes",IF(N4680=_xlfn.MINIFS($N$2:$N$5001,$B$2:$B$5001,B4680,$E$2:$E$5001,"Em ajustes"),1,0),0))</f>
        <v/>
      </c>
      <c r="N4680" s="17" t="str">
        <f aca="false">IF(A4680="","",IF(ISNUMBER(A4680),A4680,IFERROR(DATE(VALUE(MID(A4680,7,4)),VALUE(MID(A4680,4,2)),VALUE(MID(A4680,1,2)))+TIME(VALUE(MID(A4680,12,2)),VALUE(MID(A4680,15,2)),VALUE(MID(A4680,18,2))),"")))</f>
        <v/>
      </c>
    </row>
    <row r="4681" customFormat="false" ht="15" hidden="false" customHeight="false" outlineLevel="0" collapsed="false">
      <c r="I4681" s="15" t="str">
        <f aca="false">IF(N4681="","",INT(N4681))</f>
        <v/>
      </c>
      <c r="J4681" s="16" t="str">
        <f aca="false">IF(B4681="","",IF(N4681=_xlfn.MINIFS($N$2:$N$5001,$B$2:$B$5001,B4681),1,0))</f>
        <v/>
      </c>
      <c r="K4681" s="16" t="str">
        <f aca="false">IF(B4681="","",IF(AND(D4681="Formalização",E4681="Concluído"),IF(COUNTIFS($B$2:$B$5001,B4681,$E$2:$E$5001,"Em ajustes",$N$2:$N$5001,"&lt;"&amp;I4681)&gt;0,1,0),0))</f>
        <v/>
      </c>
      <c r="L4681" s="16" t="str">
        <f aca="false">IF(B4681="","",IF(N4681=_xlfn.MAXIFS($N$2:$N$5001,$B$2:$B$5001,B4681,$I$2:$I$5001,I4681),1,0))</f>
        <v/>
      </c>
      <c r="M4681" s="16" t="str">
        <f aca="false">IF(B4681="","",IF(E4681="Em ajustes",IF(N4681=_xlfn.MINIFS($N$2:$N$5001,$B$2:$B$5001,B4681,$E$2:$E$5001,"Em ajustes"),1,0),0))</f>
        <v/>
      </c>
      <c r="N4681" s="17" t="str">
        <f aca="false">IF(A4681="","",IF(ISNUMBER(A4681),A4681,IFERROR(DATE(VALUE(MID(A4681,7,4)),VALUE(MID(A4681,4,2)),VALUE(MID(A4681,1,2)))+TIME(VALUE(MID(A4681,12,2)),VALUE(MID(A4681,15,2)),VALUE(MID(A4681,18,2))),"")))</f>
        <v/>
      </c>
    </row>
    <row r="4682" customFormat="false" ht="15" hidden="false" customHeight="false" outlineLevel="0" collapsed="false">
      <c r="I4682" s="15" t="str">
        <f aca="false">IF(N4682="","",INT(N4682))</f>
        <v/>
      </c>
      <c r="J4682" s="16" t="str">
        <f aca="false">IF(B4682="","",IF(N4682=_xlfn.MINIFS($N$2:$N$5001,$B$2:$B$5001,B4682),1,0))</f>
        <v/>
      </c>
      <c r="K4682" s="16" t="str">
        <f aca="false">IF(B4682="","",IF(AND(D4682="Formalização",E4682="Concluído"),IF(COUNTIFS($B$2:$B$5001,B4682,$E$2:$E$5001,"Em ajustes",$N$2:$N$5001,"&lt;"&amp;I4682)&gt;0,1,0),0))</f>
        <v/>
      </c>
      <c r="L4682" s="16" t="str">
        <f aca="false">IF(B4682="","",IF(N4682=_xlfn.MAXIFS($N$2:$N$5001,$B$2:$B$5001,B4682,$I$2:$I$5001,I4682),1,0))</f>
        <v/>
      </c>
      <c r="M4682" s="16" t="str">
        <f aca="false">IF(B4682="","",IF(E4682="Em ajustes",IF(N4682=_xlfn.MINIFS($N$2:$N$5001,$B$2:$B$5001,B4682,$E$2:$E$5001,"Em ajustes"),1,0),0))</f>
        <v/>
      </c>
      <c r="N4682" s="17" t="str">
        <f aca="false">IF(A4682="","",IF(ISNUMBER(A4682),A4682,IFERROR(DATE(VALUE(MID(A4682,7,4)),VALUE(MID(A4682,4,2)),VALUE(MID(A4682,1,2)))+TIME(VALUE(MID(A4682,12,2)),VALUE(MID(A4682,15,2)),VALUE(MID(A4682,18,2))),"")))</f>
        <v/>
      </c>
    </row>
    <row r="4683" customFormat="false" ht="15" hidden="false" customHeight="false" outlineLevel="0" collapsed="false">
      <c r="I4683" s="15" t="str">
        <f aca="false">IF(N4683="","",INT(N4683))</f>
        <v/>
      </c>
      <c r="J4683" s="16" t="str">
        <f aca="false">IF(B4683="","",IF(N4683=_xlfn.MINIFS($N$2:$N$5001,$B$2:$B$5001,B4683),1,0))</f>
        <v/>
      </c>
      <c r="K4683" s="16" t="str">
        <f aca="false">IF(B4683="","",IF(AND(D4683="Formalização",E4683="Concluído"),IF(COUNTIFS($B$2:$B$5001,B4683,$E$2:$E$5001,"Em ajustes",$N$2:$N$5001,"&lt;"&amp;I4683)&gt;0,1,0),0))</f>
        <v/>
      </c>
      <c r="L4683" s="16" t="str">
        <f aca="false">IF(B4683="","",IF(N4683=_xlfn.MAXIFS($N$2:$N$5001,$B$2:$B$5001,B4683,$I$2:$I$5001,I4683),1,0))</f>
        <v/>
      </c>
      <c r="M4683" s="16" t="str">
        <f aca="false">IF(B4683="","",IF(E4683="Em ajustes",IF(N4683=_xlfn.MINIFS($N$2:$N$5001,$B$2:$B$5001,B4683,$E$2:$E$5001,"Em ajustes"),1,0),0))</f>
        <v/>
      </c>
      <c r="N4683" s="17" t="str">
        <f aca="false">IF(A4683="","",IF(ISNUMBER(A4683),A4683,IFERROR(DATE(VALUE(MID(A4683,7,4)),VALUE(MID(A4683,4,2)),VALUE(MID(A4683,1,2)))+TIME(VALUE(MID(A4683,12,2)),VALUE(MID(A4683,15,2)),VALUE(MID(A4683,18,2))),"")))</f>
        <v/>
      </c>
    </row>
    <row r="4684" customFormat="false" ht="15" hidden="false" customHeight="false" outlineLevel="0" collapsed="false">
      <c r="I4684" s="15" t="str">
        <f aca="false">IF(N4684="","",INT(N4684))</f>
        <v/>
      </c>
      <c r="J4684" s="16" t="str">
        <f aca="false">IF(B4684="","",IF(N4684=_xlfn.MINIFS($N$2:$N$5001,$B$2:$B$5001,B4684),1,0))</f>
        <v/>
      </c>
      <c r="K4684" s="16" t="str">
        <f aca="false">IF(B4684="","",IF(AND(D4684="Formalização",E4684="Concluído"),IF(COUNTIFS($B$2:$B$5001,B4684,$E$2:$E$5001,"Em ajustes",$N$2:$N$5001,"&lt;"&amp;I4684)&gt;0,1,0),0))</f>
        <v/>
      </c>
      <c r="L4684" s="16" t="str">
        <f aca="false">IF(B4684="","",IF(N4684=_xlfn.MAXIFS($N$2:$N$5001,$B$2:$B$5001,B4684,$I$2:$I$5001,I4684),1,0))</f>
        <v/>
      </c>
      <c r="M4684" s="16" t="str">
        <f aca="false">IF(B4684="","",IF(E4684="Em ajustes",IF(N4684=_xlfn.MINIFS($N$2:$N$5001,$B$2:$B$5001,B4684,$E$2:$E$5001,"Em ajustes"),1,0),0))</f>
        <v/>
      </c>
      <c r="N4684" s="17" t="str">
        <f aca="false">IF(A4684="","",IF(ISNUMBER(A4684),A4684,IFERROR(DATE(VALUE(MID(A4684,7,4)),VALUE(MID(A4684,4,2)),VALUE(MID(A4684,1,2)))+TIME(VALUE(MID(A4684,12,2)),VALUE(MID(A4684,15,2)),VALUE(MID(A4684,18,2))),"")))</f>
        <v/>
      </c>
    </row>
    <row r="4685" customFormat="false" ht="15" hidden="false" customHeight="false" outlineLevel="0" collapsed="false">
      <c r="I4685" s="15" t="str">
        <f aca="false">IF(N4685="","",INT(N4685))</f>
        <v/>
      </c>
      <c r="J4685" s="16" t="str">
        <f aca="false">IF(B4685="","",IF(N4685=_xlfn.MINIFS($N$2:$N$5001,$B$2:$B$5001,B4685),1,0))</f>
        <v/>
      </c>
      <c r="K4685" s="16" t="str">
        <f aca="false">IF(B4685="","",IF(AND(D4685="Formalização",E4685="Concluído"),IF(COUNTIFS($B$2:$B$5001,B4685,$E$2:$E$5001,"Em ajustes",$N$2:$N$5001,"&lt;"&amp;I4685)&gt;0,1,0),0))</f>
        <v/>
      </c>
      <c r="L4685" s="16" t="str">
        <f aca="false">IF(B4685="","",IF(N4685=_xlfn.MAXIFS($N$2:$N$5001,$B$2:$B$5001,B4685,$I$2:$I$5001,I4685),1,0))</f>
        <v/>
      </c>
      <c r="M4685" s="16" t="str">
        <f aca="false">IF(B4685="","",IF(E4685="Em ajustes",IF(N4685=_xlfn.MINIFS($N$2:$N$5001,$B$2:$B$5001,B4685,$E$2:$E$5001,"Em ajustes"),1,0),0))</f>
        <v/>
      </c>
      <c r="N4685" s="17" t="str">
        <f aca="false">IF(A4685="","",IF(ISNUMBER(A4685),A4685,IFERROR(DATE(VALUE(MID(A4685,7,4)),VALUE(MID(A4685,4,2)),VALUE(MID(A4685,1,2)))+TIME(VALUE(MID(A4685,12,2)),VALUE(MID(A4685,15,2)),VALUE(MID(A4685,18,2))),"")))</f>
        <v/>
      </c>
    </row>
    <row r="4686" customFormat="false" ht="15" hidden="false" customHeight="false" outlineLevel="0" collapsed="false">
      <c r="I4686" s="15" t="str">
        <f aca="false">IF(N4686="","",INT(N4686))</f>
        <v/>
      </c>
      <c r="J4686" s="16" t="str">
        <f aca="false">IF(B4686="","",IF(N4686=_xlfn.MINIFS($N$2:$N$5001,$B$2:$B$5001,B4686),1,0))</f>
        <v/>
      </c>
      <c r="K4686" s="16" t="str">
        <f aca="false">IF(B4686="","",IF(AND(D4686="Formalização",E4686="Concluído"),IF(COUNTIFS($B$2:$B$5001,B4686,$E$2:$E$5001,"Em ajustes",$N$2:$N$5001,"&lt;"&amp;I4686)&gt;0,1,0),0))</f>
        <v/>
      </c>
      <c r="L4686" s="16" t="str">
        <f aca="false">IF(B4686="","",IF(N4686=_xlfn.MAXIFS($N$2:$N$5001,$B$2:$B$5001,B4686,$I$2:$I$5001,I4686),1,0))</f>
        <v/>
      </c>
      <c r="M4686" s="16" t="str">
        <f aca="false">IF(B4686="","",IF(E4686="Em ajustes",IF(N4686=_xlfn.MINIFS($N$2:$N$5001,$B$2:$B$5001,B4686,$E$2:$E$5001,"Em ajustes"),1,0),0))</f>
        <v/>
      </c>
      <c r="N4686" s="17" t="str">
        <f aca="false">IF(A4686="","",IF(ISNUMBER(A4686),A4686,IFERROR(DATE(VALUE(MID(A4686,7,4)),VALUE(MID(A4686,4,2)),VALUE(MID(A4686,1,2)))+TIME(VALUE(MID(A4686,12,2)),VALUE(MID(A4686,15,2)),VALUE(MID(A4686,18,2))),"")))</f>
        <v/>
      </c>
    </row>
    <row r="4687" customFormat="false" ht="15" hidden="false" customHeight="false" outlineLevel="0" collapsed="false">
      <c r="I4687" s="15" t="str">
        <f aca="false">IF(N4687="","",INT(N4687))</f>
        <v/>
      </c>
      <c r="J4687" s="16" t="str">
        <f aca="false">IF(B4687="","",IF(N4687=_xlfn.MINIFS($N$2:$N$5001,$B$2:$B$5001,B4687),1,0))</f>
        <v/>
      </c>
      <c r="K4687" s="16" t="str">
        <f aca="false">IF(B4687="","",IF(AND(D4687="Formalização",E4687="Concluído"),IF(COUNTIFS($B$2:$B$5001,B4687,$E$2:$E$5001,"Em ajustes",$N$2:$N$5001,"&lt;"&amp;I4687)&gt;0,1,0),0))</f>
        <v/>
      </c>
      <c r="L4687" s="16" t="str">
        <f aca="false">IF(B4687="","",IF(N4687=_xlfn.MAXIFS($N$2:$N$5001,$B$2:$B$5001,B4687,$I$2:$I$5001,I4687),1,0))</f>
        <v/>
      </c>
      <c r="M4687" s="16" t="str">
        <f aca="false">IF(B4687="","",IF(E4687="Em ajustes",IF(N4687=_xlfn.MINIFS($N$2:$N$5001,$B$2:$B$5001,B4687,$E$2:$E$5001,"Em ajustes"),1,0),0))</f>
        <v/>
      </c>
      <c r="N4687" s="17" t="str">
        <f aca="false">IF(A4687="","",IF(ISNUMBER(A4687),A4687,IFERROR(DATE(VALUE(MID(A4687,7,4)),VALUE(MID(A4687,4,2)),VALUE(MID(A4687,1,2)))+TIME(VALUE(MID(A4687,12,2)),VALUE(MID(A4687,15,2)),VALUE(MID(A4687,18,2))),"")))</f>
        <v/>
      </c>
    </row>
    <row r="4688" customFormat="false" ht="15" hidden="false" customHeight="false" outlineLevel="0" collapsed="false">
      <c r="I4688" s="15" t="str">
        <f aca="false">IF(N4688="","",INT(N4688))</f>
        <v/>
      </c>
      <c r="J4688" s="16" t="str">
        <f aca="false">IF(B4688="","",IF(N4688=_xlfn.MINIFS($N$2:$N$5001,$B$2:$B$5001,B4688),1,0))</f>
        <v/>
      </c>
      <c r="K4688" s="16" t="str">
        <f aca="false">IF(B4688="","",IF(AND(D4688="Formalização",E4688="Concluído"),IF(COUNTIFS($B$2:$B$5001,B4688,$E$2:$E$5001,"Em ajustes",$N$2:$N$5001,"&lt;"&amp;I4688)&gt;0,1,0),0))</f>
        <v/>
      </c>
      <c r="L4688" s="16" t="str">
        <f aca="false">IF(B4688="","",IF(N4688=_xlfn.MAXIFS($N$2:$N$5001,$B$2:$B$5001,B4688,$I$2:$I$5001,I4688),1,0))</f>
        <v/>
      </c>
      <c r="M4688" s="16" t="str">
        <f aca="false">IF(B4688="","",IF(E4688="Em ajustes",IF(N4688=_xlfn.MINIFS($N$2:$N$5001,$B$2:$B$5001,B4688,$E$2:$E$5001,"Em ajustes"),1,0),0))</f>
        <v/>
      </c>
      <c r="N4688" s="17" t="str">
        <f aca="false">IF(A4688="","",IF(ISNUMBER(A4688),A4688,IFERROR(DATE(VALUE(MID(A4688,7,4)),VALUE(MID(A4688,4,2)),VALUE(MID(A4688,1,2)))+TIME(VALUE(MID(A4688,12,2)),VALUE(MID(A4688,15,2)),VALUE(MID(A4688,18,2))),"")))</f>
        <v/>
      </c>
    </row>
    <row r="4689" customFormat="false" ht="15" hidden="false" customHeight="false" outlineLevel="0" collapsed="false">
      <c r="I4689" s="15" t="str">
        <f aca="false">IF(N4689="","",INT(N4689))</f>
        <v/>
      </c>
      <c r="J4689" s="16" t="str">
        <f aca="false">IF(B4689="","",IF(N4689=_xlfn.MINIFS($N$2:$N$5001,$B$2:$B$5001,B4689),1,0))</f>
        <v/>
      </c>
      <c r="K4689" s="16" t="str">
        <f aca="false">IF(B4689="","",IF(AND(D4689="Formalização",E4689="Concluído"),IF(COUNTIFS($B$2:$B$5001,B4689,$E$2:$E$5001,"Em ajustes",$N$2:$N$5001,"&lt;"&amp;I4689)&gt;0,1,0),0))</f>
        <v/>
      </c>
      <c r="L4689" s="16" t="str">
        <f aca="false">IF(B4689="","",IF(N4689=_xlfn.MAXIFS($N$2:$N$5001,$B$2:$B$5001,B4689,$I$2:$I$5001,I4689),1,0))</f>
        <v/>
      </c>
      <c r="M4689" s="16" t="str">
        <f aca="false">IF(B4689="","",IF(E4689="Em ajustes",IF(N4689=_xlfn.MINIFS($N$2:$N$5001,$B$2:$B$5001,B4689,$E$2:$E$5001,"Em ajustes"),1,0),0))</f>
        <v/>
      </c>
      <c r="N4689" s="17" t="str">
        <f aca="false">IF(A4689="","",IF(ISNUMBER(A4689),A4689,IFERROR(DATE(VALUE(MID(A4689,7,4)),VALUE(MID(A4689,4,2)),VALUE(MID(A4689,1,2)))+TIME(VALUE(MID(A4689,12,2)),VALUE(MID(A4689,15,2)),VALUE(MID(A4689,18,2))),"")))</f>
        <v/>
      </c>
    </row>
    <row r="4690" customFormat="false" ht="15" hidden="false" customHeight="false" outlineLevel="0" collapsed="false">
      <c r="I4690" s="15" t="str">
        <f aca="false">IF(N4690="","",INT(N4690))</f>
        <v/>
      </c>
      <c r="J4690" s="16" t="str">
        <f aca="false">IF(B4690="","",IF(N4690=_xlfn.MINIFS($N$2:$N$5001,$B$2:$B$5001,B4690),1,0))</f>
        <v/>
      </c>
      <c r="K4690" s="16" t="str">
        <f aca="false">IF(B4690="","",IF(AND(D4690="Formalização",E4690="Concluído"),IF(COUNTIFS($B$2:$B$5001,B4690,$E$2:$E$5001,"Em ajustes",$N$2:$N$5001,"&lt;"&amp;I4690)&gt;0,1,0),0))</f>
        <v/>
      </c>
      <c r="L4690" s="16" t="str">
        <f aca="false">IF(B4690="","",IF(N4690=_xlfn.MAXIFS($N$2:$N$5001,$B$2:$B$5001,B4690,$I$2:$I$5001,I4690),1,0))</f>
        <v/>
      </c>
      <c r="M4690" s="16" t="str">
        <f aca="false">IF(B4690="","",IF(E4690="Em ajustes",IF(N4690=_xlfn.MINIFS($N$2:$N$5001,$B$2:$B$5001,B4690,$E$2:$E$5001,"Em ajustes"),1,0),0))</f>
        <v/>
      </c>
      <c r="N4690" s="17" t="str">
        <f aca="false">IF(A4690="","",IF(ISNUMBER(A4690),A4690,IFERROR(DATE(VALUE(MID(A4690,7,4)),VALUE(MID(A4690,4,2)),VALUE(MID(A4690,1,2)))+TIME(VALUE(MID(A4690,12,2)),VALUE(MID(A4690,15,2)),VALUE(MID(A4690,18,2))),"")))</f>
        <v/>
      </c>
    </row>
    <row r="4691" customFormat="false" ht="15" hidden="false" customHeight="false" outlineLevel="0" collapsed="false">
      <c r="I4691" s="15" t="str">
        <f aca="false">IF(N4691="","",INT(N4691))</f>
        <v/>
      </c>
      <c r="J4691" s="16" t="str">
        <f aca="false">IF(B4691="","",IF(N4691=_xlfn.MINIFS($N$2:$N$5001,$B$2:$B$5001,B4691),1,0))</f>
        <v/>
      </c>
      <c r="K4691" s="16" t="str">
        <f aca="false">IF(B4691="","",IF(AND(D4691="Formalização",E4691="Concluído"),IF(COUNTIFS($B$2:$B$5001,B4691,$E$2:$E$5001,"Em ajustes",$N$2:$N$5001,"&lt;"&amp;I4691)&gt;0,1,0),0))</f>
        <v/>
      </c>
      <c r="L4691" s="16" t="str">
        <f aca="false">IF(B4691="","",IF(N4691=_xlfn.MAXIFS($N$2:$N$5001,$B$2:$B$5001,B4691,$I$2:$I$5001,I4691),1,0))</f>
        <v/>
      </c>
      <c r="M4691" s="16" t="str">
        <f aca="false">IF(B4691="","",IF(E4691="Em ajustes",IF(N4691=_xlfn.MINIFS($N$2:$N$5001,$B$2:$B$5001,B4691,$E$2:$E$5001,"Em ajustes"),1,0),0))</f>
        <v/>
      </c>
      <c r="N4691" s="17" t="str">
        <f aca="false">IF(A4691="","",IF(ISNUMBER(A4691),A4691,IFERROR(DATE(VALUE(MID(A4691,7,4)),VALUE(MID(A4691,4,2)),VALUE(MID(A4691,1,2)))+TIME(VALUE(MID(A4691,12,2)),VALUE(MID(A4691,15,2)),VALUE(MID(A4691,18,2))),"")))</f>
        <v/>
      </c>
    </row>
    <row r="4692" customFormat="false" ht="15" hidden="false" customHeight="false" outlineLevel="0" collapsed="false">
      <c r="I4692" s="15" t="str">
        <f aca="false">IF(N4692="","",INT(N4692))</f>
        <v/>
      </c>
      <c r="J4692" s="16" t="str">
        <f aca="false">IF(B4692="","",IF(N4692=_xlfn.MINIFS($N$2:$N$5001,$B$2:$B$5001,B4692),1,0))</f>
        <v/>
      </c>
      <c r="K4692" s="16" t="str">
        <f aca="false">IF(B4692="","",IF(AND(D4692="Formalização",E4692="Concluído"),IF(COUNTIFS($B$2:$B$5001,B4692,$E$2:$E$5001,"Em ajustes",$N$2:$N$5001,"&lt;"&amp;I4692)&gt;0,1,0),0))</f>
        <v/>
      </c>
      <c r="L4692" s="16" t="str">
        <f aca="false">IF(B4692="","",IF(N4692=_xlfn.MAXIFS($N$2:$N$5001,$B$2:$B$5001,B4692,$I$2:$I$5001,I4692),1,0))</f>
        <v/>
      </c>
      <c r="M4692" s="16" t="str">
        <f aca="false">IF(B4692="","",IF(E4692="Em ajustes",IF(N4692=_xlfn.MINIFS($N$2:$N$5001,$B$2:$B$5001,B4692,$E$2:$E$5001,"Em ajustes"),1,0),0))</f>
        <v/>
      </c>
      <c r="N4692" s="17" t="str">
        <f aca="false">IF(A4692="","",IF(ISNUMBER(A4692),A4692,IFERROR(DATE(VALUE(MID(A4692,7,4)),VALUE(MID(A4692,4,2)),VALUE(MID(A4692,1,2)))+TIME(VALUE(MID(A4692,12,2)),VALUE(MID(A4692,15,2)),VALUE(MID(A4692,18,2))),"")))</f>
        <v/>
      </c>
    </row>
    <row r="4693" customFormat="false" ht="15" hidden="false" customHeight="false" outlineLevel="0" collapsed="false">
      <c r="I4693" s="15" t="str">
        <f aca="false">IF(N4693="","",INT(N4693))</f>
        <v/>
      </c>
      <c r="J4693" s="16" t="str">
        <f aca="false">IF(B4693="","",IF(N4693=_xlfn.MINIFS($N$2:$N$5001,$B$2:$B$5001,B4693),1,0))</f>
        <v/>
      </c>
      <c r="K4693" s="16" t="str">
        <f aca="false">IF(B4693="","",IF(AND(D4693="Formalização",E4693="Concluído"),IF(COUNTIFS($B$2:$B$5001,B4693,$E$2:$E$5001,"Em ajustes",$N$2:$N$5001,"&lt;"&amp;I4693)&gt;0,1,0),0))</f>
        <v/>
      </c>
      <c r="L4693" s="16" t="str">
        <f aca="false">IF(B4693="","",IF(N4693=_xlfn.MAXIFS($N$2:$N$5001,$B$2:$B$5001,B4693,$I$2:$I$5001,I4693),1,0))</f>
        <v/>
      </c>
      <c r="M4693" s="16" t="str">
        <f aca="false">IF(B4693="","",IF(E4693="Em ajustes",IF(N4693=_xlfn.MINIFS($N$2:$N$5001,$B$2:$B$5001,B4693,$E$2:$E$5001,"Em ajustes"),1,0),0))</f>
        <v/>
      </c>
      <c r="N4693" s="17" t="str">
        <f aca="false">IF(A4693="","",IF(ISNUMBER(A4693),A4693,IFERROR(DATE(VALUE(MID(A4693,7,4)),VALUE(MID(A4693,4,2)),VALUE(MID(A4693,1,2)))+TIME(VALUE(MID(A4693,12,2)),VALUE(MID(A4693,15,2)),VALUE(MID(A4693,18,2))),"")))</f>
        <v/>
      </c>
    </row>
    <row r="4694" customFormat="false" ht="15" hidden="false" customHeight="false" outlineLevel="0" collapsed="false">
      <c r="I4694" s="15" t="str">
        <f aca="false">IF(N4694="","",INT(N4694))</f>
        <v/>
      </c>
      <c r="J4694" s="16" t="str">
        <f aca="false">IF(B4694="","",IF(N4694=_xlfn.MINIFS($N$2:$N$5001,$B$2:$B$5001,B4694),1,0))</f>
        <v/>
      </c>
      <c r="K4694" s="16" t="str">
        <f aca="false">IF(B4694="","",IF(AND(D4694="Formalização",E4694="Concluído"),IF(COUNTIFS($B$2:$B$5001,B4694,$E$2:$E$5001,"Em ajustes",$N$2:$N$5001,"&lt;"&amp;I4694)&gt;0,1,0),0))</f>
        <v/>
      </c>
      <c r="L4694" s="16" t="str">
        <f aca="false">IF(B4694="","",IF(N4694=_xlfn.MAXIFS($N$2:$N$5001,$B$2:$B$5001,B4694,$I$2:$I$5001,I4694),1,0))</f>
        <v/>
      </c>
      <c r="M4694" s="16" t="str">
        <f aca="false">IF(B4694="","",IF(E4694="Em ajustes",IF(N4694=_xlfn.MINIFS($N$2:$N$5001,$B$2:$B$5001,B4694,$E$2:$E$5001,"Em ajustes"),1,0),0))</f>
        <v/>
      </c>
      <c r="N4694" s="17" t="str">
        <f aca="false">IF(A4694="","",IF(ISNUMBER(A4694),A4694,IFERROR(DATE(VALUE(MID(A4694,7,4)),VALUE(MID(A4694,4,2)),VALUE(MID(A4694,1,2)))+TIME(VALUE(MID(A4694,12,2)),VALUE(MID(A4694,15,2)),VALUE(MID(A4694,18,2))),"")))</f>
        <v/>
      </c>
    </row>
    <row r="4695" customFormat="false" ht="15" hidden="false" customHeight="false" outlineLevel="0" collapsed="false">
      <c r="I4695" s="15" t="str">
        <f aca="false">IF(N4695="","",INT(N4695))</f>
        <v/>
      </c>
      <c r="J4695" s="16" t="str">
        <f aca="false">IF(B4695="","",IF(N4695=_xlfn.MINIFS($N$2:$N$5001,$B$2:$B$5001,B4695),1,0))</f>
        <v/>
      </c>
      <c r="K4695" s="16" t="str">
        <f aca="false">IF(B4695="","",IF(AND(D4695="Formalização",E4695="Concluído"),IF(COUNTIFS($B$2:$B$5001,B4695,$E$2:$E$5001,"Em ajustes",$N$2:$N$5001,"&lt;"&amp;I4695)&gt;0,1,0),0))</f>
        <v/>
      </c>
      <c r="L4695" s="16" t="str">
        <f aca="false">IF(B4695="","",IF(N4695=_xlfn.MAXIFS($N$2:$N$5001,$B$2:$B$5001,B4695,$I$2:$I$5001,I4695),1,0))</f>
        <v/>
      </c>
      <c r="M4695" s="16" t="str">
        <f aca="false">IF(B4695="","",IF(E4695="Em ajustes",IF(N4695=_xlfn.MINIFS($N$2:$N$5001,$B$2:$B$5001,B4695,$E$2:$E$5001,"Em ajustes"),1,0),0))</f>
        <v/>
      </c>
      <c r="N4695" s="17" t="str">
        <f aca="false">IF(A4695="","",IF(ISNUMBER(A4695),A4695,IFERROR(DATE(VALUE(MID(A4695,7,4)),VALUE(MID(A4695,4,2)),VALUE(MID(A4695,1,2)))+TIME(VALUE(MID(A4695,12,2)),VALUE(MID(A4695,15,2)),VALUE(MID(A4695,18,2))),"")))</f>
        <v/>
      </c>
    </row>
    <row r="4696" customFormat="false" ht="15" hidden="false" customHeight="false" outlineLevel="0" collapsed="false">
      <c r="I4696" s="15" t="str">
        <f aca="false">IF(N4696="","",INT(N4696))</f>
        <v/>
      </c>
      <c r="J4696" s="16" t="str">
        <f aca="false">IF(B4696="","",IF(N4696=_xlfn.MINIFS($N$2:$N$5001,$B$2:$B$5001,B4696),1,0))</f>
        <v/>
      </c>
      <c r="K4696" s="16" t="str">
        <f aca="false">IF(B4696="","",IF(AND(D4696="Formalização",E4696="Concluído"),IF(COUNTIFS($B$2:$B$5001,B4696,$E$2:$E$5001,"Em ajustes",$N$2:$N$5001,"&lt;"&amp;I4696)&gt;0,1,0),0))</f>
        <v/>
      </c>
      <c r="L4696" s="16" t="str">
        <f aca="false">IF(B4696="","",IF(N4696=_xlfn.MAXIFS($N$2:$N$5001,$B$2:$B$5001,B4696,$I$2:$I$5001,I4696),1,0))</f>
        <v/>
      </c>
      <c r="M4696" s="16" t="str">
        <f aca="false">IF(B4696="","",IF(E4696="Em ajustes",IF(N4696=_xlfn.MINIFS($N$2:$N$5001,$B$2:$B$5001,B4696,$E$2:$E$5001,"Em ajustes"),1,0),0))</f>
        <v/>
      </c>
      <c r="N4696" s="17" t="str">
        <f aca="false">IF(A4696="","",IF(ISNUMBER(A4696),A4696,IFERROR(DATE(VALUE(MID(A4696,7,4)),VALUE(MID(A4696,4,2)),VALUE(MID(A4696,1,2)))+TIME(VALUE(MID(A4696,12,2)),VALUE(MID(A4696,15,2)),VALUE(MID(A4696,18,2))),"")))</f>
        <v/>
      </c>
    </row>
    <row r="4697" customFormat="false" ht="15" hidden="false" customHeight="false" outlineLevel="0" collapsed="false">
      <c r="I4697" s="15" t="str">
        <f aca="false">IF(N4697="","",INT(N4697))</f>
        <v/>
      </c>
      <c r="J4697" s="16" t="str">
        <f aca="false">IF(B4697="","",IF(N4697=_xlfn.MINIFS($N$2:$N$5001,$B$2:$B$5001,B4697),1,0))</f>
        <v/>
      </c>
      <c r="K4697" s="16" t="str">
        <f aca="false">IF(B4697="","",IF(AND(D4697="Formalização",E4697="Concluído"),IF(COUNTIFS($B$2:$B$5001,B4697,$E$2:$E$5001,"Em ajustes",$N$2:$N$5001,"&lt;"&amp;I4697)&gt;0,1,0),0))</f>
        <v/>
      </c>
      <c r="L4697" s="16" t="str">
        <f aca="false">IF(B4697="","",IF(N4697=_xlfn.MAXIFS($N$2:$N$5001,$B$2:$B$5001,B4697,$I$2:$I$5001,I4697),1,0))</f>
        <v/>
      </c>
      <c r="M4697" s="16" t="str">
        <f aca="false">IF(B4697="","",IF(E4697="Em ajustes",IF(N4697=_xlfn.MINIFS($N$2:$N$5001,$B$2:$B$5001,B4697,$E$2:$E$5001,"Em ajustes"),1,0),0))</f>
        <v/>
      </c>
      <c r="N4697" s="17" t="str">
        <f aca="false">IF(A4697="","",IF(ISNUMBER(A4697),A4697,IFERROR(DATE(VALUE(MID(A4697,7,4)),VALUE(MID(A4697,4,2)),VALUE(MID(A4697,1,2)))+TIME(VALUE(MID(A4697,12,2)),VALUE(MID(A4697,15,2)),VALUE(MID(A4697,18,2))),"")))</f>
        <v/>
      </c>
    </row>
    <row r="4698" customFormat="false" ht="15" hidden="false" customHeight="false" outlineLevel="0" collapsed="false">
      <c r="I4698" s="15" t="str">
        <f aca="false">IF(N4698="","",INT(N4698))</f>
        <v/>
      </c>
      <c r="J4698" s="16" t="str">
        <f aca="false">IF(B4698="","",IF(N4698=_xlfn.MINIFS($N$2:$N$5001,$B$2:$B$5001,B4698),1,0))</f>
        <v/>
      </c>
      <c r="K4698" s="16" t="str">
        <f aca="false">IF(B4698="","",IF(AND(D4698="Formalização",E4698="Concluído"),IF(COUNTIFS($B$2:$B$5001,B4698,$E$2:$E$5001,"Em ajustes",$N$2:$N$5001,"&lt;"&amp;I4698)&gt;0,1,0),0))</f>
        <v/>
      </c>
      <c r="L4698" s="16" t="str">
        <f aca="false">IF(B4698="","",IF(N4698=_xlfn.MAXIFS($N$2:$N$5001,$B$2:$B$5001,B4698,$I$2:$I$5001,I4698),1,0))</f>
        <v/>
      </c>
      <c r="M4698" s="16" t="str">
        <f aca="false">IF(B4698="","",IF(E4698="Em ajustes",IF(N4698=_xlfn.MINIFS($N$2:$N$5001,$B$2:$B$5001,B4698,$E$2:$E$5001,"Em ajustes"),1,0),0))</f>
        <v/>
      </c>
      <c r="N4698" s="17" t="str">
        <f aca="false">IF(A4698="","",IF(ISNUMBER(A4698),A4698,IFERROR(DATE(VALUE(MID(A4698,7,4)),VALUE(MID(A4698,4,2)),VALUE(MID(A4698,1,2)))+TIME(VALUE(MID(A4698,12,2)),VALUE(MID(A4698,15,2)),VALUE(MID(A4698,18,2))),"")))</f>
        <v/>
      </c>
    </row>
    <row r="4699" customFormat="false" ht="15" hidden="false" customHeight="false" outlineLevel="0" collapsed="false">
      <c r="I4699" s="15" t="str">
        <f aca="false">IF(N4699="","",INT(N4699))</f>
        <v/>
      </c>
      <c r="J4699" s="16" t="str">
        <f aca="false">IF(B4699="","",IF(N4699=_xlfn.MINIFS($N$2:$N$5001,$B$2:$B$5001,B4699),1,0))</f>
        <v/>
      </c>
      <c r="K4699" s="16" t="str">
        <f aca="false">IF(B4699="","",IF(AND(D4699="Formalização",E4699="Concluído"),IF(COUNTIFS($B$2:$B$5001,B4699,$E$2:$E$5001,"Em ajustes",$N$2:$N$5001,"&lt;"&amp;I4699)&gt;0,1,0),0))</f>
        <v/>
      </c>
      <c r="L4699" s="16" t="str">
        <f aca="false">IF(B4699="","",IF(N4699=_xlfn.MAXIFS($N$2:$N$5001,$B$2:$B$5001,B4699,$I$2:$I$5001,I4699),1,0))</f>
        <v/>
      </c>
      <c r="M4699" s="16" t="str">
        <f aca="false">IF(B4699="","",IF(E4699="Em ajustes",IF(N4699=_xlfn.MINIFS($N$2:$N$5001,$B$2:$B$5001,B4699,$E$2:$E$5001,"Em ajustes"),1,0),0))</f>
        <v/>
      </c>
      <c r="N4699" s="17" t="str">
        <f aca="false">IF(A4699="","",IF(ISNUMBER(A4699),A4699,IFERROR(DATE(VALUE(MID(A4699,7,4)),VALUE(MID(A4699,4,2)),VALUE(MID(A4699,1,2)))+TIME(VALUE(MID(A4699,12,2)),VALUE(MID(A4699,15,2)),VALUE(MID(A4699,18,2))),"")))</f>
        <v/>
      </c>
    </row>
    <row r="4700" customFormat="false" ht="15" hidden="false" customHeight="false" outlineLevel="0" collapsed="false">
      <c r="I4700" s="15" t="str">
        <f aca="false">IF(N4700="","",INT(N4700))</f>
        <v/>
      </c>
      <c r="J4700" s="16" t="str">
        <f aca="false">IF(B4700="","",IF(N4700=_xlfn.MINIFS($N$2:$N$5001,$B$2:$B$5001,B4700),1,0))</f>
        <v/>
      </c>
      <c r="K4700" s="16" t="str">
        <f aca="false">IF(B4700="","",IF(AND(D4700="Formalização",E4700="Concluído"),IF(COUNTIFS($B$2:$B$5001,B4700,$E$2:$E$5001,"Em ajustes",$N$2:$N$5001,"&lt;"&amp;I4700)&gt;0,1,0),0))</f>
        <v/>
      </c>
      <c r="L4700" s="16" t="str">
        <f aca="false">IF(B4700="","",IF(N4700=_xlfn.MAXIFS($N$2:$N$5001,$B$2:$B$5001,B4700,$I$2:$I$5001,I4700),1,0))</f>
        <v/>
      </c>
      <c r="M4700" s="16" t="str">
        <f aca="false">IF(B4700="","",IF(E4700="Em ajustes",IF(N4700=_xlfn.MINIFS($N$2:$N$5001,$B$2:$B$5001,B4700,$E$2:$E$5001,"Em ajustes"),1,0),0))</f>
        <v/>
      </c>
      <c r="N4700" s="17" t="str">
        <f aca="false">IF(A4700="","",IF(ISNUMBER(A4700),A4700,IFERROR(DATE(VALUE(MID(A4700,7,4)),VALUE(MID(A4700,4,2)),VALUE(MID(A4700,1,2)))+TIME(VALUE(MID(A4700,12,2)),VALUE(MID(A4700,15,2)),VALUE(MID(A4700,18,2))),"")))</f>
        <v/>
      </c>
    </row>
    <row r="4701" customFormat="false" ht="15" hidden="false" customHeight="false" outlineLevel="0" collapsed="false">
      <c r="I4701" s="15" t="str">
        <f aca="false">IF(N4701="","",INT(N4701))</f>
        <v/>
      </c>
      <c r="J4701" s="16" t="str">
        <f aca="false">IF(B4701="","",IF(N4701=_xlfn.MINIFS($N$2:$N$5001,$B$2:$B$5001,B4701),1,0))</f>
        <v/>
      </c>
      <c r="K4701" s="16" t="str">
        <f aca="false">IF(B4701="","",IF(AND(D4701="Formalização",E4701="Concluído"),IF(COUNTIFS($B$2:$B$5001,B4701,$E$2:$E$5001,"Em ajustes",$N$2:$N$5001,"&lt;"&amp;I4701)&gt;0,1,0),0))</f>
        <v/>
      </c>
      <c r="L4701" s="16" t="str">
        <f aca="false">IF(B4701="","",IF(N4701=_xlfn.MAXIFS($N$2:$N$5001,$B$2:$B$5001,B4701,$I$2:$I$5001,I4701),1,0))</f>
        <v/>
      </c>
      <c r="M4701" s="16" t="str">
        <f aca="false">IF(B4701="","",IF(E4701="Em ajustes",IF(N4701=_xlfn.MINIFS($N$2:$N$5001,$B$2:$B$5001,B4701,$E$2:$E$5001,"Em ajustes"),1,0),0))</f>
        <v/>
      </c>
      <c r="N4701" s="17" t="str">
        <f aca="false">IF(A4701="","",IF(ISNUMBER(A4701),A4701,IFERROR(DATE(VALUE(MID(A4701,7,4)),VALUE(MID(A4701,4,2)),VALUE(MID(A4701,1,2)))+TIME(VALUE(MID(A4701,12,2)),VALUE(MID(A4701,15,2)),VALUE(MID(A4701,18,2))),"")))</f>
        <v/>
      </c>
    </row>
    <row r="4702" customFormat="false" ht="15" hidden="false" customHeight="false" outlineLevel="0" collapsed="false">
      <c r="I4702" s="15" t="str">
        <f aca="false">IF(N4702="","",INT(N4702))</f>
        <v/>
      </c>
      <c r="J4702" s="16" t="str">
        <f aca="false">IF(B4702="","",IF(N4702=_xlfn.MINIFS($N$2:$N$5001,$B$2:$B$5001,B4702),1,0))</f>
        <v/>
      </c>
      <c r="K4702" s="16" t="str">
        <f aca="false">IF(B4702="","",IF(AND(D4702="Formalização",E4702="Concluído"),IF(COUNTIFS($B$2:$B$5001,B4702,$E$2:$E$5001,"Em ajustes",$N$2:$N$5001,"&lt;"&amp;I4702)&gt;0,1,0),0))</f>
        <v/>
      </c>
      <c r="L4702" s="16" t="str">
        <f aca="false">IF(B4702="","",IF(N4702=_xlfn.MAXIFS($N$2:$N$5001,$B$2:$B$5001,B4702,$I$2:$I$5001,I4702),1,0))</f>
        <v/>
      </c>
      <c r="M4702" s="16" t="str">
        <f aca="false">IF(B4702="","",IF(E4702="Em ajustes",IF(N4702=_xlfn.MINIFS($N$2:$N$5001,$B$2:$B$5001,B4702,$E$2:$E$5001,"Em ajustes"),1,0),0))</f>
        <v/>
      </c>
      <c r="N4702" s="17" t="str">
        <f aca="false">IF(A4702="","",IF(ISNUMBER(A4702),A4702,IFERROR(DATE(VALUE(MID(A4702,7,4)),VALUE(MID(A4702,4,2)),VALUE(MID(A4702,1,2)))+TIME(VALUE(MID(A4702,12,2)),VALUE(MID(A4702,15,2)),VALUE(MID(A4702,18,2))),"")))</f>
        <v/>
      </c>
    </row>
    <row r="4703" customFormat="false" ht="15" hidden="false" customHeight="false" outlineLevel="0" collapsed="false">
      <c r="I4703" s="15" t="str">
        <f aca="false">IF(N4703="","",INT(N4703))</f>
        <v/>
      </c>
      <c r="J4703" s="16" t="str">
        <f aca="false">IF(B4703="","",IF(N4703=_xlfn.MINIFS($N$2:$N$5001,$B$2:$B$5001,B4703),1,0))</f>
        <v/>
      </c>
      <c r="K4703" s="16" t="str">
        <f aca="false">IF(B4703="","",IF(AND(D4703="Formalização",E4703="Concluído"),IF(COUNTIFS($B$2:$B$5001,B4703,$E$2:$E$5001,"Em ajustes",$N$2:$N$5001,"&lt;"&amp;I4703)&gt;0,1,0),0))</f>
        <v/>
      </c>
      <c r="L4703" s="16" t="str">
        <f aca="false">IF(B4703="","",IF(N4703=_xlfn.MAXIFS($N$2:$N$5001,$B$2:$B$5001,B4703,$I$2:$I$5001,I4703),1,0))</f>
        <v/>
      </c>
      <c r="M4703" s="16" t="str">
        <f aca="false">IF(B4703="","",IF(E4703="Em ajustes",IF(N4703=_xlfn.MINIFS($N$2:$N$5001,$B$2:$B$5001,B4703,$E$2:$E$5001,"Em ajustes"),1,0),0))</f>
        <v/>
      </c>
      <c r="N4703" s="17" t="str">
        <f aca="false">IF(A4703="","",IF(ISNUMBER(A4703),A4703,IFERROR(DATE(VALUE(MID(A4703,7,4)),VALUE(MID(A4703,4,2)),VALUE(MID(A4703,1,2)))+TIME(VALUE(MID(A4703,12,2)),VALUE(MID(A4703,15,2)),VALUE(MID(A4703,18,2))),"")))</f>
        <v/>
      </c>
    </row>
    <row r="4704" customFormat="false" ht="15" hidden="false" customHeight="false" outlineLevel="0" collapsed="false">
      <c r="I4704" s="15" t="str">
        <f aca="false">IF(N4704="","",INT(N4704))</f>
        <v/>
      </c>
      <c r="J4704" s="16" t="str">
        <f aca="false">IF(B4704="","",IF(N4704=_xlfn.MINIFS($N$2:$N$5001,$B$2:$B$5001,B4704),1,0))</f>
        <v/>
      </c>
      <c r="K4704" s="16" t="str">
        <f aca="false">IF(B4704="","",IF(AND(D4704="Formalização",E4704="Concluído"),IF(COUNTIFS($B$2:$B$5001,B4704,$E$2:$E$5001,"Em ajustes",$N$2:$N$5001,"&lt;"&amp;I4704)&gt;0,1,0),0))</f>
        <v/>
      </c>
      <c r="L4704" s="16" t="str">
        <f aca="false">IF(B4704="","",IF(N4704=_xlfn.MAXIFS($N$2:$N$5001,$B$2:$B$5001,B4704,$I$2:$I$5001,I4704),1,0))</f>
        <v/>
      </c>
      <c r="M4704" s="16" t="str">
        <f aca="false">IF(B4704="","",IF(E4704="Em ajustes",IF(N4704=_xlfn.MINIFS($N$2:$N$5001,$B$2:$B$5001,B4704,$E$2:$E$5001,"Em ajustes"),1,0),0))</f>
        <v/>
      </c>
      <c r="N4704" s="17" t="str">
        <f aca="false">IF(A4704="","",IF(ISNUMBER(A4704),A4704,IFERROR(DATE(VALUE(MID(A4704,7,4)),VALUE(MID(A4704,4,2)),VALUE(MID(A4704,1,2)))+TIME(VALUE(MID(A4704,12,2)),VALUE(MID(A4704,15,2)),VALUE(MID(A4704,18,2))),"")))</f>
        <v/>
      </c>
    </row>
    <row r="4705" customFormat="false" ht="15" hidden="false" customHeight="false" outlineLevel="0" collapsed="false">
      <c r="I4705" s="15" t="str">
        <f aca="false">IF(N4705="","",INT(N4705))</f>
        <v/>
      </c>
      <c r="J4705" s="16" t="str">
        <f aca="false">IF(B4705="","",IF(N4705=_xlfn.MINIFS($N$2:$N$5001,$B$2:$B$5001,B4705),1,0))</f>
        <v/>
      </c>
      <c r="K4705" s="16" t="str">
        <f aca="false">IF(B4705="","",IF(AND(D4705="Formalização",E4705="Concluído"),IF(COUNTIFS($B$2:$B$5001,B4705,$E$2:$E$5001,"Em ajustes",$N$2:$N$5001,"&lt;"&amp;I4705)&gt;0,1,0),0))</f>
        <v/>
      </c>
      <c r="L4705" s="16" t="str">
        <f aca="false">IF(B4705="","",IF(N4705=_xlfn.MAXIFS($N$2:$N$5001,$B$2:$B$5001,B4705,$I$2:$I$5001,I4705),1,0))</f>
        <v/>
      </c>
      <c r="M4705" s="16" t="str">
        <f aca="false">IF(B4705="","",IF(E4705="Em ajustes",IF(N4705=_xlfn.MINIFS($N$2:$N$5001,$B$2:$B$5001,B4705,$E$2:$E$5001,"Em ajustes"),1,0),0))</f>
        <v/>
      </c>
      <c r="N4705" s="17" t="str">
        <f aca="false">IF(A4705="","",IF(ISNUMBER(A4705),A4705,IFERROR(DATE(VALUE(MID(A4705,7,4)),VALUE(MID(A4705,4,2)),VALUE(MID(A4705,1,2)))+TIME(VALUE(MID(A4705,12,2)),VALUE(MID(A4705,15,2)),VALUE(MID(A4705,18,2))),"")))</f>
        <v/>
      </c>
    </row>
    <row r="4706" customFormat="false" ht="15" hidden="false" customHeight="false" outlineLevel="0" collapsed="false">
      <c r="I4706" s="15" t="str">
        <f aca="false">IF(N4706="","",INT(N4706))</f>
        <v/>
      </c>
      <c r="J4706" s="16" t="str">
        <f aca="false">IF(B4706="","",IF(N4706=_xlfn.MINIFS($N$2:$N$5001,$B$2:$B$5001,B4706),1,0))</f>
        <v/>
      </c>
      <c r="K4706" s="16" t="str">
        <f aca="false">IF(B4706="","",IF(AND(D4706="Formalização",E4706="Concluído"),IF(COUNTIFS($B$2:$B$5001,B4706,$E$2:$E$5001,"Em ajustes",$N$2:$N$5001,"&lt;"&amp;I4706)&gt;0,1,0),0))</f>
        <v/>
      </c>
      <c r="L4706" s="16" t="str">
        <f aca="false">IF(B4706="","",IF(N4706=_xlfn.MAXIFS($N$2:$N$5001,$B$2:$B$5001,B4706,$I$2:$I$5001,I4706),1,0))</f>
        <v/>
      </c>
      <c r="M4706" s="16" t="str">
        <f aca="false">IF(B4706="","",IF(E4706="Em ajustes",IF(N4706=_xlfn.MINIFS($N$2:$N$5001,$B$2:$B$5001,B4706,$E$2:$E$5001,"Em ajustes"),1,0),0))</f>
        <v/>
      </c>
      <c r="N4706" s="17" t="str">
        <f aca="false">IF(A4706="","",IF(ISNUMBER(A4706),A4706,IFERROR(DATE(VALUE(MID(A4706,7,4)),VALUE(MID(A4706,4,2)),VALUE(MID(A4706,1,2)))+TIME(VALUE(MID(A4706,12,2)),VALUE(MID(A4706,15,2)),VALUE(MID(A4706,18,2))),"")))</f>
        <v/>
      </c>
    </row>
    <row r="4707" customFormat="false" ht="15" hidden="false" customHeight="false" outlineLevel="0" collapsed="false">
      <c r="I4707" s="15" t="str">
        <f aca="false">IF(N4707="","",INT(N4707))</f>
        <v/>
      </c>
      <c r="J4707" s="16" t="str">
        <f aca="false">IF(B4707="","",IF(N4707=_xlfn.MINIFS($N$2:$N$5001,$B$2:$B$5001,B4707),1,0))</f>
        <v/>
      </c>
      <c r="K4707" s="16" t="str">
        <f aca="false">IF(B4707="","",IF(AND(D4707="Formalização",E4707="Concluído"),IF(COUNTIFS($B$2:$B$5001,B4707,$E$2:$E$5001,"Em ajustes",$N$2:$N$5001,"&lt;"&amp;I4707)&gt;0,1,0),0))</f>
        <v/>
      </c>
      <c r="L4707" s="16" t="str">
        <f aca="false">IF(B4707="","",IF(N4707=_xlfn.MAXIFS($N$2:$N$5001,$B$2:$B$5001,B4707,$I$2:$I$5001,I4707),1,0))</f>
        <v/>
      </c>
      <c r="M4707" s="16" t="str">
        <f aca="false">IF(B4707="","",IF(E4707="Em ajustes",IF(N4707=_xlfn.MINIFS($N$2:$N$5001,$B$2:$B$5001,B4707,$E$2:$E$5001,"Em ajustes"),1,0),0))</f>
        <v/>
      </c>
      <c r="N4707" s="17" t="str">
        <f aca="false">IF(A4707="","",IF(ISNUMBER(A4707),A4707,IFERROR(DATE(VALUE(MID(A4707,7,4)),VALUE(MID(A4707,4,2)),VALUE(MID(A4707,1,2)))+TIME(VALUE(MID(A4707,12,2)),VALUE(MID(A4707,15,2)),VALUE(MID(A4707,18,2))),"")))</f>
        <v/>
      </c>
    </row>
    <row r="4708" customFormat="false" ht="15" hidden="false" customHeight="false" outlineLevel="0" collapsed="false">
      <c r="I4708" s="15" t="str">
        <f aca="false">IF(N4708="","",INT(N4708))</f>
        <v/>
      </c>
      <c r="J4708" s="16" t="str">
        <f aca="false">IF(B4708="","",IF(N4708=_xlfn.MINIFS($N$2:$N$5001,$B$2:$B$5001,B4708),1,0))</f>
        <v/>
      </c>
      <c r="K4708" s="16" t="str">
        <f aca="false">IF(B4708="","",IF(AND(D4708="Formalização",E4708="Concluído"),IF(COUNTIFS($B$2:$B$5001,B4708,$E$2:$E$5001,"Em ajustes",$N$2:$N$5001,"&lt;"&amp;I4708)&gt;0,1,0),0))</f>
        <v/>
      </c>
      <c r="L4708" s="16" t="str">
        <f aca="false">IF(B4708="","",IF(N4708=_xlfn.MAXIFS($N$2:$N$5001,$B$2:$B$5001,B4708,$I$2:$I$5001,I4708),1,0))</f>
        <v/>
      </c>
      <c r="M4708" s="16" t="str">
        <f aca="false">IF(B4708="","",IF(E4708="Em ajustes",IF(N4708=_xlfn.MINIFS($N$2:$N$5001,$B$2:$B$5001,B4708,$E$2:$E$5001,"Em ajustes"),1,0),0))</f>
        <v/>
      </c>
      <c r="N4708" s="17" t="str">
        <f aca="false">IF(A4708="","",IF(ISNUMBER(A4708),A4708,IFERROR(DATE(VALUE(MID(A4708,7,4)),VALUE(MID(A4708,4,2)),VALUE(MID(A4708,1,2)))+TIME(VALUE(MID(A4708,12,2)),VALUE(MID(A4708,15,2)),VALUE(MID(A4708,18,2))),"")))</f>
        <v/>
      </c>
    </row>
    <row r="4709" customFormat="false" ht="15" hidden="false" customHeight="false" outlineLevel="0" collapsed="false">
      <c r="I4709" s="15" t="str">
        <f aca="false">IF(N4709="","",INT(N4709))</f>
        <v/>
      </c>
      <c r="J4709" s="16" t="str">
        <f aca="false">IF(B4709="","",IF(N4709=_xlfn.MINIFS($N$2:$N$5001,$B$2:$B$5001,B4709),1,0))</f>
        <v/>
      </c>
      <c r="K4709" s="16" t="str">
        <f aca="false">IF(B4709="","",IF(AND(D4709="Formalização",E4709="Concluído"),IF(COUNTIFS($B$2:$B$5001,B4709,$E$2:$E$5001,"Em ajustes",$N$2:$N$5001,"&lt;"&amp;I4709)&gt;0,1,0),0))</f>
        <v/>
      </c>
      <c r="L4709" s="16" t="str">
        <f aca="false">IF(B4709="","",IF(N4709=_xlfn.MAXIFS($N$2:$N$5001,$B$2:$B$5001,B4709,$I$2:$I$5001,I4709),1,0))</f>
        <v/>
      </c>
      <c r="M4709" s="16" t="str">
        <f aca="false">IF(B4709="","",IF(E4709="Em ajustes",IF(N4709=_xlfn.MINIFS($N$2:$N$5001,$B$2:$B$5001,B4709,$E$2:$E$5001,"Em ajustes"),1,0),0))</f>
        <v/>
      </c>
      <c r="N4709" s="17" t="str">
        <f aca="false">IF(A4709="","",IF(ISNUMBER(A4709),A4709,IFERROR(DATE(VALUE(MID(A4709,7,4)),VALUE(MID(A4709,4,2)),VALUE(MID(A4709,1,2)))+TIME(VALUE(MID(A4709,12,2)),VALUE(MID(A4709,15,2)),VALUE(MID(A4709,18,2))),"")))</f>
        <v/>
      </c>
    </row>
    <row r="4710" customFormat="false" ht="15" hidden="false" customHeight="false" outlineLevel="0" collapsed="false">
      <c r="I4710" s="15" t="str">
        <f aca="false">IF(N4710="","",INT(N4710))</f>
        <v/>
      </c>
      <c r="J4710" s="16" t="str">
        <f aca="false">IF(B4710="","",IF(N4710=_xlfn.MINIFS($N$2:$N$5001,$B$2:$B$5001,B4710),1,0))</f>
        <v/>
      </c>
      <c r="K4710" s="16" t="str">
        <f aca="false">IF(B4710="","",IF(AND(D4710="Formalização",E4710="Concluído"),IF(COUNTIFS($B$2:$B$5001,B4710,$E$2:$E$5001,"Em ajustes",$N$2:$N$5001,"&lt;"&amp;I4710)&gt;0,1,0),0))</f>
        <v/>
      </c>
      <c r="L4710" s="16" t="str">
        <f aca="false">IF(B4710="","",IF(N4710=_xlfn.MAXIFS($N$2:$N$5001,$B$2:$B$5001,B4710,$I$2:$I$5001,I4710),1,0))</f>
        <v/>
      </c>
      <c r="M4710" s="16" t="str">
        <f aca="false">IF(B4710="","",IF(E4710="Em ajustes",IF(N4710=_xlfn.MINIFS($N$2:$N$5001,$B$2:$B$5001,B4710,$E$2:$E$5001,"Em ajustes"),1,0),0))</f>
        <v/>
      </c>
      <c r="N4710" s="17" t="str">
        <f aca="false">IF(A4710="","",IF(ISNUMBER(A4710),A4710,IFERROR(DATE(VALUE(MID(A4710,7,4)),VALUE(MID(A4710,4,2)),VALUE(MID(A4710,1,2)))+TIME(VALUE(MID(A4710,12,2)),VALUE(MID(A4710,15,2)),VALUE(MID(A4710,18,2))),"")))</f>
        <v/>
      </c>
    </row>
    <row r="4711" customFormat="false" ht="15" hidden="false" customHeight="false" outlineLevel="0" collapsed="false">
      <c r="I4711" s="15" t="str">
        <f aca="false">IF(N4711="","",INT(N4711))</f>
        <v/>
      </c>
      <c r="J4711" s="16" t="str">
        <f aca="false">IF(B4711="","",IF(N4711=_xlfn.MINIFS($N$2:$N$5001,$B$2:$B$5001,B4711),1,0))</f>
        <v/>
      </c>
      <c r="K4711" s="16" t="str">
        <f aca="false">IF(B4711="","",IF(AND(D4711="Formalização",E4711="Concluído"),IF(COUNTIFS($B$2:$B$5001,B4711,$E$2:$E$5001,"Em ajustes",$N$2:$N$5001,"&lt;"&amp;I4711)&gt;0,1,0),0))</f>
        <v/>
      </c>
      <c r="L4711" s="16" t="str">
        <f aca="false">IF(B4711="","",IF(N4711=_xlfn.MAXIFS($N$2:$N$5001,$B$2:$B$5001,B4711,$I$2:$I$5001,I4711),1,0))</f>
        <v/>
      </c>
      <c r="M4711" s="16" t="str">
        <f aca="false">IF(B4711="","",IF(E4711="Em ajustes",IF(N4711=_xlfn.MINIFS($N$2:$N$5001,$B$2:$B$5001,B4711,$E$2:$E$5001,"Em ajustes"),1,0),0))</f>
        <v/>
      </c>
      <c r="N4711" s="17" t="str">
        <f aca="false">IF(A4711="","",IF(ISNUMBER(A4711),A4711,IFERROR(DATE(VALUE(MID(A4711,7,4)),VALUE(MID(A4711,4,2)),VALUE(MID(A4711,1,2)))+TIME(VALUE(MID(A4711,12,2)),VALUE(MID(A4711,15,2)),VALUE(MID(A4711,18,2))),"")))</f>
        <v/>
      </c>
    </row>
    <row r="4712" customFormat="false" ht="15" hidden="false" customHeight="false" outlineLevel="0" collapsed="false">
      <c r="I4712" s="15" t="str">
        <f aca="false">IF(N4712="","",INT(N4712))</f>
        <v/>
      </c>
      <c r="J4712" s="16" t="str">
        <f aca="false">IF(B4712="","",IF(N4712=_xlfn.MINIFS($N$2:$N$5001,$B$2:$B$5001,B4712),1,0))</f>
        <v/>
      </c>
      <c r="K4712" s="16" t="str">
        <f aca="false">IF(B4712="","",IF(AND(D4712="Formalização",E4712="Concluído"),IF(COUNTIFS($B$2:$B$5001,B4712,$E$2:$E$5001,"Em ajustes",$N$2:$N$5001,"&lt;"&amp;I4712)&gt;0,1,0),0))</f>
        <v/>
      </c>
      <c r="L4712" s="16" t="str">
        <f aca="false">IF(B4712="","",IF(N4712=_xlfn.MAXIFS($N$2:$N$5001,$B$2:$B$5001,B4712,$I$2:$I$5001,I4712),1,0))</f>
        <v/>
      </c>
      <c r="M4712" s="16" t="str">
        <f aca="false">IF(B4712="","",IF(E4712="Em ajustes",IF(N4712=_xlfn.MINIFS($N$2:$N$5001,$B$2:$B$5001,B4712,$E$2:$E$5001,"Em ajustes"),1,0),0))</f>
        <v/>
      </c>
      <c r="N4712" s="17" t="str">
        <f aca="false">IF(A4712="","",IF(ISNUMBER(A4712),A4712,IFERROR(DATE(VALUE(MID(A4712,7,4)),VALUE(MID(A4712,4,2)),VALUE(MID(A4712,1,2)))+TIME(VALUE(MID(A4712,12,2)),VALUE(MID(A4712,15,2)),VALUE(MID(A4712,18,2))),"")))</f>
        <v/>
      </c>
    </row>
    <row r="4713" customFormat="false" ht="15" hidden="false" customHeight="false" outlineLevel="0" collapsed="false">
      <c r="I4713" s="15" t="str">
        <f aca="false">IF(N4713="","",INT(N4713))</f>
        <v/>
      </c>
      <c r="J4713" s="16" t="str">
        <f aca="false">IF(B4713="","",IF(N4713=_xlfn.MINIFS($N$2:$N$5001,$B$2:$B$5001,B4713),1,0))</f>
        <v/>
      </c>
      <c r="K4713" s="16" t="str">
        <f aca="false">IF(B4713="","",IF(AND(D4713="Formalização",E4713="Concluído"),IF(COUNTIFS($B$2:$B$5001,B4713,$E$2:$E$5001,"Em ajustes",$N$2:$N$5001,"&lt;"&amp;I4713)&gt;0,1,0),0))</f>
        <v/>
      </c>
      <c r="L4713" s="16" t="str">
        <f aca="false">IF(B4713="","",IF(N4713=_xlfn.MAXIFS($N$2:$N$5001,$B$2:$B$5001,B4713,$I$2:$I$5001,I4713),1,0))</f>
        <v/>
      </c>
      <c r="M4713" s="16" t="str">
        <f aca="false">IF(B4713="","",IF(E4713="Em ajustes",IF(N4713=_xlfn.MINIFS($N$2:$N$5001,$B$2:$B$5001,B4713,$E$2:$E$5001,"Em ajustes"),1,0),0))</f>
        <v/>
      </c>
      <c r="N4713" s="17" t="str">
        <f aca="false">IF(A4713="","",IF(ISNUMBER(A4713),A4713,IFERROR(DATE(VALUE(MID(A4713,7,4)),VALUE(MID(A4713,4,2)),VALUE(MID(A4713,1,2)))+TIME(VALUE(MID(A4713,12,2)),VALUE(MID(A4713,15,2)),VALUE(MID(A4713,18,2))),"")))</f>
        <v/>
      </c>
    </row>
    <row r="4714" customFormat="false" ht="15" hidden="false" customHeight="false" outlineLevel="0" collapsed="false">
      <c r="I4714" s="15" t="str">
        <f aca="false">IF(N4714="","",INT(N4714))</f>
        <v/>
      </c>
      <c r="J4714" s="16" t="str">
        <f aca="false">IF(B4714="","",IF(N4714=_xlfn.MINIFS($N$2:$N$5001,$B$2:$B$5001,B4714),1,0))</f>
        <v/>
      </c>
      <c r="K4714" s="16" t="str">
        <f aca="false">IF(B4714="","",IF(AND(D4714="Formalização",E4714="Concluído"),IF(COUNTIFS($B$2:$B$5001,B4714,$E$2:$E$5001,"Em ajustes",$N$2:$N$5001,"&lt;"&amp;I4714)&gt;0,1,0),0))</f>
        <v/>
      </c>
      <c r="L4714" s="16" t="str">
        <f aca="false">IF(B4714="","",IF(N4714=_xlfn.MAXIFS($N$2:$N$5001,$B$2:$B$5001,B4714,$I$2:$I$5001,I4714),1,0))</f>
        <v/>
      </c>
      <c r="M4714" s="16" t="str">
        <f aca="false">IF(B4714="","",IF(E4714="Em ajustes",IF(N4714=_xlfn.MINIFS($N$2:$N$5001,$B$2:$B$5001,B4714,$E$2:$E$5001,"Em ajustes"),1,0),0))</f>
        <v/>
      </c>
      <c r="N4714" s="17" t="str">
        <f aca="false">IF(A4714="","",IF(ISNUMBER(A4714),A4714,IFERROR(DATE(VALUE(MID(A4714,7,4)),VALUE(MID(A4714,4,2)),VALUE(MID(A4714,1,2)))+TIME(VALUE(MID(A4714,12,2)),VALUE(MID(A4714,15,2)),VALUE(MID(A4714,18,2))),"")))</f>
        <v/>
      </c>
    </row>
    <row r="4715" customFormat="false" ht="15" hidden="false" customHeight="false" outlineLevel="0" collapsed="false">
      <c r="I4715" s="15" t="str">
        <f aca="false">IF(N4715="","",INT(N4715))</f>
        <v/>
      </c>
      <c r="J4715" s="16" t="str">
        <f aca="false">IF(B4715="","",IF(N4715=_xlfn.MINIFS($N$2:$N$5001,$B$2:$B$5001,B4715),1,0))</f>
        <v/>
      </c>
      <c r="K4715" s="16" t="str">
        <f aca="false">IF(B4715="","",IF(AND(D4715="Formalização",E4715="Concluído"),IF(COUNTIFS($B$2:$B$5001,B4715,$E$2:$E$5001,"Em ajustes",$N$2:$N$5001,"&lt;"&amp;I4715)&gt;0,1,0),0))</f>
        <v/>
      </c>
      <c r="L4715" s="16" t="str">
        <f aca="false">IF(B4715="","",IF(N4715=_xlfn.MAXIFS($N$2:$N$5001,$B$2:$B$5001,B4715,$I$2:$I$5001,I4715),1,0))</f>
        <v/>
      </c>
      <c r="M4715" s="16" t="str">
        <f aca="false">IF(B4715="","",IF(E4715="Em ajustes",IF(N4715=_xlfn.MINIFS($N$2:$N$5001,$B$2:$B$5001,B4715,$E$2:$E$5001,"Em ajustes"),1,0),0))</f>
        <v/>
      </c>
      <c r="N4715" s="17" t="str">
        <f aca="false">IF(A4715="","",IF(ISNUMBER(A4715),A4715,IFERROR(DATE(VALUE(MID(A4715,7,4)),VALUE(MID(A4715,4,2)),VALUE(MID(A4715,1,2)))+TIME(VALUE(MID(A4715,12,2)),VALUE(MID(A4715,15,2)),VALUE(MID(A4715,18,2))),"")))</f>
        <v/>
      </c>
    </row>
    <row r="4716" customFormat="false" ht="15" hidden="false" customHeight="false" outlineLevel="0" collapsed="false">
      <c r="I4716" s="15" t="str">
        <f aca="false">IF(N4716="","",INT(N4716))</f>
        <v/>
      </c>
      <c r="J4716" s="16" t="str">
        <f aca="false">IF(B4716="","",IF(N4716=_xlfn.MINIFS($N$2:$N$5001,$B$2:$B$5001,B4716),1,0))</f>
        <v/>
      </c>
      <c r="K4716" s="16" t="str">
        <f aca="false">IF(B4716="","",IF(AND(D4716="Formalização",E4716="Concluído"),IF(COUNTIFS($B$2:$B$5001,B4716,$E$2:$E$5001,"Em ajustes",$N$2:$N$5001,"&lt;"&amp;I4716)&gt;0,1,0),0))</f>
        <v/>
      </c>
      <c r="L4716" s="16" t="str">
        <f aca="false">IF(B4716="","",IF(N4716=_xlfn.MAXIFS($N$2:$N$5001,$B$2:$B$5001,B4716,$I$2:$I$5001,I4716),1,0))</f>
        <v/>
      </c>
      <c r="M4716" s="16" t="str">
        <f aca="false">IF(B4716="","",IF(E4716="Em ajustes",IF(N4716=_xlfn.MINIFS($N$2:$N$5001,$B$2:$B$5001,B4716,$E$2:$E$5001,"Em ajustes"),1,0),0))</f>
        <v/>
      </c>
      <c r="N4716" s="17" t="str">
        <f aca="false">IF(A4716="","",IF(ISNUMBER(A4716),A4716,IFERROR(DATE(VALUE(MID(A4716,7,4)),VALUE(MID(A4716,4,2)),VALUE(MID(A4716,1,2)))+TIME(VALUE(MID(A4716,12,2)),VALUE(MID(A4716,15,2)),VALUE(MID(A4716,18,2))),"")))</f>
        <v/>
      </c>
    </row>
    <row r="4717" customFormat="false" ht="15" hidden="false" customHeight="false" outlineLevel="0" collapsed="false">
      <c r="I4717" s="15" t="str">
        <f aca="false">IF(N4717="","",INT(N4717))</f>
        <v/>
      </c>
      <c r="J4717" s="16" t="str">
        <f aca="false">IF(B4717="","",IF(N4717=_xlfn.MINIFS($N$2:$N$5001,$B$2:$B$5001,B4717),1,0))</f>
        <v/>
      </c>
      <c r="K4717" s="16" t="str">
        <f aca="false">IF(B4717="","",IF(AND(D4717="Formalização",E4717="Concluído"),IF(COUNTIFS($B$2:$B$5001,B4717,$E$2:$E$5001,"Em ajustes",$N$2:$N$5001,"&lt;"&amp;I4717)&gt;0,1,0),0))</f>
        <v/>
      </c>
      <c r="L4717" s="16" t="str">
        <f aca="false">IF(B4717="","",IF(N4717=_xlfn.MAXIFS($N$2:$N$5001,$B$2:$B$5001,B4717,$I$2:$I$5001,I4717),1,0))</f>
        <v/>
      </c>
      <c r="M4717" s="16" t="str">
        <f aca="false">IF(B4717="","",IF(E4717="Em ajustes",IF(N4717=_xlfn.MINIFS($N$2:$N$5001,$B$2:$B$5001,B4717,$E$2:$E$5001,"Em ajustes"),1,0),0))</f>
        <v/>
      </c>
      <c r="N4717" s="17" t="str">
        <f aca="false">IF(A4717="","",IF(ISNUMBER(A4717),A4717,IFERROR(DATE(VALUE(MID(A4717,7,4)),VALUE(MID(A4717,4,2)),VALUE(MID(A4717,1,2)))+TIME(VALUE(MID(A4717,12,2)),VALUE(MID(A4717,15,2)),VALUE(MID(A4717,18,2))),"")))</f>
        <v/>
      </c>
    </row>
    <row r="4718" customFormat="false" ht="15" hidden="false" customHeight="false" outlineLevel="0" collapsed="false">
      <c r="I4718" s="15" t="str">
        <f aca="false">IF(N4718="","",INT(N4718))</f>
        <v/>
      </c>
      <c r="J4718" s="16" t="str">
        <f aca="false">IF(B4718="","",IF(N4718=_xlfn.MINIFS($N$2:$N$5001,$B$2:$B$5001,B4718),1,0))</f>
        <v/>
      </c>
      <c r="K4718" s="16" t="str">
        <f aca="false">IF(B4718="","",IF(AND(D4718="Formalização",E4718="Concluído"),IF(COUNTIFS($B$2:$B$5001,B4718,$E$2:$E$5001,"Em ajustes",$N$2:$N$5001,"&lt;"&amp;I4718)&gt;0,1,0),0))</f>
        <v/>
      </c>
      <c r="L4718" s="16" t="str">
        <f aca="false">IF(B4718="","",IF(N4718=_xlfn.MAXIFS($N$2:$N$5001,$B$2:$B$5001,B4718,$I$2:$I$5001,I4718),1,0))</f>
        <v/>
      </c>
      <c r="M4718" s="16" t="str">
        <f aca="false">IF(B4718="","",IF(E4718="Em ajustes",IF(N4718=_xlfn.MINIFS($N$2:$N$5001,$B$2:$B$5001,B4718,$E$2:$E$5001,"Em ajustes"),1,0),0))</f>
        <v/>
      </c>
      <c r="N4718" s="17" t="str">
        <f aca="false">IF(A4718="","",IF(ISNUMBER(A4718),A4718,IFERROR(DATE(VALUE(MID(A4718,7,4)),VALUE(MID(A4718,4,2)),VALUE(MID(A4718,1,2)))+TIME(VALUE(MID(A4718,12,2)),VALUE(MID(A4718,15,2)),VALUE(MID(A4718,18,2))),"")))</f>
        <v/>
      </c>
    </row>
    <row r="4719" customFormat="false" ht="15" hidden="false" customHeight="false" outlineLevel="0" collapsed="false">
      <c r="I4719" s="15" t="str">
        <f aca="false">IF(N4719="","",INT(N4719))</f>
        <v/>
      </c>
      <c r="J4719" s="16" t="str">
        <f aca="false">IF(B4719="","",IF(N4719=_xlfn.MINIFS($N$2:$N$5001,$B$2:$B$5001,B4719),1,0))</f>
        <v/>
      </c>
      <c r="K4719" s="16" t="str">
        <f aca="false">IF(B4719="","",IF(AND(D4719="Formalização",E4719="Concluído"),IF(COUNTIFS($B$2:$B$5001,B4719,$E$2:$E$5001,"Em ajustes",$N$2:$N$5001,"&lt;"&amp;I4719)&gt;0,1,0),0))</f>
        <v/>
      </c>
      <c r="L4719" s="16" t="str">
        <f aca="false">IF(B4719="","",IF(N4719=_xlfn.MAXIFS($N$2:$N$5001,$B$2:$B$5001,B4719,$I$2:$I$5001,I4719),1,0))</f>
        <v/>
      </c>
      <c r="M4719" s="16" t="str">
        <f aca="false">IF(B4719="","",IF(E4719="Em ajustes",IF(N4719=_xlfn.MINIFS($N$2:$N$5001,$B$2:$B$5001,B4719,$E$2:$E$5001,"Em ajustes"),1,0),0))</f>
        <v/>
      </c>
      <c r="N4719" s="17" t="str">
        <f aca="false">IF(A4719="","",IF(ISNUMBER(A4719),A4719,IFERROR(DATE(VALUE(MID(A4719,7,4)),VALUE(MID(A4719,4,2)),VALUE(MID(A4719,1,2)))+TIME(VALUE(MID(A4719,12,2)),VALUE(MID(A4719,15,2)),VALUE(MID(A4719,18,2))),"")))</f>
        <v/>
      </c>
    </row>
    <row r="4720" customFormat="false" ht="15" hidden="false" customHeight="false" outlineLevel="0" collapsed="false">
      <c r="I4720" s="15" t="str">
        <f aca="false">IF(N4720="","",INT(N4720))</f>
        <v/>
      </c>
      <c r="J4720" s="16" t="str">
        <f aca="false">IF(B4720="","",IF(N4720=_xlfn.MINIFS($N$2:$N$5001,$B$2:$B$5001,B4720),1,0))</f>
        <v/>
      </c>
      <c r="K4720" s="16" t="str">
        <f aca="false">IF(B4720="","",IF(AND(D4720="Formalização",E4720="Concluído"),IF(COUNTIFS($B$2:$B$5001,B4720,$E$2:$E$5001,"Em ajustes",$N$2:$N$5001,"&lt;"&amp;I4720)&gt;0,1,0),0))</f>
        <v/>
      </c>
      <c r="L4720" s="16" t="str">
        <f aca="false">IF(B4720="","",IF(N4720=_xlfn.MAXIFS($N$2:$N$5001,$B$2:$B$5001,B4720,$I$2:$I$5001,I4720),1,0))</f>
        <v/>
      </c>
      <c r="M4720" s="16" t="str">
        <f aca="false">IF(B4720="","",IF(E4720="Em ajustes",IF(N4720=_xlfn.MINIFS($N$2:$N$5001,$B$2:$B$5001,B4720,$E$2:$E$5001,"Em ajustes"),1,0),0))</f>
        <v/>
      </c>
      <c r="N4720" s="17" t="str">
        <f aca="false">IF(A4720="","",IF(ISNUMBER(A4720),A4720,IFERROR(DATE(VALUE(MID(A4720,7,4)),VALUE(MID(A4720,4,2)),VALUE(MID(A4720,1,2)))+TIME(VALUE(MID(A4720,12,2)),VALUE(MID(A4720,15,2)),VALUE(MID(A4720,18,2))),"")))</f>
        <v/>
      </c>
    </row>
    <row r="4721" customFormat="false" ht="15" hidden="false" customHeight="false" outlineLevel="0" collapsed="false">
      <c r="I4721" s="15" t="str">
        <f aca="false">IF(N4721="","",INT(N4721))</f>
        <v/>
      </c>
      <c r="J4721" s="16" t="str">
        <f aca="false">IF(B4721="","",IF(N4721=_xlfn.MINIFS($N$2:$N$5001,$B$2:$B$5001,B4721),1,0))</f>
        <v/>
      </c>
      <c r="K4721" s="16" t="str">
        <f aca="false">IF(B4721="","",IF(AND(D4721="Formalização",E4721="Concluído"),IF(COUNTIFS($B$2:$B$5001,B4721,$E$2:$E$5001,"Em ajustes",$N$2:$N$5001,"&lt;"&amp;I4721)&gt;0,1,0),0))</f>
        <v/>
      </c>
      <c r="L4721" s="16" t="str">
        <f aca="false">IF(B4721="","",IF(N4721=_xlfn.MAXIFS($N$2:$N$5001,$B$2:$B$5001,B4721,$I$2:$I$5001,I4721),1,0))</f>
        <v/>
      </c>
      <c r="M4721" s="16" t="str">
        <f aca="false">IF(B4721="","",IF(E4721="Em ajustes",IF(N4721=_xlfn.MINIFS($N$2:$N$5001,$B$2:$B$5001,B4721,$E$2:$E$5001,"Em ajustes"),1,0),0))</f>
        <v/>
      </c>
      <c r="N4721" s="17" t="str">
        <f aca="false">IF(A4721="","",IF(ISNUMBER(A4721),A4721,IFERROR(DATE(VALUE(MID(A4721,7,4)),VALUE(MID(A4721,4,2)),VALUE(MID(A4721,1,2)))+TIME(VALUE(MID(A4721,12,2)),VALUE(MID(A4721,15,2)),VALUE(MID(A4721,18,2))),"")))</f>
        <v/>
      </c>
    </row>
    <row r="4722" customFormat="false" ht="15" hidden="false" customHeight="false" outlineLevel="0" collapsed="false">
      <c r="I4722" s="15" t="str">
        <f aca="false">IF(N4722="","",INT(N4722))</f>
        <v/>
      </c>
      <c r="J4722" s="16" t="str">
        <f aca="false">IF(B4722="","",IF(N4722=_xlfn.MINIFS($N$2:$N$5001,$B$2:$B$5001,B4722),1,0))</f>
        <v/>
      </c>
      <c r="K4722" s="16" t="str">
        <f aca="false">IF(B4722="","",IF(AND(D4722="Formalização",E4722="Concluído"),IF(COUNTIFS($B$2:$B$5001,B4722,$E$2:$E$5001,"Em ajustes",$N$2:$N$5001,"&lt;"&amp;I4722)&gt;0,1,0),0))</f>
        <v/>
      </c>
      <c r="L4722" s="16" t="str">
        <f aca="false">IF(B4722="","",IF(N4722=_xlfn.MAXIFS($N$2:$N$5001,$B$2:$B$5001,B4722,$I$2:$I$5001,I4722),1,0))</f>
        <v/>
      </c>
      <c r="M4722" s="16" t="str">
        <f aca="false">IF(B4722="","",IF(E4722="Em ajustes",IF(N4722=_xlfn.MINIFS($N$2:$N$5001,$B$2:$B$5001,B4722,$E$2:$E$5001,"Em ajustes"),1,0),0))</f>
        <v/>
      </c>
      <c r="N4722" s="17" t="str">
        <f aca="false">IF(A4722="","",IF(ISNUMBER(A4722),A4722,IFERROR(DATE(VALUE(MID(A4722,7,4)),VALUE(MID(A4722,4,2)),VALUE(MID(A4722,1,2)))+TIME(VALUE(MID(A4722,12,2)),VALUE(MID(A4722,15,2)),VALUE(MID(A4722,18,2))),"")))</f>
        <v/>
      </c>
    </row>
    <row r="4723" customFormat="false" ht="15" hidden="false" customHeight="false" outlineLevel="0" collapsed="false">
      <c r="I4723" s="15" t="str">
        <f aca="false">IF(N4723="","",INT(N4723))</f>
        <v/>
      </c>
      <c r="J4723" s="16" t="str">
        <f aca="false">IF(B4723="","",IF(N4723=_xlfn.MINIFS($N$2:$N$5001,$B$2:$B$5001,B4723),1,0))</f>
        <v/>
      </c>
      <c r="K4723" s="16" t="str">
        <f aca="false">IF(B4723="","",IF(AND(D4723="Formalização",E4723="Concluído"),IF(COUNTIFS($B$2:$B$5001,B4723,$E$2:$E$5001,"Em ajustes",$N$2:$N$5001,"&lt;"&amp;I4723)&gt;0,1,0),0))</f>
        <v/>
      </c>
      <c r="L4723" s="16" t="str">
        <f aca="false">IF(B4723="","",IF(N4723=_xlfn.MAXIFS($N$2:$N$5001,$B$2:$B$5001,B4723,$I$2:$I$5001,I4723),1,0))</f>
        <v/>
      </c>
      <c r="M4723" s="16" t="str">
        <f aca="false">IF(B4723="","",IF(E4723="Em ajustes",IF(N4723=_xlfn.MINIFS($N$2:$N$5001,$B$2:$B$5001,B4723,$E$2:$E$5001,"Em ajustes"),1,0),0))</f>
        <v/>
      </c>
      <c r="N4723" s="17" t="str">
        <f aca="false">IF(A4723="","",IF(ISNUMBER(A4723),A4723,IFERROR(DATE(VALUE(MID(A4723,7,4)),VALUE(MID(A4723,4,2)),VALUE(MID(A4723,1,2)))+TIME(VALUE(MID(A4723,12,2)),VALUE(MID(A4723,15,2)),VALUE(MID(A4723,18,2))),"")))</f>
        <v/>
      </c>
    </row>
    <row r="4724" customFormat="false" ht="15" hidden="false" customHeight="false" outlineLevel="0" collapsed="false">
      <c r="I4724" s="15" t="str">
        <f aca="false">IF(N4724="","",INT(N4724))</f>
        <v/>
      </c>
      <c r="J4724" s="16" t="str">
        <f aca="false">IF(B4724="","",IF(N4724=_xlfn.MINIFS($N$2:$N$5001,$B$2:$B$5001,B4724),1,0))</f>
        <v/>
      </c>
      <c r="K4724" s="16" t="str">
        <f aca="false">IF(B4724="","",IF(AND(D4724="Formalização",E4724="Concluído"),IF(COUNTIFS($B$2:$B$5001,B4724,$E$2:$E$5001,"Em ajustes",$N$2:$N$5001,"&lt;"&amp;I4724)&gt;0,1,0),0))</f>
        <v/>
      </c>
      <c r="L4724" s="16" t="str">
        <f aca="false">IF(B4724="","",IF(N4724=_xlfn.MAXIFS($N$2:$N$5001,$B$2:$B$5001,B4724,$I$2:$I$5001,I4724),1,0))</f>
        <v/>
      </c>
      <c r="M4724" s="16" t="str">
        <f aca="false">IF(B4724="","",IF(E4724="Em ajustes",IF(N4724=_xlfn.MINIFS($N$2:$N$5001,$B$2:$B$5001,B4724,$E$2:$E$5001,"Em ajustes"),1,0),0))</f>
        <v/>
      </c>
      <c r="N4724" s="17" t="str">
        <f aca="false">IF(A4724="","",IF(ISNUMBER(A4724),A4724,IFERROR(DATE(VALUE(MID(A4724,7,4)),VALUE(MID(A4724,4,2)),VALUE(MID(A4724,1,2)))+TIME(VALUE(MID(A4724,12,2)),VALUE(MID(A4724,15,2)),VALUE(MID(A4724,18,2))),"")))</f>
        <v/>
      </c>
    </row>
    <row r="4725" customFormat="false" ht="15" hidden="false" customHeight="false" outlineLevel="0" collapsed="false">
      <c r="I4725" s="15" t="str">
        <f aca="false">IF(N4725="","",INT(N4725))</f>
        <v/>
      </c>
      <c r="J4725" s="16" t="str">
        <f aca="false">IF(B4725="","",IF(N4725=_xlfn.MINIFS($N$2:$N$5001,$B$2:$B$5001,B4725),1,0))</f>
        <v/>
      </c>
      <c r="K4725" s="16" t="str">
        <f aca="false">IF(B4725="","",IF(AND(D4725="Formalização",E4725="Concluído"),IF(COUNTIFS($B$2:$B$5001,B4725,$E$2:$E$5001,"Em ajustes",$N$2:$N$5001,"&lt;"&amp;I4725)&gt;0,1,0),0))</f>
        <v/>
      </c>
      <c r="L4725" s="16" t="str">
        <f aca="false">IF(B4725="","",IF(N4725=_xlfn.MAXIFS($N$2:$N$5001,$B$2:$B$5001,B4725,$I$2:$I$5001,I4725),1,0))</f>
        <v/>
      </c>
      <c r="M4725" s="16" t="str">
        <f aca="false">IF(B4725="","",IF(E4725="Em ajustes",IF(N4725=_xlfn.MINIFS($N$2:$N$5001,$B$2:$B$5001,B4725,$E$2:$E$5001,"Em ajustes"),1,0),0))</f>
        <v/>
      </c>
      <c r="N4725" s="17" t="str">
        <f aca="false">IF(A4725="","",IF(ISNUMBER(A4725),A4725,IFERROR(DATE(VALUE(MID(A4725,7,4)),VALUE(MID(A4725,4,2)),VALUE(MID(A4725,1,2)))+TIME(VALUE(MID(A4725,12,2)),VALUE(MID(A4725,15,2)),VALUE(MID(A4725,18,2))),"")))</f>
        <v/>
      </c>
    </row>
    <row r="4726" customFormat="false" ht="15" hidden="false" customHeight="false" outlineLevel="0" collapsed="false">
      <c r="I4726" s="15" t="str">
        <f aca="false">IF(N4726="","",INT(N4726))</f>
        <v/>
      </c>
      <c r="J4726" s="16" t="str">
        <f aca="false">IF(B4726="","",IF(N4726=_xlfn.MINIFS($N$2:$N$5001,$B$2:$B$5001,B4726),1,0))</f>
        <v/>
      </c>
      <c r="K4726" s="16" t="str">
        <f aca="false">IF(B4726="","",IF(AND(D4726="Formalização",E4726="Concluído"),IF(COUNTIFS($B$2:$B$5001,B4726,$E$2:$E$5001,"Em ajustes",$N$2:$N$5001,"&lt;"&amp;I4726)&gt;0,1,0),0))</f>
        <v/>
      </c>
      <c r="L4726" s="16" t="str">
        <f aca="false">IF(B4726="","",IF(N4726=_xlfn.MAXIFS($N$2:$N$5001,$B$2:$B$5001,B4726,$I$2:$I$5001,I4726),1,0))</f>
        <v/>
      </c>
      <c r="M4726" s="16" t="str">
        <f aca="false">IF(B4726="","",IF(E4726="Em ajustes",IF(N4726=_xlfn.MINIFS($N$2:$N$5001,$B$2:$B$5001,B4726,$E$2:$E$5001,"Em ajustes"),1,0),0))</f>
        <v/>
      </c>
      <c r="N4726" s="17" t="str">
        <f aca="false">IF(A4726="","",IF(ISNUMBER(A4726),A4726,IFERROR(DATE(VALUE(MID(A4726,7,4)),VALUE(MID(A4726,4,2)),VALUE(MID(A4726,1,2)))+TIME(VALUE(MID(A4726,12,2)),VALUE(MID(A4726,15,2)),VALUE(MID(A4726,18,2))),"")))</f>
        <v/>
      </c>
    </row>
    <row r="4727" customFormat="false" ht="15" hidden="false" customHeight="false" outlineLevel="0" collapsed="false">
      <c r="I4727" s="15" t="str">
        <f aca="false">IF(N4727="","",INT(N4727))</f>
        <v/>
      </c>
      <c r="J4727" s="16" t="str">
        <f aca="false">IF(B4727="","",IF(N4727=_xlfn.MINIFS($N$2:$N$5001,$B$2:$B$5001,B4727),1,0))</f>
        <v/>
      </c>
      <c r="K4727" s="16" t="str">
        <f aca="false">IF(B4727="","",IF(AND(D4727="Formalização",E4727="Concluído"),IF(COUNTIFS($B$2:$B$5001,B4727,$E$2:$E$5001,"Em ajustes",$N$2:$N$5001,"&lt;"&amp;I4727)&gt;0,1,0),0))</f>
        <v/>
      </c>
      <c r="L4727" s="16" t="str">
        <f aca="false">IF(B4727="","",IF(N4727=_xlfn.MAXIFS($N$2:$N$5001,$B$2:$B$5001,B4727,$I$2:$I$5001,I4727),1,0))</f>
        <v/>
      </c>
      <c r="M4727" s="16" t="str">
        <f aca="false">IF(B4727="","",IF(E4727="Em ajustes",IF(N4727=_xlfn.MINIFS($N$2:$N$5001,$B$2:$B$5001,B4727,$E$2:$E$5001,"Em ajustes"),1,0),0))</f>
        <v/>
      </c>
      <c r="N4727" s="17" t="str">
        <f aca="false">IF(A4727="","",IF(ISNUMBER(A4727),A4727,IFERROR(DATE(VALUE(MID(A4727,7,4)),VALUE(MID(A4727,4,2)),VALUE(MID(A4727,1,2)))+TIME(VALUE(MID(A4727,12,2)),VALUE(MID(A4727,15,2)),VALUE(MID(A4727,18,2))),"")))</f>
        <v/>
      </c>
    </row>
    <row r="4728" customFormat="false" ht="15" hidden="false" customHeight="false" outlineLevel="0" collapsed="false">
      <c r="I4728" s="15" t="str">
        <f aca="false">IF(N4728="","",INT(N4728))</f>
        <v/>
      </c>
      <c r="J4728" s="16" t="str">
        <f aca="false">IF(B4728="","",IF(N4728=_xlfn.MINIFS($N$2:$N$5001,$B$2:$B$5001,B4728),1,0))</f>
        <v/>
      </c>
      <c r="K4728" s="16" t="str">
        <f aca="false">IF(B4728="","",IF(AND(D4728="Formalização",E4728="Concluído"),IF(COUNTIFS($B$2:$B$5001,B4728,$E$2:$E$5001,"Em ajustes",$N$2:$N$5001,"&lt;"&amp;I4728)&gt;0,1,0),0))</f>
        <v/>
      </c>
      <c r="L4728" s="16" t="str">
        <f aca="false">IF(B4728="","",IF(N4728=_xlfn.MAXIFS($N$2:$N$5001,$B$2:$B$5001,B4728,$I$2:$I$5001,I4728),1,0))</f>
        <v/>
      </c>
      <c r="M4728" s="16" t="str">
        <f aca="false">IF(B4728="","",IF(E4728="Em ajustes",IF(N4728=_xlfn.MINIFS($N$2:$N$5001,$B$2:$B$5001,B4728,$E$2:$E$5001,"Em ajustes"),1,0),0))</f>
        <v/>
      </c>
      <c r="N4728" s="17" t="str">
        <f aca="false">IF(A4728="","",IF(ISNUMBER(A4728),A4728,IFERROR(DATE(VALUE(MID(A4728,7,4)),VALUE(MID(A4728,4,2)),VALUE(MID(A4728,1,2)))+TIME(VALUE(MID(A4728,12,2)),VALUE(MID(A4728,15,2)),VALUE(MID(A4728,18,2))),"")))</f>
        <v/>
      </c>
    </row>
    <row r="4729" customFormat="false" ht="15" hidden="false" customHeight="false" outlineLevel="0" collapsed="false">
      <c r="I4729" s="15" t="str">
        <f aca="false">IF(N4729="","",INT(N4729))</f>
        <v/>
      </c>
      <c r="J4729" s="16" t="str">
        <f aca="false">IF(B4729="","",IF(N4729=_xlfn.MINIFS($N$2:$N$5001,$B$2:$B$5001,B4729),1,0))</f>
        <v/>
      </c>
      <c r="K4729" s="16" t="str">
        <f aca="false">IF(B4729="","",IF(AND(D4729="Formalização",E4729="Concluído"),IF(COUNTIFS($B$2:$B$5001,B4729,$E$2:$E$5001,"Em ajustes",$N$2:$N$5001,"&lt;"&amp;I4729)&gt;0,1,0),0))</f>
        <v/>
      </c>
      <c r="L4729" s="16" t="str">
        <f aca="false">IF(B4729="","",IF(N4729=_xlfn.MAXIFS($N$2:$N$5001,$B$2:$B$5001,B4729,$I$2:$I$5001,I4729),1,0))</f>
        <v/>
      </c>
      <c r="M4729" s="16" t="str">
        <f aca="false">IF(B4729="","",IF(E4729="Em ajustes",IF(N4729=_xlfn.MINIFS($N$2:$N$5001,$B$2:$B$5001,B4729,$E$2:$E$5001,"Em ajustes"),1,0),0))</f>
        <v/>
      </c>
      <c r="N4729" s="17" t="str">
        <f aca="false">IF(A4729="","",IF(ISNUMBER(A4729),A4729,IFERROR(DATE(VALUE(MID(A4729,7,4)),VALUE(MID(A4729,4,2)),VALUE(MID(A4729,1,2)))+TIME(VALUE(MID(A4729,12,2)),VALUE(MID(A4729,15,2)),VALUE(MID(A4729,18,2))),"")))</f>
        <v/>
      </c>
    </row>
    <row r="4730" customFormat="false" ht="15" hidden="false" customHeight="false" outlineLevel="0" collapsed="false">
      <c r="I4730" s="15" t="str">
        <f aca="false">IF(N4730="","",INT(N4730))</f>
        <v/>
      </c>
      <c r="J4730" s="16" t="str">
        <f aca="false">IF(B4730="","",IF(N4730=_xlfn.MINIFS($N$2:$N$5001,$B$2:$B$5001,B4730),1,0))</f>
        <v/>
      </c>
      <c r="K4730" s="16" t="str">
        <f aca="false">IF(B4730="","",IF(AND(D4730="Formalização",E4730="Concluído"),IF(COUNTIFS($B$2:$B$5001,B4730,$E$2:$E$5001,"Em ajustes",$N$2:$N$5001,"&lt;"&amp;I4730)&gt;0,1,0),0))</f>
        <v/>
      </c>
      <c r="L4730" s="16" t="str">
        <f aca="false">IF(B4730="","",IF(N4730=_xlfn.MAXIFS($N$2:$N$5001,$B$2:$B$5001,B4730,$I$2:$I$5001,I4730),1,0))</f>
        <v/>
      </c>
      <c r="M4730" s="16" t="str">
        <f aca="false">IF(B4730="","",IF(E4730="Em ajustes",IF(N4730=_xlfn.MINIFS($N$2:$N$5001,$B$2:$B$5001,B4730,$E$2:$E$5001,"Em ajustes"),1,0),0))</f>
        <v/>
      </c>
      <c r="N4730" s="17" t="str">
        <f aca="false">IF(A4730="","",IF(ISNUMBER(A4730),A4730,IFERROR(DATE(VALUE(MID(A4730,7,4)),VALUE(MID(A4730,4,2)),VALUE(MID(A4730,1,2)))+TIME(VALUE(MID(A4730,12,2)),VALUE(MID(A4730,15,2)),VALUE(MID(A4730,18,2))),"")))</f>
        <v/>
      </c>
    </row>
    <row r="4731" customFormat="false" ht="15" hidden="false" customHeight="false" outlineLevel="0" collapsed="false">
      <c r="I4731" s="15" t="str">
        <f aca="false">IF(N4731="","",INT(N4731))</f>
        <v/>
      </c>
      <c r="J4731" s="16" t="str">
        <f aca="false">IF(B4731="","",IF(N4731=_xlfn.MINIFS($N$2:$N$5001,$B$2:$B$5001,B4731),1,0))</f>
        <v/>
      </c>
      <c r="K4731" s="16" t="str">
        <f aca="false">IF(B4731="","",IF(AND(D4731="Formalização",E4731="Concluído"),IF(COUNTIFS($B$2:$B$5001,B4731,$E$2:$E$5001,"Em ajustes",$N$2:$N$5001,"&lt;"&amp;I4731)&gt;0,1,0),0))</f>
        <v/>
      </c>
      <c r="L4731" s="16" t="str">
        <f aca="false">IF(B4731="","",IF(N4731=_xlfn.MAXIFS($N$2:$N$5001,$B$2:$B$5001,B4731,$I$2:$I$5001,I4731),1,0))</f>
        <v/>
      </c>
      <c r="M4731" s="16" t="str">
        <f aca="false">IF(B4731="","",IF(E4731="Em ajustes",IF(N4731=_xlfn.MINIFS($N$2:$N$5001,$B$2:$B$5001,B4731,$E$2:$E$5001,"Em ajustes"),1,0),0))</f>
        <v/>
      </c>
      <c r="N4731" s="17" t="str">
        <f aca="false">IF(A4731="","",IF(ISNUMBER(A4731),A4731,IFERROR(DATE(VALUE(MID(A4731,7,4)),VALUE(MID(A4731,4,2)),VALUE(MID(A4731,1,2)))+TIME(VALUE(MID(A4731,12,2)),VALUE(MID(A4731,15,2)),VALUE(MID(A4731,18,2))),"")))</f>
        <v/>
      </c>
    </row>
    <row r="4732" customFormat="false" ht="15" hidden="false" customHeight="false" outlineLevel="0" collapsed="false">
      <c r="I4732" s="15" t="str">
        <f aca="false">IF(N4732="","",INT(N4732))</f>
        <v/>
      </c>
      <c r="J4732" s="16" t="str">
        <f aca="false">IF(B4732="","",IF(N4732=_xlfn.MINIFS($N$2:$N$5001,$B$2:$B$5001,B4732),1,0))</f>
        <v/>
      </c>
      <c r="K4732" s="16" t="str">
        <f aca="false">IF(B4732="","",IF(AND(D4732="Formalização",E4732="Concluído"),IF(COUNTIFS($B$2:$B$5001,B4732,$E$2:$E$5001,"Em ajustes",$N$2:$N$5001,"&lt;"&amp;I4732)&gt;0,1,0),0))</f>
        <v/>
      </c>
      <c r="L4732" s="16" t="str">
        <f aca="false">IF(B4732="","",IF(N4732=_xlfn.MAXIFS($N$2:$N$5001,$B$2:$B$5001,B4732,$I$2:$I$5001,I4732),1,0))</f>
        <v/>
      </c>
      <c r="M4732" s="16" t="str">
        <f aca="false">IF(B4732="","",IF(E4732="Em ajustes",IF(N4732=_xlfn.MINIFS($N$2:$N$5001,$B$2:$B$5001,B4732,$E$2:$E$5001,"Em ajustes"),1,0),0))</f>
        <v/>
      </c>
      <c r="N4732" s="17" t="str">
        <f aca="false">IF(A4732="","",IF(ISNUMBER(A4732),A4732,IFERROR(DATE(VALUE(MID(A4732,7,4)),VALUE(MID(A4732,4,2)),VALUE(MID(A4732,1,2)))+TIME(VALUE(MID(A4732,12,2)),VALUE(MID(A4732,15,2)),VALUE(MID(A4732,18,2))),"")))</f>
        <v/>
      </c>
    </row>
    <row r="4733" customFormat="false" ht="15" hidden="false" customHeight="false" outlineLevel="0" collapsed="false">
      <c r="I4733" s="15" t="str">
        <f aca="false">IF(N4733="","",INT(N4733))</f>
        <v/>
      </c>
      <c r="J4733" s="16" t="str">
        <f aca="false">IF(B4733="","",IF(N4733=_xlfn.MINIFS($N$2:$N$5001,$B$2:$B$5001,B4733),1,0))</f>
        <v/>
      </c>
      <c r="K4733" s="16" t="str">
        <f aca="false">IF(B4733="","",IF(AND(D4733="Formalização",E4733="Concluído"),IF(COUNTIFS($B$2:$B$5001,B4733,$E$2:$E$5001,"Em ajustes",$N$2:$N$5001,"&lt;"&amp;I4733)&gt;0,1,0),0))</f>
        <v/>
      </c>
      <c r="L4733" s="16" t="str">
        <f aca="false">IF(B4733="","",IF(N4733=_xlfn.MAXIFS($N$2:$N$5001,$B$2:$B$5001,B4733,$I$2:$I$5001,I4733),1,0))</f>
        <v/>
      </c>
      <c r="M4733" s="16" t="str">
        <f aca="false">IF(B4733="","",IF(E4733="Em ajustes",IF(N4733=_xlfn.MINIFS($N$2:$N$5001,$B$2:$B$5001,B4733,$E$2:$E$5001,"Em ajustes"),1,0),0))</f>
        <v/>
      </c>
      <c r="N4733" s="17" t="str">
        <f aca="false">IF(A4733="","",IF(ISNUMBER(A4733),A4733,IFERROR(DATE(VALUE(MID(A4733,7,4)),VALUE(MID(A4733,4,2)),VALUE(MID(A4733,1,2)))+TIME(VALUE(MID(A4733,12,2)),VALUE(MID(A4733,15,2)),VALUE(MID(A4733,18,2))),"")))</f>
        <v/>
      </c>
    </row>
    <row r="4734" customFormat="false" ht="15" hidden="false" customHeight="false" outlineLevel="0" collapsed="false">
      <c r="I4734" s="15" t="str">
        <f aca="false">IF(N4734="","",INT(N4734))</f>
        <v/>
      </c>
      <c r="J4734" s="16" t="str">
        <f aca="false">IF(B4734="","",IF(N4734=_xlfn.MINIFS($N$2:$N$5001,$B$2:$B$5001,B4734),1,0))</f>
        <v/>
      </c>
      <c r="K4734" s="16" t="str">
        <f aca="false">IF(B4734="","",IF(AND(D4734="Formalização",E4734="Concluído"),IF(COUNTIFS($B$2:$B$5001,B4734,$E$2:$E$5001,"Em ajustes",$N$2:$N$5001,"&lt;"&amp;I4734)&gt;0,1,0),0))</f>
        <v/>
      </c>
      <c r="L4734" s="16" t="str">
        <f aca="false">IF(B4734="","",IF(N4734=_xlfn.MAXIFS($N$2:$N$5001,$B$2:$B$5001,B4734,$I$2:$I$5001,I4734),1,0))</f>
        <v/>
      </c>
      <c r="M4734" s="16" t="str">
        <f aca="false">IF(B4734="","",IF(E4734="Em ajustes",IF(N4734=_xlfn.MINIFS($N$2:$N$5001,$B$2:$B$5001,B4734,$E$2:$E$5001,"Em ajustes"),1,0),0))</f>
        <v/>
      </c>
      <c r="N4734" s="17" t="str">
        <f aca="false">IF(A4734="","",IF(ISNUMBER(A4734),A4734,IFERROR(DATE(VALUE(MID(A4734,7,4)),VALUE(MID(A4734,4,2)),VALUE(MID(A4734,1,2)))+TIME(VALUE(MID(A4734,12,2)),VALUE(MID(A4734,15,2)),VALUE(MID(A4734,18,2))),"")))</f>
        <v/>
      </c>
    </row>
    <row r="4735" customFormat="false" ht="15" hidden="false" customHeight="false" outlineLevel="0" collapsed="false">
      <c r="I4735" s="15" t="str">
        <f aca="false">IF(N4735="","",INT(N4735))</f>
        <v/>
      </c>
      <c r="J4735" s="16" t="str">
        <f aca="false">IF(B4735="","",IF(N4735=_xlfn.MINIFS($N$2:$N$5001,$B$2:$B$5001,B4735),1,0))</f>
        <v/>
      </c>
      <c r="K4735" s="16" t="str">
        <f aca="false">IF(B4735="","",IF(AND(D4735="Formalização",E4735="Concluído"),IF(COUNTIFS($B$2:$B$5001,B4735,$E$2:$E$5001,"Em ajustes",$N$2:$N$5001,"&lt;"&amp;I4735)&gt;0,1,0),0))</f>
        <v/>
      </c>
      <c r="L4735" s="16" t="str">
        <f aca="false">IF(B4735="","",IF(N4735=_xlfn.MAXIFS($N$2:$N$5001,$B$2:$B$5001,B4735,$I$2:$I$5001,I4735),1,0))</f>
        <v/>
      </c>
      <c r="M4735" s="16" t="str">
        <f aca="false">IF(B4735="","",IF(E4735="Em ajustes",IF(N4735=_xlfn.MINIFS($N$2:$N$5001,$B$2:$B$5001,B4735,$E$2:$E$5001,"Em ajustes"),1,0),0))</f>
        <v/>
      </c>
      <c r="N4735" s="17" t="str">
        <f aca="false">IF(A4735="","",IF(ISNUMBER(A4735),A4735,IFERROR(DATE(VALUE(MID(A4735,7,4)),VALUE(MID(A4735,4,2)),VALUE(MID(A4735,1,2)))+TIME(VALUE(MID(A4735,12,2)),VALUE(MID(A4735,15,2)),VALUE(MID(A4735,18,2))),"")))</f>
        <v/>
      </c>
    </row>
    <row r="4736" customFormat="false" ht="15" hidden="false" customHeight="false" outlineLevel="0" collapsed="false">
      <c r="I4736" s="15" t="str">
        <f aca="false">IF(N4736="","",INT(N4736))</f>
        <v/>
      </c>
      <c r="J4736" s="16" t="str">
        <f aca="false">IF(B4736="","",IF(N4736=_xlfn.MINIFS($N$2:$N$5001,$B$2:$B$5001,B4736),1,0))</f>
        <v/>
      </c>
      <c r="K4736" s="16" t="str">
        <f aca="false">IF(B4736="","",IF(AND(D4736="Formalização",E4736="Concluído"),IF(COUNTIFS($B$2:$B$5001,B4736,$E$2:$E$5001,"Em ajustes",$N$2:$N$5001,"&lt;"&amp;I4736)&gt;0,1,0),0))</f>
        <v/>
      </c>
      <c r="L4736" s="16" t="str">
        <f aca="false">IF(B4736="","",IF(N4736=_xlfn.MAXIFS($N$2:$N$5001,$B$2:$B$5001,B4736,$I$2:$I$5001,I4736),1,0))</f>
        <v/>
      </c>
      <c r="M4736" s="16" t="str">
        <f aca="false">IF(B4736="","",IF(E4736="Em ajustes",IF(N4736=_xlfn.MINIFS($N$2:$N$5001,$B$2:$B$5001,B4736,$E$2:$E$5001,"Em ajustes"),1,0),0))</f>
        <v/>
      </c>
      <c r="N4736" s="17" t="str">
        <f aca="false">IF(A4736="","",IF(ISNUMBER(A4736),A4736,IFERROR(DATE(VALUE(MID(A4736,7,4)),VALUE(MID(A4736,4,2)),VALUE(MID(A4736,1,2)))+TIME(VALUE(MID(A4736,12,2)),VALUE(MID(A4736,15,2)),VALUE(MID(A4736,18,2))),"")))</f>
        <v/>
      </c>
    </row>
    <row r="4737" customFormat="false" ht="15" hidden="false" customHeight="false" outlineLevel="0" collapsed="false">
      <c r="I4737" s="15" t="str">
        <f aca="false">IF(N4737="","",INT(N4737))</f>
        <v/>
      </c>
      <c r="J4737" s="16" t="str">
        <f aca="false">IF(B4737="","",IF(N4737=_xlfn.MINIFS($N$2:$N$5001,$B$2:$B$5001,B4737),1,0))</f>
        <v/>
      </c>
      <c r="K4737" s="16" t="str">
        <f aca="false">IF(B4737="","",IF(AND(D4737="Formalização",E4737="Concluído"),IF(COUNTIFS($B$2:$B$5001,B4737,$E$2:$E$5001,"Em ajustes",$N$2:$N$5001,"&lt;"&amp;I4737)&gt;0,1,0),0))</f>
        <v/>
      </c>
      <c r="L4737" s="16" t="str">
        <f aca="false">IF(B4737="","",IF(N4737=_xlfn.MAXIFS($N$2:$N$5001,$B$2:$B$5001,B4737,$I$2:$I$5001,I4737),1,0))</f>
        <v/>
      </c>
      <c r="M4737" s="16" t="str">
        <f aca="false">IF(B4737="","",IF(E4737="Em ajustes",IF(N4737=_xlfn.MINIFS($N$2:$N$5001,$B$2:$B$5001,B4737,$E$2:$E$5001,"Em ajustes"),1,0),0))</f>
        <v/>
      </c>
      <c r="N4737" s="17" t="str">
        <f aca="false">IF(A4737="","",IF(ISNUMBER(A4737),A4737,IFERROR(DATE(VALUE(MID(A4737,7,4)),VALUE(MID(A4737,4,2)),VALUE(MID(A4737,1,2)))+TIME(VALUE(MID(A4737,12,2)),VALUE(MID(A4737,15,2)),VALUE(MID(A4737,18,2))),"")))</f>
        <v/>
      </c>
    </row>
    <row r="4738" customFormat="false" ht="15" hidden="false" customHeight="false" outlineLevel="0" collapsed="false">
      <c r="I4738" s="15" t="str">
        <f aca="false">IF(N4738="","",INT(N4738))</f>
        <v/>
      </c>
      <c r="J4738" s="16" t="str">
        <f aca="false">IF(B4738="","",IF(N4738=_xlfn.MINIFS($N$2:$N$5001,$B$2:$B$5001,B4738),1,0))</f>
        <v/>
      </c>
      <c r="K4738" s="16" t="str">
        <f aca="false">IF(B4738="","",IF(AND(D4738="Formalização",E4738="Concluído"),IF(COUNTIFS($B$2:$B$5001,B4738,$E$2:$E$5001,"Em ajustes",$N$2:$N$5001,"&lt;"&amp;I4738)&gt;0,1,0),0))</f>
        <v/>
      </c>
      <c r="L4738" s="16" t="str">
        <f aca="false">IF(B4738="","",IF(N4738=_xlfn.MAXIFS($N$2:$N$5001,$B$2:$B$5001,B4738,$I$2:$I$5001,I4738),1,0))</f>
        <v/>
      </c>
      <c r="M4738" s="16" t="str">
        <f aca="false">IF(B4738="","",IF(E4738="Em ajustes",IF(N4738=_xlfn.MINIFS($N$2:$N$5001,$B$2:$B$5001,B4738,$E$2:$E$5001,"Em ajustes"),1,0),0))</f>
        <v/>
      </c>
      <c r="N4738" s="17" t="str">
        <f aca="false">IF(A4738="","",IF(ISNUMBER(A4738),A4738,IFERROR(DATE(VALUE(MID(A4738,7,4)),VALUE(MID(A4738,4,2)),VALUE(MID(A4738,1,2)))+TIME(VALUE(MID(A4738,12,2)),VALUE(MID(A4738,15,2)),VALUE(MID(A4738,18,2))),"")))</f>
        <v/>
      </c>
    </row>
    <row r="4739" customFormat="false" ht="15" hidden="false" customHeight="false" outlineLevel="0" collapsed="false">
      <c r="I4739" s="15" t="str">
        <f aca="false">IF(N4739="","",INT(N4739))</f>
        <v/>
      </c>
      <c r="J4739" s="16" t="str">
        <f aca="false">IF(B4739="","",IF(N4739=_xlfn.MINIFS($N$2:$N$5001,$B$2:$B$5001,B4739),1,0))</f>
        <v/>
      </c>
      <c r="K4739" s="16" t="str">
        <f aca="false">IF(B4739="","",IF(AND(D4739="Formalização",E4739="Concluído"),IF(COUNTIFS($B$2:$B$5001,B4739,$E$2:$E$5001,"Em ajustes",$N$2:$N$5001,"&lt;"&amp;I4739)&gt;0,1,0),0))</f>
        <v/>
      </c>
      <c r="L4739" s="16" t="str">
        <f aca="false">IF(B4739="","",IF(N4739=_xlfn.MAXIFS($N$2:$N$5001,$B$2:$B$5001,B4739,$I$2:$I$5001,I4739),1,0))</f>
        <v/>
      </c>
      <c r="M4739" s="16" t="str">
        <f aca="false">IF(B4739="","",IF(E4739="Em ajustes",IF(N4739=_xlfn.MINIFS($N$2:$N$5001,$B$2:$B$5001,B4739,$E$2:$E$5001,"Em ajustes"),1,0),0))</f>
        <v/>
      </c>
      <c r="N4739" s="17" t="str">
        <f aca="false">IF(A4739="","",IF(ISNUMBER(A4739),A4739,IFERROR(DATE(VALUE(MID(A4739,7,4)),VALUE(MID(A4739,4,2)),VALUE(MID(A4739,1,2)))+TIME(VALUE(MID(A4739,12,2)),VALUE(MID(A4739,15,2)),VALUE(MID(A4739,18,2))),"")))</f>
        <v/>
      </c>
    </row>
    <row r="4740" customFormat="false" ht="15" hidden="false" customHeight="false" outlineLevel="0" collapsed="false">
      <c r="I4740" s="15" t="str">
        <f aca="false">IF(N4740="","",INT(N4740))</f>
        <v/>
      </c>
      <c r="J4740" s="16" t="str">
        <f aca="false">IF(B4740="","",IF(N4740=_xlfn.MINIFS($N$2:$N$5001,$B$2:$B$5001,B4740),1,0))</f>
        <v/>
      </c>
      <c r="K4740" s="16" t="str">
        <f aca="false">IF(B4740="","",IF(AND(D4740="Formalização",E4740="Concluído"),IF(COUNTIFS($B$2:$B$5001,B4740,$E$2:$E$5001,"Em ajustes",$N$2:$N$5001,"&lt;"&amp;I4740)&gt;0,1,0),0))</f>
        <v/>
      </c>
      <c r="L4740" s="16" t="str">
        <f aca="false">IF(B4740="","",IF(N4740=_xlfn.MAXIFS($N$2:$N$5001,$B$2:$B$5001,B4740,$I$2:$I$5001,I4740),1,0))</f>
        <v/>
      </c>
      <c r="M4740" s="16" t="str">
        <f aca="false">IF(B4740="","",IF(E4740="Em ajustes",IF(N4740=_xlfn.MINIFS($N$2:$N$5001,$B$2:$B$5001,B4740,$E$2:$E$5001,"Em ajustes"),1,0),0))</f>
        <v/>
      </c>
      <c r="N4740" s="17" t="str">
        <f aca="false">IF(A4740="","",IF(ISNUMBER(A4740),A4740,IFERROR(DATE(VALUE(MID(A4740,7,4)),VALUE(MID(A4740,4,2)),VALUE(MID(A4740,1,2)))+TIME(VALUE(MID(A4740,12,2)),VALUE(MID(A4740,15,2)),VALUE(MID(A4740,18,2))),"")))</f>
        <v/>
      </c>
    </row>
    <row r="4741" customFormat="false" ht="15" hidden="false" customHeight="false" outlineLevel="0" collapsed="false">
      <c r="I4741" s="15" t="str">
        <f aca="false">IF(N4741="","",INT(N4741))</f>
        <v/>
      </c>
      <c r="J4741" s="16" t="str">
        <f aca="false">IF(B4741="","",IF(N4741=_xlfn.MINIFS($N$2:$N$5001,$B$2:$B$5001,B4741),1,0))</f>
        <v/>
      </c>
      <c r="K4741" s="16" t="str">
        <f aca="false">IF(B4741="","",IF(AND(D4741="Formalização",E4741="Concluído"),IF(COUNTIFS($B$2:$B$5001,B4741,$E$2:$E$5001,"Em ajustes",$N$2:$N$5001,"&lt;"&amp;I4741)&gt;0,1,0),0))</f>
        <v/>
      </c>
      <c r="L4741" s="16" t="str">
        <f aca="false">IF(B4741="","",IF(N4741=_xlfn.MAXIFS($N$2:$N$5001,$B$2:$B$5001,B4741,$I$2:$I$5001,I4741),1,0))</f>
        <v/>
      </c>
      <c r="M4741" s="16" t="str">
        <f aca="false">IF(B4741="","",IF(E4741="Em ajustes",IF(N4741=_xlfn.MINIFS($N$2:$N$5001,$B$2:$B$5001,B4741,$E$2:$E$5001,"Em ajustes"),1,0),0))</f>
        <v/>
      </c>
      <c r="N4741" s="17" t="str">
        <f aca="false">IF(A4741="","",IF(ISNUMBER(A4741),A4741,IFERROR(DATE(VALUE(MID(A4741,7,4)),VALUE(MID(A4741,4,2)),VALUE(MID(A4741,1,2)))+TIME(VALUE(MID(A4741,12,2)),VALUE(MID(A4741,15,2)),VALUE(MID(A4741,18,2))),"")))</f>
        <v/>
      </c>
    </row>
    <row r="4742" customFormat="false" ht="15" hidden="false" customHeight="false" outlineLevel="0" collapsed="false">
      <c r="I4742" s="15" t="str">
        <f aca="false">IF(N4742="","",INT(N4742))</f>
        <v/>
      </c>
      <c r="J4742" s="16" t="str">
        <f aca="false">IF(B4742="","",IF(N4742=_xlfn.MINIFS($N$2:$N$5001,$B$2:$B$5001,B4742),1,0))</f>
        <v/>
      </c>
      <c r="K4742" s="16" t="str">
        <f aca="false">IF(B4742="","",IF(AND(D4742="Formalização",E4742="Concluído"),IF(COUNTIFS($B$2:$B$5001,B4742,$E$2:$E$5001,"Em ajustes",$N$2:$N$5001,"&lt;"&amp;I4742)&gt;0,1,0),0))</f>
        <v/>
      </c>
      <c r="L4742" s="16" t="str">
        <f aca="false">IF(B4742="","",IF(N4742=_xlfn.MAXIFS($N$2:$N$5001,$B$2:$B$5001,B4742,$I$2:$I$5001,I4742),1,0))</f>
        <v/>
      </c>
      <c r="M4742" s="16" t="str">
        <f aca="false">IF(B4742="","",IF(E4742="Em ajustes",IF(N4742=_xlfn.MINIFS($N$2:$N$5001,$B$2:$B$5001,B4742,$E$2:$E$5001,"Em ajustes"),1,0),0))</f>
        <v/>
      </c>
      <c r="N4742" s="17" t="str">
        <f aca="false">IF(A4742="","",IF(ISNUMBER(A4742),A4742,IFERROR(DATE(VALUE(MID(A4742,7,4)),VALUE(MID(A4742,4,2)),VALUE(MID(A4742,1,2)))+TIME(VALUE(MID(A4742,12,2)),VALUE(MID(A4742,15,2)),VALUE(MID(A4742,18,2))),"")))</f>
        <v/>
      </c>
    </row>
    <row r="4743" customFormat="false" ht="15" hidden="false" customHeight="false" outlineLevel="0" collapsed="false">
      <c r="I4743" s="15" t="str">
        <f aca="false">IF(N4743="","",INT(N4743))</f>
        <v/>
      </c>
      <c r="J4743" s="16" t="str">
        <f aca="false">IF(B4743="","",IF(N4743=_xlfn.MINIFS($N$2:$N$5001,$B$2:$B$5001,B4743),1,0))</f>
        <v/>
      </c>
      <c r="K4743" s="16" t="str">
        <f aca="false">IF(B4743="","",IF(AND(D4743="Formalização",E4743="Concluído"),IF(COUNTIFS($B$2:$B$5001,B4743,$E$2:$E$5001,"Em ajustes",$N$2:$N$5001,"&lt;"&amp;I4743)&gt;0,1,0),0))</f>
        <v/>
      </c>
      <c r="L4743" s="16" t="str">
        <f aca="false">IF(B4743="","",IF(N4743=_xlfn.MAXIFS($N$2:$N$5001,$B$2:$B$5001,B4743,$I$2:$I$5001,I4743),1,0))</f>
        <v/>
      </c>
      <c r="M4743" s="16" t="str">
        <f aca="false">IF(B4743="","",IF(E4743="Em ajustes",IF(N4743=_xlfn.MINIFS($N$2:$N$5001,$B$2:$B$5001,B4743,$E$2:$E$5001,"Em ajustes"),1,0),0))</f>
        <v/>
      </c>
      <c r="N4743" s="17" t="str">
        <f aca="false">IF(A4743="","",IF(ISNUMBER(A4743),A4743,IFERROR(DATE(VALUE(MID(A4743,7,4)),VALUE(MID(A4743,4,2)),VALUE(MID(A4743,1,2)))+TIME(VALUE(MID(A4743,12,2)),VALUE(MID(A4743,15,2)),VALUE(MID(A4743,18,2))),"")))</f>
        <v/>
      </c>
    </row>
    <row r="4744" customFormat="false" ht="15" hidden="false" customHeight="false" outlineLevel="0" collapsed="false">
      <c r="I4744" s="15" t="str">
        <f aca="false">IF(N4744="","",INT(N4744))</f>
        <v/>
      </c>
      <c r="J4744" s="16" t="str">
        <f aca="false">IF(B4744="","",IF(N4744=_xlfn.MINIFS($N$2:$N$5001,$B$2:$B$5001,B4744),1,0))</f>
        <v/>
      </c>
      <c r="K4744" s="16" t="str">
        <f aca="false">IF(B4744="","",IF(AND(D4744="Formalização",E4744="Concluído"),IF(COUNTIFS($B$2:$B$5001,B4744,$E$2:$E$5001,"Em ajustes",$N$2:$N$5001,"&lt;"&amp;I4744)&gt;0,1,0),0))</f>
        <v/>
      </c>
      <c r="L4744" s="16" t="str">
        <f aca="false">IF(B4744="","",IF(N4744=_xlfn.MAXIFS($N$2:$N$5001,$B$2:$B$5001,B4744,$I$2:$I$5001,I4744),1,0))</f>
        <v/>
      </c>
      <c r="M4744" s="16" t="str">
        <f aca="false">IF(B4744="","",IF(E4744="Em ajustes",IF(N4744=_xlfn.MINIFS($N$2:$N$5001,$B$2:$B$5001,B4744,$E$2:$E$5001,"Em ajustes"),1,0),0))</f>
        <v/>
      </c>
      <c r="N4744" s="17" t="str">
        <f aca="false">IF(A4744="","",IF(ISNUMBER(A4744),A4744,IFERROR(DATE(VALUE(MID(A4744,7,4)),VALUE(MID(A4744,4,2)),VALUE(MID(A4744,1,2)))+TIME(VALUE(MID(A4744,12,2)),VALUE(MID(A4744,15,2)),VALUE(MID(A4744,18,2))),"")))</f>
        <v/>
      </c>
    </row>
    <row r="4745" customFormat="false" ht="15" hidden="false" customHeight="false" outlineLevel="0" collapsed="false">
      <c r="I4745" s="15" t="str">
        <f aca="false">IF(N4745="","",INT(N4745))</f>
        <v/>
      </c>
      <c r="J4745" s="16" t="str">
        <f aca="false">IF(B4745="","",IF(N4745=_xlfn.MINIFS($N$2:$N$5001,$B$2:$B$5001,B4745),1,0))</f>
        <v/>
      </c>
      <c r="K4745" s="16" t="str">
        <f aca="false">IF(B4745="","",IF(AND(D4745="Formalização",E4745="Concluído"),IF(COUNTIFS($B$2:$B$5001,B4745,$E$2:$E$5001,"Em ajustes",$N$2:$N$5001,"&lt;"&amp;I4745)&gt;0,1,0),0))</f>
        <v/>
      </c>
      <c r="L4745" s="16" t="str">
        <f aca="false">IF(B4745="","",IF(N4745=_xlfn.MAXIFS($N$2:$N$5001,$B$2:$B$5001,B4745,$I$2:$I$5001,I4745),1,0))</f>
        <v/>
      </c>
      <c r="M4745" s="16" t="str">
        <f aca="false">IF(B4745="","",IF(E4745="Em ajustes",IF(N4745=_xlfn.MINIFS($N$2:$N$5001,$B$2:$B$5001,B4745,$E$2:$E$5001,"Em ajustes"),1,0),0))</f>
        <v/>
      </c>
      <c r="N4745" s="17" t="str">
        <f aca="false">IF(A4745="","",IF(ISNUMBER(A4745),A4745,IFERROR(DATE(VALUE(MID(A4745,7,4)),VALUE(MID(A4745,4,2)),VALUE(MID(A4745,1,2)))+TIME(VALUE(MID(A4745,12,2)),VALUE(MID(A4745,15,2)),VALUE(MID(A4745,18,2))),"")))</f>
        <v/>
      </c>
    </row>
    <row r="4746" customFormat="false" ht="15" hidden="false" customHeight="false" outlineLevel="0" collapsed="false">
      <c r="I4746" s="15" t="str">
        <f aca="false">IF(N4746="","",INT(N4746))</f>
        <v/>
      </c>
      <c r="J4746" s="16" t="str">
        <f aca="false">IF(B4746="","",IF(N4746=_xlfn.MINIFS($N$2:$N$5001,$B$2:$B$5001,B4746),1,0))</f>
        <v/>
      </c>
      <c r="K4746" s="16" t="str">
        <f aca="false">IF(B4746="","",IF(AND(D4746="Formalização",E4746="Concluído"),IF(COUNTIFS($B$2:$B$5001,B4746,$E$2:$E$5001,"Em ajustes",$N$2:$N$5001,"&lt;"&amp;I4746)&gt;0,1,0),0))</f>
        <v/>
      </c>
      <c r="L4746" s="16" t="str">
        <f aca="false">IF(B4746="","",IF(N4746=_xlfn.MAXIFS($N$2:$N$5001,$B$2:$B$5001,B4746,$I$2:$I$5001,I4746),1,0))</f>
        <v/>
      </c>
      <c r="M4746" s="16" t="str">
        <f aca="false">IF(B4746="","",IF(E4746="Em ajustes",IF(N4746=_xlfn.MINIFS($N$2:$N$5001,$B$2:$B$5001,B4746,$E$2:$E$5001,"Em ajustes"),1,0),0))</f>
        <v/>
      </c>
      <c r="N4746" s="17" t="str">
        <f aca="false">IF(A4746="","",IF(ISNUMBER(A4746),A4746,IFERROR(DATE(VALUE(MID(A4746,7,4)),VALUE(MID(A4746,4,2)),VALUE(MID(A4746,1,2)))+TIME(VALUE(MID(A4746,12,2)),VALUE(MID(A4746,15,2)),VALUE(MID(A4746,18,2))),"")))</f>
        <v/>
      </c>
    </row>
    <row r="4747" customFormat="false" ht="15" hidden="false" customHeight="false" outlineLevel="0" collapsed="false">
      <c r="I4747" s="15" t="str">
        <f aca="false">IF(N4747="","",INT(N4747))</f>
        <v/>
      </c>
      <c r="J4747" s="16" t="str">
        <f aca="false">IF(B4747="","",IF(N4747=_xlfn.MINIFS($N$2:$N$5001,$B$2:$B$5001,B4747),1,0))</f>
        <v/>
      </c>
      <c r="K4747" s="16" t="str">
        <f aca="false">IF(B4747="","",IF(AND(D4747="Formalização",E4747="Concluído"),IF(COUNTIFS($B$2:$B$5001,B4747,$E$2:$E$5001,"Em ajustes",$N$2:$N$5001,"&lt;"&amp;I4747)&gt;0,1,0),0))</f>
        <v/>
      </c>
      <c r="L4747" s="16" t="str">
        <f aca="false">IF(B4747="","",IF(N4747=_xlfn.MAXIFS($N$2:$N$5001,$B$2:$B$5001,B4747,$I$2:$I$5001,I4747),1,0))</f>
        <v/>
      </c>
      <c r="M4747" s="16" t="str">
        <f aca="false">IF(B4747="","",IF(E4747="Em ajustes",IF(N4747=_xlfn.MINIFS($N$2:$N$5001,$B$2:$B$5001,B4747,$E$2:$E$5001,"Em ajustes"),1,0),0))</f>
        <v/>
      </c>
      <c r="N4747" s="17" t="str">
        <f aca="false">IF(A4747="","",IF(ISNUMBER(A4747),A4747,IFERROR(DATE(VALUE(MID(A4747,7,4)),VALUE(MID(A4747,4,2)),VALUE(MID(A4747,1,2)))+TIME(VALUE(MID(A4747,12,2)),VALUE(MID(A4747,15,2)),VALUE(MID(A4747,18,2))),"")))</f>
        <v/>
      </c>
    </row>
    <row r="4748" customFormat="false" ht="15" hidden="false" customHeight="false" outlineLevel="0" collapsed="false">
      <c r="I4748" s="15" t="str">
        <f aca="false">IF(N4748="","",INT(N4748))</f>
        <v/>
      </c>
      <c r="J4748" s="16" t="str">
        <f aca="false">IF(B4748="","",IF(N4748=_xlfn.MINIFS($N$2:$N$5001,$B$2:$B$5001,B4748),1,0))</f>
        <v/>
      </c>
      <c r="K4748" s="16" t="str">
        <f aca="false">IF(B4748="","",IF(AND(D4748="Formalização",E4748="Concluído"),IF(COUNTIFS($B$2:$B$5001,B4748,$E$2:$E$5001,"Em ajustes",$N$2:$N$5001,"&lt;"&amp;I4748)&gt;0,1,0),0))</f>
        <v/>
      </c>
      <c r="L4748" s="16" t="str">
        <f aca="false">IF(B4748="","",IF(N4748=_xlfn.MAXIFS($N$2:$N$5001,$B$2:$B$5001,B4748,$I$2:$I$5001,I4748),1,0))</f>
        <v/>
      </c>
      <c r="M4748" s="16" t="str">
        <f aca="false">IF(B4748="","",IF(E4748="Em ajustes",IF(N4748=_xlfn.MINIFS($N$2:$N$5001,$B$2:$B$5001,B4748,$E$2:$E$5001,"Em ajustes"),1,0),0))</f>
        <v/>
      </c>
      <c r="N4748" s="17" t="str">
        <f aca="false">IF(A4748="","",IF(ISNUMBER(A4748),A4748,IFERROR(DATE(VALUE(MID(A4748,7,4)),VALUE(MID(A4748,4,2)),VALUE(MID(A4748,1,2)))+TIME(VALUE(MID(A4748,12,2)),VALUE(MID(A4748,15,2)),VALUE(MID(A4748,18,2))),"")))</f>
        <v/>
      </c>
    </row>
    <row r="4749" customFormat="false" ht="15" hidden="false" customHeight="false" outlineLevel="0" collapsed="false">
      <c r="I4749" s="15" t="str">
        <f aca="false">IF(N4749="","",INT(N4749))</f>
        <v/>
      </c>
      <c r="J4749" s="16" t="str">
        <f aca="false">IF(B4749="","",IF(N4749=_xlfn.MINIFS($N$2:$N$5001,$B$2:$B$5001,B4749),1,0))</f>
        <v/>
      </c>
      <c r="K4749" s="16" t="str">
        <f aca="false">IF(B4749="","",IF(AND(D4749="Formalização",E4749="Concluído"),IF(COUNTIFS($B$2:$B$5001,B4749,$E$2:$E$5001,"Em ajustes",$N$2:$N$5001,"&lt;"&amp;I4749)&gt;0,1,0),0))</f>
        <v/>
      </c>
      <c r="L4749" s="16" t="str">
        <f aca="false">IF(B4749="","",IF(N4749=_xlfn.MAXIFS($N$2:$N$5001,$B$2:$B$5001,B4749,$I$2:$I$5001,I4749),1,0))</f>
        <v/>
      </c>
      <c r="M4749" s="16" t="str">
        <f aca="false">IF(B4749="","",IF(E4749="Em ajustes",IF(N4749=_xlfn.MINIFS($N$2:$N$5001,$B$2:$B$5001,B4749,$E$2:$E$5001,"Em ajustes"),1,0),0))</f>
        <v/>
      </c>
      <c r="N4749" s="17" t="str">
        <f aca="false">IF(A4749="","",IF(ISNUMBER(A4749),A4749,IFERROR(DATE(VALUE(MID(A4749,7,4)),VALUE(MID(A4749,4,2)),VALUE(MID(A4749,1,2)))+TIME(VALUE(MID(A4749,12,2)),VALUE(MID(A4749,15,2)),VALUE(MID(A4749,18,2))),"")))</f>
        <v/>
      </c>
    </row>
    <row r="4750" customFormat="false" ht="15" hidden="false" customHeight="false" outlineLevel="0" collapsed="false">
      <c r="I4750" s="15" t="str">
        <f aca="false">IF(N4750="","",INT(N4750))</f>
        <v/>
      </c>
      <c r="J4750" s="16" t="str">
        <f aca="false">IF(B4750="","",IF(N4750=_xlfn.MINIFS($N$2:$N$5001,$B$2:$B$5001,B4750),1,0))</f>
        <v/>
      </c>
      <c r="K4750" s="16" t="str">
        <f aca="false">IF(B4750="","",IF(AND(D4750="Formalização",E4750="Concluído"),IF(COUNTIFS($B$2:$B$5001,B4750,$E$2:$E$5001,"Em ajustes",$N$2:$N$5001,"&lt;"&amp;I4750)&gt;0,1,0),0))</f>
        <v/>
      </c>
      <c r="L4750" s="16" t="str">
        <f aca="false">IF(B4750="","",IF(N4750=_xlfn.MAXIFS($N$2:$N$5001,$B$2:$B$5001,B4750,$I$2:$I$5001,I4750),1,0))</f>
        <v/>
      </c>
      <c r="M4750" s="16" t="str">
        <f aca="false">IF(B4750="","",IF(E4750="Em ajustes",IF(N4750=_xlfn.MINIFS($N$2:$N$5001,$B$2:$B$5001,B4750,$E$2:$E$5001,"Em ajustes"),1,0),0))</f>
        <v/>
      </c>
      <c r="N4750" s="17" t="str">
        <f aca="false">IF(A4750="","",IF(ISNUMBER(A4750),A4750,IFERROR(DATE(VALUE(MID(A4750,7,4)),VALUE(MID(A4750,4,2)),VALUE(MID(A4750,1,2)))+TIME(VALUE(MID(A4750,12,2)),VALUE(MID(A4750,15,2)),VALUE(MID(A4750,18,2))),"")))</f>
        <v/>
      </c>
    </row>
    <row r="4751" customFormat="false" ht="15" hidden="false" customHeight="false" outlineLevel="0" collapsed="false">
      <c r="I4751" s="15" t="str">
        <f aca="false">IF(N4751="","",INT(N4751))</f>
        <v/>
      </c>
      <c r="J4751" s="16" t="str">
        <f aca="false">IF(B4751="","",IF(N4751=_xlfn.MINIFS($N$2:$N$5001,$B$2:$B$5001,B4751),1,0))</f>
        <v/>
      </c>
      <c r="K4751" s="16" t="str">
        <f aca="false">IF(B4751="","",IF(AND(D4751="Formalização",E4751="Concluído"),IF(COUNTIFS($B$2:$B$5001,B4751,$E$2:$E$5001,"Em ajustes",$N$2:$N$5001,"&lt;"&amp;I4751)&gt;0,1,0),0))</f>
        <v/>
      </c>
      <c r="L4751" s="16" t="str">
        <f aca="false">IF(B4751="","",IF(N4751=_xlfn.MAXIFS($N$2:$N$5001,$B$2:$B$5001,B4751,$I$2:$I$5001,I4751),1,0))</f>
        <v/>
      </c>
      <c r="M4751" s="16" t="str">
        <f aca="false">IF(B4751="","",IF(E4751="Em ajustes",IF(N4751=_xlfn.MINIFS($N$2:$N$5001,$B$2:$B$5001,B4751,$E$2:$E$5001,"Em ajustes"),1,0),0))</f>
        <v/>
      </c>
      <c r="N4751" s="17" t="str">
        <f aca="false">IF(A4751="","",IF(ISNUMBER(A4751),A4751,IFERROR(DATE(VALUE(MID(A4751,7,4)),VALUE(MID(A4751,4,2)),VALUE(MID(A4751,1,2)))+TIME(VALUE(MID(A4751,12,2)),VALUE(MID(A4751,15,2)),VALUE(MID(A4751,18,2))),"")))</f>
        <v/>
      </c>
    </row>
    <row r="4752" customFormat="false" ht="15" hidden="false" customHeight="false" outlineLevel="0" collapsed="false">
      <c r="I4752" s="15" t="str">
        <f aca="false">IF(N4752="","",INT(N4752))</f>
        <v/>
      </c>
      <c r="J4752" s="16" t="str">
        <f aca="false">IF(B4752="","",IF(N4752=_xlfn.MINIFS($N$2:$N$5001,$B$2:$B$5001,B4752),1,0))</f>
        <v/>
      </c>
      <c r="K4752" s="16" t="str">
        <f aca="false">IF(B4752="","",IF(AND(D4752="Formalização",E4752="Concluído"),IF(COUNTIFS($B$2:$B$5001,B4752,$E$2:$E$5001,"Em ajustes",$N$2:$N$5001,"&lt;"&amp;I4752)&gt;0,1,0),0))</f>
        <v/>
      </c>
      <c r="L4752" s="16" t="str">
        <f aca="false">IF(B4752="","",IF(N4752=_xlfn.MAXIFS($N$2:$N$5001,$B$2:$B$5001,B4752,$I$2:$I$5001,I4752),1,0))</f>
        <v/>
      </c>
      <c r="M4752" s="16" t="str">
        <f aca="false">IF(B4752="","",IF(E4752="Em ajustes",IF(N4752=_xlfn.MINIFS($N$2:$N$5001,$B$2:$B$5001,B4752,$E$2:$E$5001,"Em ajustes"),1,0),0))</f>
        <v/>
      </c>
      <c r="N4752" s="17" t="str">
        <f aca="false">IF(A4752="","",IF(ISNUMBER(A4752),A4752,IFERROR(DATE(VALUE(MID(A4752,7,4)),VALUE(MID(A4752,4,2)),VALUE(MID(A4752,1,2)))+TIME(VALUE(MID(A4752,12,2)),VALUE(MID(A4752,15,2)),VALUE(MID(A4752,18,2))),"")))</f>
        <v/>
      </c>
    </row>
    <row r="4753" customFormat="false" ht="15" hidden="false" customHeight="false" outlineLevel="0" collapsed="false">
      <c r="I4753" s="15" t="str">
        <f aca="false">IF(N4753="","",INT(N4753))</f>
        <v/>
      </c>
      <c r="J4753" s="16" t="str">
        <f aca="false">IF(B4753="","",IF(N4753=_xlfn.MINIFS($N$2:$N$5001,$B$2:$B$5001,B4753),1,0))</f>
        <v/>
      </c>
      <c r="K4753" s="16" t="str">
        <f aca="false">IF(B4753="","",IF(AND(D4753="Formalização",E4753="Concluído"),IF(COUNTIFS($B$2:$B$5001,B4753,$E$2:$E$5001,"Em ajustes",$N$2:$N$5001,"&lt;"&amp;I4753)&gt;0,1,0),0))</f>
        <v/>
      </c>
      <c r="L4753" s="16" t="str">
        <f aca="false">IF(B4753="","",IF(N4753=_xlfn.MAXIFS($N$2:$N$5001,$B$2:$B$5001,B4753,$I$2:$I$5001,I4753),1,0))</f>
        <v/>
      </c>
      <c r="M4753" s="16" t="str">
        <f aca="false">IF(B4753="","",IF(E4753="Em ajustes",IF(N4753=_xlfn.MINIFS($N$2:$N$5001,$B$2:$B$5001,B4753,$E$2:$E$5001,"Em ajustes"),1,0),0))</f>
        <v/>
      </c>
      <c r="N4753" s="17" t="str">
        <f aca="false">IF(A4753="","",IF(ISNUMBER(A4753),A4753,IFERROR(DATE(VALUE(MID(A4753,7,4)),VALUE(MID(A4753,4,2)),VALUE(MID(A4753,1,2)))+TIME(VALUE(MID(A4753,12,2)),VALUE(MID(A4753,15,2)),VALUE(MID(A4753,18,2))),"")))</f>
        <v/>
      </c>
    </row>
    <row r="4754" customFormat="false" ht="15" hidden="false" customHeight="false" outlineLevel="0" collapsed="false">
      <c r="I4754" s="15" t="str">
        <f aca="false">IF(N4754="","",INT(N4754))</f>
        <v/>
      </c>
      <c r="J4754" s="16" t="str">
        <f aca="false">IF(B4754="","",IF(N4754=_xlfn.MINIFS($N$2:$N$5001,$B$2:$B$5001,B4754),1,0))</f>
        <v/>
      </c>
      <c r="K4754" s="16" t="str">
        <f aca="false">IF(B4754="","",IF(AND(D4754="Formalização",E4754="Concluído"),IF(COUNTIFS($B$2:$B$5001,B4754,$E$2:$E$5001,"Em ajustes",$N$2:$N$5001,"&lt;"&amp;I4754)&gt;0,1,0),0))</f>
        <v/>
      </c>
      <c r="L4754" s="16" t="str">
        <f aca="false">IF(B4754="","",IF(N4754=_xlfn.MAXIFS($N$2:$N$5001,$B$2:$B$5001,B4754,$I$2:$I$5001,I4754),1,0))</f>
        <v/>
      </c>
      <c r="M4754" s="16" t="str">
        <f aca="false">IF(B4754="","",IF(E4754="Em ajustes",IF(N4754=_xlfn.MINIFS($N$2:$N$5001,$B$2:$B$5001,B4754,$E$2:$E$5001,"Em ajustes"),1,0),0))</f>
        <v/>
      </c>
      <c r="N4754" s="17" t="str">
        <f aca="false">IF(A4754="","",IF(ISNUMBER(A4754),A4754,IFERROR(DATE(VALUE(MID(A4754,7,4)),VALUE(MID(A4754,4,2)),VALUE(MID(A4754,1,2)))+TIME(VALUE(MID(A4754,12,2)),VALUE(MID(A4754,15,2)),VALUE(MID(A4754,18,2))),"")))</f>
        <v/>
      </c>
    </row>
    <row r="4755" customFormat="false" ht="15" hidden="false" customHeight="false" outlineLevel="0" collapsed="false">
      <c r="I4755" s="15" t="str">
        <f aca="false">IF(N4755="","",INT(N4755))</f>
        <v/>
      </c>
      <c r="J4755" s="16" t="str">
        <f aca="false">IF(B4755="","",IF(N4755=_xlfn.MINIFS($N$2:$N$5001,$B$2:$B$5001,B4755),1,0))</f>
        <v/>
      </c>
      <c r="K4755" s="16" t="str">
        <f aca="false">IF(B4755="","",IF(AND(D4755="Formalização",E4755="Concluído"),IF(COUNTIFS($B$2:$B$5001,B4755,$E$2:$E$5001,"Em ajustes",$N$2:$N$5001,"&lt;"&amp;I4755)&gt;0,1,0),0))</f>
        <v/>
      </c>
      <c r="L4755" s="16" t="str">
        <f aca="false">IF(B4755="","",IF(N4755=_xlfn.MAXIFS($N$2:$N$5001,$B$2:$B$5001,B4755,$I$2:$I$5001,I4755),1,0))</f>
        <v/>
      </c>
      <c r="M4755" s="16" t="str">
        <f aca="false">IF(B4755="","",IF(E4755="Em ajustes",IF(N4755=_xlfn.MINIFS($N$2:$N$5001,$B$2:$B$5001,B4755,$E$2:$E$5001,"Em ajustes"),1,0),0))</f>
        <v/>
      </c>
      <c r="N4755" s="17" t="str">
        <f aca="false">IF(A4755="","",IF(ISNUMBER(A4755),A4755,IFERROR(DATE(VALUE(MID(A4755,7,4)),VALUE(MID(A4755,4,2)),VALUE(MID(A4755,1,2)))+TIME(VALUE(MID(A4755,12,2)),VALUE(MID(A4755,15,2)),VALUE(MID(A4755,18,2))),"")))</f>
        <v/>
      </c>
    </row>
    <row r="4756" customFormat="false" ht="15" hidden="false" customHeight="false" outlineLevel="0" collapsed="false">
      <c r="I4756" s="15" t="str">
        <f aca="false">IF(N4756="","",INT(N4756))</f>
        <v/>
      </c>
      <c r="J4756" s="16" t="str">
        <f aca="false">IF(B4756="","",IF(N4756=_xlfn.MINIFS($N$2:$N$5001,$B$2:$B$5001,B4756),1,0))</f>
        <v/>
      </c>
      <c r="K4756" s="16" t="str">
        <f aca="false">IF(B4756="","",IF(AND(D4756="Formalização",E4756="Concluído"),IF(COUNTIFS($B$2:$B$5001,B4756,$E$2:$E$5001,"Em ajustes",$N$2:$N$5001,"&lt;"&amp;I4756)&gt;0,1,0),0))</f>
        <v/>
      </c>
      <c r="L4756" s="16" t="str">
        <f aca="false">IF(B4756="","",IF(N4756=_xlfn.MAXIFS($N$2:$N$5001,$B$2:$B$5001,B4756,$I$2:$I$5001,I4756),1,0))</f>
        <v/>
      </c>
      <c r="M4756" s="16" t="str">
        <f aca="false">IF(B4756="","",IF(E4756="Em ajustes",IF(N4756=_xlfn.MINIFS($N$2:$N$5001,$B$2:$B$5001,B4756,$E$2:$E$5001,"Em ajustes"),1,0),0))</f>
        <v/>
      </c>
      <c r="N4756" s="17" t="str">
        <f aca="false">IF(A4756="","",IF(ISNUMBER(A4756),A4756,IFERROR(DATE(VALUE(MID(A4756,7,4)),VALUE(MID(A4756,4,2)),VALUE(MID(A4756,1,2)))+TIME(VALUE(MID(A4756,12,2)),VALUE(MID(A4756,15,2)),VALUE(MID(A4756,18,2))),"")))</f>
        <v/>
      </c>
    </row>
    <row r="4757" customFormat="false" ht="15" hidden="false" customHeight="false" outlineLevel="0" collapsed="false">
      <c r="I4757" s="15" t="str">
        <f aca="false">IF(N4757="","",INT(N4757))</f>
        <v/>
      </c>
      <c r="J4757" s="16" t="str">
        <f aca="false">IF(B4757="","",IF(N4757=_xlfn.MINIFS($N$2:$N$5001,$B$2:$B$5001,B4757),1,0))</f>
        <v/>
      </c>
      <c r="K4757" s="16" t="str">
        <f aca="false">IF(B4757="","",IF(AND(D4757="Formalização",E4757="Concluído"),IF(COUNTIFS($B$2:$B$5001,B4757,$E$2:$E$5001,"Em ajustes",$N$2:$N$5001,"&lt;"&amp;I4757)&gt;0,1,0),0))</f>
        <v/>
      </c>
      <c r="L4757" s="16" t="str">
        <f aca="false">IF(B4757="","",IF(N4757=_xlfn.MAXIFS($N$2:$N$5001,$B$2:$B$5001,B4757,$I$2:$I$5001,I4757),1,0))</f>
        <v/>
      </c>
      <c r="M4757" s="16" t="str">
        <f aca="false">IF(B4757="","",IF(E4757="Em ajustes",IF(N4757=_xlfn.MINIFS($N$2:$N$5001,$B$2:$B$5001,B4757,$E$2:$E$5001,"Em ajustes"),1,0),0))</f>
        <v/>
      </c>
      <c r="N4757" s="17" t="str">
        <f aca="false">IF(A4757="","",IF(ISNUMBER(A4757),A4757,IFERROR(DATE(VALUE(MID(A4757,7,4)),VALUE(MID(A4757,4,2)),VALUE(MID(A4757,1,2)))+TIME(VALUE(MID(A4757,12,2)),VALUE(MID(A4757,15,2)),VALUE(MID(A4757,18,2))),"")))</f>
        <v/>
      </c>
    </row>
    <row r="4758" customFormat="false" ht="15" hidden="false" customHeight="false" outlineLevel="0" collapsed="false">
      <c r="I4758" s="15" t="str">
        <f aca="false">IF(N4758="","",INT(N4758))</f>
        <v/>
      </c>
      <c r="J4758" s="16" t="str">
        <f aca="false">IF(B4758="","",IF(N4758=_xlfn.MINIFS($N$2:$N$5001,$B$2:$B$5001,B4758),1,0))</f>
        <v/>
      </c>
      <c r="K4758" s="16" t="str">
        <f aca="false">IF(B4758="","",IF(AND(D4758="Formalização",E4758="Concluído"),IF(COUNTIFS($B$2:$B$5001,B4758,$E$2:$E$5001,"Em ajustes",$N$2:$N$5001,"&lt;"&amp;I4758)&gt;0,1,0),0))</f>
        <v/>
      </c>
      <c r="L4758" s="16" t="str">
        <f aca="false">IF(B4758="","",IF(N4758=_xlfn.MAXIFS($N$2:$N$5001,$B$2:$B$5001,B4758,$I$2:$I$5001,I4758),1,0))</f>
        <v/>
      </c>
      <c r="M4758" s="16" t="str">
        <f aca="false">IF(B4758="","",IF(E4758="Em ajustes",IF(N4758=_xlfn.MINIFS($N$2:$N$5001,$B$2:$B$5001,B4758,$E$2:$E$5001,"Em ajustes"),1,0),0))</f>
        <v/>
      </c>
      <c r="N4758" s="17" t="str">
        <f aca="false">IF(A4758="","",IF(ISNUMBER(A4758),A4758,IFERROR(DATE(VALUE(MID(A4758,7,4)),VALUE(MID(A4758,4,2)),VALUE(MID(A4758,1,2)))+TIME(VALUE(MID(A4758,12,2)),VALUE(MID(A4758,15,2)),VALUE(MID(A4758,18,2))),"")))</f>
        <v/>
      </c>
    </row>
    <row r="4759" customFormat="false" ht="15" hidden="false" customHeight="false" outlineLevel="0" collapsed="false">
      <c r="I4759" s="15" t="str">
        <f aca="false">IF(N4759="","",INT(N4759))</f>
        <v/>
      </c>
      <c r="J4759" s="16" t="str">
        <f aca="false">IF(B4759="","",IF(N4759=_xlfn.MINIFS($N$2:$N$5001,$B$2:$B$5001,B4759),1,0))</f>
        <v/>
      </c>
      <c r="K4759" s="16" t="str">
        <f aca="false">IF(B4759="","",IF(AND(D4759="Formalização",E4759="Concluído"),IF(COUNTIFS($B$2:$B$5001,B4759,$E$2:$E$5001,"Em ajustes",$N$2:$N$5001,"&lt;"&amp;I4759)&gt;0,1,0),0))</f>
        <v/>
      </c>
      <c r="L4759" s="16" t="str">
        <f aca="false">IF(B4759="","",IF(N4759=_xlfn.MAXIFS($N$2:$N$5001,$B$2:$B$5001,B4759,$I$2:$I$5001,I4759),1,0))</f>
        <v/>
      </c>
      <c r="M4759" s="16" t="str">
        <f aca="false">IF(B4759="","",IF(E4759="Em ajustes",IF(N4759=_xlfn.MINIFS($N$2:$N$5001,$B$2:$B$5001,B4759,$E$2:$E$5001,"Em ajustes"),1,0),0))</f>
        <v/>
      </c>
      <c r="N4759" s="17" t="str">
        <f aca="false">IF(A4759="","",IF(ISNUMBER(A4759),A4759,IFERROR(DATE(VALUE(MID(A4759,7,4)),VALUE(MID(A4759,4,2)),VALUE(MID(A4759,1,2)))+TIME(VALUE(MID(A4759,12,2)),VALUE(MID(A4759,15,2)),VALUE(MID(A4759,18,2))),"")))</f>
        <v/>
      </c>
    </row>
    <row r="4760" customFormat="false" ht="15" hidden="false" customHeight="false" outlineLevel="0" collapsed="false">
      <c r="I4760" s="15" t="str">
        <f aca="false">IF(N4760="","",INT(N4760))</f>
        <v/>
      </c>
      <c r="J4760" s="16" t="str">
        <f aca="false">IF(B4760="","",IF(N4760=_xlfn.MINIFS($N$2:$N$5001,$B$2:$B$5001,B4760),1,0))</f>
        <v/>
      </c>
      <c r="K4760" s="16" t="str">
        <f aca="false">IF(B4760="","",IF(AND(D4760="Formalização",E4760="Concluído"),IF(COUNTIFS($B$2:$B$5001,B4760,$E$2:$E$5001,"Em ajustes",$N$2:$N$5001,"&lt;"&amp;I4760)&gt;0,1,0),0))</f>
        <v/>
      </c>
      <c r="L4760" s="16" t="str">
        <f aca="false">IF(B4760="","",IF(N4760=_xlfn.MAXIFS($N$2:$N$5001,$B$2:$B$5001,B4760,$I$2:$I$5001,I4760),1,0))</f>
        <v/>
      </c>
      <c r="M4760" s="16" t="str">
        <f aca="false">IF(B4760="","",IF(E4760="Em ajustes",IF(N4760=_xlfn.MINIFS($N$2:$N$5001,$B$2:$B$5001,B4760,$E$2:$E$5001,"Em ajustes"),1,0),0))</f>
        <v/>
      </c>
      <c r="N4760" s="17" t="str">
        <f aca="false">IF(A4760="","",IF(ISNUMBER(A4760),A4760,IFERROR(DATE(VALUE(MID(A4760,7,4)),VALUE(MID(A4760,4,2)),VALUE(MID(A4760,1,2)))+TIME(VALUE(MID(A4760,12,2)),VALUE(MID(A4760,15,2)),VALUE(MID(A4760,18,2))),"")))</f>
        <v/>
      </c>
    </row>
    <row r="4761" customFormat="false" ht="15" hidden="false" customHeight="false" outlineLevel="0" collapsed="false">
      <c r="I4761" s="15" t="str">
        <f aca="false">IF(N4761="","",INT(N4761))</f>
        <v/>
      </c>
      <c r="J4761" s="16" t="str">
        <f aca="false">IF(B4761="","",IF(N4761=_xlfn.MINIFS($N$2:$N$5001,$B$2:$B$5001,B4761),1,0))</f>
        <v/>
      </c>
      <c r="K4761" s="16" t="str">
        <f aca="false">IF(B4761="","",IF(AND(D4761="Formalização",E4761="Concluído"),IF(COUNTIFS($B$2:$B$5001,B4761,$E$2:$E$5001,"Em ajustes",$N$2:$N$5001,"&lt;"&amp;I4761)&gt;0,1,0),0))</f>
        <v/>
      </c>
      <c r="L4761" s="16" t="str">
        <f aca="false">IF(B4761="","",IF(N4761=_xlfn.MAXIFS($N$2:$N$5001,$B$2:$B$5001,B4761,$I$2:$I$5001,I4761),1,0))</f>
        <v/>
      </c>
      <c r="M4761" s="16" t="str">
        <f aca="false">IF(B4761="","",IF(E4761="Em ajustes",IF(N4761=_xlfn.MINIFS($N$2:$N$5001,$B$2:$B$5001,B4761,$E$2:$E$5001,"Em ajustes"),1,0),0))</f>
        <v/>
      </c>
      <c r="N4761" s="17" t="str">
        <f aca="false">IF(A4761="","",IF(ISNUMBER(A4761),A4761,IFERROR(DATE(VALUE(MID(A4761,7,4)),VALUE(MID(A4761,4,2)),VALUE(MID(A4761,1,2)))+TIME(VALUE(MID(A4761,12,2)),VALUE(MID(A4761,15,2)),VALUE(MID(A4761,18,2))),"")))</f>
        <v/>
      </c>
    </row>
    <row r="4762" customFormat="false" ht="15" hidden="false" customHeight="false" outlineLevel="0" collapsed="false">
      <c r="I4762" s="15" t="str">
        <f aca="false">IF(N4762="","",INT(N4762))</f>
        <v/>
      </c>
      <c r="J4762" s="16" t="str">
        <f aca="false">IF(B4762="","",IF(N4762=_xlfn.MINIFS($N$2:$N$5001,$B$2:$B$5001,B4762),1,0))</f>
        <v/>
      </c>
      <c r="K4762" s="16" t="str">
        <f aca="false">IF(B4762="","",IF(AND(D4762="Formalização",E4762="Concluído"),IF(COUNTIFS($B$2:$B$5001,B4762,$E$2:$E$5001,"Em ajustes",$N$2:$N$5001,"&lt;"&amp;I4762)&gt;0,1,0),0))</f>
        <v/>
      </c>
      <c r="L4762" s="16" t="str">
        <f aca="false">IF(B4762="","",IF(N4762=_xlfn.MAXIFS($N$2:$N$5001,$B$2:$B$5001,B4762,$I$2:$I$5001,I4762),1,0))</f>
        <v/>
      </c>
      <c r="M4762" s="16" t="str">
        <f aca="false">IF(B4762="","",IF(E4762="Em ajustes",IF(N4762=_xlfn.MINIFS($N$2:$N$5001,$B$2:$B$5001,B4762,$E$2:$E$5001,"Em ajustes"),1,0),0))</f>
        <v/>
      </c>
      <c r="N4762" s="17" t="str">
        <f aca="false">IF(A4762="","",IF(ISNUMBER(A4762),A4762,IFERROR(DATE(VALUE(MID(A4762,7,4)),VALUE(MID(A4762,4,2)),VALUE(MID(A4762,1,2)))+TIME(VALUE(MID(A4762,12,2)),VALUE(MID(A4762,15,2)),VALUE(MID(A4762,18,2))),"")))</f>
        <v/>
      </c>
    </row>
    <row r="4763" customFormat="false" ht="15" hidden="false" customHeight="false" outlineLevel="0" collapsed="false">
      <c r="I4763" s="15" t="str">
        <f aca="false">IF(N4763="","",INT(N4763))</f>
        <v/>
      </c>
      <c r="J4763" s="16" t="str">
        <f aca="false">IF(B4763="","",IF(N4763=_xlfn.MINIFS($N$2:$N$5001,$B$2:$B$5001,B4763),1,0))</f>
        <v/>
      </c>
      <c r="K4763" s="16" t="str">
        <f aca="false">IF(B4763="","",IF(AND(D4763="Formalização",E4763="Concluído"),IF(COUNTIFS($B$2:$B$5001,B4763,$E$2:$E$5001,"Em ajustes",$N$2:$N$5001,"&lt;"&amp;I4763)&gt;0,1,0),0))</f>
        <v/>
      </c>
      <c r="L4763" s="16" t="str">
        <f aca="false">IF(B4763="","",IF(N4763=_xlfn.MAXIFS($N$2:$N$5001,$B$2:$B$5001,B4763,$I$2:$I$5001,I4763),1,0))</f>
        <v/>
      </c>
      <c r="M4763" s="16" t="str">
        <f aca="false">IF(B4763="","",IF(E4763="Em ajustes",IF(N4763=_xlfn.MINIFS($N$2:$N$5001,$B$2:$B$5001,B4763,$E$2:$E$5001,"Em ajustes"),1,0),0))</f>
        <v/>
      </c>
      <c r="N4763" s="17" t="str">
        <f aca="false">IF(A4763="","",IF(ISNUMBER(A4763),A4763,IFERROR(DATE(VALUE(MID(A4763,7,4)),VALUE(MID(A4763,4,2)),VALUE(MID(A4763,1,2)))+TIME(VALUE(MID(A4763,12,2)),VALUE(MID(A4763,15,2)),VALUE(MID(A4763,18,2))),"")))</f>
        <v/>
      </c>
    </row>
    <row r="4764" customFormat="false" ht="15" hidden="false" customHeight="false" outlineLevel="0" collapsed="false">
      <c r="I4764" s="15" t="str">
        <f aca="false">IF(N4764="","",INT(N4764))</f>
        <v/>
      </c>
      <c r="J4764" s="16" t="str">
        <f aca="false">IF(B4764="","",IF(N4764=_xlfn.MINIFS($N$2:$N$5001,$B$2:$B$5001,B4764),1,0))</f>
        <v/>
      </c>
      <c r="K4764" s="16" t="str">
        <f aca="false">IF(B4764="","",IF(AND(D4764="Formalização",E4764="Concluído"),IF(COUNTIFS($B$2:$B$5001,B4764,$E$2:$E$5001,"Em ajustes",$N$2:$N$5001,"&lt;"&amp;I4764)&gt;0,1,0),0))</f>
        <v/>
      </c>
      <c r="L4764" s="16" t="str">
        <f aca="false">IF(B4764="","",IF(N4764=_xlfn.MAXIFS($N$2:$N$5001,$B$2:$B$5001,B4764,$I$2:$I$5001,I4764),1,0))</f>
        <v/>
      </c>
      <c r="M4764" s="16" t="str">
        <f aca="false">IF(B4764="","",IF(E4764="Em ajustes",IF(N4764=_xlfn.MINIFS($N$2:$N$5001,$B$2:$B$5001,B4764,$E$2:$E$5001,"Em ajustes"),1,0),0))</f>
        <v/>
      </c>
      <c r="N4764" s="17" t="str">
        <f aca="false">IF(A4764="","",IF(ISNUMBER(A4764),A4764,IFERROR(DATE(VALUE(MID(A4764,7,4)),VALUE(MID(A4764,4,2)),VALUE(MID(A4764,1,2)))+TIME(VALUE(MID(A4764,12,2)),VALUE(MID(A4764,15,2)),VALUE(MID(A4764,18,2))),"")))</f>
        <v/>
      </c>
    </row>
    <row r="4765" customFormat="false" ht="15" hidden="false" customHeight="false" outlineLevel="0" collapsed="false">
      <c r="I4765" s="15" t="str">
        <f aca="false">IF(N4765="","",INT(N4765))</f>
        <v/>
      </c>
      <c r="J4765" s="16" t="str">
        <f aca="false">IF(B4765="","",IF(N4765=_xlfn.MINIFS($N$2:$N$5001,$B$2:$B$5001,B4765),1,0))</f>
        <v/>
      </c>
      <c r="K4765" s="16" t="str">
        <f aca="false">IF(B4765="","",IF(AND(D4765="Formalização",E4765="Concluído"),IF(COUNTIFS($B$2:$B$5001,B4765,$E$2:$E$5001,"Em ajustes",$N$2:$N$5001,"&lt;"&amp;I4765)&gt;0,1,0),0))</f>
        <v/>
      </c>
      <c r="L4765" s="16" t="str">
        <f aca="false">IF(B4765="","",IF(N4765=_xlfn.MAXIFS($N$2:$N$5001,$B$2:$B$5001,B4765,$I$2:$I$5001,I4765),1,0))</f>
        <v/>
      </c>
      <c r="M4765" s="16" t="str">
        <f aca="false">IF(B4765="","",IF(E4765="Em ajustes",IF(N4765=_xlfn.MINIFS($N$2:$N$5001,$B$2:$B$5001,B4765,$E$2:$E$5001,"Em ajustes"),1,0),0))</f>
        <v/>
      </c>
      <c r="N4765" s="17" t="str">
        <f aca="false">IF(A4765="","",IF(ISNUMBER(A4765),A4765,IFERROR(DATE(VALUE(MID(A4765,7,4)),VALUE(MID(A4765,4,2)),VALUE(MID(A4765,1,2)))+TIME(VALUE(MID(A4765,12,2)),VALUE(MID(A4765,15,2)),VALUE(MID(A4765,18,2))),"")))</f>
        <v/>
      </c>
    </row>
    <row r="4766" customFormat="false" ht="15" hidden="false" customHeight="false" outlineLevel="0" collapsed="false">
      <c r="I4766" s="15" t="str">
        <f aca="false">IF(N4766="","",INT(N4766))</f>
        <v/>
      </c>
      <c r="J4766" s="16" t="str">
        <f aca="false">IF(B4766="","",IF(N4766=_xlfn.MINIFS($N$2:$N$5001,$B$2:$B$5001,B4766),1,0))</f>
        <v/>
      </c>
      <c r="K4766" s="16" t="str">
        <f aca="false">IF(B4766="","",IF(AND(D4766="Formalização",E4766="Concluído"),IF(COUNTIFS($B$2:$B$5001,B4766,$E$2:$E$5001,"Em ajustes",$N$2:$N$5001,"&lt;"&amp;I4766)&gt;0,1,0),0))</f>
        <v/>
      </c>
      <c r="L4766" s="16" t="str">
        <f aca="false">IF(B4766="","",IF(N4766=_xlfn.MAXIFS($N$2:$N$5001,$B$2:$B$5001,B4766,$I$2:$I$5001,I4766),1,0))</f>
        <v/>
      </c>
      <c r="M4766" s="16" t="str">
        <f aca="false">IF(B4766="","",IF(E4766="Em ajustes",IF(N4766=_xlfn.MINIFS($N$2:$N$5001,$B$2:$B$5001,B4766,$E$2:$E$5001,"Em ajustes"),1,0),0))</f>
        <v/>
      </c>
      <c r="N4766" s="17" t="str">
        <f aca="false">IF(A4766="","",IF(ISNUMBER(A4766),A4766,IFERROR(DATE(VALUE(MID(A4766,7,4)),VALUE(MID(A4766,4,2)),VALUE(MID(A4766,1,2)))+TIME(VALUE(MID(A4766,12,2)),VALUE(MID(A4766,15,2)),VALUE(MID(A4766,18,2))),"")))</f>
        <v/>
      </c>
    </row>
    <row r="4767" customFormat="false" ht="15" hidden="false" customHeight="false" outlineLevel="0" collapsed="false">
      <c r="I4767" s="15" t="str">
        <f aca="false">IF(N4767="","",INT(N4767))</f>
        <v/>
      </c>
      <c r="J4767" s="16" t="str">
        <f aca="false">IF(B4767="","",IF(N4767=_xlfn.MINIFS($N$2:$N$5001,$B$2:$B$5001,B4767),1,0))</f>
        <v/>
      </c>
      <c r="K4767" s="16" t="str">
        <f aca="false">IF(B4767="","",IF(AND(D4767="Formalização",E4767="Concluído"),IF(COUNTIFS($B$2:$B$5001,B4767,$E$2:$E$5001,"Em ajustes",$N$2:$N$5001,"&lt;"&amp;I4767)&gt;0,1,0),0))</f>
        <v/>
      </c>
      <c r="L4767" s="16" t="str">
        <f aca="false">IF(B4767="","",IF(N4767=_xlfn.MAXIFS($N$2:$N$5001,$B$2:$B$5001,B4767,$I$2:$I$5001,I4767),1,0))</f>
        <v/>
      </c>
      <c r="M4767" s="16" t="str">
        <f aca="false">IF(B4767="","",IF(E4767="Em ajustes",IF(N4767=_xlfn.MINIFS($N$2:$N$5001,$B$2:$B$5001,B4767,$E$2:$E$5001,"Em ajustes"),1,0),0))</f>
        <v/>
      </c>
      <c r="N4767" s="17" t="str">
        <f aca="false">IF(A4767="","",IF(ISNUMBER(A4767),A4767,IFERROR(DATE(VALUE(MID(A4767,7,4)),VALUE(MID(A4767,4,2)),VALUE(MID(A4767,1,2)))+TIME(VALUE(MID(A4767,12,2)),VALUE(MID(A4767,15,2)),VALUE(MID(A4767,18,2))),"")))</f>
        <v/>
      </c>
    </row>
    <row r="4768" customFormat="false" ht="15" hidden="false" customHeight="false" outlineLevel="0" collapsed="false">
      <c r="I4768" s="15" t="str">
        <f aca="false">IF(N4768="","",INT(N4768))</f>
        <v/>
      </c>
      <c r="J4768" s="16" t="str">
        <f aca="false">IF(B4768="","",IF(N4768=_xlfn.MINIFS($N$2:$N$5001,$B$2:$B$5001,B4768),1,0))</f>
        <v/>
      </c>
      <c r="K4768" s="16" t="str">
        <f aca="false">IF(B4768="","",IF(AND(D4768="Formalização",E4768="Concluído"),IF(COUNTIFS($B$2:$B$5001,B4768,$E$2:$E$5001,"Em ajustes",$N$2:$N$5001,"&lt;"&amp;I4768)&gt;0,1,0),0))</f>
        <v/>
      </c>
      <c r="L4768" s="16" t="str">
        <f aca="false">IF(B4768="","",IF(N4768=_xlfn.MAXIFS($N$2:$N$5001,$B$2:$B$5001,B4768,$I$2:$I$5001,I4768),1,0))</f>
        <v/>
      </c>
      <c r="M4768" s="16" t="str">
        <f aca="false">IF(B4768="","",IF(E4768="Em ajustes",IF(N4768=_xlfn.MINIFS($N$2:$N$5001,$B$2:$B$5001,B4768,$E$2:$E$5001,"Em ajustes"),1,0),0))</f>
        <v/>
      </c>
      <c r="N4768" s="17" t="str">
        <f aca="false">IF(A4768="","",IF(ISNUMBER(A4768),A4768,IFERROR(DATE(VALUE(MID(A4768,7,4)),VALUE(MID(A4768,4,2)),VALUE(MID(A4768,1,2)))+TIME(VALUE(MID(A4768,12,2)),VALUE(MID(A4768,15,2)),VALUE(MID(A4768,18,2))),"")))</f>
        <v/>
      </c>
    </row>
    <row r="4769" customFormat="false" ht="15" hidden="false" customHeight="false" outlineLevel="0" collapsed="false">
      <c r="I4769" s="15" t="str">
        <f aca="false">IF(N4769="","",INT(N4769))</f>
        <v/>
      </c>
      <c r="J4769" s="16" t="str">
        <f aca="false">IF(B4769="","",IF(N4769=_xlfn.MINIFS($N$2:$N$5001,$B$2:$B$5001,B4769),1,0))</f>
        <v/>
      </c>
      <c r="K4769" s="16" t="str">
        <f aca="false">IF(B4769="","",IF(AND(D4769="Formalização",E4769="Concluído"),IF(COUNTIFS($B$2:$B$5001,B4769,$E$2:$E$5001,"Em ajustes",$N$2:$N$5001,"&lt;"&amp;I4769)&gt;0,1,0),0))</f>
        <v/>
      </c>
      <c r="L4769" s="16" t="str">
        <f aca="false">IF(B4769="","",IF(N4769=_xlfn.MAXIFS($N$2:$N$5001,$B$2:$B$5001,B4769,$I$2:$I$5001,I4769),1,0))</f>
        <v/>
      </c>
      <c r="M4769" s="16" t="str">
        <f aca="false">IF(B4769="","",IF(E4769="Em ajustes",IF(N4769=_xlfn.MINIFS($N$2:$N$5001,$B$2:$B$5001,B4769,$E$2:$E$5001,"Em ajustes"),1,0),0))</f>
        <v/>
      </c>
      <c r="N4769" s="17" t="str">
        <f aca="false">IF(A4769="","",IF(ISNUMBER(A4769),A4769,IFERROR(DATE(VALUE(MID(A4769,7,4)),VALUE(MID(A4769,4,2)),VALUE(MID(A4769,1,2)))+TIME(VALUE(MID(A4769,12,2)),VALUE(MID(A4769,15,2)),VALUE(MID(A4769,18,2))),"")))</f>
        <v/>
      </c>
    </row>
    <row r="4770" customFormat="false" ht="15" hidden="false" customHeight="false" outlineLevel="0" collapsed="false">
      <c r="I4770" s="15" t="str">
        <f aca="false">IF(N4770="","",INT(N4770))</f>
        <v/>
      </c>
      <c r="J4770" s="16" t="str">
        <f aca="false">IF(B4770="","",IF(N4770=_xlfn.MINIFS($N$2:$N$5001,$B$2:$B$5001,B4770),1,0))</f>
        <v/>
      </c>
      <c r="K4770" s="16" t="str">
        <f aca="false">IF(B4770="","",IF(AND(D4770="Formalização",E4770="Concluído"),IF(COUNTIFS($B$2:$B$5001,B4770,$E$2:$E$5001,"Em ajustes",$N$2:$N$5001,"&lt;"&amp;I4770)&gt;0,1,0),0))</f>
        <v/>
      </c>
      <c r="L4770" s="16" t="str">
        <f aca="false">IF(B4770="","",IF(N4770=_xlfn.MAXIFS($N$2:$N$5001,$B$2:$B$5001,B4770,$I$2:$I$5001,I4770),1,0))</f>
        <v/>
      </c>
      <c r="M4770" s="16" t="str">
        <f aca="false">IF(B4770="","",IF(E4770="Em ajustes",IF(N4770=_xlfn.MINIFS($N$2:$N$5001,$B$2:$B$5001,B4770,$E$2:$E$5001,"Em ajustes"),1,0),0))</f>
        <v/>
      </c>
      <c r="N4770" s="17" t="str">
        <f aca="false">IF(A4770="","",IF(ISNUMBER(A4770),A4770,IFERROR(DATE(VALUE(MID(A4770,7,4)),VALUE(MID(A4770,4,2)),VALUE(MID(A4770,1,2)))+TIME(VALUE(MID(A4770,12,2)),VALUE(MID(A4770,15,2)),VALUE(MID(A4770,18,2))),"")))</f>
        <v/>
      </c>
    </row>
    <row r="4771" customFormat="false" ht="15" hidden="false" customHeight="false" outlineLevel="0" collapsed="false">
      <c r="I4771" s="15" t="str">
        <f aca="false">IF(N4771="","",INT(N4771))</f>
        <v/>
      </c>
      <c r="J4771" s="16" t="str">
        <f aca="false">IF(B4771="","",IF(N4771=_xlfn.MINIFS($N$2:$N$5001,$B$2:$B$5001,B4771),1,0))</f>
        <v/>
      </c>
      <c r="K4771" s="16" t="str">
        <f aca="false">IF(B4771="","",IF(AND(D4771="Formalização",E4771="Concluído"),IF(COUNTIFS($B$2:$B$5001,B4771,$E$2:$E$5001,"Em ajustes",$N$2:$N$5001,"&lt;"&amp;I4771)&gt;0,1,0),0))</f>
        <v/>
      </c>
      <c r="L4771" s="16" t="str">
        <f aca="false">IF(B4771="","",IF(N4771=_xlfn.MAXIFS($N$2:$N$5001,$B$2:$B$5001,B4771,$I$2:$I$5001,I4771),1,0))</f>
        <v/>
      </c>
      <c r="M4771" s="16" t="str">
        <f aca="false">IF(B4771="","",IF(E4771="Em ajustes",IF(N4771=_xlfn.MINIFS($N$2:$N$5001,$B$2:$B$5001,B4771,$E$2:$E$5001,"Em ajustes"),1,0),0))</f>
        <v/>
      </c>
      <c r="N4771" s="17" t="str">
        <f aca="false">IF(A4771="","",IF(ISNUMBER(A4771),A4771,IFERROR(DATE(VALUE(MID(A4771,7,4)),VALUE(MID(A4771,4,2)),VALUE(MID(A4771,1,2)))+TIME(VALUE(MID(A4771,12,2)),VALUE(MID(A4771,15,2)),VALUE(MID(A4771,18,2))),"")))</f>
        <v/>
      </c>
    </row>
    <row r="4772" customFormat="false" ht="15" hidden="false" customHeight="false" outlineLevel="0" collapsed="false">
      <c r="I4772" s="15" t="str">
        <f aca="false">IF(N4772="","",INT(N4772))</f>
        <v/>
      </c>
      <c r="J4772" s="16" t="str">
        <f aca="false">IF(B4772="","",IF(N4772=_xlfn.MINIFS($N$2:$N$5001,$B$2:$B$5001,B4772),1,0))</f>
        <v/>
      </c>
      <c r="K4772" s="16" t="str">
        <f aca="false">IF(B4772="","",IF(AND(D4772="Formalização",E4772="Concluído"),IF(COUNTIFS($B$2:$B$5001,B4772,$E$2:$E$5001,"Em ajustes",$N$2:$N$5001,"&lt;"&amp;I4772)&gt;0,1,0),0))</f>
        <v/>
      </c>
      <c r="L4772" s="16" t="str">
        <f aca="false">IF(B4772="","",IF(N4772=_xlfn.MAXIFS($N$2:$N$5001,$B$2:$B$5001,B4772,$I$2:$I$5001,I4772),1,0))</f>
        <v/>
      </c>
      <c r="M4772" s="16" t="str">
        <f aca="false">IF(B4772="","",IF(E4772="Em ajustes",IF(N4772=_xlfn.MINIFS($N$2:$N$5001,$B$2:$B$5001,B4772,$E$2:$E$5001,"Em ajustes"),1,0),0))</f>
        <v/>
      </c>
      <c r="N4772" s="17" t="str">
        <f aca="false">IF(A4772="","",IF(ISNUMBER(A4772),A4772,IFERROR(DATE(VALUE(MID(A4772,7,4)),VALUE(MID(A4772,4,2)),VALUE(MID(A4772,1,2)))+TIME(VALUE(MID(A4772,12,2)),VALUE(MID(A4772,15,2)),VALUE(MID(A4772,18,2))),"")))</f>
        <v/>
      </c>
    </row>
    <row r="4773" customFormat="false" ht="15" hidden="false" customHeight="false" outlineLevel="0" collapsed="false">
      <c r="I4773" s="15" t="str">
        <f aca="false">IF(N4773="","",INT(N4773))</f>
        <v/>
      </c>
      <c r="J4773" s="16" t="str">
        <f aca="false">IF(B4773="","",IF(N4773=_xlfn.MINIFS($N$2:$N$5001,$B$2:$B$5001,B4773),1,0))</f>
        <v/>
      </c>
      <c r="K4773" s="16" t="str">
        <f aca="false">IF(B4773="","",IF(AND(D4773="Formalização",E4773="Concluído"),IF(COUNTIFS($B$2:$B$5001,B4773,$E$2:$E$5001,"Em ajustes",$N$2:$N$5001,"&lt;"&amp;I4773)&gt;0,1,0),0))</f>
        <v/>
      </c>
      <c r="L4773" s="16" t="str">
        <f aca="false">IF(B4773="","",IF(N4773=_xlfn.MAXIFS($N$2:$N$5001,$B$2:$B$5001,B4773,$I$2:$I$5001,I4773),1,0))</f>
        <v/>
      </c>
      <c r="M4773" s="16" t="str">
        <f aca="false">IF(B4773="","",IF(E4773="Em ajustes",IF(N4773=_xlfn.MINIFS($N$2:$N$5001,$B$2:$B$5001,B4773,$E$2:$E$5001,"Em ajustes"),1,0),0))</f>
        <v/>
      </c>
      <c r="N4773" s="17" t="str">
        <f aca="false">IF(A4773="","",IF(ISNUMBER(A4773),A4773,IFERROR(DATE(VALUE(MID(A4773,7,4)),VALUE(MID(A4773,4,2)),VALUE(MID(A4773,1,2)))+TIME(VALUE(MID(A4773,12,2)),VALUE(MID(A4773,15,2)),VALUE(MID(A4773,18,2))),"")))</f>
        <v/>
      </c>
    </row>
    <row r="4774" customFormat="false" ht="15" hidden="false" customHeight="false" outlineLevel="0" collapsed="false">
      <c r="I4774" s="15" t="str">
        <f aca="false">IF(N4774="","",INT(N4774))</f>
        <v/>
      </c>
      <c r="J4774" s="16" t="str">
        <f aca="false">IF(B4774="","",IF(N4774=_xlfn.MINIFS($N$2:$N$5001,$B$2:$B$5001,B4774),1,0))</f>
        <v/>
      </c>
      <c r="K4774" s="16" t="str">
        <f aca="false">IF(B4774="","",IF(AND(D4774="Formalização",E4774="Concluído"),IF(COUNTIFS($B$2:$B$5001,B4774,$E$2:$E$5001,"Em ajustes",$N$2:$N$5001,"&lt;"&amp;I4774)&gt;0,1,0),0))</f>
        <v/>
      </c>
      <c r="L4774" s="16" t="str">
        <f aca="false">IF(B4774="","",IF(N4774=_xlfn.MAXIFS($N$2:$N$5001,$B$2:$B$5001,B4774,$I$2:$I$5001,I4774),1,0))</f>
        <v/>
      </c>
      <c r="M4774" s="16" t="str">
        <f aca="false">IF(B4774="","",IF(E4774="Em ajustes",IF(N4774=_xlfn.MINIFS($N$2:$N$5001,$B$2:$B$5001,B4774,$E$2:$E$5001,"Em ajustes"),1,0),0))</f>
        <v/>
      </c>
      <c r="N4774" s="17" t="str">
        <f aca="false">IF(A4774="","",IF(ISNUMBER(A4774),A4774,IFERROR(DATE(VALUE(MID(A4774,7,4)),VALUE(MID(A4774,4,2)),VALUE(MID(A4774,1,2)))+TIME(VALUE(MID(A4774,12,2)),VALUE(MID(A4774,15,2)),VALUE(MID(A4774,18,2))),"")))</f>
        <v/>
      </c>
    </row>
    <row r="4775" customFormat="false" ht="15" hidden="false" customHeight="false" outlineLevel="0" collapsed="false">
      <c r="I4775" s="15" t="str">
        <f aca="false">IF(N4775="","",INT(N4775))</f>
        <v/>
      </c>
      <c r="J4775" s="16" t="str">
        <f aca="false">IF(B4775="","",IF(N4775=_xlfn.MINIFS($N$2:$N$5001,$B$2:$B$5001,B4775),1,0))</f>
        <v/>
      </c>
      <c r="K4775" s="16" t="str">
        <f aca="false">IF(B4775="","",IF(AND(D4775="Formalização",E4775="Concluído"),IF(COUNTIFS($B$2:$B$5001,B4775,$E$2:$E$5001,"Em ajustes",$N$2:$N$5001,"&lt;"&amp;I4775)&gt;0,1,0),0))</f>
        <v/>
      </c>
      <c r="L4775" s="16" t="str">
        <f aca="false">IF(B4775="","",IF(N4775=_xlfn.MAXIFS($N$2:$N$5001,$B$2:$B$5001,B4775,$I$2:$I$5001,I4775),1,0))</f>
        <v/>
      </c>
      <c r="M4775" s="16" t="str">
        <f aca="false">IF(B4775="","",IF(E4775="Em ajustes",IF(N4775=_xlfn.MINIFS($N$2:$N$5001,$B$2:$B$5001,B4775,$E$2:$E$5001,"Em ajustes"),1,0),0))</f>
        <v/>
      </c>
      <c r="N4775" s="17" t="str">
        <f aca="false">IF(A4775="","",IF(ISNUMBER(A4775),A4775,IFERROR(DATE(VALUE(MID(A4775,7,4)),VALUE(MID(A4775,4,2)),VALUE(MID(A4775,1,2)))+TIME(VALUE(MID(A4775,12,2)),VALUE(MID(A4775,15,2)),VALUE(MID(A4775,18,2))),"")))</f>
        <v/>
      </c>
    </row>
    <row r="4776" customFormat="false" ht="15" hidden="false" customHeight="false" outlineLevel="0" collapsed="false">
      <c r="I4776" s="15" t="str">
        <f aca="false">IF(N4776="","",INT(N4776))</f>
        <v/>
      </c>
      <c r="J4776" s="16" t="str">
        <f aca="false">IF(B4776="","",IF(N4776=_xlfn.MINIFS($N$2:$N$5001,$B$2:$B$5001,B4776),1,0))</f>
        <v/>
      </c>
      <c r="K4776" s="16" t="str">
        <f aca="false">IF(B4776="","",IF(AND(D4776="Formalização",E4776="Concluído"),IF(COUNTIFS($B$2:$B$5001,B4776,$E$2:$E$5001,"Em ajustes",$N$2:$N$5001,"&lt;"&amp;I4776)&gt;0,1,0),0))</f>
        <v/>
      </c>
      <c r="L4776" s="16" t="str">
        <f aca="false">IF(B4776="","",IF(N4776=_xlfn.MAXIFS($N$2:$N$5001,$B$2:$B$5001,B4776,$I$2:$I$5001,I4776),1,0))</f>
        <v/>
      </c>
      <c r="M4776" s="16" t="str">
        <f aca="false">IF(B4776="","",IF(E4776="Em ajustes",IF(N4776=_xlfn.MINIFS($N$2:$N$5001,$B$2:$B$5001,B4776,$E$2:$E$5001,"Em ajustes"),1,0),0))</f>
        <v/>
      </c>
      <c r="N4776" s="17" t="str">
        <f aca="false">IF(A4776="","",IF(ISNUMBER(A4776),A4776,IFERROR(DATE(VALUE(MID(A4776,7,4)),VALUE(MID(A4776,4,2)),VALUE(MID(A4776,1,2)))+TIME(VALUE(MID(A4776,12,2)),VALUE(MID(A4776,15,2)),VALUE(MID(A4776,18,2))),"")))</f>
        <v/>
      </c>
    </row>
    <row r="4777" customFormat="false" ht="15" hidden="false" customHeight="false" outlineLevel="0" collapsed="false">
      <c r="I4777" s="15" t="str">
        <f aca="false">IF(N4777="","",INT(N4777))</f>
        <v/>
      </c>
      <c r="J4777" s="16" t="str">
        <f aca="false">IF(B4777="","",IF(N4777=_xlfn.MINIFS($N$2:$N$5001,$B$2:$B$5001,B4777),1,0))</f>
        <v/>
      </c>
      <c r="K4777" s="16" t="str">
        <f aca="false">IF(B4777="","",IF(AND(D4777="Formalização",E4777="Concluído"),IF(COUNTIFS($B$2:$B$5001,B4777,$E$2:$E$5001,"Em ajustes",$N$2:$N$5001,"&lt;"&amp;I4777)&gt;0,1,0),0))</f>
        <v/>
      </c>
      <c r="L4777" s="16" t="str">
        <f aca="false">IF(B4777="","",IF(N4777=_xlfn.MAXIFS($N$2:$N$5001,$B$2:$B$5001,B4777,$I$2:$I$5001,I4777),1,0))</f>
        <v/>
      </c>
      <c r="M4777" s="16" t="str">
        <f aca="false">IF(B4777="","",IF(E4777="Em ajustes",IF(N4777=_xlfn.MINIFS($N$2:$N$5001,$B$2:$B$5001,B4777,$E$2:$E$5001,"Em ajustes"),1,0),0))</f>
        <v/>
      </c>
      <c r="N4777" s="17" t="str">
        <f aca="false">IF(A4777="","",IF(ISNUMBER(A4777),A4777,IFERROR(DATE(VALUE(MID(A4777,7,4)),VALUE(MID(A4777,4,2)),VALUE(MID(A4777,1,2)))+TIME(VALUE(MID(A4777,12,2)),VALUE(MID(A4777,15,2)),VALUE(MID(A4777,18,2))),"")))</f>
        <v/>
      </c>
    </row>
    <row r="4778" customFormat="false" ht="15" hidden="false" customHeight="false" outlineLevel="0" collapsed="false">
      <c r="I4778" s="15" t="str">
        <f aca="false">IF(N4778="","",INT(N4778))</f>
        <v/>
      </c>
      <c r="J4778" s="16" t="str">
        <f aca="false">IF(B4778="","",IF(N4778=_xlfn.MINIFS($N$2:$N$5001,$B$2:$B$5001,B4778),1,0))</f>
        <v/>
      </c>
      <c r="K4778" s="16" t="str">
        <f aca="false">IF(B4778="","",IF(AND(D4778="Formalização",E4778="Concluído"),IF(COUNTIFS($B$2:$B$5001,B4778,$E$2:$E$5001,"Em ajustes",$N$2:$N$5001,"&lt;"&amp;I4778)&gt;0,1,0),0))</f>
        <v/>
      </c>
      <c r="L4778" s="16" t="str">
        <f aca="false">IF(B4778="","",IF(N4778=_xlfn.MAXIFS($N$2:$N$5001,$B$2:$B$5001,B4778,$I$2:$I$5001,I4778),1,0))</f>
        <v/>
      </c>
      <c r="M4778" s="16" t="str">
        <f aca="false">IF(B4778="","",IF(E4778="Em ajustes",IF(N4778=_xlfn.MINIFS($N$2:$N$5001,$B$2:$B$5001,B4778,$E$2:$E$5001,"Em ajustes"),1,0),0))</f>
        <v/>
      </c>
      <c r="N4778" s="17" t="str">
        <f aca="false">IF(A4778="","",IF(ISNUMBER(A4778),A4778,IFERROR(DATE(VALUE(MID(A4778,7,4)),VALUE(MID(A4778,4,2)),VALUE(MID(A4778,1,2)))+TIME(VALUE(MID(A4778,12,2)),VALUE(MID(A4778,15,2)),VALUE(MID(A4778,18,2))),"")))</f>
        <v/>
      </c>
    </row>
    <row r="4779" customFormat="false" ht="15" hidden="false" customHeight="false" outlineLevel="0" collapsed="false">
      <c r="I4779" s="15" t="str">
        <f aca="false">IF(N4779="","",INT(N4779))</f>
        <v/>
      </c>
      <c r="J4779" s="16" t="str">
        <f aca="false">IF(B4779="","",IF(N4779=_xlfn.MINIFS($N$2:$N$5001,$B$2:$B$5001,B4779),1,0))</f>
        <v/>
      </c>
      <c r="K4779" s="16" t="str">
        <f aca="false">IF(B4779="","",IF(AND(D4779="Formalização",E4779="Concluído"),IF(COUNTIFS($B$2:$B$5001,B4779,$E$2:$E$5001,"Em ajustes",$N$2:$N$5001,"&lt;"&amp;I4779)&gt;0,1,0),0))</f>
        <v/>
      </c>
      <c r="L4779" s="16" t="str">
        <f aca="false">IF(B4779="","",IF(N4779=_xlfn.MAXIFS($N$2:$N$5001,$B$2:$B$5001,B4779,$I$2:$I$5001,I4779),1,0))</f>
        <v/>
      </c>
      <c r="M4779" s="16" t="str">
        <f aca="false">IF(B4779="","",IF(E4779="Em ajustes",IF(N4779=_xlfn.MINIFS($N$2:$N$5001,$B$2:$B$5001,B4779,$E$2:$E$5001,"Em ajustes"),1,0),0))</f>
        <v/>
      </c>
      <c r="N4779" s="17" t="str">
        <f aca="false">IF(A4779="","",IF(ISNUMBER(A4779),A4779,IFERROR(DATE(VALUE(MID(A4779,7,4)),VALUE(MID(A4779,4,2)),VALUE(MID(A4779,1,2)))+TIME(VALUE(MID(A4779,12,2)),VALUE(MID(A4779,15,2)),VALUE(MID(A4779,18,2))),"")))</f>
        <v/>
      </c>
    </row>
    <row r="4780" customFormat="false" ht="15" hidden="false" customHeight="false" outlineLevel="0" collapsed="false">
      <c r="I4780" s="15" t="str">
        <f aca="false">IF(N4780="","",INT(N4780))</f>
        <v/>
      </c>
      <c r="J4780" s="16" t="str">
        <f aca="false">IF(B4780="","",IF(N4780=_xlfn.MINIFS($N$2:$N$5001,$B$2:$B$5001,B4780),1,0))</f>
        <v/>
      </c>
      <c r="K4780" s="16" t="str">
        <f aca="false">IF(B4780="","",IF(AND(D4780="Formalização",E4780="Concluído"),IF(COUNTIFS($B$2:$B$5001,B4780,$E$2:$E$5001,"Em ajustes",$N$2:$N$5001,"&lt;"&amp;I4780)&gt;0,1,0),0))</f>
        <v/>
      </c>
      <c r="L4780" s="16" t="str">
        <f aca="false">IF(B4780="","",IF(N4780=_xlfn.MAXIFS($N$2:$N$5001,$B$2:$B$5001,B4780,$I$2:$I$5001,I4780),1,0))</f>
        <v/>
      </c>
      <c r="M4780" s="16" t="str">
        <f aca="false">IF(B4780="","",IF(E4780="Em ajustes",IF(N4780=_xlfn.MINIFS($N$2:$N$5001,$B$2:$B$5001,B4780,$E$2:$E$5001,"Em ajustes"),1,0),0))</f>
        <v/>
      </c>
      <c r="N4780" s="17" t="str">
        <f aca="false">IF(A4780="","",IF(ISNUMBER(A4780),A4780,IFERROR(DATE(VALUE(MID(A4780,7,4)),VALUE(MID(A4780,4,2)),VALUE(MID(A4780,1,2)))+TIME(VALUE(MID(A4780,12,2)),VALUE(MID(A4780,15,2)),VALUE(MID(A4780,18,2))),"")))</f>
        <v/>
      </c>
    </row>
    <row r="4781" customFormat="false" ht="15" hidden="false" customHeight="false" outlineLevel="0" collapsed="false">
      <c r="I4781" s="15" t="str">
        <f aca="false">IF(N4781="","",INT(N4781))</f>
        <v/>
      </c>
      <c r="J4781" s="16" t="str">
        <f aca="false">IF(B4781="","",IF(N4781=_xlfn.MINIFS($N$2:$N$5001,$B$2:$B$5001,B4781),1,0))</f>
        <v/>
      </c>
      <c r="K4781" s="16" t="str">
        <f aca="false">IF(B4781="","",IF(AND(D4781="Formalização",E4781="Concluído"),IF(COUNTIFS($B$2:$B$5001,B4781,$E$2:$E$5001,"Em ajustes",$N$2:$N$5001,"&lt;"&amp;I4781)&gt;0,1,0),0))</f>
        <v/>
      </c>
      <c r="L4781" s="16" t="str">
        <f aca="false">IF(B4781="","",IF(N4781=_xlfn.MAXIFS($N$2:$N$5001,$B$2:$B$5001,B4781,$I$2:$I$5001,I4781),1,0))</f>
        <v/>
      </c>
      <c r="M4781" s="16" t="str">
        <f aca="false">IF(B4781="","",IF(E4781="Em ajustes",IF(N4781=_xlfn.MINIFS($N$2:$N$5001,$B$2:$B$5001,B4781,$E$2:$E$5001,"Em ajustes"),1,0),0))</f>
        <v/>
      </c>
      <c r="N4781" s="17" t="str">
        <f aca="false">IF(A4781="","",IF(ISNUMBER(A4781),A4781,IFERROR(DATE(VALUE(MID(A4781,7,4)),VALUE(MID(A4781,4,2)),VALUE(MID(A4781,1,2)))+TIME(VALUE(MID(A4781,12,2)),VALUE(MID(A4781,15,2)),VALUE(MID(A4781,18,2))),"")))</f>
        <v/>
      </c>
    </row>
    <row r="4782" customFormat="false" ht="15" hidden="false" customHeight="false" outlineLevel="0" collapsed="false">
      <c r="I4782" s="15" t="str">
        <f aca="false">IF(N4782="","",INT(N4782))</f>
        <v/>
      </c>
      <c r="J4782" s="16" t="str">
        <f aca="false">IF(B4782="","",IF(N4782=_xlfn.MINIFS($N$2:$N$5001,$B$2:$B$5001,B4782),1,0))</f>
        <v/>
      </c>
      <c r="K4782" s="16" t="str">
        <f aca="false">IF(B4782="","",IF(AND(D4782="Formalização",E4782="Concluído"),IF(COUNTIFS($B$2:$B$5001,B4782,$E$2:$E$5001,"Em ajustes",$N$2:$N$5001,"&lt;"&amp;I4782)&gt;0,1,0),0))</f>
        <v/>
      </c>
      <c r="L4782" s="16" t="str">
        <f aca="false">IF(B4782="","",IF(N4782=_xlfn.MAXIFS($N$2:$N$5001,$B$2:$B$5001,B4782,$I$2:$I$5001,I4782),1,0))</f>
        <v/>
      </c>
      <c r="M4782" s="16" t="str">
        <f aca="false">IF(B4782="","",IF(E4782="Em ajustes",IF(N4782=_xlfn.MINIFS($N$2:$N$5001,$B$2:$B$5001,B4782,$E$2:$E$5001,"Em ajustes"),1,0),0))</f>
        <v/>
      </c>
      <c r="N4782" s="17" t="str">
        <f aca="false">IF(A4782="","",IF(ISNUMBER(A4782),A4782,IFERROR(DATE(VALUE(MID(A4782,7,4)),VALUE(MID(A4782,4,2)),VALUE(MID(A4782,1,2)))+TIME(VALUE(MID(A4782,12,2)),VALUE(MID(A4782,15,2)),VALUE(MID(A4782,18,2))),"")))</f>
        <v/>
      </c>
    </row>
    <row r="4783" customFormat="false" ht="15" hidden="false" customHeight="false" outlineLevel="0" collapsed="false">
      <c r="I4783" s="15" t="str">
        <f aca="false">IF(N4783="","",INT(N4783))</f>
        <v/>
      </c>
      <c r="J4783" s="16" t="str">
        <f aca="false">IF(B4783="","",IF(N4783=_xlfn.MINIFS($N$2:$N$5001,$B$2:$B$5001,B4783),1,0))</f>
        <v/>
      </c>
      <c r="K4783" s="16" t="str">
        <f aca="false">IF(B4783="","",IF(AND(D4783="Formalização",E4783="Concluído"),IF(COUNTIFS($B$2:$B$5001,B4783,$E$2:$E$5001,"Em ajustes",$N$2:$N$5001,"&lt;"&amp;I4783)&gt;0,1,0),0))</f>
        <v/>
      </c>
      <c r="L4783" s="16" t="str">
        <f aca="false">IF(B4783="","",IF(N4783=_xlfn.MAXIFS($N$2:$N$5001,$B$2:$B$5001,B4783,$I$2:$I$5001,I4783),1,0))</f>
        <v/>
      </c>
      <c r="M4783" s="16" t="str">
        <f aca="false">IF(B4783="","",IF(E4783="Em ajustes",IF(N4783=_xlfn.MINIFS($N$2:$N$5001,$B$2:$B$5001,B4783,$E$2:$E$5001,"Em ajustes"),1,0),0))</f>
        <v/>
      </c>
      <c r="N4783" s="17" t="str">
        <f aca="false">IF(A4783="","",IF(ISNUMBER(A4783),A4783,IFERROR(DATE(VALUE(MID(A4783,7,4)),VALUE(MID(A4783,4,2)),VALUE(MID(A4783,1,2)))+TIME(VALUE(MID(A4783,12,2)),VALUE(MID(A4783,15,2)),VALUE(MID(A4783,18,2))),"")))</f>
        <v/>
      </c>
    </row>
    <row r="4784" customFormat="false" ht="15" hidden="false" customHeight="false" outlineLevel="0" collapsed="false">
      <c r="I4784" s="15" t="str">
        <f aca="false">IF(N4784="","",INT(N4784))</f>
        <v/>
      </c>
      <c r="J4784" s="16" t="str">
        <f aca="false">IF(B4784="","",IF(N4784=_xlfn.MINIFS($N$2:$N$5001,$B$2:$B$5001,B4784),1,0))</f>
        <v/>
      </c>
      <c r="K4784" s="16" t="str">
        <f aca="false">IF(B4784="","",IF(AND(D4784="Formalização",E4784="Concluído"),IF(COUNTIFS($B$2:$B$5001,B4784,$E$2:$E$5001,"Em ajustes",$N$2:$N$5001,"&lt;"&amp;I4784)&gt;0,1,0),0))</f>
        <v/>
      </c>
      <c r="L4784" s="16" t="str">
        <f aca="false">IF(B4784="","",IF(N4784=_xlfn.MAXIFS($N$2:$N$5001,$B$2:$B$5001,B4784,$I$2:$I$5001,I4784),1,0))</f>
        <v/>
      </c>
      <c r="M4784" s="16" t="str">
        <f aca="false">IF(B4784="","",IF(E4784="Em ajustes",IF(N4784=_xlfn.MINIFS($N$2:$N$5001,$B$2:$B$5001,B4784,$E$2:$E$5001,"Em ajustes"),1,0),0))</f>
        <v/>
      </c>
      <c r="N4784" s="17" t="str">
        <f aca="false">IF(A4784="","",IF(ISNUMBER(A4784),A4784,IFERROR(DATE(VALUE(MID(A4784,7,4)),VALUE(MID(A4784,4,2)),VALUE(MID(A4784,1,2)))+TIME(VALUE(MID(A4784,12,2)),VALUE(MID(A4784,15,2)),VALUE(MID(A4784,18,2))),"")))</f>
        <v/>
      </c>
    </row>
    <row r="4785" customFormat="false" ht="15" hidden="false" customHeight="false" outlineLevel="0" collapsed="false">
      <c r="I4785" s="15" t="str">
        <f aca="false">IF(N4785="","",INT(N4785))</f>
        <v/>
      </c>
      <c r="J4785" s="16" t="str">
        <f aca="false">IF(B4785="","",IF(N4785=_xlfn.MINIFS($N$2:$N$5001,$B$2:$B$5001,B4785),1,0))</f>
        <v/>
      </c>
      <c r="K4785" s="16" t="str">
        <f aca="false">IF(B4785="","",IF(AND(D4785="Formalização",E4785="Concluído"),IF(COUNTIFS($B$2:$B$5001,B4785,$E$2:$E$5001,"Em ajustes",$N$2:$N$5001,"&lt;"&amp;I4785)&gt;0,1,0),0))</f>
        <v/>
      </c>
      <c r="L4785" s="16" t="str">
        <f aca="false">IF(B4785="","",IF(N4785=_xlfn.MAXIFS($N$2:$N$5001,$B$2:$B$5001,B4785,$I$2:$I$5001,I4785),1,0))</f>
        <v/>
      </c>
      <c r="M4785" s="16" t="str">
        <f aca="false">IF(B4785="","",IF(E4785="Em ajustes",IF(N4785=_xlfn.MINIFS($N$2:$N$5001,$B$2:$B$5001,B4785,$E$2:$E$5001,"Em ajustes"),1,0),0))</f>
        <v/>
      </c>
      <c r="N4785" s="17" t="str">
        <f aca="false">IF(A4785="","",IF(ISNUMBER(A4785),A4785,IFERROR(DATE(VALUE(MID(A4785,7,4)),VALUE(MID(A4785,4,2)),VALUE(MID(A4785,1,2)))+TIME(VALUE(MID(A4785,12,2)),VALUE(MID(A4785,15,2)),VALUE(MID(A4785,18,2))),"")))</f>
        <v/>
      </c>
    </row>
    <row r="4786" customFormat="false" ht="15" hidden="false" customHeight="false" outlineLevel="0" collapsed="false">
      <c r="I4786" s="15" t="str">
        <f aca="false">IF(N4786="","",INT(N4786))</f>
        <v/>
      </c>
      <c r="J4786" s="16" t="str">
        <f aca="false">IF(B4786="","",IF(N4786=_xlfn.MINIFS($N$2:$N$5001,$B$2:$B$5001,B4786),1,0))</f>
        <v/>
      </c>
      <c r="K4786" s="16" t="str">
        <f aca="false">IF(B4786="","",IF(AND(D4786="Formalização",E4786="Concluído"),IF(COUNTIFS($B$2:$B$5001,B4786,$E$2:$E$5001,"Em ajustes",$N$2:$N$5001,"&lt;"&amp;I4786)&gt;0,1,0),0))</f>
        <v/>
      </c>
      <c r="L4786" s="16" t="str">
        <f aca="false">IF(B4786="","",IF(N4786=_xlfn.MAXIFS($N$2:$N$5001,$B$2:$B$5001,B4786,$I$2:$I$5001,I4786),1,0))</f>
        <v/>
      </c>
      <c r="M4786" s="16" t="str">
        <f aca="false">IF(B4786="","",IF(E4786="Em ajustes",IF(N4786=_xlfn.MINIFS($N$2:$N$5001,$B$2:$B$5001,B4786,$E$2:$E$5001,"Em ajustes"),1,0),0))</f>
        <v/>
      </c>
      <c r="N4786" s="17" t="str">
        <f aca="false">IF(A4786="","",IF(ISNUMBER(A4786),A4786,IFERROR(DATE(VALUE(MID(A4786,7,4)),VALUE(MID(A4786,4,2)),VALUE(MID(A4786,1,2)))+TIME(VALUE(MID(A4786,12,2)),VALUE(MID(A4786,15,2)),VALUE(MID(A4786,18,2))),"")))</f>
        <v/>
      </c>
    </row>
    <row r="4787" customFormat="false" ht="15" hidden="false" customHeight="false" outlineLevel="0" collapsed="false">
      <c r="I4787" s="15" t="str">
        <f aca="false">IF(N4787="","",INT(N4787))</f>
        <v/>
      </c>
      <c r="J4787" s="16" t="str">
        <f aca="false">IF(B4787="","",IF(N4787=_xlfn.MINIFS($N$2:$N$5001,$B$2:$B$5001,B4787),1,0))</f>
        <v/>
      </c>
      <c r="K4787" s="16" t="str">
        <f aca="false">IF(B4787="","",IF(AND(D4787="Formalização",E4787="Concluído"),IF(COUNTIFS($B$2:$B$5001,B4787,$E$2:$E$5001,"Em ajustes",$N$2:$N$5001,"&lt;"&amp;I4787)&gt;0,1,0),0))</f>
        <v/>
      </c>
      <c r="L4787" s="16" t="str">
        <f aca="false">IF(B4787="","",IF(N4787=_xlfn.MAXIFS($N$2:$N$5001,$B$2:$B$5001,B4787,$I$2:$I$5001,I4787),1,0))</f>
        <v/>
      </c>
      <c r="M4787" s="16" t="str">
        <f aca="false">IF(B4787="","",IF(E4787="Em ajustes",IF(N4787=_xlfn.MINIFS($N$2:$N$5001,$B$2:$B$5001,B4787,$E$2:$E$5001,"Em ajustes"),1,0),0))</f>
        <v/>
      </c>
      <c r="N4787" s="17" t="str">
        <f aca="false">IF(A4787="","",IF(ISNUMBER(A4787),A4787,IFERROR(DATE(VALUE(MID(A4787,7,4)),VALUE(MID(A4787,4,2)),VALUE(MID(A4787,1,2)))+TIME(VALUE(MID(A4787,12,2)),VALUE(MID(A4787,15,2)),VALUE(MID(A4787,18,2))),"")))</f>
        <v/>
      </c>
    </row>
    <row r="4788" customFormat="false" ht="15" hidden="false" customHeight="false" outlineLevel="0" collapsed="false">
      <c r="I4788" s="15" t="str">
        <f aca="false">IF(N4788="","",INT(N4788))</f>
        <v/>
      </c>
      <c r="J4788" s="16" t="str">
        <f aca="false">IF(B4788="","",IF(N4788=_xlfn.MINIFS($N$2:$N$5001,$B$2:$B$5001,B4788),1,0))</f>
        <v/>
      </c>
      <c r="K4788" s="16" t="str">
        <f aca="false">IF(B4788="","",IF(AND(D4788="Formalização",E4788="Concluído"),IF(COUNTIFS($B$2:$B$5001,B4788,$E$2:$E$5001,"Em ajustes",$N$2:$N$5001,"&lt;"&amp;I4788)&gt;0,1,0),0))</f>
        <v/>
      </c>
      <c r="L4788" s="16" t="str">
        <f aca="false">IF(B4788="","",IF(N4788=_xlfn.MAXIFS($N$2:$N$5001,$B$2:$B$5001,B4788,$I$2:$I$5001,I4788),1,0))</f>
        <v/>
      </c>
      <c r="M4788" s="16" t="str">
        <f aca="false">IF(B4788="","",IF(E4788="Em ajustes",IF(N4788=_xlfn.MINIFS($N$2:$N$5001,$B$2:$B$5001,B4788,$E$2:$E$5001,"Em ajustes"),1,0),0))</f>
        <v/>
      </c>
      <c r="N4788" s="17" t="str">
        <f aca="false">IF(A4788="","",IF(ISNUMBER(A4788),A4788,IFERROR(DATE(VALUE(MID(A4788,7,4)),VALUE(MID(A4788,4,2)),VALUE(MID(A4788,1,2)))+TIME(VALUE(MID(A4788,12,2)),VALUE(MID(A4788,15,2)),VALUE(MID(A4788,18,2))),"")))</f>
        <v/>
      </c>
    </row>
    <row r="4789" customFormat="false" ht="15" hidden="false" customHeight="false" outlineLevel="0" collapsed="false">
      <c r="I4789" s="15" t="str">
        <f aca="false">IF(N4789="","",INT(N4789))</f>
        <v/>
      </c>
      <c r="J4789" s="16" t="str">
        <f aca="false">IF(B4789="","",IF(N4789=_xlfn.MINIFS($N$2:$N$5001,$B$2:$B$5001,B4789),1,0))</f>
        <v/>
      </c>
      <c r="K4789" s="16" t="str">
        <f aca="false">IF(B4789="","",IF(AND(D4789="Formalização",E4789="Concluído"),IF(COUNTIFS($B$2:$B$5001,B4789,$E$2:$E$5001,"Em ajustes",$N$2:$N$5001,"&lt;"&amp;I4789)&gt;0,1,0),0))</f>
        <v/>
      </c>
      <c r="L4789" s="16" t="str">
        <f aca="false">IF(B4789="","",IF(N4789=_xlfn.MAXIFS($N$2:$N$5001,$B$2:$B$5001,B4789,$I$2:$I$5001,I4789),1,0))</f>
        <v/>
      </c>
      <c r="M4789" s="16" t="str">
        <f aca="false">IF(B4789="","",IF(E4789="Em ajustes",IF(N4789=_xlfn.MINIFS($N$2:$N$5001,$B$2:$B$5001,B4789,$E$2:$E$5001,"Em ajustes"),1,0),0))</f>
        <v/>
      </c>
      <c r="N4789" s="17" t="str">
        <f aca="false">IF(A4789="","",IF(ISNUMBER(A4789),A4789,IFERROR(DATE(VALUE(MID(A4789,7,4)),VALUE(MID(A4789,4,2)),VALUE(MID(A4789,1,2)))+TIME(VALUE(MID(A4789,12,2)),VALUE(MID(A4789,15,2)),VALUE(MID(A4789,18,2))),"")))</f>
        <v/>
      </c>
    </row>
    <row r="4790" customFormat="false" ht="15" hidden="false" customHeight="false" outlineLevel="0" collapsed="false">
      <c r="I4790" s="15" t="str">
        <f aca="false">IF(N4790="","",INT(N4790))</f>
        <v/>
      </c>
      <c r="J4790" s="16" t="str">
        <f aca="false">IF(B4790="","",IF(N4790=_xlfn.MINIFS($N$2:$N$5001,$B$2:$B$5001,B4790),1,0))</f>
        <v/>
      </c>
      <c r="K4790" s="16" t="str">
        <f aca="false">IF(B4790="","",IF(AND(D4790="Formalização",E4790="Concluído"),IF(COUNTIFS($B$2:$B$5001,B4790,$E$2:$E$5001,"Em ajustes",$N$2:$N$5001,"&lt;"&amp;I4790)&gt;0,1,0),0))</f>
        <v/>
      </c>
      <c r="L4790" s="16" t="str">
        <f aca="false">IF(B4790="","",IF(N4790=_xlfn.MAXIFS($N$2:$N$5001,$B$2:$B$5001,B4790,$I$2:$I$5001,I4790),1,0))</f>
        <v/>
      </c>
      <c r="M4790" s="16" t="str">
        <f aca="false">IF(B4790="","",IF(E4790="Em ajustes",IF(N4790=_xlfn.MINIFS($N$2:$N$5001,$B$2:$B$5001,B4790,$E$2:$E$5001,"Em ajustes"),1,0),0))</f>
        <v/>
      </c>
      <c r="N4790" s="17" t="str">
        <f aca="false">IF(A4790="","",IF(ISNUMBER(A4790),A4790,IFERROR(DATE(VALUE(MID(A4790,7,4)),VALUE(MID(A4790,4,2)),VALUE(MID(A4790,1,2)))+TIME(VALUE(MID(A4790,12,2)),VALUE(MID(A4790,15,2)),VALUE(MID(A4790,18,2))),"")))</f>
        <v/>
      </c>
    </row>
    <row r="4791" customFormat="false" ht="15" hidden="false" customHeight="false" outlineLevel="0" collapsed="false">
      <c r="I4791" s="15" t="str">
        <f aca="false">IF(N4791="","",INT(N4791))</f>
        <v/>
      </c>
      <c r="J4791" s="16" t="str">
        <f aca="false">IF(B4791="","",IF(N4791=_xlfn.MINIFS($N$2:$N$5001,$B$2:$B$5001,B4791),1,0))</f>
        <v/>
      </c>
      <c r="K4791" s="16" t="str">
        <f aca="false">IF(B4791="","",IF(AND(D4791="Formalização",E4791="Concluído"),IF(COUNTIFS($B$2:$B$5001,B4791,$E$2:$E$5001,"Em ajustes",$N$2:$N$5001,"&lt;"&amp;I4791)&gt;0,1,0),0))</f>
        <v/>
      </c>
      <c r="L4791" s="16" t="str">
        <f aca="false">IF(B4791="","",IF(N4791=_xlfn.MAXIFS($N$2:$N$5001,$B$2:$B$5001,B4791,$I$2:$I$5001,I4791),1,0))</f>
        <v/>
      </c>
      <c r="M4791" s="16" t="str">
        <f aca="false">IF(B4791="","",IF(E4791="Em ajustes",IF(N4791=_xlfn.MINIFS($N$2:$N$5001,$B$2:$B$5001,B4791,$E$2:$E$5001,"Em ajustes"),1,0),0))</f>
        <v/>
      </c>
      <c r="N4791" s="17" t="str">
        <f aca="false">IF(A4791="","",IF(ISNUMBER(A4791),A4791,IFERROR(DATE(VALUE(MID(A4791,7,4)),VALUE(MID(A4791,4,2)),VALUE(MID(A4791,1,2)))+TIME(VALUE(MID(A4791,12,2)),VALUE(MID(A4791,15,2)),VALUE(MID(A4791,18,2))),"")))</f>
        <v/>
      </c>
    </row>
    <row r="4792" customFormat="false" ht="15" hidden="false" customHeight="false" outlineLevel="0" collapsed="false">
      <c r="I4792" s="15" t="str">
        <f aca="false">IF(N4792="","",INT(N4792))</f>
        <v/>
      </c>
      <c r="J4792" s="16" t="str">
        <f aca="false">IF(B4792="","",IF(N4792=_xlfn.MINIFS($N$2:$N$5001,$B$2:$B$5001,B4792),1,0))</f>
        <v/>
      </c>
      <c r="K4792" s="16" t="str">
        <f aca="false">IF(B4792="","",IF(AND(D4792="Formalização",E4792="Concluído"),IF(COUNTIFS($B$2:$B$5001,B4792,$E$2:$E$5001,"Em ajustes",$N$2:$N$5001,"&lt;"&amp;I4792)&gt;0,1,0),0))</f>
        <v/>
      </c>
      <c r="L4792" s="16" t="str">
        <f aca="false">IF(B4792="","",IF(N4792=_xlfn.MAXIFS($N$2:$N$5001,$B$2:$B$5001,B4792,$I$2:$I$5001,I4792),1,0))</f>
        <v/>
      </c>
      <c r="M4792" s="16" t="str">
        <f aca="false">IF(B4792="","",IF(E4792="Em ajustes",IF(N4792=_xlfn.MINIFS($N$2:$N$5001,$B$2:$B$5001,B4792,$E$2:$E$5001,"Em ajustes"),1,0),0))</f>
        <v/>
      </c>
      <c r="N4792" s="17" t="str">
        <f aca="false">IF(A4792="","",IF(ISNUMBER(A4792),A4792,IFERROR(DATE(VALUE(MID(A4792,7,4)),VALUE(MID(A4792,4,2)),VALUE(MID(A4792,1,2)))+TIME(VALUE(MID(A4792,12,2)),VALUE(MID(A4792,15,2)),VALUE(MID(A4792,18,2))),"")))</f>
        <v/>
      </c>
    </row>
    <row r="4793" customFormat="false" ht="15" hidden="false" customHeight="false" outlineLevel="0" collapsed="false">
      <c r="I4793" s="15" t="str">
        <f aca="false">IF(N4793="","",INT(N4793))</f>
        <v/>
      </c>
      <c r="J4793" s="16" t="str">
        <f aca="false">IF(B4793="","",IF(N4793=_xlfn.MINIFS($N$2:$N$5001,$B$2:$B$5001,B4793),1,0))</f>
        <v/>
      </c>
      <c r="K4793" s="16" t="str">
        <f aca="false">IF(B4793="","",IF(AND(D4793="Formalização",E4793="Concluído"),IF(COUNTIFS($B$2:$B$5001,B4793,$E$2:$E$5001,"Em ajustes",$N$2:$N$5001,"&lt;"&amp;I4793)&gt;0,1,0),0))</f>
        <v/>
      </c>
      <c r="L4793" s="16" t="str">
        <f aca="false">IF(B4793="","",IF(N4793=_xlfn.MAXIFS($N$2:$N$5001,$B$2:$B$5001,B4793,$I$2:$I$5001,I4793),1,0))</f>
        <v/>
      </c>
      <c r="M4793" s="16" t="str">
        <f aca="false">IF(B4793="","",IF(E4793="Em ajustes",IF(N4793=_xlfn.MINIFS($N$2:$N$5001,$B$2:$B$5001,B4793,$E$2:$E$5001,"Em ajustes"),1,0),0))</f>
        <v/>
      </c>
      <c r="N4793" s="17" t="str">
        <f aca="false">IF(A4793="","",IF(ISNUMBER(A4793),A4793,IFERROR(DATE(VALUE(MID(A4793,7,4)),VALUE(MID(A4793,4,2)),VALUE(MID(A4793,1,2)))+TIME(VALUE(MID(A4793,12,2)),VALUE(MID(A4793,15,2)),VALUE(MID(A4793,18,2))),"")))</f>
        <v/>
      </c>
    </row>
    <row r="4794" customFormat="false" ht="15" hidden="false" customHeight="false" outlineLevel="0" collapsed="false">
      <c r="I4794" s="15" t="str">
        <f aca="false">IF(N4794="","",INT(N4794))</f>
        <v/>
      </c>
      <c r="J4794" s="16" t="str">
        <f aca="false">IF(B4794="","",IF(N4794=_xlfn.MINIFS($N$2:$N$5001,$B$2:$B$5001,B4794),1,0))</f>
        <v/>
      </c>
      <c r="K4794" s="16" t="str">
        <f aca="false">IF(B4794="","",IF(AND(D4794="Formalização",E4794="Concluído"),IF(COUNTIFS($B$2:$B$5001,B4794,$E$2:$E$5001,"Em ajustes",$N$2:$N$5001,"&lt;"&amp;I4794)&gt;0,1,0),0))</f>
        <v/>
      </c>
      <c r="L4794" s="16" t="str">
        <f aca="false">IF(B4794="","",IF(N4794=_xlfn.MAXIFS($N$2:$N$5001,$B$2:$B$5001,B4794,$I$2:$I$5001,I4794),1,0))</f>
        <v/>
      </c>
      <c r="M4794" s="16" t="str">
        <f aca="false">IF(B4794="","",IF(E4794="Em ajustes",IF(N4794=_xlfn.MINIFS($N$2:$N$5001,$B$2:$B$5001,B4794,$E$2:$E$5001,"Em ajustes"),1,0),0))</f>
        <v/>
      </c>
      <c r="N4794" s="17" t="str">
        <f aca="false">IF(A4794="","",IF(ISNUMBER(A4794),A4794,IFERROR(DATE(VALUE(MID(A4794,7,4)),VALUE(MID(A4794,4,2)),VALUE(MID(A4794,1,2)))+TIME(VALUE(MID(A4794,12,2)),VALUE(MID(A4794,15,2)),VALUE(MID(A4794,18,2))),"")))</f>
        <v/>
      </c>
    </row>
    <row r="4795" customFormat="false" ht="15" hidden="false" customHeight="false" outlineLevel="0" collapsed="false">
      <c r="I4795" s="15" t="str">
        <f aca="false">IF(N4795="","",INT(N4795))</f>
        <v/>
      </c>
      <c r="J4795" s="16" t="str">
        <f aca="false">IF(B4795="","",IF(N4795=_xlfn.MINIFS($N$2:$N$5001,$B$2:$B$5001,B4795),1,0))</f>
        <v/>
      </c>
      <c r="K4795" s="16" t="str">
        <f aca="false">IF(B4795="","",IF(AND(D4795="Formalização",E4795="Concluído"),IF(COUNTIFS($B$2:$B$5001,B4795,$E$2:$E$5001,"Em ajustes",$N$2:$N$5001,"&lt;"&amp;I4795)&gt;0,1,0),0))</f>
        <v/>
      </c>
      <c r="L4795" s="16" t="str">
        <f aca="false">IF(B4795="","",IF(N4795=_xlfn.MAXIFS($N$2:$N$5001,$B$2:$B$5001,B4795,$I$2:$I$5001,I4795),1,0))</f>
        <v/>
      </c>
      <c r="M4795" s="16" t="str">
        <f aca="false">IF(B4795="","",IF(E4795="Em ajustes",IF(N4795=_xlfn.MINIFS($N$2:$N$5001,$B$2:$B$5001,B4795,$E$2:$E$5001,"Em ajustes"),1,0),0))</f>
        <v/>
      </c>
      <c r="N4795" s="17" t="str">
        <f aca="false">IF(A4795="","",IF(ISNUMBER(A4795),A4795,IFERROR(DATE(VALUE(MID(A4795,7,4)),VALUE(MID(A4795,4,2)),VALUE(MID(A4795,1,2)))+TIME(VALUE(MID(A4795,12,2)),VALUE(MID(A4795,15,2)),VALUE(MID(A4795,18,2))),"")))</f>
        <v/>
      </c>
    </row>
    <row r="4796" customFormat="false" ht="15" hidden="false" customHeight="false" outlineLevel="0" collapsed="false">
      <c r="I4796" s="15" t="str">
        <f aca="false">IF(N4796="","",INT(N4796))</f>
        <v/>
      </c>
      <c r="J4796" s="16" t="str">
        <f aca="false">IF(B4796="","",IF(N4796=_xlfn.MINIFS($N$2:$N$5001,$B$2:$B$5001,B4796),1,0))</f>
        <v/>
      </c>
      <c r="K4796" s="16" t="str">
        <f aca="false">IF(B4796="","",IF(AND(D4796="Formalização",E4796="Concluído"),IF(COUNTIFS($B$2:$B$5001,B4796,$E$2:$E$5001,"Em ajustes",$N$2:$N$5001,"&lt;"&amp;I4796)&gt;0,1,0),0))</f>
        <v/>
      </c>
      <c r="L4796" s="16" t="str">
        <f aca="false">IF(B4796="","",IF(N4796=_xlfn.MAXIFS($N$2:$N$5001,$B$2:$B$5001,B4796,$I$2:$I$5001,I4796),1,0))</f>
        <v/>
      </c>
      <c r="M4796" s="16" t="str">
        <f aca="false">IF(B4796="","",IF(E4796="Em ajustes",IF(N4796=_xlfn.MINIFS($N$2:$N$5001,$B$2:$B$5001,B4796,$E$2:$E$5001,"Em ajustes"),1,0),0))</f>
        <v/>
      </c>
      <c r="N4796" s="17" t="str">
        <f aca="false">IF(A4796="","",IF(ISNUMBER(A4796),A4796,IFERROR(DATE(VALUE(MID(A4796,7,4)),VALUE(MID(A4796,4,2)),VALUE(MID(A4796,1,2)))+TIME(VALUE(MID(A4796,12,2)),VALUE(MID(A4796,15,2)),VALUE(MID(A4796,18,2))),"")))</f>
        <v/>
      </c>
    </row>
    <row r="4797" customFormat="false" ht="15" hidden="false" customHeight="false" outlineLevel="0" collapsed="false">
      <c r="I4797" s="15" t="str">
        <f aca="false">IF(N4797="","",INT(N4797))</f>
        <v/>
      </c>
      <c r="J4797" s="16" t="str">
        <f aca="false">IF(B4797="","",IF(N4797=_xlfn.MINIFS($N$2:$N$5001,$B$2:$B$5001,B4797),1,0))</f>
        <v/>
      </c>
      <c r="K4797" s="16" t="str">
        <f aca="false">IF(B4797="","",IF(AND(D4797="Formalização",E4797="Concluído"),IF(COUNTIFS($B$2:$B$5001,B4797,$E$2:$E$5001,"Em ajustes",$N$2:$N$5001,"&lt;"&amp;I4797)&gt;0,1,0),0))</f>
        <v/>
      </c>
      <c r="L4797" s="16" t="str">
        <f aca="false">IF(B4797="","",IF(N4797=_xlfn.MAXIFS($N$2:$N$5001,$B$2:$B$5001,B4797,$I$2:$I$5001,I4797),1,0))</f>
        <v/>
      </c>
      <c r="M4797" s="16" t="str">
        <f aca="false">IF(B4797="","",IF(E4797="Em ajustes",IF(N4797=_xlfn.MINIFS($N$2:$N$5001,$B$2:$B$5001,B4797,$E$2:$E$5001,"Em ajustes"),1,0),0))</f>
        <v/>
      </c>
      <c r="N4797" s="17" t="str">
        <f aca="false">IF(A4797="","",IF(ISNUMBER(A4797),A4797,IFERROR(DATE(VALUE(MID(A4797,7,4)),VALUE(MID(A4797,4,2)),VALUE(MID(A4797,1,2)))+TIME(VALUE(MID(A4797,12,2)),VALUE(MID(A4797,15,2)),VALUE(MID(A4797,18,2))),"")))</f>
        <v/>
      </c>
    </row>
    <row r="4798" customFormat="false" ht="15" hidden="false" customHeight="false" outlineLevel="0" collapsed="false">
      <c r="I4798" s="15" t="str">
        <f aca="false">IF(N4798="","",INT(N4798))</f>
        <v/>
      </c>
      <c r="J4798" s="16" t="str">
        <f aca="false">IF(B4798="","",IF(N4798=_xlfn.MINIFS($N$2:$N$5001,$B$2:$B$5001,B4798),1,0))</f>
        <v/>
      </c>
      <c r="K4798" s="16" t="str">
        <f aca="false">IF(B4798="","",IF(AND(D4798="Formalização",E4798="Concluído"),IF(COUNTIFS($B$2:$B$5001,B4798,$E$2:$E$5001,"Em ajustes",$N$2:$N$5001,"&lt;"&amp;I4798)&gt;0,1,0),0))</f>
        <v/>
      </c>
      <c r="L4798" s="16" t="str">
        <f aca="false">IF(B4798="","",IF(N4798=_xlfn.MAXIFS($N$2:$N$5001,$B$2:$B$5001,B4798,$I$2:$I$5001,I4798),1,0))</f>
        <v/>
      </c>
      <c r="M4798" s="16" t="str">
        <f aca="false">IF(B4798="","",IF(E4798="Em ajustes",IF(N4798=_xlfn.MINIFS($N$2:$N$5001,$B$2:$B$5001,B4798,$E$2:$E$5001,"Em ajustes"),1,0),0))</f>
        <v/>
      </c>
      <c r="N4798" s="17" t="str">
        <f aca="false">IF(A4798="","",IF(ISNUMBER(A4798),A4798,IFERROR(DATE(VALUE(MID(A4798,7,4)),VALUE(MID(A4798,4,2)),VALUE(MID(A4798,1,2)))+TIME(VALUE(MID(A4798,12,2)),VALUE(MID(A4798,15,2)),VALUE(MID(A4798,18,2))),"")))</f>
        <v/>
      </c>
    </row>
    <row r="4799" customFormat="false" ht="15" hidden="false" customHeight="false" outlineLevel="0" collapsed="false">
      <c r="I4799" s="15" t="str">
        <f aca="false">IF(N4799="","",INT(N4799))</f>
        <v/>
      </c>
      <c r="J4799" s="16" t="str">
        <f aca="false">IF(B4799="","",IF(N4799=_xlfn.MINIFS($N$2:$N$5001,$B$2:$B$5001,B4799),1,0))</f>
        <v/>
      </c>
      <c r="K4799" s="16" t="str">
        <f aca="false">IF(B4799="","",IF(AND(D4799="Formalização",E4799="Concluído"),IF(COUNTIFS($B$2:$B$5001,B4799,$E$2:$E$5001,"Em ajustes",$N$2:$N$5001,"&lt;"&amp;I4799)&gt;0,1,0),0))</f>
        <v/>
      </c>
      <c r="L4799" s="16" t="str">
        <f aca="false">IF(B4799="","",IF(N4799=_xlfn.MAXIFS($N$2:$N$5001,$B$2:$B$5001,B4799,$I$2:$I$5001,I4799),1,0))</f>
        <v/>
      </c>
      <c r="M4799" s="16" t="str">
        <f aca="false">IF(B4799="","",IF(E4799="Em ajustes",IF(N4799=_xlfn.MINIFS($N$2:$N$5001,$B$2:$B$5001,B4799,$E$2:$E$5001,"Em ajustes"),1,0),0))</f>
        <v/>
      </c>
      <c r="N4799" s="17" t="str">
        <f aca="false">IF(A4799="","",IF(ISNUMBER(A4799),A4799,IFERROR(DATE(VALUE(MID(A4799,7,4)),VALUE(MID(A4799,4,2)),VALUE(MID(A4799,1,2)))+TIME(VALUE(MID(A4799,12,2)),VALUE(MID(A4799,15,2)),VALUE(MID(A4799,18,2))),"")))</f>
        <v/>
      </c>
    </row>
    <row r="4800" customFormat="false" ht="15" hidden="false" customHeight="false" outlineLevel="0" collapsed="false">
      <c r="I4800" s="15" t="str">
        <f aca="false">IF(N4800="","",INT(N4800))</f>
        <v/>
      </c>
      <c r="J4800" s="16" t="str">
        <f aca="false">IF(B4800="","",IF(N4800=_xlfn.MINIFS($N$2:$N$5001,$B$2:$B$5001,B4800),1,0))</f>
        <v/>
      </c>
      <c r="K4800" s="16" t="str">
        <f aca="false">IF(B4800="","",IF(AND(D4800="Formalização",E4800="Concluído"),IF(COUNTIFS($B$2:$B$5001,B4800,$E$2:$E$5001,"Em ajustes",$N$2:$N$5001,"&lt;"&amp;I4800)&gt;0,1,0),0))</f>
        <v/>
      </c>
      <c r="L4800" s="16" t="str">
        <f aca="false">IF(B4800="","",IF(N4800=_xlfn.MAXIFS($N$2:$N$5001,$B$2:$B$5001,B4800,$I$2:$I$5001,I4800),1,0))</f>
        <v/>
      </c>
      <c r="M4800" s="16" t="str">
        <f aca="false">IF(B4800="","",IF(E4800="Em ajustes",IF(N4800=_xlfn.MINIFS($N$2:$N$5001,$B$2:$B$5001,B4800,$E$2:$E$5001,"Em ajustes"),1,0),0))</f>
        <v/>
      </c>
      <c r="N4800" s="17" t="str">
        <f aca="false">IF(A4800="","",IF(ISNUMBER(A4800),A4800,IFERROR(DATE(VALUE(MID(A4800,7,4)),VALUE(MID(A4800,4,2)),VALUE(MID(A4800,1,2)))+TIME(VALUE(MID(A4800,12,2)),VALUE(MID(A4800,15,2)),VALUE(MID(A4800,18,2))),"")))</f>
        <v/>
      </c>
    </row>
    <row r="4801" customFormat="false" ht="15" hidden="false" customHeight="false" outlineLevel="0" collapsed="false">
      <c r="I4801" s="15" t="str">
        <f aca="false">IF(N4801="","",INT(N4801))</f>
        <v/>
      </c>
      <c r="J4801" s="16" t="str">
        <f aca="false">IF(B4801="","",IF(N4801=_xlfn.MINIFS($N$2:$N$5001,$B$2:$B$5001,B4801),1,0))</f>
        <v/>
      </c>
      <c r="K4801" s="16" t="str">
        <f aca="false">IF(B4801="","",IF(AND(D4801="Formalização",E4801="Concluído"),IF(COUNTIFS($B$2:$B$5001,B4801,$E$2:$E$5001,"Em ajustes",$N$2:$N$5001,"&lt;"&amp;I4801)&gt;0,1,0),0))</f>
        <v/>
      </c>
      <c r="L4801" s="16" t="str">
        <f aca="false">IF(B4801="","",IF(N4801=_xlfn.MAXIFS($N$2:$N$5001,$B$2:$B$5001,B4801,$I$2:$I$5001,I4801),1,0))</f>
        <v/>
      </c>
      <c r="M4801" s="16" t="str">
        <f aca="false">IF(B4801="","",IF(E4801="Em ajustes",IF(N4801=_xlfn.MINIFS($N$2:$N$5001,$B$2:$B$5001,B4801,$E$2:$E$5001,"Em ajustes"),1,0),0))</f>
        <v/>
      </c>
      <c r="N4801" s="17" t="str">
        <f aca="false">IF(A4801="","",IF(ISNUMBER(A4801),A4801,IFERROR(DATE(VALUE(MID(A4801,7,4)),VALUE(MID(A4801,4,2)),VALUE(MID(A4801,1,2)))+TIME(VALUE(MID(A4801,12,2)),VALUE(MID(A4801,15,2)),VALUE(MID(A4801,18,2))),"")))</f>
        <v/>
      </c>
    </row>
    <row r="4802" customFormat="false" ht="15" hidden="false" customHeight="false" outlineLevel="0" collapsed="false">
      <c r="I4802" s="15" t="str">
        <f aca="false">IF(N4802="","",INT(N4802))</f>
        <v/>
      </c>
      <c r="J4802" s="16" t="str">
        <f aca="false">IF(B4802="","",IF(N4802=_xlfn.MINIFS($N$2:$N$5001,$B$2:$B$5001,B4802),1,0))</f>
        <v/>
      </c>
      <c r="K4802" s="16" t="str">
        <f aca="false">IF(B4802="","",IF(AND(D4802="Formalização",E4802="Concluído"),IF(COUNTIFS($B$2:$B$5001,B4802,$E$2:$E$5001,"Em ajustes",$N$2:$N$5001,"&lt;"&amp;I4802)&gt;0,1,0),0))</f>
        <v/>
      </c>
      <c r="L4802" s="16" t="str">
        <f aca="false">IF(B4802="","",IF(N4802=_xlfn.MAXIFS($N$2:$N$5001,$B$2:$B$5001,B4802,$I$2:$I$5001,I4802),1,0))</f>
        <v/>
      </c>
      <c r="M4802" s="16" t="str">
        <f aca="false">IF(B4802="","",IF(E4802="Em ajustes",IF(N4802=_xlfn.MINIFS($N$2:$N$5001,$B$2:$B$5001,B4802,$E$2:$E$5001,"Em ajustes"),1,0),0))</f>
        <v/>
      </c>
      <c r="N4802" s="17" t="str">
        <f aca="false">IF(A4802="","",IF(ISNUMBER(A4802),A4802,IFERROR(DATE(VALUE(MID(A4802,7,4)),VALUE(MID(A4802,4,2)),VALUE(MID(A4802,1,2)))+TIME(VALUE(MID(A4802,12,2)),VALUE(MID(A4802,15,2)),VALUE(MID(A4802,18,2))),"")))</f>
        <v/>
      </c>
    </row>
    <row r="4803" customFormat="false" ht="15" hidden="false" customHeight="false" outlineLevel="0" collapsed="false">
      <c r="I4803" s="15" t="str">
        <f aca="false">IF(N4803="","",INT(N4803))</f>
        <v/>
      </c>
      <c r="J4803" s="16" t="str">
        <f aca="false">IF(B4803="","",IF(N4803=_xlfn.MINIFS($N$2:$N$5001,$B$2:$B$5001,B4803),1,0))</f>
        <v/>
      </c>
      <c r="K4803" s="16" t="str">
        <f aca="false">IF(B4803="","",IF(AND(D4803="Formalização",E4803="Concluído"),IF(COUNTIFS($B$2:$B$5001,B4803,$E$2:$E$5001,"Em ajustes",$N$2:$N$5001,"&lt;"&amp;I4803)&gt;0,1,0),0))</f>
        <v/>
      </c>
      <c r="L4803" s="16" t="str">
        <f aca="false">IF(B4803="","",IF(N4803=_xlfn.MAXIFS($N$2:$N$5001,$B$2:$B$5001,B4803,$I$2:$I$5001,I4803),1,0))</f>
        <v/>
      </c>
      <c r="M4803" s="16" t="str">
        <f aca="false">IF(B4803="","",IF(E4803="Em ajustes",IF(N4803=_xlfn.MINIFS($N$2:$N$5001,$B$2:$B$5001,B4803,$E$2:$E$5001,"Em ajustes"),1,0),0))</f>
        <v/>
      </c>
      <c r="N4803" s="17" t="str">
        <f aca="false">IF(A4803="","",IF(ISNUMBER(A4803),A4803,IFERROR(DATE(VALUE(MID(A4803,7,4)),VALUE(MID(A4803,4,2)),VALUE(MID(A4803,1,2)))+TIME(VALUE(MID(A4803,12,2)),VALUE(MID(A4803,15,2)),VALUE(MID(A4803,18,2))),"")))</f>
        <v/>
      </c>
    </row>
    <row r="4804" customFormat="false" ht="15" hidden="false" customHeight="false" outlineLevel="0" collapsed="false">
      <c r="I4804" s="15" t="str">
        <f aca="false">IF(N4804="","",INT(N4804))</f>
        <v/>
      </c>
      <c r="J4804" s="16" t="str">
        <f aca="false">IF(B4804="","",IF(N4804=_xlfn.MINIFS($N$2:$N$5001,$B$2:$B$5001,B4804),1,0))</f>
        <v/>
      </c>
      <c r="K4804" s="16" t="str">
        <f aca="false">IF(B4804="","",IF(AND(D4804="Formalização",E4804="Concluído"),IF(COUNTIFS($B$2:$B$5001,B4804,$E$2:$E$5001,"Em ajustes",$N$2:$N$5001,"&lt;"&amp;I4804)&gt;0,1,0),0))</f>
        <v/>
      </c>
      <c r="L4804" s="16" t="str">
        <f aca="false">IF(B4804="","",IF(N4804=_xlfn.MAXIFS($N$2:$N$5001,$B$2:$B$5001,B4804,$I$2:$I$5001,I4804),1,0))</f>
        <v/>
      </c>
      <c r="M4804" s="16" t="str">
        <f aca="false">IF(B4804="","",IF(E4804="Em ajustes",IF(N4804=_xlfn.MINIFS($N$2:$N$5001,$B$2:$B$5001,B4804,$E$2:$E$5001,"Em ajustes"),1,0),0))</f>
        <v/>
      </c>
      <c r="N4804" s="17" t="str">
        <f aca="false">IF(A4804="","",IF(ISNUMBER(A4804),A4804,IFERROR(DATE(VALUE(MID(A4804,7,4)),VALUE(MID(A4804,4,2)),VALUE(MID(A4804,1,2)))+TIME(VALUE(MID(A4804,12,2)),VALUE(MID(A4804,15,2)),VALUE(MID(A4804,18,2))),"")))</f>
        <v/>
      </c>
    </row>
    <row r="4805" customFormat="false" ht="15" hidden="false" customHeight="false" outlineLevel="0" collapsed="false">
      <c r="I4805" s="15" t="str">
        <f aca="false">IF(N4805="","",INT(N4805))</f>
        <v/>
      </c>
      <c r="J4805" s="16" t="str">
        <f aca="false">IF(B4805="","",IF(N4805=_xlfn.MINIFS($N$2:$N$5001,$B$2:$B$5001,B4805),1,0))</f>
        <v/>
      </c>
      <c r="K4805" s="16" t="str">
        <f aca="false">IF(B4805="","",IF(AND(D4805="Formalização",E4805="Concluído"),IF(COUNTIFS($B$2:$B$5001,B4805,$E$2:$E$5001,"Em ajustes",$N$2:$N$5001,"&lt;"&amp;I4805)&gt;0,1,0),0))</f>
        <v/>
      </c>
      <c r="L4805" s="16" t="str">
        <f aca="false">IF(B4805="","",IF(N4805=_xlfn.MAXIFS($N$2:$N$5001,$B$2:$B$5001,B4805,$I$2:$I$5001,I4805),1,0))</f>
        <v/>
      </c>
      <c r="M4805" s="16" t="str">
        <f aca="false">IF(B4805="","",IF(E4805="Em ajustes",IF(N4805=_xlfn.MINIFS($N$2:$N$5001,$B$2:$B$5001,B4805,$E$2:$E$5001,"Em ajustes"),1,0),0))</f>
        <v/>
      </c>
      <c r="N4805" s="17" t="str">
        <f aca="false">IF(A4805="","",IF(ISNUMBER(A4805),A4805,IFERROR(DATE(VALUE(MID(A4805,7,4)),VALUE(MID(A4805,4,2)),VALUE(MID(A4805,1,2)))+TIME(VALUE(MID(A4805,12,2)),VALUE(MID(A4805,15,2)),VALUE(MID(A4805,18,2))),"")))</f>
        <v/>
      </c>
    </row>
    <row r="4806" customFormat="false" ht="15" hidden="false" customHeight="false" outlineLevel="0" collapsed="false">
      <c r="I4806" s="15" t="str">
        <f aca="false">IF(N4806="","",INT(N4806))</f>
        <v/>
      </c>
      <c r="J4806" s="16" t="str">
        <f aca="false">IF(B4806="","",IF(N4806=_xlfn.MINIFS($N$2:$N$5001,$B$2:$B$5001,B4806),1,0))</f>
        <v/>
      </c>
      <c r="K4806" s="16" t="str">
        <f aca="false">IF(B4806="","",IF(AND(D4806="Formalização",E4806="Concluído"),IF(COUNTIFS($B$2:$B$5001,B4806,$E$2:$E$5001,"Em ajustes",$N$2:$N$5001,"&lt;"&amp;I4806)&gt;0,1,0),0))</f>
        <v/>
      </c>
      <c r="L4806" s="16" t="str">
        <f aca="false">IF(B4806="","",IF(N4806=_xlfn.MAXIFS($N$2:$N$5001,$B$2:$B$5001,B4806,$I$2:$I$5001,I4806),1,0))</f>
        <v/>
      </c>
      <c r="M4806" s="16" t="str">
        <f aca="false">IF(B4806="","",IF(E4806="Em ajustes",IF(N4806=_xlfn.MINIFS($N$2:$N$5001,$B$2:$B$5001,B4806,$E$2:$E$5001,"Em ajustes"),1,0),0))</f>
        <v/>
      </c>
      <c r="N4806" s="17" t="str">
        <f aca="false">IF(A4806="","",IF(ISNUMBER(A4806),A4806,IFERROR(DATE(VALUE(MID(A4806,7,4)),VALUE(MID(A4806,4,2)),VALUE(MID(A4806,1,2)))+TIME(VALUE(MID(A4806,12,2)),VALUE(MID(A4806,15,2)),VALUE(MID(A4806,18,2))),"")))</f>
        <v/>
      </c>
    </row>
    <row r="4807" customFormat="false" ht="15" hidden="false" customHeight="false" outlineLevel="0" collapsed="false">
      <c r="I4807" s="15" t="str">
        <f aca="false">IF(N4807="","",INT(N4807))</f>
        <v/>
      </c>
      <c r="J4807" s="16" t="str">
        <f aca="false">IF(B4807="","",IF(N4807=_xlfn.MINIFS($N$2:$N$5001,$B$2:$B$5001,B4807),1,0))</f>
        <v/>
      </c>
      <c r="K4807" s="16" t="str">
        <f aca="false">IF(B4807="","",IF(AND(D4807="Formalização",E4807="Concluído"),IF(COUNTIFS($B$2:$B$5001,B4807,$E$2:$E$5001,"Em ajustes",$N$2:$N$5001,"&lt;"&amp;I4807)&gt;0,1,0),0))</f>
        <v/>
      </c>
      <c r="L4807" s="16" t="str">
        <f aca="false">IF(B4807="","",IF(N4807=_xlfn.MAXIFS($N$2:$N$5001,$B$2:$B$5001,B4807,$I$2:$I$5001,I4807),1,0))</f>
        <v/>
      </c>
      <c r="M4807" s="16" t="str">
        <f aca="false">IF(B4807="","",IF(E4807="Em ajustes",IF(N4807=_xlfn.MINIFS($N$2:$N$5001,$B$2:$B$5001,B4807,$E$2:$E$5001,"Em ajustes"),1,0),0))</f>
        <v/>
      </c>
      <c r="N4807" s="17" t="str">
        <f aca="false">IF(A4807="","",IF(ISNUMBER(A4807),A4807,IFERROR(DATE(VALUE(MID(A4807,7,4)),VALUE(MID(A4807,4,2)),VALUE(MID(A4807,1,2)))+TIME(VALUE(MID(A4807,12,2)),VALUE(MID(A4807,15,2)),VALUE(MID(A4807,18,2))),"")))</f>
        <v/>
      </c>
    </row>
    <row r="4808" customFormat="false" ht="15" hidden="false" customHeight="false" outlineLevel="0" collapsed="false">
      <c r="I4808" s="15" t="str">
        <f aca="false">IF(N4808="","",INT(N4808))</f>
        <v/>
      </c>
      <c r="J4808" s="16" t="str">
        <f aca="false">IF(B4808="","",IF(N4808=_xlfn.MINIFS($N$2:$N$5001,$B$2:$B$5001,B4808),1,0))</f>
        <v/>
      </c>
      <c r="K4808" s="16" t="str">
        <f aca="false">IF(B4808="","",IF(AND(D4808="Formalização",E4808="Concluído"),IF(COUNTIFS($B$2:$B$5001,B4808,$E$2:$E$5001,"Em ajustes",$N$2:$N$5001,"&lt;"&amp;I4808)&gt;0,1,0),0))</f>
        <v/>
      </c>
      <c r="L4808" s="16" t="str">
        <f aca="false">IF(B4808="","",IF(N4808=_xlfn.MAXIFS($N$2:$N$5001,$B$2:$B$5001,B4808,$I$2:$I$5001,I4808),1,0))</f>
        <v/>
      </c>
      <c r="M4808" s="16" t="str">
        <f aca="false">IF(B4808="","",IF(E4808="Em ajustes",IF(N4808=_xlfn.MINIFS($N$2:$N$5001,$B$2:$B$5001,B4808,$E$2:$E$5001,"Em ajustes"),1,0),0))</f>
        <v/>
      </c>
      <c r="N4808" s="17" t="str">
        <f aca="false">IF(A4808="","",IF(ISNUMBER(A4808),A4808,IFERROR(DATE(VALUE(MID(A4808,7,4)),VALUE(MID(A4808,4,2)),VALUE(MID(A4808,1,2)))+TIME(VALUE(MID(A4808,12,2)),VALUE(MID(A4808,15,2)),VALUE(MID(A4808,18,2))),"")))</f>
        <v/>
      </c>
    </row>
    <row r="4809" customFormat="false" ht="15" hidden="false" customHeight="false" outlineLevel="0" collapsed="false">
      <c r="I4809" s="15" t="str">
        <f aca="false">IF(N4809="","",INT(N4809))</f>
        <v/>
      </c>
      <c r="J4809" s="16" t="str">
        <f aca="false">IF(B4809="","",IF(N4809=_xlfn.MINIFS($N$2:$N$5001,$B$2:$B$5001,B4809),1,0))</f>
        <v/>
      </c>
      <c r="K4809" s="16" t="str">
        <f aca="false">IF(B4809="","",IF(AND(D4809="Formalização",E4809="Concluído"),IF(COUNTIFS($B$2:$B$5001,B4809,$E$2:$E$5001,"Em ajustes",$N$2:$N$5001,"&lt;"&amp;I4809)&gt;0,1,0),0))</f>
        <v/>
      </c>
      <c r="L4809" s="16" t="str">
        <f aca="false">IF(B4809="","",IF(N4809=_xlfn.MAXIFS($N$2:$N$5001,$B$2:$B$5001,B4809,$I$2:$I$5001,I4809),1,0))</f>
        <v/>
      </c>
      <c r="M4809" s="16" t="str">
        <f aca="false">IF(B4809="","",IF(E4809="Em ajustes",IF(N4809=_xlfn.MINIFS($N$2:$N$5001,$B$2:$B$5001,B4809,$E$2:$E$5001,"Em ajustes"),1,0),0))</f>
        <v/>
      </c>
      <c r="N4809" s="17" t="str">
        <f aca="false">IF(A4809="","",IF(ISNUMBER(A4809),A4809,IFERROR(DATE(VALUE(MID(A4809,7,4)),VALUE(MID(A4809,4,2)),VALUE(MID(A4809,1,2)))+TIME(VALUE(MID(A4809,12,2)),VALUE(MID(A4809,15,2)),VALUE(MID(A4809,18,2))),"")))</f>
        <v/>
      </c>
    </row>
    <row r="4810" customFormat="false" ht="15" hidden="false" customHeight="false" outlineLevel="0" collapsed="false">
      <c r="I4810" s="15" t="str">
        <f aca="false">IF(N4810="","",INT(N4810))</f>
        <v/>
      </c>
      <c r="J4810" s="16" t="str">
        <f aca="false">IF(B4810="","",IF(N4810=_xlfn.MINIFS($N$2:$N$5001,$B$2:$B$5001,B4810),1,0))</f>
        <v/>
      </c>
      <c r="K4810" s="16" t="str">
        <f aca="false">IF(B4810="","",IF(AND(D4810="Formalização",E4810="Concluído"),IF(COUNTIFS($B$2:$B$5001,B4810,$E$2:$E$5001,"Em ajustes",$N$2:$N$5001,"&lt;"&amp;I4810)&gt;0,1,0),0))</f>
        <v/>
      </c>
      <c r="L4810" s="16" t="str">
        <f aca="false">IF(B4810="","",IF(N4810=_xlfn.MAXIFS($N$2:$N$5001,$B$2:$B$5001,B4810,$I$2:$I$5001,I4810),1,0))</f>
        <v/>
      </c>
      <c r="M4810" s="16" t="str">
        <f aca="false">IF(B4810="","",IF(E4810="Em ajustes",IF(N4810=_xlfn.MINIFS($N$2:$N$5001,$B$2:$B$5001,B4810,$E$2:$E$5001,"Em ajustes"),1,0),0))</f>
        <v/>
      </c>
      <c r="N4810" s="17" t="str">
        <f aca="false">IF(A4810="","",IF(ISNUMBER(A4810),A4810,IFERROR(DATE(VALUE(MID(A4810,7,4)),VALUE(MID(A4810,4,2)),VALUE(MID(A4810,1,2)))+TIME(VALUE(MID(A4810,12,2)),VALUE(MID(A4810,15,2)),VALUE(MID(A4810,18,2))),"")))</f>
        <v/>
      </c>
    </row>
    <row r="4811" customFormat="false" ht="15" hidden="false" customHeight="false" outlineLevel="0" collapsed="false">
      <c r="I4811" s="15" t="str">
        <f aca="false">IF(N4811="","",INT(N4811))</f>
        <v/>
      </c>
      <c r="J4811" s="16" t="str">
        <f aca="false">IF(B4811="","",IF(N4811=_xlfn.MINIFS($N$2:$N$5001,$B$2:$B$5001,B4811),1,0))</f>
        <v/>
      </c>
      <c r="K4811" s="16" t="str">
        <f aca="false">IF(B4811="","",IF(AND(D4811="Formalização",E4811="Concluído"),IF(COUNTIFS($B$2:$B$5001,B4811,$E$2:$E$5001,"Em ajustes",$N$2:$N$5001,"&lt;"&amp;I4811)&gt;0,1,0),0))</f>
        <v/>
      </c>
      <c r="L4811" s="16" t="str">
        <f aca="false">IF(B4811="","",IF(N4811=_xlfn.MAXIFS($N$2:$N$5001,$B$2:$B$5001,B4811,$I$2:$I$5001,I4811),1,0))</f>
        <v/>
      </c>
      <c r="M4811" s="16" t="str">
        <f aca="false">IF(B4811="","",IF(E4811="Em ajustes",IF(N4811=_xlfn.MINIFS($N$2:$N$5001,$B$2:$B$5001,B4811,$E$2:$E$5001,"Em ajustes"),1,0),0))</f>
        <v/>
      </c>
      <c r="N4811" s="17" t="str">
        <f aca="false">IF(A4811="","",IF(ISNUMBER(A4811),A4811,IFERROR(DATE(VALUE(MID(A4811,7,4)),VALUE(MID(A4811,4,2)),VALUE(MID(A4811,1,2)))+TIME(VALUE(MID(A4811,12,2)),VALUE(MID(A4811,15,2)),VALUE(MID(A4811,18,2))),"")))</f>
        <v/>
      </c>
    </row>
    <row r="4812" customFormat="false" ht="15" hidden="false" customHeight="false" outlineLevel="0" collapsed="false">
      <c r="I4812" s="15" t="str">
        <f aca="false">IF(N4812="","",INT(N4812))</f>
        <v/>
      </c>
      <c r="J4812" s="16" t="str">
        <f aca="false">IF(B4812="","",IF(N4812=_xlfn.MINIFS($N$2:$N$5001,$B$2:$B$5001,B4812),1,0))</f>
        <v/>
      </c>
      <c r="K4812" s="16" t="str">
        <f aca="false">IF(B4812="","",IF(AND(D4812="Formalização",E4812="Concluído"),IF(COUNTIFS($B$2:$B$5001,B4812,$E$2:$E$5001,"Em ajustes",$N$2:$N$5001,"&lt;"&amp;I4812)&gt;0,1,0),0))</f>
        <v/>
      </c>
      <c r="L4812" s="16" t="str">
        <f aca="false">IF(B4812="","",IF(N4812=_xlfn.MAXIFS($N$2:$N$5001,$B$2:$B$5001,B4812,$I$2:$I$5001,I4812),1,0))</f>
        <v/>
      </c>
      <c r="M4812" s="16" t="str">
        <f aca="false">IF(B4812="","",IF(E4812="Em ajustes",IF(N4812=_xlfn.MINIFS($N$2:$N$5001,$B$2:$B$5001,B4812,$E$2:$E$5001,"Em ajustes"),1,0),0))</f>
        <v/>
      </c>
      <c r="N4812" s="17" t="str">
        <f aca="false">IF(A4812="","",IF(ISNUMBER(A4812),A4812,IFERROR(DATE(VALUE(MID(A4812,7,4)),VALUE(MID(A4812,4,2)),VALUE(MID(A4812,1,2)))+TIME(VALUE(MID(A4812,12,2)),VALUE(MID(A4812,15,2)),VALUE(MID(A4812,18,2))),"")))</f>
        <v/>
      </c>
    </row>
    <row r="4813" customFormat="false" ht="15" hidden="false" customHeight="false" outlineLevel="0" collapsed="false">
      <c r="I4813" s="15" t="str">
        <f aca="false">IF(N4813="","",INT(N4813))</f>
        <v/>
      </c>
      <c r="J4813" s="16" t="str">
        <f aca="false">IF(B4813="","",IF(N4813=_xlfn.MINIFS($N$2:$N$5001,$B$2:$B$5001,B4813),1,0))</f>
        <v/>
      </c>
      <c r="K4813" s="16" t="str">
        <f aca="false">IF(B4813="","",IF(AND(D4813="Formalização",E4813="Concluído"),IF(COUNTIFS($B$2:$B$5001,B4813,$E$2:$E$5001,"Em ajustes",$N$2:$N$5001,"&lt;"&amp;I4813)&gt;0,1,0),0))</f>
        <v/>
      </c>
      <c r="L4813" s="16" t="str">
        <f aca="false">IF(B4813="","",IF(N4813=_xlfn.MAXIFS($N$2:$N$5001,$B$2:$B$5001,B4813,$I$2:$I$5001,I4813),1,0))</f>
        <v/>
      </c>
      <c r="M4813" s="16" t="str">
        <f aca="false">IF(B4813="","",IF(E4813="Em ajustes",IF(N4813=_xlfn.MINIFS($N$2:$N$5001,$B$2:$B$5001,B4813,$E$2:$E$5001,"Em ajustes"),1,0),0))</f>
        <v/>
      </c>
      <c r="N4813" s="17" t="str">
        <f aca="false">IF(A4813="","",IF(ISNUMBER(A4813),A4813,IFERROR(DATE(VALUE(MID(A4813,7,4)),VALUE(MID(A4813,4,2)),VALUE(MID(A4813,1,2)))+TIME(VALUE(MID(A4813,12,2)),VALUE(MID(A4813,15,2)),VALUE(MID(A4813,18,2))),"")))</f>
        <v/>
      </c>
    </row>
    <row r="4814" customFormat="false" ht="15" hidden="false" customHeight="false" outlineLevel="0" collapsed="false">
      <c r="I4814" s="15" t="str">
        <f aca="false">IF(N4814="","",INT(N4814))</f>
        <v/>
      </c>
      <c r="J4814" s="16" t="str">
        <f aca="false">IF(B4814="","",IF(N4814=_xlfn.MINIFS($N$2:$N$5001,$B$2:$B$5001,B4814),1,0))</f>
        <v/>
      </c>
      <c r="K4814" s="16" t="str">
        <f aca="false">IF(B4814="","",IF(AND(D4814="Formalização",E4814="Concluído"),IF(COUNTIFS($B$2:$B$5001,B4814,$E$2:$E$5001,"Em ajustes",$N$2:$N$5001,"&lt;"&amp;I4814)&gt;0,1,0),0))</f>
        <v/>
      </c>
      <c r="L4814" s="16" t="str">
        <f aca="false">IF(B4814="","",IF(N4814=_xlfn.MAXIFS($N$2:$N$5001,$B$2:$B$5001,B4814,$I$2:$I$5001,I4814),1,0))</f>
        <v/>
      </c>
      <c r="M4814" s="16" t="str">
        <f aca="false">IF(B4814="","",IF(E4814="Em ajustes",IF(N4814=_xlfn.MINIFS($N$2:$N$5001,$B$2:$B$5001,B4814,$E$2:$E$5001,"Em ajustes"),1,0),0))</f>
        <v/>
      </c>
      <c r="N4814" s="17" t="str">
        <f aca="false">IF(A4814="","",IF(ISNUMBER(A4814),A4814,IFERROR(DATE(VALUE(MID(A4814,7,4)),VALUE(MID(A4814,4,2)),VALUE(MID(A4814,1,2)))+TIME(VALUE(MID(A4814,12,2)),VALUE(MID(A4814,15,2)),VALUE(MID(A4814,18,2))),"")))</f>
        <v/>
      </c>
    </row>
    <row r="4815" customFormat="false" ht="15" hidden="false" customHeight="false" outlineLevel="0" collapsed="false">
      <c r="I4815" s="15" t="str">
        <f aca="false">IF(N4815="","",INT(N4815))</f>
        <v/>
      </c>
      <c r="J4815" s="16" t="str">
        <f aca="false">IF(B4815="","",IF(N4815=_xlfn.MINIFS($N$2:$N$5001,$B$2:$B$5001,B4815),1,0))</f>
        <v/>
      </c>
      <c r="K4815" s="16" t="str">
        <f aca="false">IF(B4815="","",IF(AND(D4815="Formalização",E4815="Concluído"),IF(COUNTIFS($B$2:$B$5001,B4815,$E$2:$E$5001,"Em ajustes",$N$2:$N$5001,"&lt;"&amp;I4815)&gt;0,1,0),0))</f>
        <v/>
      </c>
      <c r="L4815" s="16" t="str">
        <f aca="false">IF(B4815="","",IF(N4815=_xlfn.MAXIFS($N$2:$N$5001,$B$2:$B$5001,B4815,$I$2:$I$5001,I4815),1,0))</f>
        <v/>
      </c>
      <c r="M4815" s="16" t="str">
        <f aca="false">IF(B4815="","",IF(E4815="Em ajustes",IF(N4815=_xlfn.MINIFS($N$2:$N$5001,$B$2:$B$5001,B4815,$E$2:$E$5001,"Em ajustes"),1,0),0))</f>
        <v/>
      </c>
      <c r="N4815" s="17" t="str">
        <f aca="false">IF(A4815="","",IF(ISNUMBER(A4815),A4815,IFERROR(DATE(VALUE(MID(A4815,7,4)),VALUE(MID(A4815,4,2)),VALUE(MID(A4815,1,2)))+TIME(VALUE(MID(A4815,12,2)),VALUE(MID(A4815,15,2)),VALUE(MID(A4815,18,2))),"")))</f>
        <v/>
      </c>
    </row>
    <row r="4816" customFormat="false" ht="15" hidden="false" customHeight="false" outlineLevel="0" collapsed="false">
      <c r="I4816" s="15" t="str">
        <f aca="false">IF(N4816="","",INT(N4816))</f>
        <v/>
      </c>
      <c r="J4816" s="16" t="str">
        <f aca="false">IF(B4816="","",IF(N4816=_xlfn.MINIFS($N$2:$N$5001,$B$2:$B$5001,B4816),1,0))</f>
        <v/>
      </c>
      <c r="K4816" s="16" t="str">
        <f aca="false">IF(B4816="","",IF(AND(D4816="Formalização",E4816="Concluído"),IF(COUNTIFS($B$2:$B$5001,B4816,$E$2:$E$5001,"Em ajustes",$N$2:$N$5001,"&lt;"&amp;I4816)&gt;0,1,0),0))</f>
        <v/>
      </c>
      <c r="L4816" s="16" t="str">
        <f aca="false">IF(B4816="","",IF(N4816=_xlfn.MAXIFS($N$2:$N$5001,$B$2:$B$5001,B4816,$I$2:$I$5001,I4816),1,0))</f>
        <v/>
      </c>
      <c r="M4816" s="16" t="str">
        <f aca="false">IF(B4816="","",IF(E4816="Em ajustes",IF(N4816=_xlfn.MINIFS($N$2:$N$5001,$B$2:$B$5001,B4816,$E$2:$E$5001,"Em ajustes"),1,0),0))</f>
        <v/>
      </c>
      <c r="N4816" s="17" t="str">
        <f aca="false">IF(A4816="","",IF(ISNUMBER(A4816),A4816,IFERROR(DATE(VALUE(MID(A4816,7,4)),VALUE(MID(A4816,4,2)),VALUE(MID(A4816,1,2)))+TIME(VALUE(MID(A4816,12,2)),VALUE(MID(A4816,15,2)),VALUE(MID(A4816,18,2))),"")))</f>
        <v/>
      </c>
    </row>
    <row r="4817" customFormat="false" ht="15" hidden="false" customHeight="false" outlineLevel="0" collapsed="false">
      <c r="I4817" s="15" t="str">
        <f aca="false">IF(N4817="","",INT(N4817))</f>
        <v/>
      </c>
      <c r="J4817" s="16" t="str">
        <f aca="false">IF(B4817="","",IF(N4817=_xlfn.MINIFS($N$2:$N$5001,$B$2:$B$5001,B4817),1,0))</f>
        <v/>
      </c>
      <c r="K4817" s="16" t="str">
        <f aca="false">IF(B4817="","",IF(AND(D4817="Formalização",E4817="Concluído"),IF(COUNTIFS($B$2:$B$5001,B4817,$E$2:$E$5001,"Em ajustes",$N$2:$N$5001,"&lt;"&amp;I4817)&gt;0,1,0),0))</f>
        <v/>
      </c>
      <c r="L4817" s="16" t="str">
        <f aca="false">IF(B4817="","",IF(N4817=_xlfn.MAXIFS($N$2:$N$5001,$B$2:$B$5001,B4817,$I$2:$I$5001,I4817),1,0))</f>
        <v/>
      </c>
      <c r="M4817" s="16" t="str">
        <f aca="false">IF(B4817="","",IF(E4817="Em ajustes",IF(N4817=_xlfn.MINIFS($N$2:$N$5001,$B$2:$B$5001,B4817,$E$2:$E$5001,"Em ajustes"),1,0),0))</f>
        <v/>
      </c>
      <c r="N4817" s="17" t="str">
        <f aca="false">IF(A4817="","",IF(ISNUMBER(A4817),A4817,IFERROR(DATE(VALUE(MID(A4817,7,4)),VALUE(MID(A4817,4,2)),VALUE(MID(A4817,1,2)))+TIME(VALUE(MID(A4817,12,2)),VALUE(MID(A4817,15,2)),VALUE(MID(A4817,18,2))),"")))</f>
        <v/>
      </c>
    </row>
    <row r="4818" customFormat="false" ht="15" hidden="false" customHeight="false" outlineLevel="0" collapsed="false">
      <c r="I4818" s="15" t="str">
        <f aca="false">IF(N4818="","",INT(N4818))</f>
        <v/>
      </c>
      <c r="J4818" s="16" t="str">
        <f aca="false">IF(B4818="","",IF(N4818=_xlfn.MINIFS($N$2:$N$5001,$B$2:$B$5001,B4818),1,0))</f>
        <v/>
      </c>
      <c r="K4818" s="16" t="str">
        <f aca="false">IF(B4818="","",IF(AND(D4818="Formalização",E4818="Concluído"),IF(COUNTIFS($B$2:$B$5001,B4818,$E$2:$E$5001,"Em ajustes",$N$2:$N$5001,"&lt;"&amp;I4818)&gt;0,1,0),0))</f>
        <v/>
      </c>
      <c r="L4818" s="16" t="str">
        <f aca="false">IF(B4818="","",IF(N4818=_xlfn.MAXIFS($N$2:$N$5001,$B$2:$B$5001,B4818,$I$2:$I$5001,I4818),1,0))</f>
        <v/>
      </c>
      <c r="M4818" s="16" t="str">
        <f aca="false">IF(B4818="","",IF(E4818="Em ajustes",IF(N4818=_xlfn.MINIFS($N$2:$N$5001,$B$2:$B$5001,B4818,$E$2:$E$5001,"Em ajustes"),1,0),0))</f>
        <v/>
      </c>
      <c r="N4818" s="17" t="str">
        <f aca="false">IF(A4818="","",IF(ISNUMBER(A4818),A4818,IFERROR(DATE(VALUE(MID(A4818,7,4)),VALUE(MID(A4818,4,2)),VALUE(MID(A4818,1,2)))+TIME(VALUE(MID(A4818,12,2)),VALUE(MID(A4818,15,2)),VALUE(MID(A4818,18,2))),"")))</f>
        <v/>
      </c>
    </row>
    <row r="4819" customFormat="false" ht="15" hidden="false" customHeight="false" outlineLevel="0" collapsed="false">
      <c r="I4819" s="15" t="str">
        <f aca="false">IF(N4819="","",INT(N4819))</f>
        <v/>
      </c>
      <c r="J4819" s="16" t="str">
        <f aca="false">IF(B4819="","",IF(N4819=_xlfn.MINIFS($N$2:$N$5001,$B$2:$B$5001,B4819),1,0))</f>
        <v/>
      </c>
      <c r="K4819" s="16" t="str">
        <f aca="false">IF(B4819="","",IF(AND(D4819="Formalização",E4819="Concluído"),IF(COUNTIFS($B$2:$B$5001,B4819,$E$2:$E$5001,"Em ajustes",$N$2:$N$5001,"&lt;"&amp;I4819)&gt;0,1,0),0))</f>
        <v/>
      </c>
      <c r="L4819" s="16" t="str">
        <f aca="false">IF(B4819="","",IF(N4819=_xlfn.MAXIFS($N$2:$N$5001,$B$2:$B$5001,B4819,$I$2:$I$5001,I4819),1,0))</f>
        <v/>
      </c>
      <c r="M4819" s="16" t="str">
        <f aca="false">IF(B4819="","",IF(E4819="Em ajustes",IF(N4819=_xlfn.MINIFS($N$2:$N$5001,$B$2:$B$5001,B4819,$E$2:$E$5001,"Em ajustes"),1,0),0))</f>
        <v/>
      </c>
      <c r="N4819" s="17" t="str">
        <f aca="false">IF(A4819="","",IF(ISNUMBER(A4819),A4819,IFERROR(DATE(VALUE(MID(A4819,7,4)),VALUE(MID(A4819,4,2)),VALUE(MID(A4819,1,2)))+TIME(VALUE(MID(A4819,12,2)),VALUE(MID(A4819,15,2)),VALUE(MID(A4819,18,2))),"")))</f>
        <v/>
      </c>
    </row>
    <row r="4820" customFormat="false" ht="15" hidden="false" customHeight="false" outlineLevel="0" collapsed="false">
      <c r="I4820" s="15" t="str">
        <f aca="false">IF(N4820="","",INT(N4820))</f>
        <v/>
      </c>
      <c r="J4820" s="16" t="str">
        <f aca="false">IF(B4820="","",IF(N4820=_xlfn.MINIFS($N$2:$N$5001,$B$2:$B$5001,B4820),1,0))</f>
        <v/>
      </c>
      <c r="K4820" s="16" t="str">
        <f aca="false">IF(B4820="","",IF(AND(D4820="Formalização",E4820="Concluído"),IF(COUNTIFS($B$2:$B$5001,B4820,$E$2:$E$5001,"Em ajustes",$N$2:$N$5001,"&lt;"&amp;I4820)&gt;0,1,0),0))</f>
        <v/>
      </c>
      <c r="L4820" s="16" t="str">
        <f aca="false">IF(B4820="","",IF(N4820=_xlfn.MAXIFS($N$2:$N$5001,$B$2:$B$5001,B4820,$I$2:$I$5001,I4820),1,0))</f>
        <v/>
      </c>
      <c r="M4820" s="16" t="str">
        <f aca="false">IF(B4820="","",IF(E4820="Em ajustes",IF(N4820=_xlfn.MINIFS($N$2:$N$5001,$B$2:$B$5001,B4820,$E$2:$E$5001,"Em ajustes"),1,0),0))</f>
        <v/>
      </c>
      <c r="N4820" s="17" t="str">
        <f aca="false">IF(A4820="","",IF(ISNUMBER(A4820),A4820,IFERROR(DATE(VALUE(MID(A4820,7,4)),VALUE(MID(A4820,4,2)),VALUE(MID(A4820,1,2)))+TIME(VALUE(MID(A4820,12,2)),VALUE(MID(A4820,15,2)),VALUE(MID(A4820,18,2))),"")))</f>
        <v/>
      </c>
    </row>
    <row r="4821" customFormat="false" ht="15" hidden="false" customHeight="false" outlineLevel="0" collapsed="false">
      <c r="I4821" s="15" t="str">
        <f aca="false">IF(N4821="","",INT(N4821))</f>
        <v/>
      </c>
      <c r="J4821" s="16" t="str">
        <f aca="false">IF(B4821="","",IF(N4821=_xlfn.MINIFS($N$2:$N$5001,$B$2:$B$5001,B4821),1,0))</f>
        <v/>
      </c>
      <c r="K4821" s="16" t="str">
        <f aca="false">IF(B4821="","",IF(AND(D4821="Formalização",E4821="Concluído"),IF(COUNTIFS($B$2:$B$5001,B4821,$E$2:$E$5001,"Em ajustes",$N$2:$N$5001,"&lt;"&amp;I4821)&gt;0,1,0),0))</f>
        <v/>
      </c>
      <c r="L4821" s="16" t="str">
        <f aca="false">IF(B4821="","",IF(N4821=_xlfn.MAXIFS($N$2:$N$5001,$B$2:$B$5001,B4821,$I$2:$I$5001,I4821),1,0))</f>
        <v/>
      </c>
      <c r="M4821" s="16" t="str">
        <f aca="false">IF(B4821="","",IF(E4821="Em ajustes",IF(N4821=_xlfn.MINIFS($N$2:$N$5001,$B$2:$B$5001,B4821,$E$2:$E$5001,"Em ajustes"),1,0),0))</f>
        <v/>
      </c>
      <c r="N4821" s="17" t="str">
        <f aca="false">IF(A4821="","",IF(ISNUMBER(A4821),A4821,IFERROR(DATE(VALUE(MID(A4821,7,4)),VALUE(MID(A4821,4,2)),VALUE(MID(A4821,1,2)))+TIME(VALUE(MID(A4821,12,2)),VALUE(MID(A4821,15,2)),VALUE(MID(A4821,18,2))),"")))</f>
        <v/>
      </c>
    </row>
    <row r="4822" customFormat="false" ht="15" hidden="false" customHeight="false" outlineLevel="0" collapsed="false">
      <c r="I4822" s="15" t="str">
        <f aca="false">IF(N4822="","",INT(N4822))</f>
        <v/>
      </c>
      <c r="J4822" s="16" t="str">
        <f aca="false">IF(B4822="","",IF(N4822=_xlfn.MINIFS($N$2:$N$5001,$B$2:$B$5001,B4822),1,0))</f>
        <v/>
      </c>
      <c r="K4822" s="16" t="str">
        <f aca="false">IF(B4822="","",IF(AND(D4822="Formalização",E4822="Concluído"),IF(COUNTIFS($B$2:$B$5001,B4822,$E$2:$E$5001,"Em ajustes",$N$2:$N$5001,"&lt;"&amp;I4822)&gt;0,1,0),0))</f>
        <v/>
      </c>
      <c r="L4822" s="16" t="str">
        <f aca="false">IF(B4822="","",IF(N4822=_xlfn.MAXIFS($N$2:$N$5001,$B$2:$B$5001,B4822,$I$2:$I$5001,I4822),1,0))</f>
        <v/>
      </c>
      <c r="M4822" s="16" t="str">
        <f aca="false">IF(B4822="","",IF(E4822="Em ajustes",IF(N4822=_xlfn.MINIFS($N$2:$N$5001,$B$2:$B$5001,B4822,$E$2:$E$5001,"Em ajustes"),1,0),0))</f>
        <v/>
      </c>
      <c r="N4822" s="17" t="str">
        <f aca="false">IF(A4822="","",IF(ISNUMBER(A4822),A4822,IFERROR(DATE(VALUE(MID(A4822,7,4)),VALUE(MID(A4822,4,2)),VALUE(MID(A4822,1,2)))+TIME(VALUE(MID(A4822,12,2)),VALUE(MID(A4822,15,2)),VALUE(MID(A4822,18,2))),"")))</f>
        <v/>
      </c>
    </row>
    <row r="4823" customFormat="false" ht="15" hidden="false" customHeight="false" outlineLevel="0" collapsed="false">
      <c r="I4823" s="15" t="str">
        <f aca="false">IF(N4823="","",INT(N4823))</f>
        <v/>
      </c>
      <c r="J4823" s="16" t="str">
        <f aca="false">IF(B4823="","",IF(N4823=_xlfn.MINIFS($N$2:$N$5001,$B$2:$B$5001,B4823),1,0))</f>
        <v/>
      </c>
      <c r="K4823" s="16" t="str">
        <f aca="false">IF(B4823="","",IF(AND(D4823="Formalização",E4823="Concluído"),IF(COUNTIFS($B$2:$B$5001,B4823,$E$2:$E$5001,"Em ajustes",$N$2:$N$5001,"&lt;"&amp;I4823)&gt;0,1,0),0))</f>
        <v/>
      </c>
      <c r="L4823" s="16" t="str">
        <f aca="false">IF(B4823="","",IF(N4823=_xlfn.MAXIFS($N$2:$N$5001,$B$2:$B$5001,B4823,$I$2:$I$5001,I4823),1,0))</f>
        <v/>
      </c>
      <c r="M4823" s="16" t="str">
        <f aca="false">IF(B4823="","",IF(E4823="Em ajustes",IF(N4823=_xlfn.MINIFS($N$2:$N$5001,$B$2:$B$5001,B4823,$E$2:$E$5001,"Em ajustes"),1,0),0))</f>
        <v/>
      </c>
      <c r="N4823" s="17" t="str">
        <f aca="false">IF(A4823="","",IF(ISNUMBER(A4823),A4823,IFERROR(DATE(VALUE(MID(A4823,7,4)),VALUE(MID(A4823,4,2)),VALUE(MID(A4823,1,2)))+TIME(VALUE(MID(A4823,12,2)),VALUE(MID(A4823,15,2)),VALUE(MID(A4823,18,2))),"")))</f>
        <v/>
      </c>
    </row>
    <row r="4824" customFormat="false" ht="15" hidden="false" customHeight="false" outlineLevel="0" collapsed="false">
      <c r="I4824" s="15" t="str">
        <f aca="false">IF(N4824="","",INT(N4824))</f>
        <v/>
      </c>
      <c r="J4824" s="16" t="str">
        <f aca="false">IF(B4824="","",IF(N4824=_xlfn.MINIFS($N$2:$N$5001,$B$2:$B$5001,B4824),1,0))</f>
        <v/>
      </c>
      <c r="K4824" s="16" t="str">
        <f aca="false">IF(B4824="","",IF(AND(D4824="Formalização",E4824="Concluído"),IF(COUNTIFS($B$2:$B$5001,B4824,$E$2:$E$5001,"Em ajustes",$N$2:$N$5001,"&lt;"&amp;I4824)&gt;0,1,0),0))</f>
        <v/>
      </c>
      <c r="L4824" s="16" t="str">
        <f aca="false">IF(B4824="","",IF(N4824=_xlfn.MAXIFS($N$2:$N$5001,$B$2:$B$5001,B4824,$I$2:$I$5001,I4824),1,0))</f>
        <v/>
      </c>
      <c r="M4824" s="16" t="str">
        <f aca="false">IF(B4824="","",IF(E4824="Em ajustes",IF(N4824=_xlfn.MINIFS($N$2:$N$5001,$B$2:$B$5001,B4824,$E$2:$E$5001,"Em ajustes"),1,0),0))</f>
        <v/>
      </c>
      <c r="N4824" s="17" t="str">
        <f aca="false">IF(A4824="","",IF(ISNUMBER(A4824),A4824,IFERROR(DATE(VALUE(MID(A4824,7,4)),VALUE(MID(A4824,4,2)),VALUE(MID(A4824,1,2)))+TIME(VALUE(MID(A4824,12,2)),VALUE(MID(A4824,15,2)),VALUE(MID(A4824,18,2))),"")))</f>
        <v/>
      </c>
    </row>
    <row r="4825" customFormat="false" ht="15" hidden="false" customHeight="false" outlineLevel="0" collapsed="false">
      <c r="I4825" s="15" t="str">
        <f aca="false">IF(N4825="","",INT(N4825))</f>
        <v/>
      </c>
      <c r="J4825" s="16" t="str">
        <f aca="false">IF(B4825="","",IF(N4825=_xlfn.MINIFS($N$2:$N$5001,$B$2:$B$5001,B4825),1,0))</f>
        <v/>
      </c>
      <c r="K4825" s="16" t="str">
        <f aca="false">IF(B4825="","",IF(AND(D4825="Formalização",E4825="Concluído"),IF(COUNTIFS($B$2:$B$5001,B4825,$E$2:$E$5001,"Em ajustes",$N$2:$N$5001,"&lt;"&amp;I4825)&gt;0,1,0),0))</f>
        <v/>
      </c>
      <c r="L4825" s="16" t="str">
        <f aca="false">IF(B4825="","",IF(N4825=_xlfn.MAXIFS($N$2:$N$5001,$B$2:$B$5001,B4825,$I$2:$I$5001,I4825),1,0))</f>
        <v/>
      </c>
      <c r="M4825" s="16" t="str">
        <f aca="false">IF(B4825="","",IF(E4825="Em ajustes",IF(N4825=_xlfn.MINIFS($N$2:$N$5001,$B$2:$B$5001,B4825,$E$2:$E$5001,"Em ajustes"),1,0),0))</f>
        <v/>
      </c>
      <c r="N4825" s="17" t="str">
        <f aca="false">IF(A4825="","",IF(ISNUMBER(A4825),A4825,IFERROR(DATE(VALUE(MID(A4825,7,4)),VALUE(MID(A4825,4,2)),VALUE(MID(A4825,1,2)))+TIME(VALUE(MID(A4825,12,2)),VALUE(MID(A4825,15,2)),VALUE(MID(A4825,18,2))),"")))</f>
        <v/>
      </c>
    </row>
    <row r="4826" customFormat="false" ht="15" hidden="false" customHeight="false" outlineLevel="0" collapsed="false">
      <c r="I4826" s="15" t="str">
        <f aca="false">IF(N4826="","",INT(N4826))</f>
        <v/>
      </c>
      <c r="J4826" s="16" t="str">
        <f aca="false">IF(B4826="","",IF(N4826=_xlfn.MINIFS($N$2:$N$5001,$B$2:$B$5001,B4826),1,0))</f>
        <v/>
      </c>
      <c r="K4826" s="16" t="str">
        <f aca="false">IF(B4826="","",IF(AND(D4826="Formalização",E4826="Concluído"),IF(COUNTIFS($B$2:$B$5001,B4826,$E$2:$E$5001,"Em ajustes",$N$2:$N$5001,"&lt;"&amp;I4826)&gt;0,1,0),0))</f>
        <v/>
      </c>
      <c r="L4826" s="16" t="str">
        <f aca="false">IF(B4826="","",IF(N4826=_xlfn.MAXIFS($N$2:$N$5001,$B$2:$B$5001,B4826,$I$2:$I$5001,I4826),1,0))</f>
        <v/>
      </c>
      <c r="M4826" s="16" t="str">
        <f aca="false">IF(B4826="","",IF(E4826="Em ajustes",IF(N4826=_xlfn.MINIFS($N$2:$N$5001,$B$2:$B$5001,B4826,$E$2:$E$5001,"Em ajustes"),1,0),0))</f>
        <v/>
      </c>
      <c r="N4826" s="17" t="str">
        <f aca="false">IF(A4826="","",IF(ISNUMBER(A4826),A4826,IFERROR(DATE(VALUE(MID(A4826,7,4)),VALUE(MID(A4826,4,2)),VALUE(MID(A4826,1,2)))+TIME(VALUE(MID(A4826,12,2)),VALUE(MID(A4826,15,2)),VALUE(MID(A4826,18,2))),"")))</f>
        <v/>
      </c>
    </row>
    <row r="4827" customFormat="false" ht="15" hidden="false" customHeight="false" outlineLevel="0" collapsed="false">
      <c r="I4827" s="15" t="str">
        <f aca="false">IF(N4827="","",INT(N4827))</f>
        <v/>
      </c>
      <c r="J4827" s="16" t="str">
        <f aca="false">IF(B4827="","",IF(N4827=_xlfn.MINIFS($N$2:$N$5001,$B$2:$B$5001,B4827),1,0))</f>
        <v/>
      </c>
      <c r="K4827" s="16" t="str">
        <f aca="false">IF(B4827="","",IF(AND(D4827="Formalização",E4827="Concluído"),IF(COUNTIFS($B$2:$B$5001,B4827,$E$2:$E$5001,"Em ajustes",$N$2:$N$5001,"&lt;"&amp;I4827)&gt;0,1,0),0))</f>
        <v/>
      </c>
      <c r="L4827" s="16" t="str">
        <f aca="false">IF(B4827="","",IF(N4827=_xlfn.MAXIFS($N$2:$N$5001,$B$2:$B$5001,B4827,$I$2:$I$5001,I4827),1,0))</f>
        <v/>
      </c>
      <c r="M4827" s="16" t="str">
        <f aca="false">IF(B4827="","",IF(E4827="Em ajustes",IF(N4827=_xlfn.MINIFS($N$2:$N$5001,$B$2:$B$5001,B4827,$E$2:$E$5001,"Em ajustes"),1,0),0))</f>
        <v/>
      </c>
      <c r="N4827" s="17" t="str">
        <f aca="false">IF(A4827="","",IF(ISNUMBER(A4827),A4827,IFERROR(DATE(VALUE(MID(A4827,7,4)),VALUE(MID(A4827,4,2)),VALUE(MID(A4827,1,2)))+TIME(VALUE(MID(A4827,12,2)),VALUE(MID(A4827,15,2)),VALUE(MID(A4827,18,2))),"")))</f>
        <v/>
      </c>
    </row>
    <row r="4828" customFormat="false" ht="15" hidden="false" customHeight="false" outlineLevel="0" collapsed="false">
      <c r="I4828" s="15" t="str">
        <f aca="false">IF(N4828="","",INT(N4828))</f>
        <v/>
      </c>
      <c r="J4828" s="16" t="str">
        <f aca="false">IF(B4828="","",IF(N4828=_xlfn.MINIFS($N$2:$N$5001,$B$2:$B$5001,B4828),1,0))</f>
        <v/>
      </c>
      <c r="K4828" s="16" t="str">
        <f aca="false">IF(B4828="","",IF(AND(D4828="Formalização",E4828="Concluído"),IF(COUNTIFS($B$2:$B$5001,B4828,$E$2:$E$5001,"Em ajustes",$N$2:$N$5001,"&lt;"&amp;I4828)&gt;0,1,0),0))</f>
        <v/>
      </c>
      <c r="L4828" s="16" t="str">
        <f aca="false">IF(B4828="","",IF(N4828=_xlfn.MAXIFS($N$2:$N$5001,$B$2:$B$5001,B4828,$I$2:$I$5001,I4828),1,0))</f>
        <v/>
      </c>
      <c r="M4828" s="16" t="str">
        <f aca="false">IF(B4828="","",IF(E4828="Em ajustes",IF(N4828=_xlfn.MINIFS($N$2:$N$5001,$B$2:$B$5001,B4828,$E$2:$E$5001,"Em ajustes"),1,0),0))</f>
        <v/>
      </c>
      <c r="N4828" s="17" t="str">
        <f aca="false">IF(A4828="","",IF(ISNUMBER(A4828),A4828,IFERROR(DATE(VALUE(MID(A4828,7,4)),VALUE(MID(A4828,4,2)),VALUE(MID(A4828,1,2)))+TIME(VALUE(MID(A4828,12,2)),VALUE(MID(A4828,15,2)),VALUE(MID(A4828,18,2))),"")))</f>
        <v/>
      </c>
    </row>
    <row r="4829" customFormat="false" ht="15" hidden="false" customHeight="false" outlineLevel="0" collapsed="false">
      <c r="I4829" s="15" t="str">
        <f aca="false">IF(N4829="","",INT(N4829))</f>
        <v/>
      </c>
      <c r="J4829" s="16" t="str">
        <f aca="false">IF(B4829="","",IF(N4829=_xlfn.MINIFS($N$2:$N$5001,$B$2:$B$5001,B4829),1,0))</f>
        <v/>
      </c>
      <c r="K4829" s="16" t="str">
        <f aca="false">IF(B4829="","",IF(AND(D4829="Formalização",E4829="Concluído"),IF(COUNTIFS($B$2:$B$5001,B4829,$E$2:$E$5001,"Em ajustes",$N$2:$N$5001,"&lt;"&amp;I4829)&gt;0,1,0),0))</f>
        <v/>
      </c>
      <c r="L4829" s="16" t="str">
        <f aca="false">IF(B4829="","",IF(N4829=_xlfn.MAXIFS($N$2:$N$5001,$B$2:$B$5001,B4829,$I$2:$I$5001,I4829),1,0))</f>
        <v/>
      </c>
      <c r="M4829" s="16" t="str">
        <f aca="false">IF(B4829="","",IF(E4829="Em ajustes",IF(N4829=_xlfn.MINIFS($N$2:$N$5001,$B$2:$B$5001,B4829,$E$2:$E$5001,"Em ajustes"),1,0),0))</f>
        <v/>
      </c>
      <c r="N4829" s="17" t="str">
        <f aca="false">IF(A4829="","",IF(ISNUMBER(A4829),A4829,IFERROR(DATE(VALUE(MID(A4829,7,4)),VALUE(MID(A4829,4,2)),VALUE(MID(A4829,1,2)))+TIME(VALUE(MID(A4829,12,2)),VALUE(MID(A4829,15,2)),VALUE(MID(A4829,18,2))),"")))</f>
        <v/>
      </c>
    </row>
    <row r="4830" customFormat="false" ht="15" hidden="false" customHeight="false" outlineLevel="0" collapsed="false">
      <c r="I4830" s="15" t="str">
        <f aca="false">IF(N4830="","",INT(N4830))</f>
        <v/>
      </c>
      <c r="J4830" s="16" t="str">
        <f aca="false">IF(B4830="","",IF(N4830=_xlfn.MINIFS($N$2:$N$5001,$B$2:$B$5001,B4830),1,0))</f>
        <v/>
      </c>
      <c r="K4830" s="16" t="str">
        <f aca="false">IF(B4830="","",IF(AND(D4830="Formalização",E4830="Concluído"),IF(COUNTIFS($B$2:$B$5001,B4830,$E$2:$E$5001,"Em ajustes",$N$2:$N$5001,"&lt;"&amp;I4830)&gt;0,1,0),0))</f>
        <v/>
      </c>
      <c r="L4830" s="16" t="str">
        <f aca="false">IF(B4830="","",IF(N4830=_xlfn.MAXIFS($N$2:$N$5001,$B$2:$B$5001,B4830,$I$2:$I$5001,I4830),1,0))</f>
        <v/>
      </c>
      <c r="M4830" s="16" t="str">
        <f aca="false">IF(B4830="","",IF(E4830="Em ajustes",IF(N4830=_xlfn.MINIFS($N$2:$N$5001,$B$2:$B$5001,B4830,$E$2:$E$5001,"Em ajustes"),1,0),0))</f>
        <v/>
      </c>
      <c r="N4830" s="17" t="str">
        <f aca="false">IF(A4830="","",IF(ISNUMBER(A4830),A4830,IFERROR(DATE(VALUE(MID(A4830,7,4)),VALUE(MID(A4830,4,2)),VALUE(MID(A4830,1,2)))+TIME(VALUE(MID(A4830,12,2)),VALUE(MID(A4830,15,2)),VALUE(MID(A4830,18,2))),"")))</f>
        <v/>
      </c>
    </row>
    <row r="4831" customFormat="false" ht="15" hidden="false" customHeight="false" outlineLevel="0" collapsed="false">
      <c r="I4831" s="15" t="str">
        <f aca="false">IF(N4831="","",INT(N4831))</f>
        <v/>
      </c>
      <c r="J4831" s="16" t="str">
        <f aca="false">IF(B4831="","",IF(N4831=_xlfn.MINIFS($N$2:$N$5001,$B$2:$B$5001,B4831),1,0))</f>
        <v/>
      </c>
      <c r="K4831" s="16" t="str">
        <f aca="false">IF(B4831="","",IF(AND(D4831="Formalização",E4831="Concluído"),IF(COUNTIFS($B$2:$B$5001,B4831,$E$2:$E$5001,"Em ajustes",$N$2:$N$5001,"&lt;"&amp;I4831)&gt;0,1,0),0))</f>
        <v/>
      </c>
      <c r="L4831" s="16" t="str">
        <f aca="false">IF(B4831="","",IF(N4831=_xlfn.MAXIFS($N$2:$N$5001,$B$2:$B$5001,B4831,$I$2:$I$5001,I4831),1,0))</f>
        <v/>
      </c>
      <c r="M4831" s="16" t="str">
        <f aca="false">IF(B4831="","",IF(E4831="Em ajustes",IF(N4831=_xlfn.MINIFS($N$2:$N$5001,$B$2:$B$5001,B4831,$E$2:$E$5001,"Em ajustes"),1,0),0))</f>
        <v/>
      </c>
      <c r="N4831" s="17" t="str">
        <f aca="false">IF(A4831="","",IF(ISNUMBER(A4831),A4831,IFERROR(DATE(VALUE(MID(A4831,7,4)),VALUE(MID(A4831,4,2)),VALUE(MID(A4831,1,2)))+TIME(VALUE(MID(A4831,12,2)),VALUE(MID(A4831,15,2)),VALUE(MID(A4831,18,2))),"")))</f>
        <v/>
      </c>
    </row>
    <row r="4832" customFormat="false" ht="15" hidden="false" customHeight="false" outlineLevel="0" collapsed="false">
      <c r="I4832" s="15" t="str">
        <f aca="false">IF(N4832="","",INT(N4832))</f>
        <v/>
      </c>
      <c r="J4832" s="16" t="str">
        <f aca="false">IF(B4832="","",IF(N4832=_xlfn.MINIFS($N$2:$N$5001,$B$2:$B$5001,B4832),1,0))</f>
        <v/>
      </c>
      <c r="K4832" s="16" t="str">
        <f aca="false">IF(B4832="","",IF(AND(D4832="Formalização",E4832="Concluído"),IF(COUNTIFS($B$2:$B$5001,B4832,$E$2:$E$5001,"Em ajustes",$N$2:$N$5001,"&lt;"&amp;I4832)&gt;0,1,0),0))</f>
        <v/>
      </c>
      <c r="L4832" s="16" t="str">
        <f aca="false">IF(B4832="","",IF(N4832=_xlfn.MAXIFS($N$2:$N$5001,$B$2:$B$5001,B4832,$I$2:$I$5001,I4832),1,0))</f>
        <v/>
      </c>
      <c r="M4832" s="16" t="str">
        <f aca="false">IF(B4832="","",IF(E4832="Em ajustes",IF(N4832=_xlfn.MINIFS($N$2:$N$5001,$B$2:$B$5001,B4832,$E$2:$E$5001,"Em ajustes"),1,0),0))</f>
        <v/>
      </c>
      <c r="N4832" s="17" t="str">
        <f aca="false">IF(A4832="","",IF(ISNUMBER(A4832),A4832,IFERROR(DATE(VALUE(MID(A4832,7,4)),VALUE(MID(A4832,4,2)),VALUE(MID(A4832,1,2)))+TIME(VALUE(MID(A4832,12,2)),VALUE(MID(A4832,15,2)),VALUE(MID(A4832,18,2))),"")))</f>
        <v/>
      </c>
    </row>
    <row r="4833" customFormat="false" ht="15" hidden="false" customHeight="false" outlineLevel="0" collapsed="false">
      <c r="I4833" s="15" t="str">
        <f aca="false">IF(N4833="","",INT(N4833))</f>
        <v/>
      </c>
      <c r="J4833" s="16" t="str">
        <f aca="false">IF(B4833="","",IF(N4833=_xlfn.MINIFS($N$2:$N$5001,$B$2:$B$5001,B4833),1,0))</f>
        <v/>
      </c>
      <c r="K4833" s="16" t="str">
        <f aca="false">IF(B4833="","",IF(AND(D4833="Formalização",E4833="Concluído"),IF(COUNTIFS($B$2:$B$5001,B4833,$E$2:$E$5001,"Em ajustes",$N$2:$N$5001,"&lt;"&amp;I4833)&gt;0,1,0),0))</f>
        <v/>
      </c>
      <c r="L4833" s="16" t="str">
        <f aca="false">IF(B4833="","",IF(N4833=_xlfn.MAXIFS($N$2:$N$5001,$B$2:$B$5001,B4833,$I$2:$I$5001,I4833),1,0))</f>
        <v/>
      </c>
      <c r="M4833" s="16" t="str">
        <f aca="false">IF(B4833="","",IF(E4833="Em ajustes",IF(N4833=_xlfn.MINIFS($N$2:$N$5001,$B$2:$B$5001,B4833,$E$2:$E$5001,"Em ajustes"),1,0),0))</f>
        <v/>
      </c>
      <c r="N4833" s="17" t="str">
        <f aca="false">IF(A4833="","",IF(ISNUMBER(A4833),A4833,IFERROR(DATE(VALUE(MID(A4833,7,4)),VALUE(MID(A4833,4,2)),VALUE(MID(A4833,1,2)))+TIME(VALUE(MID(A4833,12,2)),VALUE(MID(A4833,15,2)),VALUE(MID(A4833,18,2))),"")))</f>
        <v/>
      </c>
    </row>
    <row r="4834" customFormat="false" ht="15" hidden="false" customHeight="false" outlineLevel="0" collapsed="false">
      <c r="I4834" s="15" t="str">
        <f aca="false">IF(N4834="","",INT(N4834))</f>
        <v/>
      </c>
      <c r="J4834" s="16" t="str">
        <f aca="false">IF(B4834="","",IF(N4834=_xlfn.MINIFS($N$2:$N$5001,$B$2:$B$5001,B4834),1,0))</f>
        <v/>
      </c>
      <c r="K4834" s="16" t="str">
        <f aca="false">IF(B4834="","",IF(AND(D4834="Formalização",E4834="Concluído"),IF(COUNTIFS($B$2:$B$5001,B4834,$E$2:$E$5001,"Em ajustes",$N$2:$N$5001,"&lt;"&amp;I4834)&gt;0,1,0),0))</f>
        <v/>
      </c>
      <c r="L4834" s="16" t="str">
        <f aca="false">IF(B4834="","",IF(N4834=_xlfn.MAXIFS($N$2:$N$5001,$B$2:$B$5001,B4834,$I$2:$I$5001,I4834),1,0))</f>
        <v/>
      </c>
      <c r="M4834" s="16" t="str">
        <f aca="false">IF(B4834="","",IF(E4834="Em ajustes",IF(N4834=_xlfn.MINIFS($N$2:$N$5001,$B$2:$B$5001,B4834,$E$2:$E$5001,"Em ajustes"),1,0),0))</f>
        <v/>
      </c>
      <c r="N4834" s="17" t="str">
        <f aca="false">IF(A4834="","",IF(ISNUMBER(A4834),A4834,IFERROR(DATE(VALUE(MID(A4834,7,4)),VALUE(MID(A4834,4,2)),VALUE(MID(A4834,1,2)))+TIME(VALUE(MID(A4834,12,2)),VALUE(MID(A4834,15,2)),VALUE(MID(A4834,18,2))),"")))</f>
        <v/>
      </c>
    </row>
    <row r="4835" customFormat="false" ht="15" hidden="false" customHeight="false" outlineLevel="0" collapsed="false">
      <c r="I4835" s="15" t="str">
        <f aca="false">IF(N4835="","",INT(N4835))</f>
        <v/>
      </c>
      <c r="J4835" s="16" t="str">
        <f aca="false">IF(B4835="","",IF(N4835=_xlfn.MINIFS($N$2:$N$5001,$B$2:$B$5001,B4835),1,0))</f>
        <v/>
      </c>
      <c r="K4835" s="16" t="str">
        <f aca="false">IF(B4835="","",IF(AND(D4835="Formalização",E4835="Concluído"),IF(COUNTIFS($B$2:$B$5001,B4835,$E$2:$E$5001,"Em ajustes",$N$2:$N$5001,"&lt;"&amp;I4835)&gt;0,1,0),0))</f>
        <v/>
      </c>
      <c r="L4835" s="16" t="str">
        <f aca="false">IF(B4835="","",IF(N4835=_xlfn.MAXIFS($N$2:$N$5001,$B$2:$B$5001,B4835,$I$2:$I$5001,I4835),1,0))</f>
        <v/>
      </c>
      <c r="M4835" s="16" t="str">
        <f aca="false">IF(B4835="","",IF(E4835="Em ajustes",IF(N4835=_xlfn.MINIFS($N$2:$N$5001,$B$2:$B$5001,B4835,$E$2:$E$5001,"Em ajustes"),1,0),0))</f>
        <v/>
      </c>
      <c r="N4835" s="17" t="str">
        <f aca="false">IF(A4835="","",IF(ISNUMBER(A4835),A4835,IFERROR(DATE(VALUE(MID(A4835,7,4)),VALUE(MID(A4835,4,2)),VALUE(MID(A4835,1,2)))+TIME(VALUE(MID(A4835,12,2)),VALUE(MID(A4835,15,2)),VALUE(MID(A4835,18,2))),"")))</f>
        <v/>
      </c>
    </row>
    <row r="4836" customFormat="false" ht="15" hidden="false" customHeight="false" outlineLevel="0" collapsed="false">
      <c r="I4836" s="15" t="str">
        <f aca="false">IF(N4836="","",INT(N4836))</f>
        <v/>
      </c>
      <c r="J4836" s="16" t="str">
        <f aca="false">IF(B4836="","",IF(N4836=_xlfn.MINIFS($N$2:$N$5001,$B$2:$B$5001,B4836),1,0))</f>
        <v/>
      </c>
      <c r="K4836" s="16" t="str">
        <f aca="false">IF(B4836="","",IF(AND(D4836="Formalização",E4836="Concluído"),IF(COUNTIFS($B$2:$B$5001,B4836,$E$2:$E$5001,"Em ajustes",$N$2:$N$5001,"&lt;"&amp;I4836)&gt;0,1,0),0))</f>
        <v/>
      </c>
      <c r="L4836" s="16" t="str">
        <f aca="false">IF(B4836="","",IF(N4836=_xlfn.MAXIFS($N$2:$N$5001,$B$2:$B$5001,B4836,$I$2:$I$5001,I4836),1,0))</f>
        <v/>
      </c>
      <c r="M4836" s="16" t="str">
        <f aca="false">IF(B4836="","",IF(E4836="Em ajustes",IF(N4836=_xlfn.MINIFS($N$2:$N$5001,$B$2:$B$5001,B4836,$E$2:$E$5001,"Em ajustes"),1,0),0))</f>
        <v/>
      </c>
      <c r="N4836" s="17" t="str">
        <f aca="false">IF(A4836="","",IF(ISNUMBER(A4836),A4836,IFERROR(DATE(VALUE(MID(A4836,7,4)),VALUE(MID(A4836,4,2)),VALUE(MID(A4836,1,2)))+TIME(VALUE(MID(A4836,12,2)),VALUE(MID(A4836,15,2)),VALUE(MID(A4836,18,2))),"")))</f>
        <v/>
      </c>
    </row>
    <row r="4837" customFormat="false" ht="15" hidden="false" customHeight="false" outlineLevel="0" collapsed="false">
      <c r="I4837" s="15" t="str">
        <f aca="false">IF(N4837="","",INT(N4837))</f>
        <v/>
      </c>
      <c r="J4837" s="16" t="str">
        <f aca="false">IF(B4837="","",IF(N4837=_xlfn.MINIFS($N$2:$N$5001,$B$2:$B$5001,B4837),1,0))</f>
        <v/>
      </c>
      <c r="K4837" s="16" t="str">
        <f aca="false">IF(B4837="","",IF(AND(D4837="Formalização",E4837="Concluído"),IF(COUNTIFS($B$2:$B$5001,B4837,$E$2:$E$5001,"Em ajustes",$N$2:$N$5001,"&lt;"&amp;I4837)&gt;0,1,0),0))</f>
        <v/>
      </c>
      <c r="L4837" s="16" t="str">
        <f aca="false">IF(B4837="","",IF(N4837=_xlfn.MAXIFS($N$2:$N$5001,$B$2:$B$5001,B4837,$I$2:$I$5001,I4837),1,0))</f>
        <v/>
      </c>
      <c r="M4837" s="16" t="str">
        <f aca="false">IF(B4837="","",IF(E4837="Em ajustes",IF(N4837=_xlfn.MINIFS($N$2:$N$5001,$B$2:$B$5001,B4837,$E$2:$E$5001,"Em ajustes"),1,0),0))</f>
        <v/>
      </c>
      <c r="N4837" s="17" t="str">
        <f aca="false">IF(A4837="","",IF(ISNUMBER(A4837),A4837,IFERROR(DATE(VALUE(MID(A4837,7,4)),VALUE(MID(A4837,4,2)),VALUE(MID(A4837,1,2)))+TIME(VALUE(MID(A4837,12,2)),VALUE(MID(A4837,15,2)),VALUE(MID(A4837,18,2))),"")))</f>
        <v/>
      </c>
    </row>
    <row r="4838" customFormat="false" ht="15" hidden="false" customHeight="false" outlineLevel="0" collapsed="false">
      <c r="I4838" s="15" t="str">
        <f aca="false">IF(N4838="","",INT(N4838))</f>
        <v/>
      </c>
      <c r="J4838" s="16" t="str">
        <f aca="false">IF(B4838="","",IF(N4838=_xlfn.MINIFS($N$2:$N$5001,$B$2:$B$5001,B4838),1,0))</f>
        <v/>
      </c>
      <c r="K4838" s="16" t="str">
        <f aca="false">IF(B4838="","",IF(AND(D4838="Formalização",E4838="Concluído"),IF(COUNTIFS($B$2:$B$5001,B4838,$E$2:$E$5001,"Em ajustes",$N$2:$N$5001,"&lt;"&amp;I4838)&gt;0,1,0),0))</f>
        <v/>
      </c>
      <c r="L4838" s="16" t="str">
        <f aca="false">IF(B4838="","",IF(N4838=_xlfn.MAXIFS($N$2:$N$5001,$B$2:$B$5001,B4838,$I$2:$I$5001,I4838),1,0))</f>
        <v/>
      </c>
      <c r="M4838" s="16" t="str">
        <f aca="false">IF(B4838="","",IF(E4838="Em ajustes",IF(N4838=_xlfn.MINIFS($N$2:$N$5001,$B$2:$B$5001,B4838,$E$2:$E$5001,"Em ajustes"),1,0),0))</f>
        <v/>
      </c>
      <c r="N4838" s="17" t="str">
        <f aca="false">IF(A4838="","",IF(ISNUMBER(A4838),A4838,IFERROR(DATE(VALUE(MID(A4838,7,4)),VALUE(MID(A4838,4,2)),VALUE(MID(A4838,1,2)))+TIME(VALUE(MID(A4838,12,2)),VALUE(MID(A4838,15,2)),VALUE(MID(A4838,18,2))),"")))</f>
        <v/>
      </c>
    </row>
    <row r="4839" customFormat="false" ht="15" hidden="false" customHeight="false" outlineLevel="0" collapsed="false">
      <c r="I4839" s="15" t="str">
        <f aca="false">IF(N4839="","",INT(N4839))</f>
        <v/>
      </c>
      <c r="J4839" s="16" t="str">
        <f aca="false">IF(B4839="","",IF(N4839=_xlfn.MINIFS($N$2:$N$5001,$B$2:$B$5001,B4839),1,0))</f>
        <v/>
      </c>
      <c r="K4839" s="16" t="str">
        <f aca="false">IF(B4839="","",IF(AND(D4839="Formalização",E4839="Concluído"),IF(COUNTIFS($B$2:$B$5001,B4839,$E$2:$E$5001,"Em ajustes",$N$2:$N$5001,"&lt;"&amp;I4839)&gt;0,1,0),0))</f>
        <v/>
      </c>
      <c r="L4839" s="16" t="str">
        <f aca="false">IF(B4839="","",IF(N4839=_xlfn.MAXIFS($N$2:$N$5001,$B$2:$B$5001,B4839,$I$2:$I$5001,I4839),1,0))</f>
        <v/>
      </c>
      <c r="M4839" s="16" t="str">
        <f aca="false">IF(B4839="","",IF(E4839="Em ajustes",IF(N4839=_xlfn.MINIFS($N$2:$N$5001,$B$2:$B$5001,B4839,$E$2:$E$5001,"Em ajustes"),1,0),0))</f>
        <v/>
      </c>
      <c r="N4839" s="17" t="str">
        <f aca="false">IF(A4839="","",IF(ISNUMBER(A4839),A4839,IFERROR(DATE(VALUE(MID(A4839,7,4)),VALUE(MID(A4839,4,2)),VALUE(MID(A4839,1,2)))+TIME(VALUE(MID(A4839,12,2)),VALUE(MID(A4839,15,2)),VALUE(MID(A4839,18,2))),"")))</f>
        <v/>
      </c>
    </row>
    <row r="4840" customFormat="false" ht="15" hidden="false" customHeight="false" outlineLevel="0" collapsed="false">
      <c r="I4840" s="15" t="str">
        <f aca="false">IF(N4840="","",INT(N4840))</f>
        <v/>
      </c>
      <c r="J4840" s="16" t="str">
        <f aca="false">IF(B4840="","",IF(N4840=_xlfn.MINIFS($N$2:$N$5001,$B$2:$B$5001,B4840),1,0))</f>
        <v/>
      </c>
      <c r="K4840" s="16" t="str">
        <f aca="false">IF(B4840="","",IF(AND(D4840="Formalização",E4840="Concluído"),IF(COUNTIFS($B$2:$B$5001,B4840,$E$2:$E$5001,"Em ajustes",$N$2:$N$5001,"&lt;"&amp;I4840)&gt;0,1,0),0))</f>
        <v/>
      </c>
      <c r="L4840" s="16" t="str">
        <f aca="false">IF(B4840="","",IF(N4840=_xlfn.MAXIFS($N$2:$N$5001,$B$2:$B$5001,B4840,$I$2:$I$5001,I4840),1,0))</f>
        <v/>
      </c>
      <c r="M4840" s="16" t="str">
        <f aca="false">IF(B4840="","",IF(E4840="Em ajustes",IF(N4840=_xlfn.MINIFS($N$2:$N$5001,$B$2:$B$5001,B4840,$E$2:$E$5001,"Em ajustes"),1,0),0))</f>
        <v/>
      </c>
      <c r="N4840" s="17" t="str">
        <f aca="false">IF(A4840="","",IF(ISNUMBER(A4840),A4840,IFERROR(DATE(VALUE(MID(A4840,7,4)),VALUE(MID(A4840,4,2)),VALUE(MID(A4840,1,2)))+TIME(VALUE(MID(A4840,12,2)),VALUE(MID(A4840,15,2)),VALUE(MID(A4840,18,2))),"")))</f>
        <v/>
      </c>
    </row>
    <row r="4841" customFormat="false" ht="15" hidden="false" customHeight="false" outlineLevel="0" collapsed="false">
      <c r="I4841" s="15" t="str">
        <f aca="false">IF(N4841="","",INT(N4841))</f>
        <v/>
      </c>
      <c r="J4841" s="16" t="str">
        <f aca="false">IF(B4841="","",IF(N4841=_xlfn.MINIFS($N$2:$N$5001,$B$2:$B$5001,B4841),1,0))</f>
        <v/>
      </c>
      <c r="K4841" s="16" t="str">
        <f aca="false">IF(B4841="","",IF(AND(D4841="Formalização",E4841="Concluído"),IF(COUNTIFS($B$2:$B$5001,B4841,$E$2:$E$5001,"Em ajustes",$N$2:$N$5001,"&lt;"&amp;I4841)&gt;0,1,0),0))</f>
        <v/>
      </c>
      <c r="L4841" s="16" t="str">
        <f aca="false">IF(B4841="","",IF(N4841=_xlfn.MAXIFS($N$2:$N$5001,$B$2:$B$5001,B4841,$I$2:$I$5001,I4841),1,0))</f>
        <v/>
      </c>
      <c r="M4841" s="16" t="str">
        <f aca="false">IF(B4841="","",IF(E4841="Em ajustes",IF(N4841=_xlfn.MINIFS($N$2:$N$5001,$B$2:$B$5001,B4841,$E$2:$E$5001,"Em ajustes"),1,0),0))</f>
        <v/>
      </c>
      <c r="N4841" s="17" t="str">
        <f aca="false">IF(A4841="","",IF(ISNUMBER(A4841),A4841,IFERROR(DATE(VALUE(MID(A4841,7,4)),VALUE(MID(A4841,4,2)),VALUE(MID(A4841,1,2)))+TIME(VALUE(MID(A4841,12,2)),VALUE(MID(A4841,15,2)),VALUE(MID(A4841,18,2))),"")))</f>
        <v/>
      </c>
    </row>
    <row r="4842" customFormat="false" ht="15" hidden="false" customHeight="false" outlineLevel="0" collapsed="false">
      <c r="I4842" s="15" t="str">
        <f aca="false">IF(N4842="","",INT(N4842))</f>
        <v/>
      </c>
      <c r="J4842" s="16" t="str">
        <f aca="false">IF(B4842="","",IF(N4842=_xlfn.MINIFS($N$2:$N$5001,$B$2:$B$5001,B4842),1,0))</f>
        <v/>
      </c>
      <c r="K4842" s="16" t="str">
        <f aca="false">IF(B4842="","",IF(AND(D4842="Formalização",E4842="Concluído"),IF(COUNTIFS($B$2:$B$5001,B4842,$E$2:$E$5001,"Em ajustes",$N$2:$N$5001,"&lt;"&amp;I4842)&gt;0,1,0),0))</f>
        <v/>
      </c>
      <c r="L4842" s="16" t="str">
        <f aca="false">IF(B4842="","",IF(N4842=_xlfn.MAXIFS($N$2:$N$5001,$B$2:$B$5001,B4842,$I$2:$I$5001,I4842),1,0))</f>
        <v/>
      </c>
      <c r="M4842" s="16" t="str">
        <f aca="false">IF(B4842="","",IF(E4842="Em ajustes",IF(N4842=_xlfn.MINIFS($N$2:$N$5001,$B$2:$B$5001,B4842,$E$2:$E$5001,"Em ajustes"),1,0),0))</f>
        <v/>
      </c>
      <c r="N4842" s="17" t="str">
        <f aca="false">IF(A4842="","",IF(ISNUMBER(A4842),A4842,IFERROR(DATE(VALUE(MID(A4842,7,4)),VALUE(MID(A4842,4,2)),VALUE(MID(A4842,1,2)))+TIME(VALUE(MID(A4842,12,2)),VALUE(MID(A4842,15,2)),VALUE(MID(A4842,18,2))),"")))</f>
        <v/>
      </c>
    </row>
    <row r="4843" customFormat="false" ht="15" hidden="false" customHeight="false" outlineLevel="0" collapsed="false">
      <c r="I4843" s="15" t="str">
        <f aca="false">IF(N4843="","",INT(N4843))</f>
        <v/>
      </c>
      <c r="J4843" s="16" t="str">
        <f aca="false">IF(B4843="","",IF(N4843=_xlfn.MINIFS($N$2:$N$5001,$B$2:$B$5001,B4843),1,0))</f>
        <v/>
      </c>
      <c r="K4843" s="16" t="str">
        <f aca="false">IF(B4843="","",IF(AND(D4843="Formalização",E4843="Concluído"),IF(COUNTIFS($B$2:$B$5001,B4843,$E$2:$E$5001,"Em ajustes",$N$2:$N$5001,"&lt;"&amp;I4843)&gt;0,1,0),0))</f>
        <v/>
      </c>
      <c r="L4843" s="16" t="str">
        <f aca="false">IF(B4843="","",IF(N4843=_xlfn.MAXIFS($N$2:$N$5001,$B$2:$B$5001,B4843,$I$2:$I$5001,I4843),1,0))</f>
        <v/>
      </c>
      <c r="M4843" s="16" t="str">
        <f aca="false">IF(B4843="","",IF(E4843="Em ajustes",IF(N4843=_xlfn.MINIFS($N$2:$N$5001,$B$2:$B$5001,B4843,$E$2:$E$5001,"Em ajustes"),1,0),0))</f>
        <v/>
      </c>
      <c r="N4843" s="17" t="str">
        <f aca="false">IF(A4843="","",IF(ISNUMBER(A4843),A4843,IFERROR(DATE(VALUE(MID(A4843,7,4)),VALUE(MID(A4843,4,2)),VALUE(MID(A4843,1,2)))+TIME(VALUE(MID(A4843,12,2)),VALUE(MID(A4843,15,2)),VALUE(MID(A4843,18,2))),"")))</f>
        <v/>
      </c>
    </row>
    <row r="4844" customFormat="false" ht="15" hidden="false" customHeight="false" outlineLevel="0" collapsed="false">
      <c r="I4844" s="15" t="str">
        <f aca="false">IF(N4844="","",INT(N4844))</f>
        <v/>
      </c>
      <c r="J4844" s="16" t="str">
        <f aca="false">IF(B4844="","",IF(N4844=_xlfn.MINIFS($N$2:$N$5001,$B$2:$B$5001,B4844),1,0))</f>
        <v/>
      </c>
      <c r="K4844" s="16" t="str">
        <f aca="false">IF(B4844="","",IF(AND(D4844="Formalização",E4844="Concluído"),IF(COUNTIFS($B$2:$B$5001,B4844,$E$2:$E$5001,"Em ajustes",$N$2:$N$5001,"&lt;"&amp;I4844)&gt;0,1,0),0))</f>
        <v/>
      </c>
      <c r="L4844" s="16" t="str">
        <f aca="false">IF(B4844="","",IF(N4844=_xlfn.MAXIFS($N$2:$N$5001,$B$2:$B$5001,B4844,$I$2:$I$5001,I4844),1,0))</f>
        <v/>
      </c>
      <c r="M4844" s="16" t="str">
        <f aca="false">IF(B4844="","",IF(E4844="Em ajustes",IF(N4844=_xlfn.MINIFS($N$2:$N$5001,$B$2:$B$5001,B4844,$E$2:$E$5001,"Em ajustes"),1,0),0))</f>
        <v/>
      </c>
      <c r="N4844" s="17" t="str">
        <f aca="false">IF(A4844="","",IF(ISNUMBER(A4844),A4844,IFERROR(DATE(VALUE(MID(A4844,7,4)),VALUE(MID(A4844,4,2)),VALUE(MID(A4844,1,2)))+TIME(VALUE(MID(A4844,12,2)),VALUE(MID(A4844,15,2)),VALUE(MID(A4844,18,2))),"")))</f>
        <v/>
      </c>
    </row>
    <row r="4845" customFormat="false" ht="15" hidden="false" customHeight="false" outlineLevel="0" collapsed="false">
      <c r="I4845" s="15" t="str">
        <f aca="false">IF(N4845="","",INT(N4845))</f>
        <v/>
      </c>
      <c r="J4845" s="16" t="str">
        <f aca="false">IF(B4845="","",IF(N4845=_xlfn.MINIFS($N$2:$N$5001,$B$2:$B$5001,B4845),1,0))</f>
        <v/>
      </c>
      <c r="K4845" s="16" t="str">
        <f aca="false">IF(B4845="","",IF(AND(D4845="Formalização",E4845="Concluído"),IF(COUNTIFS($B$2:$B$5001,B4845,$E$2:$E$5001,"Em ajustes",$N$2:$N$5001,"&lt;"&amp;I4845)&gt;0,1,0),0))</f>
        <v/>
      </c>
      <c r="L4845" s="16" t="str">
        <f aca="false">IF(B4845="","",IF(N4845=_xlfn.MAXIFS($N$2:$N$5001,$B$2:$B$5001,B4845,$I$2:$I$5001,I4845),1,0))</f>
        <v/>
      </c>
      <c r="M4845" s="16" t="str">
        <f aca="false">IF(B4845="","",IF(E4845="Em ajustes",IF(N4845=_xlfn.MINIFS($N$2:$N$5001,$B$2:$B$5001,B4845,$E$2:$E$5001,"Em ajustes"),1,0),0))</f>
        <v/>
      </c>
      <c r="N4845" s="17" t="str">
        <f aca="false">IF(A4845="","",IF(ISNUMBER(A4845),A4845,IFERROR(DATE(VALUE(MID(A4845,7,4)),VALUE(MID(A4845,4,2)),VALUE(MID(A4845,1,2)))+TIME(VALUE(MID(A4845,12,2)),VALUE(MID(A4845,15,2)),VALUE(MID(A4845,18,2))),"")))</f>
        <v/>
      </c>
    </row>
    <row r="4846" customFormat="false" ht="15" hidden="false" customHeight="false" outlineLevel="0" collapsed="false">
      <c r="I4846" s="15" t="str">
        <f aca="false">IF(N4846="","",INT(N4846))</f>
        <v/>
      </c>
      <c r="J4846" s="16" t="str">
        <f aca="false">IF(B4846="","",IF(N4846=_xlfn.MINIFS($N$2:$N$5001,$B$2:$B$5001,B4846),1,0))</f>
        <v/>
      </c>
      <c r="K4846" s="16" t="str">
        <f aca="false">IF(B4846="","",IF(AND(D4846="Formalização",E4846="Concluído"),IF(COUNTIFS($B$2:$B$5001,B4846,$E$2:$E$5001,"Em ajustes",$N$2:$N$5001,"&lt;"&amp;I4846)&gt;0,1,0),0))</f>
        <v/>
      </c>
      <c r="L4846" s="16" t="str">
        <f aca="false">IF(B4846="","",IF(N4846=_xlfn.MAXIFS($N$2:$N$5001,$B$2:$B$5001,B4846,$I$2:$I$5001,I4846),1,0))</f>
        <v/>
      </c>
      <c r="M4846" s="16" t="str">
        <f aca="false">IF(B4846="","",IF(E4846="Em ajustes",IF(N4846=_xlfn.MINIFS($N$2:$N$5001,$B$2:$B$5001,B4846,$E$2:$E$5001,"Em ajustes"),1,0),0))</f>
        <v/>
      </c>
      <c r="N4846" s="17" t="str">
        <f aca="false">IF(A4846="","",IF(ISNUMBER(A4846),A4846,IFERROR(DATE(VALUE(MID(A4846,7,4)),VALUE(MID(A4846,4,2)),VALUE(MID(A4846,1,2)))+TIME(VALUE(MID(A4846,12,2)),VALUE(MID(A4846,15,2)),VALUE(MID(A4846,18,2))),"")))</f>
        <v/>
      </c>
    </row>
    <row r="4847" customFormat="false" ht="15" hidden="false" customHeight="false" outlineLevel="0" collapsed="false">
      <c r="I4847" s="15" t="str">
        <f aca="false">IF(N4847="","",INT(N4847))</f>
        <v/>
      </c>
      <c r="J4847" s="16" t="str">
        <f aca="false">IF(B4847="","",IF(N4847=_xlfn.MINIFS($N$2:$N$5001,$B$2:$B$5001,B4847),1,0))</f>
        <v/>
      </c>
      <c r="K4847" s="16" t="str">
        <f aca="false">IF(B4847="","",IF(AND(D4847="Formalização",E4847="Concluído"),IF(COUNTIFS($B$2:$B$5001,B4847,$E$2:$E$5001,"Em ajustes",$N$2:$N$5001,"&lt;"&amp;I4847)&gt;0,1,0),0))</f>
        <v/>
      </c>
      <c r="L4847" s="16" t="str">
        <f aca="false">IF(B4847="","",IF(N4847=_xlfn.MAXIFS($N$2:$N$5001,$B$2:$B$5001,B4847,$I$2:$I$5001,I4847),1,0))</f>
        <v/>
      </c>
      <c r="M4847" s="16" t="str">
        <f aca="false">IF(B4847="","",IF(E4847="Em ajustes",IF(N4847=_xlfn.MINIFS($N$2:$N$5001,$B$2:$B$5001,B4847,$E$2:$E$5001,"Em ajustes"),1,0),0))</f>
        <v/>
      </c>
      <c r="N4847" s="17" t="str">
        <f aca="false">IF(A4847="","",IF(ISNUMBER(A4847),A4847,IFERROR(DATE(VALUE(MID(A4847,7,4)),VALUE(MID(A4847,4,2)),VALUE(MID(A4847,1,2)))+TIME(VALUE(MID(A4847,12,2)),VALUE(MID(A4847,15,2)),VALUE(MID(A4847,18,2))),"")))</f>
        <v/>
      </c>
    </row>
    <row r="4848" customFormat="false" ht="15" hidden="false" customHeight="false" outlineLevel="0" collapsed="false">
      <c r="I4848" s="15" t="str">
        <f aca="false">IF(N4848="","",INT(N4848))</f>
        <v/>
      </c>
      <c r="J4848" s="16" t="str">
        <f aca="false">IF(B4848="","",IF(N4848=_xlfn.MINIFS($N$2:$N$5001,$B$2:$B$5001,B4848),1,0))</f>
        <v/>
      </c>
      <c r="K4848" s="16" t="str">
        <f aca="false">IF(B4848="","",IF(AND(D4848="Formalização",E4848="Concluído"),IF(COUNTIFS($B$2:$B$5001,B4848,$E$2:$E$5001,"Em ajustes",$N$2:$N$5001,"&lt;"&amp;I4848)&gt;0,1,0),0))</f>
        <v/>
      </c>
      <c r="L4848" s="16" t="str">
        <f aca="false">IF(B4848="","",IF(N4848=_xlfn.MAXIFS($N$2:$N$5001,$B$2:$B$5001,B4848,$I$2:$I$5001,I4848),1,0))</f>
        <v/>
      </c>
      <c r="M4848" s="16" t="str">
        <f aca="false">IF(B4848="","",IF(E4848="Em ajustes",IF(N4848=_xlfn.MINIFS($N$2:$N$5001,$B$2:$B$5001,B4848,$E$2:$E$5001,"Em ajustes"),1,0),0))</f>
        <v/>
      </c>
      <c r="N4848" s="17" t="str">
        <f aca="false">IF(A4848="","",IF(ISNUMBER(A4848),A4848,IFERROR(DATE(VALUE(MID(A4848,7,4)),VALUE(MID(A4848,4,2)),VALUE(MID(A4848,1,2)))+TIME(VALUE(MID(A4848,12,2)),VALUE(MID(A4848,15,2)),VALUE(MID(A4848,18,2))),"")))</f>
        <v/>
      </c>
    </row>
    <row r="4849" customFormat="false" ht="15" hidden="false" customHeight="false" outlineLevel="0" collapsed="false">
      <c r="I4849" s="15" t="str">
        <f aca="false">IF(N4849="","",INT(N4849))</f>
        <v/>
      </c>
      <c r="J4849" s="16" t="str">
        <f aca="false">IF(B4849="","",IF(N4849=_xlfn.MINIFS($N$2:$N$5001,$B$2:$B$5001,B4849),1,0))</f>
        <v/>
      </c>
      <c r="K4849" s="16" t="str">
        <f aca="false">IF(B4849="","",IF(AND(D4849="Formalização",E4849="Concluído"),IF(COUNTIFS($B$2:$B$5001,B4849,$E$2:$E$5001,"Em ajustes",$N$2:$N$5001,"&lt;"&amp;I4849)&gt;0,1,0),0))</f>
        <v/>
      </c>
      <c r="L4849" s="16" t="str">
        <f aca="false">IF(B4849="","",IF(N4849=_xlfn.MAXIFS($N$2:$N$5001,$B$2:$B$5001,B4849,$I$2:$I$5001,I4849),1,0))</f>
        <v/>
      </c>
      <c r="M4849" s="16" t="str">
        <f aca="false">IF(B4849="","",IF(E4849="Em ajustes",IF(N4849=_xlfn.MINIFS($N$2:$N$5001,$B$2:$B$5001,B4849,$E$2:$E$5001,"Em ajustes"),1,0),0))</f>
        <v/>
      </c>
      <c r="N4849" s="17" t="str">
        <f aca="false">IF(A4849="","",IF(ISNUMBER(A4849),A4849,IFERROR(DATE(VALUE(MID(A4849,7,4)),VALUE(MID(A4849,4,2)),VALUE(MID(A4849,1,2)))+TIME(VALUE(MID(A4849,12,2)),VALUE(MID(A4849,15,2)),VALUE(MID(A4849,18,2))),"")))</f>
        <v/>
      </c>
    </row>
    <row r="4850" customFormat="false" ht="15" hidden="false" customHeight="false" outlineLevel="0" collapsed="false">
      <c r="I4850" s="15" t="str">
        <f aca="false">IF(N4850="","",INT(N4850))</f>
        <v/>
      </c>
      <c r="J4850" s="16" t="str">
        <f aca="false">IF(B4850="","",IF(N4850=_xlfn.MINIFS($N$2:$N$5001,$B$2:$B$5001,B4850),1,0))</f>
        <v/>
      </c>
      <c r="K4850" s="16" t="str">
        <f aca="false">IF(B4850="","",IF(AND(D4850="Formalização",E4850="Concluído"),IF(COUNTIFS($B$2:$B$5001,B4850,$E$2:$E$5001,"Em ajustes",$N$2:$N$5001,"&lt;"&amp;I4850)&gt;0,1,0),0))</f>
        <v/>
      </c>
      <c r="L4850" s="16" t="str">
        <f aca="false">IF(B4850="","",IF(N4850=_xlfn.MAXIFS($N$2:$N$5001,$B$2:$B$5001,B4850,$I$2:$I$5001,I4850),1,0))</f>
        <v/>
      </c>
      <c r="M4850" s="16" t="str">
        <f aca="false">IF(B4850="","",IF(E4850="Em ajustes",IF(N4850=_xlfn.MINIFS($N$2:$N$5001,$B$2:$B$5001,B4850,$E$2:$E$5001,"Em ajustes"),1,0),0))</f>
        <v/>
      </c>
      <c r="N4850" s="17" t="str">
        <f aca="false">IF(A4850="","",IF(ISNUMBER(A4850),A4850,IFERROR(DATE(VALUE(MID(A4850,7,4)),VALUE(MID(A4850,4,2)),VALUE(MID(A4850,1,2)))+TIME(VALUE(MID(A4850,12,2)),VALUE(MID(A4850,15,2)),VALUE(MID(A4850,18,2))),"")))</f>
        <v/>
      </c>
    </row>
    <row r="4851" customFormat="false" ht="15" hidden="false" customHeight="false" outlineLevel="0" collapsed="false">
      <c r="I4851" s="15" t="str">
        <f aca="false">IF(N4851="","",INT(N4851))</f>
        <v/>
      </c>
      <c r="J4851" s="16" t="str">
        <f aca="false">IF(B4851="","",IF(N4851=_xlfn.MINIFS($N$2:$N$5001,$B$2:$B$5001,B4851),1,0))</f>
        <v/>
      </c>
      <c r="K4851" s="16" t="str">
        <f aca="false">IF(B4851="","",IF(AND(D4851="Formalização",E4851="Concluído"),IF(COUNTIFS($B$2:$B$5001,B4851,$E$2:$E$5001,"Em ajustes",$N$2:$N$5001,"&lt;"&amp;I4851)&gt;0,1,0),0))</f>
        <v/>
      </c>
      <c r="L4851" s="16" t="str">
        <f aca="false">IF(B4851="","",IF(N4851=_xlfn.MAXIFS($N$2:$N$5001,$B$2:$B$5001,B4851,$I$2:$I$5001,I4851),1,0))</f>
        <v/>
      </c>
      <c r="M4851" s="16" t="str">
        <f aca="false">IF(B4851="","",IF(E4851="Em ajustes",IF(N4851=_xlfn.MINIFS($N$2:$N$5001,$B$2:$B$5001,B4851,$E$2:$E$5001,"Em ajustes"),1,0),0))</f>
        <v/>
      </c>
      <c r="N4851" s="17" t="str">
        <f aca="false">IF(A4851="","",IF(ISNUMBER(A4851),A4851,IFERROR(DATE(VALUE(MID(A4851,7,4)),VALUE(MID(A4851,4,2)),VALUE(MID(A4851,1,2)))+TIME(VALUE(MID(A4851,12,2)),VALUE(MID(A4851,15,2)),VALUE(MID(A4851,18,2))),"")))</f>
        <v/>
      </c>
    </row>
    <row r="4852" customFormat="false" ht="15" hidden="false" customHeight="false" outlineLevel="0" collapsed="false">
      <c r="I4852" s="15" t="str">
        <f aca="false">IF(N4852="","",INT(N4852))</f>
        <v/>
      </c>
      <c r="J4852" s="16" t="str">
        <f aca="false">IF(B4852="","",IF(N4852=_xlfn.MINIFS($N$2:$N$5001,$B$2:$B$5001,B4852),1,0))</f>
        <v/>
      </c>
      <c r="K4852" s="16" t="str">
        <f aca="false">IF(B4852="","",IF(AND(D4852="Formalização",E4852="Concluído"),IF(COUNTIFS($B$2:$B$5001,B4852,$E$2:$E$5001,"Em ajustes",$N$2:$N$5001,"&lt;"&amp;I4852)&gt;0,1,0),0))</f>
        <v/>
      </c>
      <c r="L4852" s="16" t="str">
        <f aca="false">IF(B4852="","",IF(N4852=_xlfn.MAXIFS($N$2:$N$5001,$B$2:$B$5001,B4852,$I$2:$I$5001,I4852),1,0))</f>
        <v/>
      </c>
      <c r="M4852" s="16" t="str">
        <f aca="false">IF(B4852="","",IF(E4852="Em ajustes",IF(N4852=_xlfn.MINIFS($N$2:$N$5001,$B$2:$B$5001,B4852,$E$2:$E$5001,"Em ajustes"),1,0),0))</f>
        <v/>
      </c>
      <c r="N4852" s="17" t="str">
        <f aca="false">IF(A4852="","",IF(ISNUMBER(A4852),A4852,IFERROR(DATE(VALUE(MID(A4852,7,4)),VALUE(MID(A4852,4,2)),VALUE(MID(A4852,1,2)))+TIME(VALUE(MID(A4852,12,2)),VALUE(MID(A4852,15,2)),VALUE(MID(A4852,18,2))),"")))</f>
        <v/>
      </c>
    </row>
    <row r="4853" customFormat="false" ht="15" hidden="false" customHeight="false" outlineLevel="0" collapsed="false">
      <c r="I4853" s="15" t="str">
        <f aca="false">IF(N4853="","",INT(N4853))</f>
        <v/>
      </c>
      <c r="J4853" s="16" t="str">
        <f aca="false">IF(B4853="","",IF(N4853=_xlfn.MINIFS($N$2:$N$5001,$B$2:$B$5001,B4853),1,0))</f>
        <v/>
      </c>
      <c r="K4853" s="16" t="str">
        <f aca="false">IF(B4853="","",IF(AND(D4853="Formalização",E4853="Concluído"),IF(COUNTIFS($B$2:$B$5001,B4853,$E$2:$E$5001,"Em ajustes",$N$2:$N$5001,"&lt;"&amp;I4853)&gt;0,1,0),0))</f>
        <v/>
      </c>
      <c r="L4853" s="16" t="str">
        <f aca="false">IF(B4853="","",IF(N4853=_xlfn.MAXIFS($N$2:$N$5001,$B$2:$B$5001,B4853,$I$2:$I$5001,I4853),1,0))</f>
        <v/>
      </c>
      <c r="M4853" s="16" t="str">
        <f aca="false">IF(B4853="","",IF(E4853="Em ajustes",IF(N4853=_xlfn.MINIFS($N$2:$N$5001,$B$2:$B$5001,B4853,$E$2:$E$5001,"Em ajustes"),1,0),0))</f>
        <v/>
      </c>
      <c r="N4853" s="17" t="str">
        <f aca="false">IF(A4853="","",IF(ISNUMBER(A4853),A4853,IFERROR(DATE(VALUE(MID(A4853,7,4)),VALUE(MID(A4853,4,2)),VALUE(MID(A4853,1,2)))+TIME(VALUE(MID(A4853,12,2)),VALUE(MID(A4853,15,2)),VALUE(MID(A4853,18,2))),"")))</f>
        <v/>
      </c>
    </row>
    <row r="4854" customFormat="false" ht="15" hidden="false" customHeight="false" outlineLevel="0" collapsed="false">
      <c r="I4854" s="15" t="str">
        <f aca="false">IF(N4854="","",INT(N4854))</f>
        <v/>
      </c>
      <c r="J4854" s="16" t="str">
        <f aca="false">IF(B4854="","",IF(N4854=_xlfn.MINIFS($N$2:$N$5001,$B$2:$B$5001,B4854),1,0))</f>
        <v/>
      </c>
      <c r="K4854" s="16" t="str">
        <f aca="false">IF(B4854="","",IF(AND(D4854="Formalização",E4854="Concluído"),IF(COUNTIFS($B$2:$B$5001,B4854,$E$2:$E$5001,"Em ajustes",$N$2:$N$5001,"&lt;"&amp;I4854)&gt;0,1,0),0))</f>
        <v/>
      </c>
      <c r="L4854" s="16" t="str">
        <f aca="false">IF(B4854="","",IF(N4854=_xlfn.MAXIFS($N$2:$N$5001,$B$2:$B$5001,B4854,$I$2:$I$5001,I4854),1,0))</f>
        <v/>
      </c>
      <c r="M4854" s="16" t="str">
        <f aca="false">IF(B4854="","",IF(E4854="Em ajustes",IF(N4854=_xlfn.MINIFS($N$2:$N$5001,$B$2:$B$5001,B4854,$E$2:$E$5001,"Em ajustes"),1,0),0))</f>
        <v/>
      </c>
      <c r="N4854" s="17" t="str">
        <f aca="false">IF(A4854="","",IF(ISNUMBER(A4854),A4854,IFERROR(DATE(VALUE(MID(A4854,7,4)),VALUE(MID(A4854,4,2)),VALUE(MID(A4854,1,2)))+TIME(VALUE(MID(A4854,12,2)),VALUE(MID(A4854,15,2)),VALUE(MID(A4854,18,2))),"")))</f>
        <v/>
      </c>
    </row>
    <row r="4855" customFormat="false" ht="15" hidden="false" customHeight="false" outlineLevel="0" collapsed="false">
      <c r="I4855" s="15" t="str">
        <f aca="false">IF(N4855="","",INT(N4855))</f>
        <v/>
      </c>
      <c r="J4855" s="16" t="str">
        <f aca="false">IF(B4855="","",IF(N4855=_xlfn.MINIFS($N$2:$N$5001,$B$2:$B$5001,B4855),1,0))</f>
        <v/>
      </c>
      <c r="K4855" s="16" t="str">
        <f aca="false">IF(B4855="","",IF(AND(D4855="Formalização",E4855="Concluído"),IF(COUNTIFS($B$2:$B$5001,B4855,$E$2:$E$5001,"Em ajustes",$N$2:$N$5001,"&lt;"&amp;I4855)&gt;0,1,0),0))</f>
        <v/>
      </c>
      <c r="L4855" s="16" t="str">
        <f aca="false">IF(B4855="","",IF(N4855=_xlfn.MAXIFS($N$2:$N$5001,$B$2:$B$5001,B4855,$I$2:$I$5001,I4855),1,0))</f>
        <v/>
      </c>
      <c r="M4855" s="16" t="str">
        <f aca="false">IF(B4855="","",IF(E4855="Em ajustes",IF(N4855=_xlfn.MINIFS($N$2:$N$5001,$B$2:$B$5001,B4855,$E$2:$E$5001,"Em ajustes"),1,0),0))</f>
        <v/>
      </c>
      <c r="N4855" s="17" t="str">
        <f aca="false">IF(A4855="","",IF(ISNUMBER(A4855),A4855,IFERROR(DATE(VALUE(MID(A4855,7,4)),VALUE(MID(A4855,4,2)),VALUE(MID(A4855,1,2)))+TIME(VALUE(MID(A4855,12,2)),VALUE(MID(A4855,15,2)),VALUE(MID(A4855,18,2))),"")))</f>
        <v/>
      </c>
    </row>
    <row r="4856" customFormat="false" ht="15" hidden="false" customHeight="false" outlineLevel="0" collapsed="false">
      <c r="I4856" s="15" t="str">
        <f aca="false">IF(N4856="","",INT(N4856))</f>
        <v/>
      </c>
      <c r="J4856" s="16" t="str">
        <f aca="false">IF(B4856="","",IF(N4856=_xlfn.MINIFS($N$2:$N$5001,$B$2:$B$5001,B4856),1,0))</f>
        <v/>
      </c>
      <c r="K4856" s="16" t="str">
        <f aca="false">IF(B4856="","",IF(AND(D4856="Formalização",E4856="Concluído"),IF(COUNTIFS($B$2:$B$5001,B4856,$E$2:$E$5001,"Em ajustes",$N$2:$N$5001,"&lt;"&amp;I4856)&gt;0,1,0),0))</f>
        <v/>
      </c>
      <c r="L4856" s="16" t="str">
        <f aca="false">IF(B4856="","",IF(N4856=_xlfn.MAXIFS($N$2:$N$5001,$B$2:$B$5001,B4856,$I$2:$I$5001,I4856),1,0))</f>
        <v/>
      </c>
      <c r="M4856" s="16" t="str">
        <f aca="false">IF(B4856="","",IF(E4856="Em ajustes",IF(N4856=_xlfn.MINIFS($N$2:$N$5001,$B$2:$B$5001,B4856,$E$2:$E$5001,"Em ajustes"),1,0),0))</f>
        <v/>
      </c>
      <c r="N4856" s="17" t="str">
        <f aca="false">IF(A4856="","",IF(ISNUMBER(A4856),A4856,IFERROR(DATE(VALUE(MID(A4856,7,4)),VALUE(MID(A4856,4,2)),VALUE(MID(A4856,1,2)))+TIME(VALUE(MID(A4856,12,2)),VALUE(MID(A4856,15,2)),VALUE(MID(A4856,18,2))),"")))</f>
        <v/>
      </c>
    </row>
    <row r="4857" customFormat="false" ht="15" hidden="false" customHeight="false" outlineLevel="0" collapsed="false">
      <c r="I4857" s="15" t="str">
        <f aca="false">IF(N4857="","",INT(N4857))</f>
        <v/>
      </c>
      <c r="J4857" s="16" t="str">
        <f aca="false">IF(B4857="","",IF(N4857=_xlfn.MINIFS($N$2:$N$5001,$B$2:$B$5001,B4857),1,0))</f>
        <v/>
      </c>
      <c r="K4857" s="16" t="str">
        <f aca="false">IF(B4857="","",IF(AND(D4857="Formalização",E4857="Concluído"),IF(COUNTIFS($B$2:$B$5001,B4857,$E$2:$E$5001,"Em ajustes",$N$2:$N$5001,"&lt;"&amp;I4857)&gt;0,1,0),0))</f>
        <v/>
      </c>
      <c r="L4857" s="16" t="str">
        <f aca="false">IF(B4857="","",IF(N4857=_xlfn.MAXIFS($N$2:$N$5001,$B$2:$B$5001,B4857,$I$2:$I$5001,I4857),1,0))</f>
        <v/>
      </c>
      <c r="M4857" s="16" t="str">
        <f aca="false">IF(B4857="","",IF(E4857="Em ajustes",IF(N4857=_xlfn.MINIFS($N$2:$N$5001,$B$2:$B$5001,B4857,$E$2:$E$5001,"Em ajustes"),1,0),0))</f>
        <v/>
      </c>
      <c r="N4857" s="17" t="str">
        <f aca="false">IF(A4857="","",IF(ISNUMBER(A4857),A4857,IFERROR(DATE(VALUE(MID(A4857,7,4)),VALUE(MID(A4857,4,2)),VALUE(MID(A4857,1,2)))+TIME(VALUE(MID(A4857,12,2)),VALUE(MID(A4857,15,2)),VALUE(MID(A4857,18,2))),"")))</f>
        <v/>
      </c>
    </row>
    <row r="4858" customFormat="false" ht="15" hidden="false" customHeight="false" outlineLevel="0" collapsed="false">
      <c r="I4858" s="15" t="str">
        <f aca="false">IF(N4858="","",INT(N4858))</f>
        <v/>
      </c>
      <c r="J4858" s="16" t="str">
        <f aca="false">IF(B4858="","",IF(N4858=_xlfn.MINIFS($N$2:$N$5001,$B$2:$B$5001,B4858),1,0))</f>
        <v/>
      </c>
      <c r="K4858" s="16" t="str">
        <f aca="false">IF(B4858="","",IF(AND(D4858="Formalização",E4858="Concluído"),IF(COUNTIFS($B$2:$B$5001,B4858,$E$2:$E$5001,"Em ajustes",$N$2:$N$5001,"&lt;"&amp;I4858)&gt;0,1,0),0))</f>
        <v/>
      </c>
      <c r="L4858" s="16" t="str">
        <f aca="false">IF(B4858="","",IF(N4858=_xlfn.MAXIFS($N$2:$N$5001,$B$2:$B$5001,B4858,$I$2:$I$5001,I4858),1,0))</f>
        <v/>
      </c>
      <c r="M4858" s="16" t="str">
        <f aca="false">IF(B4858="","",IF(E4858="Em ajustes",IF(N4858=_xlfn.MINIFS($N$2:$N$5001,$B$2:$B$5001,B4858,$E$2:$E$5001,"Em ajustes"),1,0),0))</f>
        <v/>
      </c>
      <c r="N4858" s="17" t="str">
        <f aca="false">IF(A4858="","",IF(ISNUMBER(A4858),A4858,IFERROR(DATE(VALUE(MID(A4858,7,4)),VALUE(MID(A4858,4,2)),VALUE(MID(A4858,1,2)))+TIME(VALUE(MID(A4858,12,2)),VALUE(MID(A4858,15,2)),VALUE(MID(A4858,18,2))),"")))</f>
        <v/>
      </c>
    </row>
    <row r="4859" customFormat="false" ht="15" hidden="false" customHeight="false" outlineLevel="0" collapsed="false">
      <c r="I4859" s="15" t="str">
        <f aca="false">IF(N4859="","",INT(N4859))</f>
        <v/>
      </c>
      <c r="J4859" s="16" t="str">
        <f aca="false">IF(B4859="","",IF(N4859=_xlfn.MINIFS($N$2:$N$5001,$B$2:$B$5001,B4859),1,0))</f>
        <v/>
      </c>
      <c r="K4859" s="16" t="str">
        <f aca="false">IF(B4859="","",IF(AND(D4859="Formalização",E4859="Concluído"),IF(COUNTIFS($B$2:$B$5001,B4859,$E$2:$E$5001,"Em ajustes",$N$2:$N$5001,"&lt;"&amp;I4859)&gt;0,1,0),0))</f>
        <v/>
      </c>
      <c r="L4859" s="16" t="str">
        <f aca="false">IF(B4859="","",IF(N4859=_xlfn.MAXIFS($N$2:$N$5001,$B$2:$B$5001,B4859,$I$2:$I$5001,I4859),1,0))</f>
        <v/>
      </c>
      <c r="M4859" s="16" t="str">
        <f aca="false">IF(B4859="","",IF(E4859="Em ajustes",IF(N4859=_xlfn.MINIFS($N$2:$N$5001,$B$2:$B$5001,B4859,$E$2:$E$5001,"Em ajustes"),1,0),0))</f>
        <v/>
      </c>
      <c r="N4859" s="17" t="str">
        <f aca="false">IF(A4859="","",IF(ISNUMBER(A4859),A4859,IFERROR(DATE(VALUE(MID(A4859,7,4)),VALUE(MID(A4859,4,2)),VALUE(MID(A4859,1,2)))+TIME(VALUE(MID(A4859,12,2)),VALUE(MID(A4859,15,2)),VALUE(MID(A4859,18,2))),"")))</f>
        <v/>
      </c>
    </row>
    <row r="4860" customFormat="false" ht="15" hidden="false" customHeight="false" outlineLevel="0" collapsed="false">
      <c r="I4860" s="15" t="str">
        <f aca="false">IF(N4860="","",INT(N4860))</f>
        <v/>
      </c>
      <c r="J4860" s="16" t="str">
        <f aca="false">IF(B4860="","",IF(N4860=_xlfn.MINIFS($N$2:$N$5001,$B$2:$B$5001,B4860),1,0))</f>
        <v/>
      </c>
      <c r="K4860" s="16" t="str">
        <f aca="false">IF(B4860="","",IF(AND(D4860="Formalização",E4860="Concluído"),IF(COUNTIFS($B$2:$B$5001,B4860,$E$2:$E$5001,"Em ajustes",$N$2:$N$5001,"&lt;"&amp;I4860)&gt;0,1,0),0))</f>
        <v/>
      </c>
      <c r="L4860" s="16" t="str">
        <f aca="false">IF(B4860="","",IF(N4860=_xlfn.MAXIFS($N$2:$N$5001,$B$2:$B$5001,B4860,$I$2:$I$5001,I4860),1,0))</f>
        <v/>
      </c>
      <c r="M4860" s="16" t="str">
        <f aca="false">IF(B4860="","",IF(E4860="Em ajustes",IF(N4860=_xlfn.MINIFS($N$2:$N$5001,$B$2:$B$5001,B4860,$E$2:$E$5001,"Em ajustes"),1,0),0))</f>
        <v/>
      </c>
      <c r="N4860" s="17" t="str">
        <f aca="false">IF(A4860="","",IF(ISNUMBER(A4860),A4860,IFERROR(DATE(VALUE(MID(A4860,7,4)),VALUE(MID(A4860,4,2)),VALUE(MID(A4860,1,2)))+TIME(VALUE(MID(A4860,12,2)),VALUE(MID(A4860,15,2)),VALUE(MID(A4860,18,2))),"")))</f>
        <v/>
      </c>
    </row>
    <row r="4861" customFormat="false" ht="15" hidden="false" customHeight="false" outlineLevel="0" collapsed="false">
      <c r="I4861" s="15" t="str">
        <f aca="false">IF(N4861="","",INT(N4861))</f>
        <v/>
      </c>
      <c r="J4861" s="16" t="str">
        <f aca="false">IF(B4861="","",IF(N4861=_xlfn.MINIFS($N$2:$N$5001,$B$2:$B$5001,B4861),1,0))</f>
        <v/>
      </c>
      <c r="K4861" s="16" t="str">
        <f aca="false">IF(B4861="","",IF(AND(D4861="Formalização",E4861="Concluído"),IF(COUNTIFS($B$2:$B$5001,B4861,$E$2:$E$5001,"Em ajustes",$N$2:$N$5001,"&lt;"&amp;I4861)&gt;0,1,0),0))</f>
        <v/>
      </c>
      <c r="L4861" s="16" t="str">
        <f aca="false">IF(B4861="","",IF(N4861=_xlfn.MAXIFS($N$2:$N$5001,$B$2:$B$5001,B4861,$I$2:$I$5001,I4861),1,0))</f>
        <v/>
      </c>
      <c r="M4861" s="16" t="str">
        <f aca="false">IF(B4861="","",IF(E4861="Em ajustes",IF(N4861=_xlfn.MINIFS($N$2:$N$5001,$B$2:$B$5001,B4861,$E$2:$E$5001,"Em ajustes"),1,0),0))</f>
        <v/>
      </c>
      <c r="N4861" s="17" t="str">
        <f aca="false">IF(A4861="","",IF(ISNUMBER(A4861),A4861,IFERROR(DATE(VALUE(MID(A4861,7,4)),VALUE(MID(A4861,4,2)),VALUE(MID(A4861,1,2)))+TIME(VALUE(MID(A4861,12,2)),VALUE(MID(A4861,15,2)),VALUE(MID(A4861,18,2))),"")))</f>
        <v/>
      </c>
    </row>
    <row r="4862" customFormat="false" ht="15" hidden="false" customHeight="false" outlineLevel="0" collapsed="false">
      <c r="I4862" s="15" t="str">
        <f aca="false">IF(N4862="","",INT(N4862))</f>
        <v/>
      </c>
      <c r="J4862" s="16" t="str">
        <f aca="false">IF(B4862="","",IF(N4862=_xlfn.MINIFS($N$2:$N$5001,$B$2:$B$5001,B4862),1,0))</f>
        <v/>
      </c>
      <c r="K4862" s="16" t="str">
        <f aca="false">IF(B4862="","",IF(AND(D4862="Formalização",E4862="Concluído"),IF(COUNTIFS($B$2:$B$5001,B4862,$E$2:$E$5001,"Em ajustes",$N$2:$N$5001,"&lt;"&amp;I4862)&gt;0,1,0),0))</f>
        <v/>
      </c>
      <c r="L4862" s="16" t="str">
        <f aca="false">IF(B4862="","",IF(N4862=_xlfn.MAXIFS($N$2:$N$5001,$B$2:$B$5001,B4862,$I$2:$I$5001,I4862),1,0))</f>
        <v/>
      </c>
      <c r="M4862" s="16" t="str">
        <f aca="false">IF(B4862="","",IF(E4862="Em ajustes",IF(N4862=_xlfn.MINIFS($N$2:$N$5001,$B$2:$B$5001,B4862,$E$2:$E$5001,"Em ajustes"),1,0),0))</f>
        <v/>
      </c>
      <c r="N4862" s="17" t="str">
        <f aca="false">IF(A4862="","",IF(ISNUMBER(A4862),A4862,IFERROR(DATE(VALUE(MID(A4862,7,4)),VALUE(MID(A4862,4,2)),VALUE(MID(A4862,1,2)))+TIME(VALUE(MID(A4862,12,2)),VALUE(MID(A4862,15,2)),VALUE(MID(A4862,18,2))),"")))</f>
        <v/>
      </c>
    </row>
    <row r="4863" customFormat="false" ht="15" hidden="false" customHeight="false" outlineLevel="0" collapsed="false">
      <c r="I4863" s="15" t="str">
        <f aca="false">IF(N4863="","",INT(N4863))</f>
        <v/>
      </c>
      <c r="J4863" s="16" t="str">
        <f aca="false">IF(B4863="","",IF(N4863=_xlfn.MINIFS($N$2:$N$5001,$B$2:$B$5001,B4863),1,0))</f>
        <v/>
      </c>
      <c r="K4863" s="16" t="str">
        <f aca="false">IF(B4863="","",IF(AND(D4863="Formalização",E4863="Concluído"),IF(COUNTIFS($B$2:$B$5001,B4863,$E$2:$E$5001,"Em ajustes",$N$2:$N$5001,"&lt;"&amp;I4863)&gt;0,1,0),0))</f>
        <v/>
      </c>
      <c r="L4863" s="16" t="str">
        <f aca="false">IF(B4863="","",IF(N4863=_xlfn.MAXIFS($N$2:$N$5001,$B$2:$B$5001,B4863,$I$2:$I$5001,I4863),1,0))</f>
        <v/>
      </c>
      <c r="M4863" s="16" t="str">
        <f aca="false">IF(B4863="","",IF(E4863="Em ajustes",IF(N4863=_xlfn.MINIFS($N$2:$N$5001,$B$2:$B$5001,B4863,$E$2:$E$5001,"Em ajustes"),1,0),0))</f>
        <v/>
      </c>
      <c r="N4863" s="17" t="str">
        <f aca="false">IF(A4863="","",IF(ISNUMBER(A4863),A4863,IFERROR(DATE(VALUE(MID(A4863,7,4)),VALUE(MID(A4863,4,2)),VALUE(MID(A4863,1,2)))+TIME(VALUE(MID(A4863,12,2)),VALUE(MID(A4863,15,2)),VALUE(MID(A4863,18,2))),"")))</f>
        <v/>
      </c>
    </row>
    <row r="4864" customFormat="false" ht="15" hidden="false" customHeight="false" outlineLevel="0" collapsed="false">
      <c r="I4864" s="15" t="str">
        <f aca="false">IF(N4864="","",INT(N4864))</f>
        <v/>
      </c>
      <c r="J4864" s="16" t="str">
        <f aca="false">IF(B4864="","",IF(N4864=_xlfn.MINIFS($N$2:$N$5001,$B$2:$B$5001,B4864),1,0))</f>
        <v/>
      </c>
      <c r="K4864" s="16" t="str">
        <f aca="false">IF(B4864="","",IF(AND(D4864="Formalização",E4864="Concluído"),IF(COUNTIFS($B$2:$B$5001,B4864,$E$2:$E$5001,"Em ajustes",$N$2:$N$5001,"&lt;"&amp;I4864)&gt;0,1,0),0))</f>
        <v/>
      </c>
      <c r="L4864" s="16" t="str">
        <f aca="false">IF(B4864="","",IF(N4864=_xlfn.MAXIFS($N$2:$N$5001,$B$2:$B$5001,B4864,$I$2:$I$5001,I4864),1,0))</f>
        <v/>
      </c>
      <c r="M4864" s="16" t="str">
        <f aca="false">IF(B4864="","",IF(E4864="Em ajustes",IF(N4864=_xlfn.MINIFS($N$2:$N$5001,$B$2:$B$5001,B4864,$E$2:$E$5001,"Em ajustes"),1,0),0))</f>
        <v/>
      </c>
      <c r="N4864" s="17" t="str">
        <f aca="false">IF(A4864="","",IF(ISNUMBER(A4864),A4864,IFERROR(DATE(VALUE(MID(A4864,7,4)),VALUE(MID(A4864,4,2)),VALUE(MID(A4864,1,2)))+TIME(VALUE(MID(A4864,12,2)),VALUE(MID(A4864,15,2)),VALUE(MID(A4864,18,2))),"")))</f>
        <v/>
      </c>
    </row>
    <row r="4865" customFormat="false" ht="15" hidden="false" customHeight="false" outlineLevel="0" collapsed="false">
      <c r="I4865" s="15" t="str">
        <f aca="false">IF(N4865="","",INT(N4865))</f>
        <v/>
      </c>
      <c r="J4865" s="16" t="str">
        <f aca="false">IF(B4865="","",IF(N4865=_xlfn.MINIFS($N$2:$N$5001,$B$2:$B$5001,B4865),1,0))</f>
        <v/>
      </c>
      <c r="K4865" s="16" t="str">
        <f aca="false">IF(B4865="","",IF(AND(D4865="Formalização",E4865="Concluído"),IF(COUNTIFS($B$2:$B$5001,B4865,$E$2:$E$5001,"Em ajustes",$N$2:$N$5001,"&lt;"&amp;I4865)&gt;0,1,0),0))</f>
        <v/>
      </c>
      <c r="L4865" s="16" t="str">
        <f aca="false">IF(B4865="","",IF(N4865=_xlfn.MAXIFS($N$2:$N$5001,$B$2:$B$5001,B4865,$I$2:$I$5001,I4865),1,0))</f>
        <v/>
      </c>
      <c r="M4865" s="16" t="str">
        <f aca="false">IF(B4865="","",IF(E4865="Em ajustes",IF(N4865=_xlfn.MINIFS($N$2:$N$5001,$B$2:$B$5001,B4865,$E$2:$E$5001,"Em ajustes"),1,0),0))</f>
        <v/>
      </c>
      <c r="N4865" s="17" t="str">
        <f aca="false">IF(A4865="","",IF(ISNUMBER(A4865),A4865,IFERROR(DATE(VALUE(MID(A4865,7,4)),VALUE(MID(A4865,4,2)),VALUE(MID(A4865,1,2)))+TIME(VALUE(MID(A4865,12,2)),VALUE(MID(A4865,15,2)),VALUE(MID(A4865,18,2))),"")))</f>
        <v/>
      </c>
    </row>
    <row r="4866" customFormat="false" ht="15" hidden="false" customHeight="false" outlineLevel="0" collapsed="false">
      <c r="I4866" s="15" t="str">
        <f aca="false">IF(N4866="","",INT(N4866))</f>
        <v/>
      </c>
      <c r="J4866" s="16" t="str">
        <f aca="false">IF(B4866="","",IF(N4866=_xlfn.MINIFS($N$2:$N$5001,$B$2:$B$5001,B4866),1,0))</f>
        <v/>
      </c>
      <c r="K4866" s="16" t="str">
        <f aca="false">IF(B4866="","",IF(AND(D4866="Formalização",E4866="Concluído"),IF(COUNTIFS($B$2:$B$5001,B4866,$E$2:$E$5001,"Em ajustes",$N$2:$N$5001,"&lt;"&amp;I4866)&gt;0,1,0),0))</f>
        <v/>
      </c>
      <c r="L4866" s="16" t="str">
        <f aca="false">IF(B4866="","",IF(N4866=_xlfn.MAXIFS($N$2:$N$5001,$B$2:$B$5001,B4866,$I$2:$I$5001,I4866),1,0))</f>
        <v/>
      </c>
      <c r="M4866" s="16" t="str">
        <f aca="false">IF(B4866="","",IF(E4866="Em ajustes",IF(N4866=_xlfn.MINIFS($N$2:$N$5001,$B$2:$B$5001,B4866,$E$2:$E$5001,"Em ajustes"),1,0),0))</f>
        <v/>
      </c>
      <c r="N4866" s="17" t="str">
        <f aca="false">IF(A4866="","",IF(ISNUMBER(A4866),A4866,IFERROR(DATE(VALUE(MID(A4866,7,4)),VALUE(MID(A4866,4,2)),VALUE(MID(A4866,1,2)))+TIME(VALUE(MID(A4866,12,2)),VALUE(MID(A4866,15,2)),VALUE(MID(A4866,18,2))),"")))</f>
        <v/>
      </c>
    </row>
    <row r="4867" customFormat="false" ht="15" hidden="false" customHeight="false" outlineLevel="0" collapsed="false">
      <c r="I4867" s="15" t="str">
        <f aca="false">IF(N4867="","",INT(N4867))</f>
        <v/>
      </c>
      <c r="J4867" s="16" t="str">
        <f aca="false">IF(B4867="","",IF(N4867=_xlfn.MINIFS($N$2:$N$5001,$B$2:$B$5001,B4867),1,0))</f>
        <v/>
      </c>
      <c r="K4867" s="16" t="str">
        <f aca="false">IF(B4867="","",IF(AND(D4867="Formalização",E4867="Concluído"),IF(COUNTIFS($B$2:$B$5001,B4867,$E$2:$E$5001,"Em ajustes",$N$2:$N$5001,"&lt;"&amp;I4867)&gt;0,1,0),0))</f>
        <v/>
      </c>
      <c r="L4867" s="16" t="str">
        <f aca="false">IF(B4867="","",IF(N4867=_xlfn.MAXIFS($N$2:$N$5001,$B$2:$B$5001,B4867,$I$2:$I$5001,I4867),1,0))</f>
        <v/>
      </c>
      <c r="M4867" s="16" t="str">
        <f aca="false">IF(B4867="","",IF(E4867="Em ajustes",IF(N4867=_xlfn.MINIFS($N$2:$N$5001,$B$2:$B$5001,B4867,$E$2:$E$5001,"Em ajustes"),1,0),0))</f>
        <v/>
      </c>
      <c r="N4867" s="17" t="str">
        <f aca="false">IF(A4867="","",IF(ISNUMBER(A4867),A4867,IFERROR(DATE(VALUE(MID(A4867,7,4)),VALUE(MID(A4867,4,2)),VALUE(MID(A4867,1,2)))+TIME(VALUE(MID(A4867,12,2)),VALUE(MID(A4867,15,2)),VALUE(MID(A4867,18,2))),"")))</f>
        <v/>
      </c>
    </row>
    <row r="4868" customFormat="false" ht="15" hidden="false" customHeight="false" outlineLevel="0" collapsed="false">
      <c r="I4868" s="15" t="str">
        <f aca="false">IF(N4868="","",INT(N4868))</f>
        <v/>
      </c>
      <c r="J4868" s="16" t="str">
        <f aca="false">IF(B4868="","",IF(N4868=_xlfn.MINIFS($N$2:$N$5001,$B$2:$B$5001,B4868),1,0))</f>
        <v/>
      </c>
      <c r="K4868" s="16" t="str">
        <f aca="false">IF(B4868="","",IF(AND(D4868="Formalização",E4868="Concluído"),IF(COUNTIFS($B$2:$B$5001,B4868,$E$2:$E$5001,"Em ajustes",$N$2:$N$5001,"&lt;"&amp;I4868)&gt;0,1,0),0))</f>
        <v/>
      </c>
      <c r="L4868" s="16" t="str">
        <f aca="false">IF(B4868="","",IF(N4868=_xlfn.MAXIFS($N$2:$N$5001,$B$2:$B$5001,B4868,$I$2:$I$5001,I4868),1,0))</f>
        <v/>
      </c>
      <c r="M4868" s="16" t="str">
        <f aca="false">IF(B4868="","",IF(E4868="Em ajustes",IF(N4868=_xlfn.MINIFS($N$2:$N$5001,$B$2:$B$5001,B4868,$E$2:$E$5001,"Em ajustes"),1,0),0))</f>
        <v/>
      </c>
      <c r="N4868" s="17" t="str">
        <f aca="false">IF(A4868="","",IF(ISNUMBER(A4868),A4868,IFERROR(DATE(VALUE(MID(A4868,7,4)),VALUE(MID(A4868,4,2)),VALUE(MID(A4868,1,2)))+TIME(VALUE(MID(A4868,12,2)),VALUE(MID(A4868,15,2)),VALUE(MID(A4868,18,2))),"")))</f>
        <v/>
      </c>
    </row>
    <row r="4869" customFormat="false" ht="15" hidden="false" customHeight="false" outlineLevel="0" collapsed="false">
      <c r="I4869" s="15" t="str">
        <f aca="false">IF(N4869="","",INT(N4869))</f>
        <v/>
      </c>
      <c r="J4869" s="16" t="str">
        <f aca="false">IF(B4869="","",IF(N4869=_xlfn.MINIFS($N$2:$N$5001,$B$2:$B$5001,B4869),1,0))</f>
        <v/>
      </c>
      <c r="K4869" s="16" t="str">
        <f aca="false">IF(B4869="","",IF(AND(D4869="Formalização",E4869="Concluído"),IF(COUNTIFS($B$2:$B$5001,B4869,$E$2:$E$5001,"Em ajustes",$N$2:$N$5001,"&lt;"&amp;I4869)&gt;0,1,0),0))</f>
        <v/>
      </c>
      <c r="L4869" s="16" t="str">
        <f aca="false">IF(B4869="","",IF(N4869=_xlfn.MAXIFS($N$2:$N$5001,$B$2:$B$5001,B4869,$I$2:$I$5001,I4869),1,0))</f>
        <v/>
      </c>
      <c r="M4869" s="16" t="str">
        <f aca="false">IF(B4869="","",IF(E4869="Em ajustes",IF(N4869=_xlfn.MINIFS($N$2:$N$5001,$B$2:$B$5001,B4869,$E$2:$E$5001,"Em ajustes"),1,0),0))</f>
        <v/>
      </c>
      <c r="N4869" s="17" t="str">
        <f aca="false">IF(A4869="","",IF(ISNUMBER(A4869),A4869,IFERROR(DATE(VALUE(MID(A4869,7,4)),VALUE(MID(A4869,4,2)),VALUE(MID(A4869,1,2)))+TIME(VALUE(MID(A4869,12,2)),VALUE(MID(A4869,15,2)),VALUE(MID(A4869,18,2))),"")))</f>
        <v/>
      </c>
    </row>
    <row r="4870" customFormat="false" ht="15" hidden="false" customHeight="false" outlineLevel="0" collapsed="false">
      <c r="I4870" s="15" t="str">
        <f aca="false">IF(N4870="","",INT(N4870))</f>
        <v/>
      </c>
      <c r="J4870" s="16" t="str">
        <f aca="false">IF(B4870="","",IF(N4870=_xlfn.MINIFS($N$2:$N$5001,$B$2:$B$5001,B4870),1,0))</f>
        <v/>
      </c>
      <c r="K4870" s="16" t="str">
        <f aca="false">IF(B4870="","",IF(AND(D4870="Formalização",E4870="Concluído"),IF(COUNTIFS($B$2:$B$5001,B4870,$E$2:$E$5001,"Em ajustes",$N$2:$N$5001,"&lt;"&amp;I4870)&gt;0,1,0),0))</f>
        <v/>
      </c>
      <c r="L4870" s="16" t="str">
        <f aca="false">IF(B4870="","",IF(N4870=_xlfn.MAXIFS($N$2:$N$5001,$B$2:$B$5001,B4870,$I$2:$I$5001,I4870),1,0))</f>
        <v/>
      </c>
      <c r="M4870" s="16" t="str">
        <f aca="false">IF(B4870="","",IF(E4870="Em ajustes",IF(N4870=_xlfn.MINIFS($N$2:$N$5001,$B$2:$B$5001,B4870,$E$2:$E$5001,"Em ajustes"),1,0),0))</f>
        <v/>
      </c>
      <c r="N4870" s="17" t="str">
        <f aca="false">IF(A4870="","",IF(ISNUMBER(A4870),A4870,IFERROR(DATE(VALUE(MID(A4870,7,4)),VALUE(MID(A4870,4,2)),VALUE(MID(A4870,1,2)))+TIME(VALUE(MID(A4870,12,2)),VALUE(MID(A4870,15,2)),VALUE(MID(A4870,18,2))),"")))</f>
        <v/>
      </c>
    </row>
    <row r="4871" customFormat="false" ht="15" hidden="false" customHeight="false" outlineLevel="0" collapsed="false">
      <c r="I4871" s="15" t="str">
        <f aca="false">IF(N4871="","",INT(N4871))</f>
        <v/>
      </c>
      <c r="J4871" s="16" t="str">
        <f aca="false">IF(B4871="","",IF(N4871=_xlfn.MINIFS($N$2:$N$5001,$B$2:$B$5001,B4871),1,0))</f>
        <v/>
      </c>
      <c r="K4871" s="16" t="str">
        <f aca="false">IF(B4871="","",IF(AND(D4871="Formalização",E4871="Concluído"),IF(COUNTIFS($B$2:$B$5001,B4871,$E$2:$E$5001,"Em ajustes",$N$2:$N$5001,"&lt;"&amp;I4871)&gt;0,1,0),0))</f>
        <v/>
      </c>
      <c r="L4871" s="16" t="str">
        <f aca="false">IF(B4871="","",IF(N4871=_xlfn.MAXIFS($N$2:$N$5001,$B$2:$B$5001,B4871,$I$2:$I$5001,I4871),1,0))</f>
        <v/>
      </c>
      <c r="M4871" s="16" t="str">
        <f aca="false">IF(B4871="","",IF(E4871="Em ajustes",IF(N4871=_xlfn.MINIFS($N$2:$N$5001,$B$2:$B$5001,B4871,$E$2:$E$5001,"Em ajustes"),1,0),0))</f>
        <v/>
      </c>
      <c r="N4871" s="17" t="str">
        <f aca="false">IF(A4871="","",IF(ISNUMBER(A4871),A4871,IFERROR(DATE(VALUE(MID(A4871,7,4)),VALUE(MID(A4871,4,2)),VALUE(MID(A4871,1,2)))+TIME(VALUE(MID(A4871,12,2)),VALUE(MID(A4871,15,2)),VALUE(MID(A4871,18,2))),"")))</f>
        <v/>
      </c>
    </row>
    <row r="4872" customFormat="false" ht="15" hidden="false" customHeight="false" outlineLevel="0" collapsed="false">
      <c r="I4872" s="15" t="str">
        <f aca="false">IF(N4872="","",INT(N4872))</f>
        <v/>
      </c>
      <c r="J4872" s="16" t="str">
        <f aca="false">IF(B4872="","",IF(N4872=_xlfn.MINIFS($N$2:$N$5001,$B$2:$B$5001,B4872),1,0))</f>
        <v/>
      </c>
      <c r="K4872" s="16" t="str">
        <f aca="false">IF(B4872="","",IF(AND(D4872="Formalização",E4872="Concluído"),IF(COUNTIFS($B$2:$B$5001,B4872,$E$2:$E$5001,"Em ajustes",$N$2:$N$5001,"&lt;"&amp;I4872)&gt;0,1,0),0))</f>
        <v/>
      </c>
      <c r="L4872" s="16" t="str">
        <f aca="false">IF(B4872="","",IF(N4872=_xlfn.MAXIFS($N$2:$N$5001,$B$2:$B$5001,B4872,$I$2:$I$5001,I4872),1,0))</f>
        <v/>
      </c>
      <c r="M4872" s="16" t="str">
        <f aca="false">IF(B4872="","",IF(E4872="Em ajustes",IF(N4872=_xlfn.MINIFS($N$2:$N$5001,$B$2:$B$5001,B4872,$E$2:$E$5001,"Em ajustes"),1,0),0))</f>
        <v/>
      </c>
      <c r="N4872" s="17" t="str">
        <f aca="false">IF(A4872="","",IF(ISNUMBER(A4872),A4872,IFERROR(DATE(VALUE(MID(A4872,7,4)),VALUE(MID(A4872,4,2)),VALUE(MID(A4872,1,2)))+TIME(VALUE(MID(A4872,12,2)),VALUE(MID(A4872,15,2)),VALUE(MID(A4872,18,2))),"")))</f>
        <v/>
      </c>
    </row>
    <row r="4873" customFormat="false" ht="15" hidden="false" customHeight="false" outlineLevel="0" collapsed="false">
      <c r="I4873" s="15" t="str">
        <f aca="false">IF(N4873="","",INT(N4873))</f>
        <v/>
      </c>
      <c r="J4873" s="16" t="str">
        <f aca="false">IF(B4873="","",IF(N4873=_xlfn.MINIFS($N$2:$N$5001,$B$2:$B$5001,B4873),1,0))</f>
        <v/>
      </c>
      <c r="K4873" s="16" t="str">
        <f aca="false">IF(B4873="","",IF(AND(D4873="Formalização",E4873="Concluído"),IF(COUNTIFS($B$2:$B$5001,B4873,$E$2:$E$5001,"Em ajustes",$N$2:$N$5001,"&lt;"&amp;I4873)&gt;0,1,0),0))</f>
        <v/>
      </c>
      <c r="L4873" s="16" t="str">
        <f aca="false">IF(B4873="","",IF(N4873=_xlfn.MAXIFS($N$2:$N$5001,$B$2:$B$5001,B4873,$I$2:$I$5001,I4873),1,0))</f>
        <v/>
      </c>
      <c r="M4873" s="16" t="str">
        <f aca="false">IF(B4873="","",IF(E4873="Em ajustes",IF(N4873=_xlfn.MINIFS($N$2:$N$5001,$B$2:$B$5001,B4873,$E$2:$E$5001,"Em ajustes"),1,0),0))</f>
        <v/>
      </c>
      <c r="N4873" s="17" t="str">
        <f aca="false">IF(A4873="","",IF(ISNUMBER(A4873),A4873,IFERROR(DATE(VALUE(MID(A4873,7,4)),VALUE(MID(A4873,4,2)),VALUE(MID(A4873,1,2)))+TIME(VALUE(MID(A4873,12,2)),VALUE(MID(A4873,15,2)),VALUE(MID(A4873,18,2))),"")))</f>
        <v/>
      </c>
    </row>
    <row r="4874" customFormat="false" ht="15" hidden="false" customHeight="false" outlineLevel="0" collapsed="false">
      <c r="I4874" s="15" t="str">
        <f aca="false">IF(N4874="","",INT(N4874))</f>
        <v/>
      </c>
      <c r="J4874" s="16" t="str">
        <f aca="false">IF(B4874="","",IF(N4874=_xlfn.MINIFS($N$2:$N$5001,$B$2:$B$5001,B4874),1,0))</f>
        <v/>
      </c>
      <c r="K4874" s="16" t="str">
        <f aca="false">IF(B4874="","",IF(AND(D4874="Formalização",E4874="Concluído"),IF(COUNTIFS($B$2:$B$5001,B4874,$E$2:$E$5001,"Em ajustes",$N$2:$N$5001,"&lt;"&amp;I4874)&gt;0,1,0),0))</f>
        <v/>
      </c>
      <c r="L4874" s="16" t="str">
        <f aca="false">IF(B4874="","",IF(N4874=_xlfn.MAXIFS($N$2:$N$5001,$B$2:$B$5001,B4874,$I$2:$I$5001,I4874),1,0))</f>
        <v/>
      </c>
      <c r="M4874" s="16" t="str">
        <f aca="false">IF(B4874="","",IF(E4874="Em ajustes",IF(N4874=_xlfn.MINIFS($N$2:$N$5001,$B$2:$B$5001,B4874,$E$2:$E$5001,"Em ajustes"),1,0),0))</f>
        <v/>
      </c>
      <c r="N4874" s="17" t="str">
        <f aca="false">IF(A4874="","",IF(ISNUMBER(A4874),A4874,IFERROR(DATE(VALUE(MID(A4874,7,4)),VALUE(MID(A4874,4,2)),VALUE(MID(A4874,1,2)))+TIME(VALUE(MID(A4874,12,2)),VALUE(MID(A4874,15,2)),VALUE(MID(A4874,18,2))),"")))</f>
        <v/>
      </c>
    </row>
    <row r="4875" customFormat="false" ht="15" hidden="false" customHeight="false" outlineLevel="0" collapsed="false">
      <c r="I4875" s="15" t="str">
        <f aca="false">IF(N4875="","",INT(N4875))</f>
        <v/>
      </c>
      <c r="J4875" s="16" t="str">
        <f aca="false">IF(B4875="","",IF(N4875=_xlfn.MINIFS($N$2:$N$5001,$B$2:$B$5001,B4875),1,0))</f>
        <v/>
      </c>
      <c r="K4875" s="16" t="str">
        <f aca="false">IF(B4875="","",IF(AND(D4875="Formalização",E4875="Concluído"),IF(COUNTIFS($B$2:$B$5001,B4875,$E$2:$E$5001,"Em ajustes",$N$2:$N$5001,"&lt;"&amp;I4875)&gt;0,1,0),0))</f>
        <v/>
      </c>
      <c r="L4875" s="16" t="str">
        <f aca="false">IF(B4875="","",IF(N4875=_xlfn.MAXIFS($N$2:$N$5001,$B$2:$B$5001,B4875,$I$2:$I$5001,I4875),1,0))</f>
        <v/>
      </c>
      <c r="M4875" s="16" t="str">
        <f aca="false">IF(B4875="","",IF(E4875="Em ajustes",IF(N4875=_xlfn.MINIFS($N$2:$N$5001,$B$2:$B$5001,B4875,$E$2:$E$5001,"Em ajustes"),1,0),0))</f>
        <v/>
      </c>
      <c r="N4875" s="17" t="str">
        <f aca="false">IF(A4875="","",IF(ISNUMBER(A4875),A4875,IFERROR(DATE(VALUE(MID(A4875,7,4)),VALUE(MID(A4875,4,2)),VALUE(MID(A4875,1,2)))+TIME(VALUE(MID(A4875,12,2)),VALUE(MID(A4875,15,2)),VALUE(MID(A4875,18,2))),"")))</f>
        <v/>
      </c>
    </row>
    <row r="4876" customFormat="false" ht="15" hidden="false" customHeight="false" outlineLevel="0" collapsed="false">
      <c r="I4876" s="15" t="str">
        <f aca="false">IF(N4876="","",INT(N4876))</f>
        <v/>
      </c>
      <c r="J4876" s="16" t="str">
        <f aca="false">IF(B4876="","",IF(N4876=_xlfn.MINIFS($N$2:$N$5001,$B$2:$B$5001,B4876),1,0))</f>
        <v/>
      </c>
      <c r="K4876" s="16" t="str">
        <f aca="false">IF(B4876="","",IF(AND(D4876="Formalização",E4876="Concluído"),IF(COUNTIFS($B$2:$B$5001,B4876,$E$2:$E$5001,"Em ajustes",$N$2:$N$5001,"&lt;"&amp;I4876)&gt;0,1,0),0))</f>
        <v/>
      </c>
      <c r="L4876" s="16" t="str">
        <f aca="false">IF(B4876="","",IF(N4876=_xlfn.MAXIFS($N$2:$N$5001,$B$2:$B$5001,B4876,$I$2:$I$5001,I4876),1,0))</f>
        <v/>
      </c>
      <c r="M4876" s="16" t="str">
        <f aca="false">IF(B4876="","",IF(E4876="Em ajustes",IF(N4876=_xlfn.MINIFS($N$2:$N$5001,$B$2:$B$5001,B4876,$E$2:$E$5001,"Em ajustes"),1,0),0))</f>
        <v/>
      </c>
      <c r="N4876" s="17" t="str">
        <f aca="false">IF(A4876="","",IF(ISNUMBER(A4876),A4876,IFERROR(DATE(VALUE(MID(A4876,7,4)),VALUE(MID(A4876,4,2)),VALUE(MID(A4876,1,2)))+TIME(VALUE(MID(A4876,12,2)),VALUE(MID(A4876,15,2)),VALUE(MID(A4876,18,2))),"")))</f>
        <v/>
      </c>
    </row>
    <row r="4877" customFormat="false" ht="15" hidden="false" customHeight="false" outlineLevel="0" collapsed="false">
      <c r="I4877" s="15" t="str">
        <f aca="false">IF(N4877="","",INT(N4877))</f>
        <v/>
      </c>
      <c r="J4877" s="16" t="str">
        <f aca="false">IF(B4877="","",IF(N4877=_xlfn.MINIFS($N$2:$N$5001,$B$2:$B$5001,B4877),1,0))</f>
        <v/>
      </c>
      <c r="K4877" s="16" t="str">
        <f aca="false">IF(B4877="","",IF(AND(D4877="Formalização",E4877="Concluído"),IF(COUNTIFS($B$2:$B$5001,B4877,$E$2:$E$5001,"Em ajustes",$N$2:$N$5001,"&lt;"&amp;I4877)&gt;0,1,0),0))</f>
        <v/>
      </c>
      <c r="L4877" s="16" t="str">
        <f aca="false">IF(B4877="","",IF(N4877=_xlfn.MAXIFS($N$2:$N$5001,$B$2:$B$5001,B4877,$I$2:$I$5001,I4877),1,0))</f>
        <v/>
      </c>
      <c r="M4877" s="16" t="str">
        <f aca="false">IF(B4877="","",IF(E4877="Em ajustes",IF(N4877=_xlfn.MINIFS($N$2:$N$5001,$B$2:$B$5001,B4877,$E$2:$E$5001,"Em ajustes"),1,0),0))</f>
        <v/>
      </c>
      <c r="N4877" s="17" t="str">
        <f aca="false">IF(A4877="","",IF(ISNUMBER(A4877),A4877,IFERROR(DATE(VALUE(MID(A4877,7,4)),VALUE(MID(A4877,4,2)),VALUE(MID(A4877,1,2)))+TIME(VALUE(MID(A4877,12,2)),VALUE(MID(A4877,15,2)),VALUE(MID(A4877,18,2))),"")))</f>
        <v/>
      </c>
    </row>
    <row r="4878" customFormat="false" ht="15" hidden="false" customHeight="false" outlineLevel="0" collapsed="false">
      <c r="I4878" s="15" t="str">
        <f aca="false">IF(N4878="","",INT(N4878))</f>
        <v/>
      </c>
      <c r="J4878" s="16" t="str">
        <f aca="false">IF(B4878="","",IF(N4878=_xlfn.MINIFS($N$2:$N$5001,$B$2:$B$5001,B4878),1,0))</f>
        <v/>
      </c>
      <c r="K4878" s="16" t="str">
        <f aca="false">IF(B4878="","",IF(AND(D4878="Formalização",E4878="Concluído"),IF(COUNTIFS($B$2:$B$5001,B4878,$E$2:$E$5001,"Em ajustes",$N$2:$N$5001,"&lt;"&amp;I4878)&gt;0,1,0),0))</f>
        <v/>
      </c>
      <c r="L4878" s="16" t="str">
        <f aca="false">IF(B4878="","",IF(N4878=_xlfn.MAXIFS($N$2:$N$5001,$B$2:$B$5001,B4878,$I$2:$I$5001,I4878),1,0))</f>
        <v/>
      </c>
      <c r="M4878" s="16" t="str">
        <f aca="false">IF(B4878="","",IF(E4878="Em ajustes",IF(N4878=_xlfn.MINIFS($N$2:$N$5001,$B$2:$B$5001,B4878,$E$2:$E$5001,"Em ajustes"),1,0),0))</f>
        <v/>
      </c>
      <c r="N4878" s="17" t="str">
        <f aca="false">IF(A4878="","",IF(ISNUMBER(A4878),A4878,IFERROR(DATE(VALUE(MID(A4878,7,4)),VALUE(MID(A4878,4,2)),VALUE(MID(A4878,1,2)))+TIME(VALUE(MID(A4878,12,2)),VALUE(MID(A4878,15,2)),VALUE(MID(A4878,18,2))),"")))</f>
        <v/>
      </c>
    </row>
    <row r="4879" customFormat="false" ht="15" hidden="false" customHeight="false" outlineLevel="0" collapsed="false">
      <c r="I4879" s="15" t="str">
        <f aca="false">IF(N4879="","",INT(N4879))</f>
        <v/>
      </c>
      <c r="J4879" s="16" t="str">
        <f aca="false">IF(B4879="","",IF(N4879=_xlfn.MINIFS($N$2:$N$5001,$B$2:$B$5001,B4879),1,0))</f>
        <v/>
      </c>
      <c r="K4879" s="16" t="str">
        <f aca="false">IF(B4879="","",IF(AND(D4879="Formalização",E4879="Concluído"),IF(COUNTIFS($B$2:$B$5001,B4879,$E$2:$E$5001,"Em ajustes",$N$2:$N$5001,"&lt;"&amp;I4879)&gt;0,1,0),0))</f>
        <v/>
      </c>
      <c r="L4879" s="16" t="str">
        <f aca="false">IF(B4879="","",IF(N4879=_xlfn.MAXIFS($N$2:$N$5001,$B$2:$B$5001,B4879,$I$2:$I$5001,I4879),1,0))</f>
        <v/>
      </c>
      <c r="M4879" s="16" t="str">
        <f aca="false">IF(B4879="","",IF(E4879="Em ajustes",IF(N4879=_xlfn.MINIFS($N$2:$N$5001,$B$2:$B$5001,B4879,$E$2:$E$5001,"Em ajustes"),1,0),0))</f>
        <v/>
      </c>
      <c r="N4879" s="17" t="str">
        <f aca="false">IF(A4879="","",IF(ISNUMBER(A4879),A4879,IFERROR(DATE(VALUE(MID(A4879,7,4)),VALUE(MID(A4879,4,2)),VALUE(MID(A4879,1,2)))+TIME(VALUE(MID(A4879,12,2)),VALUE(MID(A4879,15,2)),VALUE(MID(A4879,18,2))),"")))</f>
        <v/>
      </c>
    </row>
    <row r="4880" customFormat="false" ht="15" hidden="false" customHeight="false" outlineLevel="0" collapsed="false">
      <c r="I4880" s="15" t="str">
        <f aca="false">IF(N4880="","",INT(N4880))</f>
        <v/>
      </c>
      <c r="J4880" s="16" t="str">
        <f aca="false">IF(B4880="","",IF(N4880=_xlfn.MINIFS($N$2:$N$5001,$B$2:$B$5001,B4880),1,0))</f>
        <v/>
      </c>
      <c r="K4880" s="16" t="str">
        <f aca="false">IF(B4880="","",IF(AND(D4880="Formalização",E4880="Concluído"),IF(COUNTIFS($B$2:$B$5001,B4880,$E$2:$E$5001,"Em ajustes",$N$2:$N$5001,"&lt;"&amp;I4880)&gt;0,1,0),0))</f>
        <v/>
      </c>
      <c r="L4880" s="16" t="str">
        <f aca="false">IF(B4880="","",IF(N4880=_xlfn.MAXIFS($N$2:$N$5001,$B$2:$B$5001,B4880,$I$2:$I$5001,I4880),1,0))</f>
        <v/>
      </c>
      <c r="M4880" s="16" t="str">
        <f aca="false">IF(B4880="","",IF(E4880="Em ajustes",IF(N4880=_xlfn.MINIFS($N$2:$N$5001,$B$2:$B$5001,B4880,$E$2:$E$5001,"Em ajustes"),1,0),0))</f>
        <v/>
      </c>
      <c r="N4880" s="17" t="str">
        <f aca="false">IF(A4880="","",IF(ISNUMBER(A4880),A4880,IFERROR(DATE(VALUE(MID(A4880,7,4)),VALUE(MID(A4880,4,2)),VALUE(MID(A4880,1,2)))+TIME(VALUE(MID(A4880,12,2)),VALUE(MID(A4880,15,2)),VALUE(MID(A4880,18,2))),"")))</f>
        <v/>
      </c>
    </row>
    <row r="4881" customFormat="false" ht="15" hidden="false" customHeight="false" outlineLevel="0" collapsed="false">
      <c r="I4881" s="15" t="str">
        <f aca="false">IF(N4881="","",INT(N4881))</f>
        <v/>
      </c>
      <c r="J4881" s="16" t="str">
        <f aca="false">IF(B4881="","",IF(N4881=_xlfn.MINIFS($N$2:$N$5001,$B$2:$B$5001,B4881),1,0))</f>
        <v/>
      </c>
      <c r="K4881" s="16" t="str">
        <f aca="false">IF(B4881="","",IF(AND(D4881="Formalização",E4881="Concluído"),IF(COUNTIFS($B$2:$B$5001,B4881,$E$2:$E$5001,"Em ajustes",$N$2:$N$5001,"&lt;"&amp;I4881)&gt;0,1,0),0))</f>
        <v/>
      </c>
      <c r="L4881" s="16" t="str">
        <f aca="false">IF(B4881="","",IF(N4881=_xlfn.MAXIFS($N$2:$N$5001,$B$2:$B$5001,B4881,$I$2:$I$5001,I4881),1,0))</f>
        <v/>
      </c>
      <c r="M4881" s="16" t="str">
        <f aca="false">IF(B4881="","",IF(E4881="Em ajustes",IF(N4881=_xlfn.MINIFS($N$2:$N$5001,$B$2:$B$5001,B4881,$E$2:$E$5001,"Em ajustes"),1,0),0))</f>
        <v/>
      </c>
      <c r="N4881" s="17" t="str">
        <f aca="false">IF(A4881="","",IF(ISNUMBER(A4881),A4881,IFERROR(DATE(VALUE(MID(A4881,7,4)),VALUE(MID(A4881,4,2)),VALUE(MID(A4881,1,2)))+TIME(VALUE(MID(A4881,12,2)),VALUE(MID(A4881,15,2)),VALUE(MID(A4881,18,2))),"")))</f>
        <v/>
      </c>
    </row>
    <row r="4882" customFormat="false" ht="15" hidden="false" customHeight="false" outlineLevel="0" collapsed="false">
      <c r="I4882" s="15" t="str">
        <f aca="false">IF(N4882="","",INT(N4882))</f>
        <v/>
      </c>
      <c r="J4882" s="16" t="str">
        <f aca="false">IF(B4882="","",IF(N4882=_xlfn.MINIFS($N$2:$N$5001,$B$2:$B$5001,B4882),1,0))</f>
        <v/>
      </c>
      <c r="K4882" s="16" t="str">
        <f aca="false">IF(B4882="","",IF(AND(D4882="Formalização",E4882="Concluído"),IF(COUNTIFS($B$2:$B$5001,B4882,$E$2:$E$5001,"Em ajustes",$N$2:$N$5001,"&lt;"&amp;I4882)&gt;0,1,0),0))</f>
        <v/>
      </c>
      <c r="L4882" s="16" t="str">
        <f aca="false">IF(B4882="","",IF(N4882=_xlfn.MAXIFS($N$2:$N$5001,$B$2:$B$5001,B4882,$I$2:$I$5001,I4882),1,0))</f>
        <v/>
      </c>
      <c r="M4882" s="16" t="str">
        <f aca="false">IF(B4882="","",IF(E4882="Em ajustes",IF(N4882=_xlfn.MINIFS($N$2:$N$5001,$B$2:$B$5001,B4882,$E$2:$E$5001,"Em ajustes"),1,0),0))</f>
        <v/>
      </c>
      <c r="N4882" s="17" t="str">
        <f aca="false">IF(A4882="","",IF(ISNUMBER(A4882),A4882,IFERROR(DATE(VALUE(MID(A4882,7,4)),VALUE(MID(A4882,4,2)),VALUE(MID(A4882,1,2)))+TIME(VALUE(MID(A4882,12,2)),VALUE(MID(A4882,15,2)),VALUE(MID(A4882,18,2))),"")))</f>
        <v/>
      </c>
    </row>
    <row r="4883" customFormat="false" ht="15" hidden="false" customHeight="false" outlineLevel="0" collapsed="false">
      <c r="I4883" s="15" t="str">
        <f aca="false">IF(N4883="","",INT(N4883))</f>
        <v/>
      </c>
      <c r="J4883" s="16" t="str">
        <f aca="false">IF(B4883="","",IF(N4883=_xlfn.MINIFS($N$2:$N$5001,$B$2:$B$5001,B4883),1,0))</f>
        <v/>
      </c>
      <c r="K4883" s="16" t="str">
        <f aca="false">IF(B4883="","",IF(AND(D4883="Formalização",E4883="Concluído"),IF(COUNTIFS($B$2:$B$5001,B4883,$E$2:$E$5001,"Em ajustes",$N$2:$N$5001,"&lt;"&amp;I4883)&gt;0,1,0),0))</f>
        <v/>
      </c>
      <c r="L4883" s="16" t="str">
        <f aca="false">IF(B4883="","",IF(N4883=_xlfn.MAXIFS($N$2:$N$5001,$B$2:$B$5001,B4883,$I$2:$I$5001,I4883),1,0))</f>
        <v/>
      </c>
      <c r="M4883" s="16" t="str">
        <f aca="false">IF(B4883="","",IF(E4883="Em ajustes",IF(N4883=_xlfn.MINIFS($N$2:$N$5001,$B$2:$B$5001,B4883,$E$2:$E$5001,"Em ajustes"),1,0),0))</f>
        <v/>
      </c>
      <c r="N4883" s="17" t="str">
        <f aca="false">IF(A4883="","",IF(ISNUMBER(A4883),A4883,IFERROR(DATE(VALUE(MID(A4883,7,4)),VALUE(MID(A4883,4,2)),VALUE(MID(A4883,1,2)))+TIME(VALUE(MID(A4883,12,2)),VALUE(MID(A4883,15,2)),VALUE(MID(A4883,18,2))),"")))</f>
        <v/>
      </c>
    </row>
    <row r="4884" customFormat="false" ht="15" hidden="false" customHeight="false" outlineLevel="0" collapsed="false">
      <c r="I4884" s="15" t="str">
        <f aca="false">IF(N4884="","",INT(N4884))</f>
        <v/>
      </c>
      <c r="J4884" s="16" t="str">
        <f aca="false">IF(B4884="","",IF(N4884=_xlfn.MINIFS($N$2:$N$5001,$B$2:$B$5001,B4884),1,0))</f>
        <v/>
      </c>
      <c r="K4884" s="16" t="str">
        <f aca="false">IF(B4884="","",IF(AND(D4884="Formalização",E4884="Concluído"),IF(COUNTIFS($B$2:$B$5001,B4884,$E$2:$E$5001,"Em ajustes",$N$2:$N$5001,"&lt;"&amp;I4884)&gt;0,1,0),0))</f>
        <v/>
      </c>
      <c r="L4884" s="16" t="str">
        <f aca="false">IF(B4884="","",IF(N4884=_xlfn.MAXIFS($N$2:$N$5001,$B$2:$B$5001,B4884,$I$2:$I$5001,I4884),1,0))</f>
        <v/>
      </c>
      <c r="M4884" s="16" t="str">
        <f aca="false">IF(B4884="","",IF(E4884="Em ajustes",IF(N4884=_xlfn.MINIFS($N$2:$N$5001,$B$2:$B$5001,B4884,$E$2:$E$5001,"Em ajustes"),1,0),0))</f>
        <v/>
      </c>
      <c r="N4884" s="17" t="str">
        <f aca="false">IF(A4884="","",IF(ISNUMBER(A4884),A4884,IFERROR(DATE(VALUE(MID(A4884,7,4)),VALUE(MID(A4884,4,2)),VALUE(MID(A4884,1,2)))+TIME(VALUE(MID(A4884,12,2)),VALUE(MID(A4884,15,2)),VALUE(MID(A4884,18,2))),"")))</f>
        <v/>
      </c>
    </row>
    <row r="4885" customFormat="false" ht="15" hidden="false" customHeight="false" outlineLevel="0" collapsed="false">
      <c r="I4885" s="15" t="str">
        <f aca="false">IF(N4885="","",INT(N4885))</f>
        <v/>
      </c>
      <c r="J4885" s="16" t="str">
        <f aca="false">IF(B4885="","",IF(N4885=_xlfn.MINIFS($N$2:$N$5001,$B$2:$B$5001,B4885),1,0))</f>
        <v/>
      </c>
      <c r="K4885" s="16" t="str">
        <f aca="false">IF(B4885="","",IF(AND(D4885="Formalização",E4885="Concluído"),IF(COUNTIFS($B$2:$B$5001,B4885,$E$2:$E$5001,"Em ajustes",$N$2:$N$5001,"&lt;"&amp;I4885)&gt;0,1,0),0))</f>
        <v/>
      </c>
      <c r="L4885" s="16" t="str">
        <f aca="false">IF(B4885="","",IF(N4885=_xlfn.MAXIFS($N$2:$N$5001,$B$2:$B$5001,B4885,$I$2:$I$5001,I4885),1,0))</f>
        <v/>
      </c>
      <c r="M4885" s="16" t="str">
        <f aca="false">IF(B4885="","",IF(E4885="Em ajustes",IF(N4885=_xlfn.MINIFS($N$2:$N$5001,$B$2:$B$5001,B4885,$E$2:$E$5001,"Em ajustes"),1,0),0))</f>
        <v/>
      </c>
      <c r="N4885" s="17" t="str">
        <f aca="false">IF(A4885="","",IF(ISNUMBER(A4885),A4885,IFERROR(DATE(VALUE(MID(A4885,7,4)),VALUE(MID(A4885,4,2)),VALUE(MID(A4885,1,2)))+TIME(VALUE(MID(A4885,12,2)),VALUE(MID(A4885,15,2)),VALUE(MID(A4885,18,2))),"")))</f>
        <v/>
      </c>
    </row>
    <row r="4886" customFormat="false" ht="15" hidden="false" customHeight="false" outlineLevel="0" collapsed="false">
      <c r="I4886" s="15" t="str">
        <f aca="false">IF(N4886="","",INT(N4886))</f>
        <v/>
      </c>
      <c r="J4886" s="16" t="str">
        <f aca="false">IF(B4886="","",IF(N4886=_xlfn.MINIFS($N$2:$N$5001,$B$2:$B$5001,B4886),1,0))</f>
        <v/>
      </c>
      <c r="K4886" s="16" t="str">
        <f aca="false">IF(B4886="","",IF(AND(D4886="Formalização",E4886="Concluído"),IF(COUNTIFS($B$2:$B$5001,B4886,$E$2:$E$5001,"Em ajustes",$N$2:$N$5001,"&lt;"&amp;I4886)&gt;0,1,0),0))</f>
        <v/>
      </c>
      <c r="L4886" s="16" t="str">
        <f aca="false">IF(B4886="","",IF(N4886=_xlfn.MAXIFS($N$2:$N$5001,$B$2:$B$5001,B4886,$I$2:$I$5001,I4886),1,0))</f>
        <v/>
      </c>
      <c r="M4886" s="16" t="str">
        <f aca="false">IF(B4886="","",IF(E4886="Em ajustes",IF(N4886=_xlfn.MINIFS($N$2:$N$5001,$B$2:$B$5001,B4886,$E$2:$E$5001,"Em ajustes"),1,0),0))</f>
        <v/>
      </c>
      <c r="N4886" s="17" t="str">
        <f aca="false">IF(A4886="","",IF(ISNUMBER(A4886),A4886,IFERROR(DATE(VALUE(MID(A4886,7,4)),VALUE(MID(A4886,4,2)),VALUE(MID(A4886,1,2)))+TIME(VALUE(MID(A4886,12,2)),VALUE(MID(A4886,15,2)),VALUE(MID(A4886,18,2))),"")))</f>
        <v/>
      </c>
    </row>
    <row r="4887" customFormat="false" ht="15" hidden="false" customHeight="false" outlineLevel="0" collapsed="false">
      <c r="I4887" s="15" t="str">
        <f aca="false">IF(N4887="","",INT(N4887))</f>
        <v/>
      </c>
      <c r="J4887" s="16" t="str">
        <f aca="false">IF(B4887="","",IF(N4887=_xlfn.MINIFS($N$2:$N$5001,$B$2:$B$5001,B4887),1,0))</f>
        <v/>
      </c>
      <c r="K4887" s="16" t="str">
        <f aca="false">IF(B4887="","",IF(AND(D4887="Formalização",E4887="Concluído"),IF(COUNTIFS($B$2:$B$5001,B4887,$E$2:$E$5001,"Em ajustes",$N$2:$N$5001,"&lt;"&amp;I4887)&gt;0,1,0),0))</f>
        <v/>
      </c>
      <c r="L4887" s="16" t="str">
        <f aca="false">IF(B4887="","",IF(N4887=_xlfn.MAXIFS($N$2:$N$5001,$B$2:$B$5001,B4887,$I$2:$I$5001,I4887),1,0))</f>
        <v/>
      </c>
      <c r="M4887" s="16" t="str">
        <f aca="false">IF(B4887="","",IF(E4887="Em ajustes",IF(N4887=_xlfn.MINIFS($N$2:$N$5001,$B$2:$B$5001,B4887,$E$2:$E$5001,"Em ajustes"),1,0),0))</f>
        <v/>
      </c>
      <c r="N4887" s="17" t="str">
        <f aca="false">IF(A4887="","",IF(ISNUMBER(A4887),A4887,IFERROR(DATE(VALUE(MID(A4887,7,4)),VALUE(MID(A4887,4,2)),VALUE(MID(A4887,1,2)))+TIME(VALUE(MID(A4887,12,2)),VALUE(MID(A4887,15,2)),VALUE(MID(A4887,18,2))),"")))</f>
        <v/>
      </c>
    </row>
    <row r="4888" customFormat="false" ht="15" hidden="false" customHeight="false" outlineLevel="0" collapsed="false">
      <c r="I4888" s="15" t="str">
        <f aca="false">IF(N4888="","",INT(N4888))</f>
        <v/>
      </c>
      <c r="J4888" s="16" t="str">
        <f aca="false">IF(B4888="","",IF(N4888=_xlfn.MINIFS($N$2:$N$5001,$B$2:$B$5001,B4888),1,0))</f>
        <v/>
      </c>
      <c r="K4888" s="16" t="str">
        <f aca="false">IF(B4888="","",IF(AND(D4888="Formalização",E4888="Concluído"),IF(COUNTIFS($B$2:$B$5001,B4888,$E$2:$E$5001,"Em ajustes",$N$2:$N$5001,"&lt;"&amp;I4888)&gt;0,1,0),0))</f>
        <v/>
      </c>
      <c r="L4888" s="16" t="str">
        <f aca="false">IF(B4888="","",IF(N4888=_xlfn.MAXIFS($N$2:$N$5001,$B$2:$B$5001,B4888,$I$2:$I$5001,I4888),1,0))</f>
        <v/>
      </c>
      <c r="M4888" s="16" t="str">
        <f aca="false">IF(B4888="","",IF(E4888="Em ajustes",IF(N4888=_xlfn.MINIFS($N$2:$N$5001,$B$2:$B$5001,B4888,$E$2:$E$5001,"Em ajustes"),1,0),0))</f>
        <v/>
      </c>
      <c r="N4888" s="17" t="str">
        <f aca="false">IF(A4888="","",IF(ISNUMBER(A4888),A4888,IFERROR(DATE(VALUE(MID(A4888,7,4)),VALUE(MID(A4888,4,2)),VALUE(MID(A4888,1,2)))+TIME(VALUE(MID(A4888,12,2)),VALUE(MID(A4888,15,2)),VALUE(MID(A4888,18,2))),"")))</f>
        <v/>
      </c>
    </row>
    <row r="4889" customFormat="false" ht="15" hidden="false" customHeight="false" outlineLevel="0" collapsed="false">
      <c r="I4889" s="15" t="str">
        <f aca="false">IF(N4889="","",INT(N4889))</f>
        <v/>
      </c>
      <c r="J4889" s="16" t="str">
        <f aca="false">IF(B4889="","",IF(N4889=_xlfn.MINIFS($N$2:$N$5001,$B$2:$B$5001,B4889),1,0))</f>
        <v/>
      </c>
      <c r="K4889" s="16" t="str">
        <f aca="false">IF(B4889="","",IF(AND(D4889="Formalização",E4889="Concluído"),IF(COUNTIFS($B$2:$B$5001,B4889,$E$2:$E$5001,"Em ajustes",$N$2:$N$5001,"&lt;"&amp;I4889)&gt;0,1,0),0))</f>
        <v/>
      </c>
      <c r="L4889" s="16" t="str">
        <f aca="false">IF(B4889="","",IF(N4889=_xlfn.MAXIFS($N$2:$N$5001,$B$2:$B$5001,B4889,$I$2:$I$5001,I4889),1,0))</f>
        <v/>
      </c>
      <c r="M4889" s="16" t="str">
        <f aca="false">IF(B4889="","",IF(E4889="Em ajustes",IF(N4889=_xlfn.MINIFS($N$2:$N$5001,$B$2:$B$5001,B4889,$E$2:$E$5001,"Em ajustes"),1,0),0))</f>
        <v/>
      </c>
      <c r="N4889" s="17" t="str">
        <f aca="false">IF(A4889="","",IF(ISNUMBER(A4889),A4889,IFERROR(DATE(VALUE(MID(A4889,7,4)),VALUE(MID(A4889,4,2)),VALUE(MID(A4889,1,2)))+TIME(VALUE(MID(A4889,12,2)),VALUE(MID(A4889,15,2)),VALUE(MID(A4889,18,2))),"")))</f>
        <v/>
      </c>
    </row>
    <row r="4890" customFormat="false" ht="15" hidden="false" customHeight="false" outlineLevel="0" collapsed="false">
      <c r="I4890" s="15" t="str">
        <f aca="false">IF(N4890="","",INT(N4890))</f>
        <v/>
      </c>
      <c r="J4890" s="16" t="str">
        <f aca="false">IF(B4890="","",IF(N4890=_xlfn.MINIFS($N$2:$N$5001,$B$2:$B$5001,B4890),1,0))</f>
        <v/>
      </c>
      <c r="K4890" s="16" t="str">
        <f aca="false">IF(B4890="","",IF(AND(D4890="Formalização",E4890="Concluído"),IF(COUNTIFS($B$2:$B$5001,B4890,$E$2:$E$5001,"Em ajustes",$N$2:$N$5001,"&lt;"&amp;I4890)&gt;0,1,0),0))</f>
        <v/>
      </c>
      <c r="L4890" s="16" t="str">
        <f aca="false">IF(B4890="","",IF(N4890=_xlfn.MAXIFS($N$2:$N$5001,$B$2:$B$5001,B4890,$I$2:$I$5001,I4890),1,0))</f>
        <v/>
      </c>
      <c r="M4890" s="16" t="str">
        <f aca="false">IF(B4890="","",IF(E4890="Em ajustes",IF(N4890=_xlfn.MINIFS($N$2:$N$5001,$B$2:$B$5001,B4890,$E$2:$E$5001,"Em ajustes"),1,0),0))</f>
        <v/>
      </c>
      <c r="N4890" s="17" t="str">
        <f aca="false">IF(A4890="","",IF(ISNUMBER(A4890),A4890,IFERROR(DATE(VALUE(MID(A4890,7,4)),VALUE(MID(A4890,4,2)),VALUE(MID(A4890,1,2)))+TIME(VALUE(MID(A4890,12,2)),VALUE(MID(A4890,15,2)),VALUE(MID(A4890,18,2))),"")))</f>
        <v/>
      </c>
    </row>
    <row r="4891" customFormat="false" ht="15" hidden="false" customHeight="false" outlineLevel="0" collapsed="false">
      <c r="I4891" s="15" t="str">
        <f aca="false">IF(N4891="","",INT(N4891))</f>
        <v/>
      </c>
      <c r="J4891" s="16" t="str">
        <f aca="false">IF(B4891="","",IF(N4891=_xlfn.MINIFS($N$2:$N$5001,$B$2:$B$5001,B4891),1,0))</f>
        <v/>
      </c>
      <c r="K4891" s="16" t="str">
        <f aca="false">IF(B4891="","",IF(AND(D4891="Formalização",E4891="Concluído"),IF(COUNTIFS($B$2:$B$5001,B4891,$E$2:$E$5001,"Em ajustes",$N$2:$N$5001,"&lt;"&amp;I4891)&gt;0,1,0),0))</f>
        <v/>
      </c>
      <c r="L4891" s="16" t="str">
        <f aca="false">IF(B4891="","",IF(N4891=_xlfn.MAXIFS($N$2:$N$5001,$B$2:$B$5001,B4891,$I$2:$I$5001,I4891),1,0))</f>
        <v/>
      </c>
      <c r="M4891" s="16" t="str">
        <f aca="false">IF(B4891="","",IF(E4891="Em ajustes",IF(N4891=_xlfn.MINIFS($N$2:$N$5001,$B$2:$B$5001,B4891,$E$2:$E$5001,"Em ajustes"),1,0),0))</f>
        <v/>
      </c>
      <c r="N4891" s="17" t="str">
        <f aca="false">IF(A4891="","",IF(ISNUMBER(A4891),A4891,IFERROR(DATE(VALUE(MID(A4891,7,4)),VALUE(MID(A4891,4,2)),VALUE(MID(A4891,1,2)))+TIME(VALUE(MID(A4891,12,2)),VALUE(MID(A4891,15,2)),VALUE(MID(A4891,18,2))),"")))</f>
        <v/>
      </c>
    </row>
    <row r="4892" customFormat="false" ht="15" hidden="false" customHeight="false" outlineLevel="0" collapsed="false">
      <c r="I4892" s="15" t="str">
        <f aca="false">IF(N4892="","",INT(N4892))</f>
        <v/>
      </c>
      <c r="J4892" s="16" t="str">
        <f aca="false">IF(B4892="","",IF(N4892=_xlfn.MINIFS($N$2:$N$5001,$B$2:$B$5001,B4892),1,0))</f>
        <v/>
      </c>
      <c r="K4892" s="16" t="str">
        <f aca="false">IF(B4892="","",IF(AND(D4892="Formalização",E4892="Concluído"),IF(COUNTIFS($B$2:$B$5001,B4892,$E$2:$E$5001,"Em ajustes",$N$2:$N$5001,"&lt;"&amp;I4892)&gt;0,1,0),0))</f>
        <v/>
      </c>
      <c r="L4892" s="16" t="str">
        <f aca="false">IF(B4892="","",IF(N4892=_xlfn.MAXIFS($N$2:$N$5001,$B$2:$B$5001,B4892,$I$2:$I$5001,I4892),1,0))</f>
        <v/>
      </c>
      <c r="M4892" s="16" t="str">
        <f aca="false">IF(B4892="","",IF(E4892="Em ajustes",IF(N4892=_xlfn.MINIFS($N$2:$N$5001,$B$2:$B$5001,B4892,$E$2:$E$5001,"Em ajustes"),1,0),0))</f>
        <v/>
      </c>
      <c r="N4892" s="17" t="str">
        <f aca="false">IF(A4892="","",IF(ISNUMBER(A4892),A4892,IFERROR(DATE(VALUE(MID(A4892,7,4)),VALUE(MID(A4892,4,2)),VALUE(MID(A4892,1,2)))+TIME(VALUE(MID(A4892,12,2)),VALUE(MID(A4892,15,2)),VALUE(MID(A4892,18,2))),"")))</f>
        <v/>
      </c>
    </row>
    <row r="4893" customFormat="false" ht="15" hidden="false" customHeight="false" outlineLevel="0" collapsed="false">
      <c r="I4893" s="15" t="str">
        <f aca="false">IF(N4893="","",INT(N4893))</f>
        <v/>
      </c>
      <c r="J4893" s="16" t="str">
        <f aca="false">IF(B4893="","",IF(N4893=_xlfn.MINIFS($N$2:$N$5001,$B$2:$B$5001,B4893),1,0))</f>
        <v/>
      </c>
      <c r="K4893" s="16" t="str">
        <f aca="false">IF(B4893="","",IF(AND(D4893="Formalização",E4893="Concluído"),IF(COUNTIFS($B$2:$B$5001,B4893,$E$2:$E$5001,"Em ajustes",$N$2:$N$5001,"&lt;"&amp;I4893)&gt;0,1,0),0))</f>
        <v/>
      </c>
      <c r="L4893" s="16" t="str">
        <f aca="false">IF(B4893="","",IF(N4893=_xlfn.MAXIFS($N$2:$N$5001,$B$2:$B$5001,B4893,$I$2:$I$5001,I4893),1,0))</f>
        <v/>
      </c>
      <c r="M4893" s="16" t="str">
        <f aca="false">IF(B4893="","",IF(E4893="Em ajustes",IF(N4893=_xlfn.MINIFS($N$2:$N$5001,$B$2:$B$5001,B4893,$E$2:$E$5001,"Em ajustes"),1,0),0))</f>
        <v/>
      </c>
      <c r="N4893" s="17" t="str">
        <f aca="false">IF(A4893="","",IF(ISNUMBER(A4893),A4893,IFERROR(DATE(VALUE(MID(A4893,7,4)),VALUE(MID(A4893,4,2)),VALUE(MID(A4893,1,2)))+TIME(VALUE(MID(A4893,12,2)),VALUE(MID(A4893,15,2)),VALUE(MID(A4893,18,2))),"")))</f>
        <v/>
      </c>
    </row>
    <row r="4894" customFormat="false" ht="15" hidden="false" customHeight="false" outlineLevel="0" collapsed="false">
      <c r="I4894" s="15" t="str">
        <f aca="false">IF(N4894="","",INT(N4894))</f>
        <v/>
      </c>
      <c r="J4894" s="16" t="str">
        <f aca="false">IF(B4894="","",IF(N4894=_xlfn.MINIFS($N$2:$N$5001,$B$2:$B$5001,B4894),1,0))</f>
        <v/>
      </c>
      <c r="K4894" s="16" t="str">
        <f aca="false">IF(B4894="","",IF(AND(D4894="Formalização",E4894="Concluído"),IF(COUNTIFS($B$2:$B$5001,B4894,$E$2:$E$5001,"Em ajustes",$N$2:$N$5001,"&lt;"&amp;I4894)&gt;0,1,0),0))</f>
        <v/>
      </c>
      <c r="L4894" s="16" t="str">
        <f aca="false">IF(B4894="","",IF(N4894=_xlfn.MAXIFS($N$2:$N$5001,$B$2:$B$5001,B4894,$I$2:$I$5001,I4894),1,0))</f>
        <v/>
      </c>
      <c r="M4894" s="16" t="str">
        <f aca="false">IF(B4894="","",IF(E4894="Em ajustes",IF(N4894=_xlfn.MINIFS($N$2:$N$5001,$B$2:$B$5001,B4894,$E$2:$E$5001,"Em ajustes"),1,0),0))</f>
        <v/>
      </c>
      <c r="N4894" s="17" t="str">
        <f aca="false">IF(A4894="","",IF(ISNUMBER(A4894),A4894,IFERROR(DATE(VALUE(MID(A4894,7,4)),VALUE(MID(A4894,4,2)),VALUE(MID(A4894,1,2)))+TIME(VALUE(MID(A4894,12,2)),VALUE(MID(A4894,15,2)),VALUE(MID(A4894,18,2))),"")))</f>
        <v/>
      </c>
    </row>
    <row r="4895" customFormat="false" ht="15" hidden="false" customHeight="false" outlineLevel="0" collapsed="false">
      <c r="I4895" s="15" t="str">
        <f aca="false">IF(N4895="","",INT(N4895))</f>
        <v/>
      </c>
      <c r="J4895" s="16" t="str">
        <f aca="false">IF(B4895="","",IF(N4895=_xlfn.MINIFS($N$2:$N$5001,$B$2:$B$5001,B4895),1,0))</f>
        <v/>
      </c>
      <c r="K4895" s="16" t="str">
        <f aca="false">IF(B4895="","",IF(AND(D4895="Formalização",E4895="Concluído"),IF(COUNTIFS($B$2:$B$5001,B4895,$E$2:$E$5001,"Em ajustes",$N$2:$N$5001,"&lt;"&amp;I4895)&gt;0,1,0),0))</f>
        <v/>
      </c>
      <c r="L4895" s="16" t="str">
        <f aca="false">IF(B4895="","",IF(N4895=_xlfn.MAXIFS($N$2:$N$5001,$B$2:$B$5001,B4895,$I$2:$I$5001,I4895),1,0))</f>
        <v/>
      </c>
      <c r="M4895" s="16" t="str">
        <f aca="false">IF(B4895="","",IF(E4895="Em ajustes",IF(N4895=_xlfn.MINIFS($N$2:$N$5001,$B$2:$B$5001,B4895,$E$2:$E$5001,"Em ajustes"),1,0),0))</f>
        <v/>
      </c>
      <c r="N4895" s="17" t="str">
        <f aca="false">IF(A4895="","",IF(ISNUMBER(A4895),A4895,IFERROR(DATE(VALUE(MID(A4895,7,4)),VALUE(MID(A4895,4,2)),VALUE(MID(A4895,1,2)))+TIME(VALUE(MID(A4895,12,2)),VALUE(MID(A4895,15,2)),VALUE(MID(A4895,18,2))),"")))</f>
        <v/>
      </c>
    </row>
    <row r="4896" customFormat="false" ht="15" hidden="false" customHeight="false" outlineLevel="0" collapsed="false">
      <c r="I4896" s="15" t="str">
        <f aca="false">IF(N4896="","",INT(N4896))</f>
        <v/>
      </c>
      <c r="J4896" s="16" t="str">
        <f aca="false">IF(B4896="","",IF(N4896=_xlfn.MINIFS($N$2:$N$5001,$B$2:$B$5001,B4896),1,0))</f>
        <v/>
      </c>
      <c r="K4896" s="16" t="str">
        <f aca="false">IF(B4896="","",IF(AND(D4896="Formalização",E4896="Concluído"),IF(COUNTIFS($B$2:$B$5001,B4896,$E$2:$E$5001,"Em ajustes",$N$2:$N$5001,"&lt;"&amp;I4896)&gt;0,1,0),0))</f>
        <v/>
      </c>
      <c r="L4896" s="16" t="str">
        <f aca="false">IF(B4896="","",IF(N4896=_xlfn.MAXIFS($N$2:$N$5001,$B$2:$B$5001,B4896,$I$2:$I$5001,I4896),1,0))</f>
        <v/>
      </c>
      <c r="M4896" s="16" t="str">
        <f aca="false">IF(B4896="","",IF(E4896="Em ajustes",IF(N4896=_xlfn.MINIFS($N$2:$N$5001,$B$2:$B$5001,B4896,$E$2:$E$5001,"Em ajustes"),1,0),0))</f>
        <v/>
      </c>
      <c r="N4896" s="17" t="str">
        <f aca="false">IF(A4896="","",IF(ISNUMBER(A4896),A4896,IFERROR(DATE(VALUE(MID(A4896,7,4)),VALUE(MID(A4896,4,2)),VALUE(MID(A4896,1,2)))+TIME(VALUE(MID(A4896,12,2)),VALUE(MID(A4896,15,2)),VALUE(MID(A4896,18,2))),"")))</f>
        <v/>
      </c>
    </row>
    <row r="4897" customFormat="false" ht="15" hidden="false" customHeight="false" outlineLevel="0" collapsed="false">
      <c r="I4897" s="15" t="str">
        <f aca="false">IF(N4897="","",INT(N4897))</f>
        <v/>
      </c>
      <c r="J4897" s="16" t="str">
        <f aca="false">IF(B4897="","",IF(N4897=_xlfn.MINIFS($N$2:$N$5001,$B$2:$B$5001,B4897),1,0))</f>
        <v/>
      </c>
      <c r="K4897" s="16" t="str">
        <f aca="false">IF(B4897="","",IF(AND(D4897="Formalização",E4897="Concluído"),IF(COUNTIFS($B$2:$B$5001,B4897,$E$2:$E$5001,"Em ajustes",$N$2:$N$5001,"&lt;"&amp;I4897)&gt;0,1,0),0))</f>
        <v/>
      </c>
      <c r="L4897" s="16" t="str">
        <f aca="false">IF(B4897="","",IF(N4897=_xlfn.MAXIFS($N$2:$N$5001,$B$2:$B$5001,B4897,$I$2:$I$5001,I4897),1,0))</f>
        <v/>
      </c>
      <c r="M4897" s="16" t="str">
        <f aca="false">IF(B4897="","",IF(E4897="Em ajustes",IF(N4897=_xlfn.MINIFS($N$2:$N$5001,$B$2:$B$5001,B4897,$E$2:$E$5001,"Em ajustes"),1,0),0))</f>
        <v/>
      </c>
      <c r="N4897" s="17" t="str">
        <f aca="false">IF(A4897="","",IF(ISNUMBER(A4897),A4897,IFERROR(DATE(VALUE(MID(A4897,7,4)),VALUE(MID(A4897,4,2)),VALUE(MID(A4897,1,2)))+TIME(VALUE(MID(A4897,12,2)),VALUE(MID(A4897,15,2)),VALUE(MID(A4897,18,2))),"")))</f>
        <v/>
      </c>
    </row>
    <row r="4898" customFormat="false" ht="15" hidden="false" customHeight="false" outlineLevel="0" collapsed="false">
      <c r="I4898" s="15" t="str">
        <f aca="false">IF(N4898="","",INT(N4898))</f>
        <v/>
      </c>
      <c r="J4898" s="16" t="str">
        <f aca="false">IF(B4898="","",IF(N4898=_xlfn.MINIFS($N$2:$N$5001,$B$2:$B$5001,B4898),1,0))</f>
        <v/>
      </c>
      <c r="K4898" s="16" t="str">
        <f aca="false">IF(B4898="","",IF(AND(D4898="Formalização",E4898="Concluído"),IF(COUNTIFS($B$2:$B$5001,B4898,$E$2:$E$5001,"Em ajustes",$N$2:$N$5001,"&lt;"&amp;I4898)&gt;0,1,0),0))</f>
        <v/>
      </c>
      <c r="L4898" s="16" t="str">
        <f aca="false">IF(B4898="","",IF(N4898=_xlfn.MAXIFS($N$2:$N$5001,$B$2:$B$5001,B4898,$I$2:$I$5001,I4898),1,0))</f>
        <v/>
      </c>
      <c r="M4898" s="16" t="str">
        <f aca="false">IF(B4898="","",IF(E4898="Em ajustes",IF(N4898=_xlfn.MINIFS($N$2:$N$5001,$B$2:$B$5001,B4898,$E$2:$E$5001,"Em ajustes"),1,0),0))</f>
        <v/>
      </c>
      <c r="N4898" s="17" t="str">
        <f aca="false">IF(A4898="","",IF(ISNUMBER(A4898),A4898,IFERROR(DATE(VALUE(MID(A4898,7,4)),VALUE(MID(A4898,4,2)),VALUE(MID(A4898,1,2)))+TIME(VALUE(MID(A4898,12,2)),VALUE(MID(A4898,15,2)),VALUE(MID(A4898,18,2))),"")))</f>
        <v/>
      </c>
    </row>
    <row r="4899" customFormat="false" ht="15" hidden="false" customHeight="false" outlineLevel="0" collapsed="false">
      <c r="I4899" s="15" t="str">
        <f aca="false">IF(N4899="","",INT(N4899))</f>
        <v/>
      </c>
      <c r="J4899" s="16" t="str">
        <f aca="false">IF(B4899="","",IF(N4899=_xlfn.MINIFS($N$2:$N$5001,$B$2:$B$5001,B4899),1,0))</f>
        <v/>
      </c>
      <c r="K4899" s="16" t="str">
        <f aca="false">IF(B4899="","",IF(AND(D4899="Formalização",E4899="Concluído"),IF(COUNTIFS($B$2:$B$5001,B4899,$E$2:$E$5001,"Em ajustes",$N$2:$N$5001,"&lt;"&amp;I4899)&gt;0,1,0),0))</f>
        <v/>
      </c>
      <c r="L4899" s="16" t="str">
        <f aca="false">IF(B4899="","",IF(N4899=_xlfn.MAXIFS($N$2:$N$5001,$B$2:$B$5001,B4899,$I$2:$I$5001,I4899),1,0))</f>
        <v/>
      </c>
      <c r="M4899" s="16" t="str">
        <f aca="false">IF(B4899="","",IF(E4899="Em ajustes",IF(N4899=_xlfn.MINIFS($N$2:$N$5001,$B$2:$B$5001,B4899,$E$2:$E$5001,"Em ajustes"),1,0),0))</f>
        <v/>
      </c>
      <c r="N4899" s="17" t="str">
        <f aca="false">IF(A4899="","",IF(ISNUMBER(A4899),A4899,IFERROR(DATE(VALUE(MID(A4899,7,4)),VALUE(MID(A4899,4,2)),VALUE(MID(A4899,1,2)))+TIME(VALUE(MID(A4899,12,2)),VALUE(MID(A4899,15,2)),VALUE(MID(A4899,18,2))),"")))</f>
        <v/>
      </c>
    </row>
    <row r="4900" customFormat="false" ht="15" hidden="false" customHeight="false" outlineLevel="0" collapsed="false">
      <c r="I4900" s="15" t="str">
        <f aca="false">IF(N4900="","",INT(N4900))</f>
        <v/>
      </c>
      <c r="J4900" s="16" t="str">
        <f aca="false">IF(B4900="","",IF(N4900=_xlfn.MINIFS($N$2:$N$5001,$B$2:$B$5001,B4900),1,0))</f>
        <v/>
      </c>
      <c r="K4900" s="16" t="str">
        <f aca="false">IF(B4900="","",IF(AND(D4900="Formalização",E4900="Concluído"),IF(COUNTIFS($B$2:$B$5001,B4900,$E$2:$E$5001,"Em ajustes",$N$2:$N$5001,"&lt;"&amp;I4900)&gt;0,1,0),0))</f>
        <v/>
      </c>
      <c r="L4900" s="16" t="str">
        <f aca="false">IF(B4900="","",IF(N4900=_xlfn.MAXIFS($N$2:$N$5001,$B$2:$B$5001,B4900,$I$2:$I$5001,I4900),1,0))</f>
        <v/>
      </c>
      <c r="M4900" s="16" t="str">
        <f aca="false">IF(B4900="","",IF(E4900="Em ajustes",IF(N4900=_xlfn.MINIFS($N$2:$N$5001,$B$2:$B$5001,B4900,$E$2:$E$5001,"Em ajustes"),1,0),0))</f>
        <v/>
      </c>
      <c r="N4900" s="17" t="str">
        <f aca="false">IF(A4900="","",IF(ISNUMBER(A4900),A4900,IFERROR(DATE(VALUE(MID(A4900,7,4)),VALUE(MID(A4900,4,2)),VALUE(MID(A4900,1,2)))+TIME(VALUE(MID(A4900,12,2)),VALUE(MID(A4900,15,2)),VALUE(MID(A4900,18,2))),"")))</f>
        <v/>
      </c>
    </row>
    <row r="4901" customFormat="false" ht="15" hidden="false" customHeight="false" outlineLevel="0" collapsed="false">
      <c r="I4901" s="15" t="str">
        <f aca="false">IF(N4901="","",INT(N4901))</f>
        <v/>
      </c>
      <c r="J4901" s="16" t="str">
        <f aca="false">IF(B4901="","",IF(N4901=_xlfn.MINIFS($N$2:$N$5001,$B$2:$B$5001,B4901),1,0))</f>
        <v/>
      </c>
      <c r="K4901" s="16" t="str">
        <f aca="false">IF(B4901="","",IF(AND(D4901="Formalização",E4901="Concluído"),IF(COUNTIFS($B$2:$B$5001,B4901,$E$2:$E$5001,"Em ajustes",$N$2:$N$5001,"&lt;"&amp;I4901)&gt;0,1,0),0))</f>
        <v/>
      </c>
      <c r="L4901" s="16" t="str">
        <f aca="false">IF(B4901="","",IF(N4901=_xlfn.MAXIFS($N$2:$N$5001,$B$2:$B$5001,B4901,$I$2:$I$5001,I4901),1,0))</f>
        <v/>
      </c>
      <c r="M4901" s="16" t="str">
        <f aca="false">IF(B4901="","",IF(E4901="Em ajustes",IF(N4901=_xlfn.MINIFS($N$2:$N$5001,$B$2:$B$5001,B4901,$E$2:$E$5001,"Em ajustes"),1,0),0))</f>
        <v/>
      </c>
      <c r="N4901" s="17" t="str">
        <f aca="false">IF(A4901="","",IF(ISNUMBER(A4901),A4901,IFERROR(DATE(VALUE(MID(A4901,7,4)),VALUE(MID(A4901,4,2)),VALUE(MID(A4901,1,2)))+TIME(VALUE(MID(A4901,12,2)),VALUE(MID(A4901,15,2)),VALUE(MID(A4901,18,2))),"")))</f>
        <v/>
      </c>
    </row>
    <row r="4902" customFormat="false" ht="15" hidden="false" customHeight="false" outlineLevel="0" collapsed="false">
      <c r="I4902" s="15" t="str">
        <f aca="false">IF(N4902="","",INT(N4902))</f>
        <v/>
      </c>
      <c r="J4902" s="16" t="str">
        <f aca="false">IF(B4902="","",IF(N4902=_xlfn.MINIFS($N$2:$N$5001,$B$2:$B$5001,B4902),1,0))</f>
        <v/>
      </c>
      <c r="K4902" s="16" t="str">
        <f aca="false">IF(B4902="","",IF(AND(D4902="Formalização",E4902="Concluído"),IF(COUNTIFS($B$2:$B$5001,B4902,$E$2:$E$5001,"Em ajustes",$N$2:$N$5001,"&lt;"&amp;I4902)&gt;0,1,0),0))</f>
        <v/>
      </c>
      <c r="L4902" s="16" t="str">
        <f aca="false">IF(B4902="","",IF(N4902=_xlfn.MAXIFS($N$2:$N$5001,$B$2:$B$5001,B4902,$I$2:$I$5001,I4902),1,0))</f>
        <v/>
      </c>
      <c r="M4902" s="16" t="str">
        <f aca="false">IF(B4902="","",IF(E4902="Em ajustes",IF(N4902=_xlfn.MINIFS($N$2:$N$5001,$B$2:$B$5001,B4902,$E$2:$E$5001,"Em ajustes"),1,0),0))</f>
        <v/>
      </c>
      <c r="N4902" s="17" t="str">
        <f aca="false">IF(A4902="","",IF(ISNUMBER(A4902),A4902,IFERROR(DATE(VALUE(MID(A4902,7,4)),VALUE(MID(A4902,4,2)),VALUE(MID(A4902,1,2)))+TIME(VALUE(MID(A4902,12,2)),VALUE(MID(A4902,15,2)),VALUE(MID(A4902,18,2))),"")))</f>
        <v/>
      </c>
    </row>
    <row r="4903" customFormat="false" ht="15" hidden="false" customHeight="false" outlineLevel="0" collapsed="false">
      <c r="I4903" s="15" t="str">
        <f aca="false">IF(N4903="","",INT(N4903))</f>
        <v/>
      </c>
      <c r="J4903" s="16" t="str">
        <f aca="false">IF(B4903="","",IF(N4903=_xlfn.MINIFS($N$2:$N$5001,$B$2:$B$5001,B4903),1,0))</f>
        <v/>
      </c>
      <c r="K4903" s="16" t="str">
        <f aca="false">IF(B4903="","",IF(AND(D4903="Formalização",E4903="Concluído"),IF(COUNTIFS($B$2:$B$5001,B4903,$E$2:$E$5001,"Em ajustes",$N$2:$N$5001,"&lt;"&amp;I4903)&gt;0,1,0),0))</f>
        <v/>
      </c>
      <c r="L4903" s="16" t="str">
        <f aca="false">IF(B4903="","",IF(N4903=_xlfn.MAXIFS($N$2:$N$5001,$B$2:$B$5001,B4903,$I$2:$I$5001,I4903),1,0))</f>
        <v/>
      </c>
      <c r="M4903" s="16" t="str">
        <f aca="false">IF(B4903="","",IF(E4903="Em ajustes",IF(N4903=_xlfn.MINIFS($N$2:$N$5001,$B$2:$B$5001,B4903,$E$2:$E$5001,"Em ajustes"),1,0),0))</f>
        <v/>
      </c>
      <c r="N4903" s="17" t="str">
        <f aca="false">IF(A4903="","",IF(ISNUMBER(A4903),A4903,IFERROR(DATE(VALUE(MID(A4903,7,4)),VALUE(MID(A4903,4,2)),VALUE(MID(A4903,1,2)))+TIME(VALUE(MID(A4903,12,2)),VALUE(MID(A4903,15,2)),VALUE(MID(A4903,18,2))),"")))</f>
        <v/>
      </c>
    </row>
    <row r="4904" customFormat="false" ht="15" hidden="false" customHeight="false" outlineLevel="0" collapsed="false">
      <c r="I4904" s="15" t="str">
        <f aca="false">IF(N4904="","",INT(N4904))</f>
        <v/>
      </c>
      <c r="J4904" s="16" t="str">
        <f aca="false">IF(B4904="","",IF(N4904=_xlfn.MINIFS($N$2:$N$5001,$B$2:$B$5001,B4904),1,0))</f>
        <v/>
      </c>
      <c r="K4904" s="16" t="str">
        <f aca="false">IF(B4904="","",IF(AND(D4904="Formalização",E4904="Concluído"),IF(COUNTIFS($B$2:$B$5001,B4904,$E$2:$E$5001,"Em ajustes",$N$2:$N$5001,"&lt;"&amp;I4904)&gt;0,1,0),0))</f>
        <v/>
      </c>
      <c r="L4904" s="16" t="str">
        <f aca="false">IF(B4904="","",IF(N4904=_xlfn.MAXIFS($N$2:$N$5001,$B$2:$B$5001,B4904,$I$2:$I$5001,I4904),1,0))</f>
        <v/>
      </c>
      <c r="M4904" s="16" t="str">
        <f aca="false">IF(B4904="","",IF(E4904="Em ajustes",IF(N4904=_xlfn.MINIFS($N$2:$N$5001,$B$2:$B$5001,B4904,$E$2:$E$5001,"Em ajustes"),1,0),0))</f>
        <v/>
      </c>
      <c r="N4904" s="17" t="str">
        <f aca="false">IF(A4904="","",IF(ISNUMBER(A4904),A4904,IFERROR(DATE(VALUE(MID(A4904,7,4)),VALUE(MID(A4904,4,2)),VALUE(MID(A4904,1,2)))+TIME(VALUE(MID(A4904,12,2)),VALUE(MID(A4904,15,2)),VALUE(MID(A4904,18,2))),"")))</f>
        <v/>
      </c>
    </row>
    <row r="4905" customFormat="false" ht="15" hidden="false" customHeight="false" outlineLevel="0" collapsed="false">
      <c r="I4905" s="15" t="str">
        <f aca="false">IF(N4905="","",INT(N4905))</f>
        <v/>
      </c>
      <c r="J4905" s="16" t="str">
        <f aca="false">IF(B4905="","",IF(N4905=_xlfn.MINIFS($N$2:$N$5001,$B$2:$B$5001,B4905),1,0))</f>
        <v/>
      </c>
      <c r="K4905" s="16" t="str">
        <f aca="false">IF(B4905="","",IF(AND(D4905="Formalização",E4905="Concluído"),IF(COUNTIFS($B$2:$B$5001,B4905,$E$2:$E$5001,"Em ajustes",$N$2:$N$5001,"&lt;"&amp;I4905)&gt;0,1,0),0))</f>
        <v/>
      </c>
      <c r="L4905" s="16" t="str">
        <f aca="false">IF(B4905="","",IF(N4905=_xlfn.MAXIFS($N$2:$N$5001,$B$2:$B$5001,B4905,$I$2:$I$5001,I4905),1,0))</f>
        <v/>
      </c>
      <c r="M4905" s="16" t="str">
        <f aca="false">IF(B4905="","",IF(E4905="Em ajustes",IF(N4905=_xlfn.MINIFS($N$2:$N$5001,$B$2:$B$5001,B4905,$E$2:$E$5001,"Em ajustes"),1,0),0))</f>
        <v/>
      </c>
      <c r="N4905" s="17" t="str">
        <f aca="false">IF(A4905="","",IF(ISNUMBER(A4905),A4905,IFERROR(DATE(VALUE(MID(A4905,7,4)),VALUE(MID(A4905,4,2)),VALUE(MID(A4905,1,2)))+TIME(VALUE(MID(A4905,12,2)),VALUE(MID(A4905,15,2)),VALUE(MID(A4905,18,2))),"")))</f>
        <v/>
      </c>
    </row>
    <row r="4906" customFormat="false" ht="15" hidden="false" customHeight="false" outlineLevel="0" collapsed="false">
      <c r="I4906" s="15" t="str">
        <f aca="false">IF(N4906="","",INT(N4906))</f>
        <v/>
      </c>
      <c r="J4906" s="16" t="str">
        <f aca="false">IF(B4906="","",IF(N4906=_xlfn.MINIFS($N$2:$N$5001,$B$2:$B$5001,B4906),1,0))</f>
        <v/>
      </c>
      <c r="K4906" s="16" t="str">
        <f aca="false">IF(B4906="","",IF(AND(D4906="Formalização",E4906="Concluído"),IF(COUNTIFS($B$2:$B$5001,B4906,$E$2:$E$5001,"Em ajustes",$N$2:$N$5001,"&lt;"&amp;I4906)&gt;0,1,0),0))</f>
        <v/>
      </c>
      <c r="L4906" s="16" t="str">
        <f aca="false">IF(B4906="","",IF(N4906=_xlfn.MAXIFS($N$2:$N$5001,$B$2:$B$5001,B4906,$I$2:$I$5001,I4906),1,0))</f>
        <v/>
      </c>
      <c r="M4906" s="16" t="str">
        <f aca="false">IF(B4906="","",IF(E4906="Em ajustes",IF(N4906=_xlfn.MINIFS($N$2:$N$5001,$B$2:$B$5001,B4906,$E$2:$E$5001,"Em ajustes"),1,0),0))</f>
        <v/>
      </c>
      <c r="N4906" s="17" t="str">
        <f aca="false">IF(A4906="","",IF(ISNUMBER(A4906),A4906,IFERROR(DATE(VALUE(MID(A4906,7,4)),VALUE(MID(A4906,4,2)),VALUE(MID(A4906,1,2)))+TIME(VALUE(MID(A4906,12,2)),VALUE(MID(A4906,15,2)),VALUE(MID(A4906,18,2))),"")))</f>
        <v/>
      </c>
    </row>
    <row r="4907" customFormat="false" ht="15" hidden="false" customHeight="false" outlineLevel="0" collapsed="false">
      <c r="I4907" s="15" t="str">
        <f aca="false">IF(N4907="","",INT(N4907))</f>
        <v/>
      </c>
      <c r="J4907" s="16" t="str">
        <f aca="false">IF(B4907="","",IF(N4907=_xlfn.MINIFS($N$2:$N$5001,$B$2:$B$5001,B4907),1,0))</f>
        <v/>
      </c>
      <c r="K4907" s="16" t="str">
        <f aca="false">IF(B4907="","",IF(AND(D4907="Formalização",E4907="Concluído"),IF(COUNTIFS($B$2:$B$5001,B4907,$E$2:$E$5001,"Em ajustes",$N$2:$N$5001,"&lt;"&amp;I4907)&gt;0,1,0),0))</f>
        <v/>
      </c>
      <c r="L4907" s="16" t="str">
        <f aca="false">IF(B4907="","",IF(N4907=_xlfn.MAXIFS($N$2:$N$5001,$B$2:$B$5001,B4907,$I$2:$I$5001,I4907),1,0))</f>
        <v/>
      </c>
      <c r="M4907" s="16" t="str">
        <f aca="false">IF(B4907="","",IF(E4907="Em ajustes",IF(N4907=_xlfn.MINIFS($N$2:$N$5001,$B$2:$B$5001,B4907,$E$2:$E$5001,"Em ajustes"),1,0),0))</f>
        <v/>
      </c>
      <c r="N4907" s="17" t="str">
        <f aca="false">IF(A4907="","",IF(ISNUMBER(A4907),A4907,IFERROR(DATE(VALUE(MID(A4907,7,4)),VALUE(MID(A4907,4,2)),VALUE(MID(A4907,1,2)))+TIME(VALUE(MID(A4907,12,2)),VALUE(MID(A4907,15,2)),VALUE(MID(A4907,18,2))),"")))</f>
        <v/>
      </c>
    </row>
    <row r="4908" customFormat="false" ht="15" hidden="false" customHeight="false" outlineLevel="0" collapsed="false">
      <c r="I4908" s="15" t="str">
        <f aca="false">IF(N4908="","",INT(N4908))</f>
        <v/>
      </c>
      <c r="J4908" s="16" t="str">
        <f aca="false">IF(B4908="","",IF(N4908=_xlfn.MINIFS($N$2:$N$5001,$B$2:$B$5001,B4908),1,0))</f>
        <v/>
      </c>
      <c r="K4908" s="16" t="str">
        <f aca="false">IF(B4908="","",IF(AND(D4908="Formalização",E4908="Concluído"),IF(COUNTIFS($B$2:$B$5001,B4908,$E$2:$E$5001,"Em ajustes",$N$2:$N$5001,"&lt;"&amp;I4908)&gt;0,1,0),0))</f>
        <v/>
      </c>
      <c r="L4908" s="16" t="str">
        <f aca="false">IF(B4908="","",IF(N4908=_xlfn.MAXIFS($N$2:$N$5001,$B$2:$B$5001,B4908,$I$2:$I$5001,I4908),1,0))</f>
        <v/>
      </c>
      <c r="M4908" s="16" t="str">
        <f aca="false">IF(B4908="","",IF(E4908="Em ajustes",IF(N4908=_xlfn.MINIFS($N$2:$N$5001,$B$2:$B$5001,B4908,$E$2:$E$5001,"Em ajustes"),1,0),0))</f>
        <v/>
      </c>
      <c r="N4908" s="17" t="str">
        <f aca="false">IF(A4908="","",IF(ISNUMBER(A4908),A4908,IFERROR(DATE(VALUE(MID(A4908,7,4)),VALUE(MID(A4908,4,2)),VALUE(MID(A4908,1,2)))+TIME(VALUE(MID(A4908,12,2)),VALUE(MID(A4908,15,2)),VALUE(MID(A4908,18,2))),"")))</f>
        <v/>
      </c>
    </row>
    <row r="4909" customFormat="false" ht="15" hidden="false" customHeight="false" outlineLevel="0" collapsed="false">
      <c r="I4909" s="15" t="str">
        <f aca="false">IF(N4909="","",INT(N4909))</f>
        <v/>
      </c>
      <c r="J4909" s="16" t="str">
        <f aca="false">IF(B4909="","",IF(N4909=_xlfn.MINIFS($N$2:$N$5001,$B$2:$B$5001,B4909),1,0))</f>
        <v/>
      </c>
      <c r="K4909" s="16" t="str">
        <f aca="false">IF(B4909="","",IF(AND(D4909="Formalização",E4909="Concluído"),IF(COUNTIFS($B$2:$B$5001,B4909,$E$2:$E$5001,"Em ajustes",$N$2:$N$5001,"&lt;"&amp;I4909)&gt;0,1,0),0))</f>
        <v/>
      </c>
      <c r="L4909" s="16" t="str">
        <f aca="false">IF(B4909="","",IF(N4909=_xlfn.MAXIFS($N$2:$N$5001,$B$2:$B$5001,B4909,$I$2:$I$5001,I4909),1,0))</f>
        <v/>
      </c>
      <c r="M4909" s="16" t="str">
        <f aca="false">IF(B4909="","",IF(E4909="Em ajustes",IF(N4909=_xlfn.MINIFS($N$2:$N$5001,$B$2:$B$5001,B4909,$E$2:$E$5001,"Em ajustes"),1,0),0))</f>
        <v/>
      </c>
      <c r="N4909" s="17" t="str">
        <f aca="false">IF(A4909="","",IF(ISNUMBER(A4909),A4909,IFERROR(DATE(VALUE(MID(A4909,7,4)),VALUE(MID(A4909,4,2)),VALUE(MID(A4909,1,2)))+TIME(VALUE(MID(A4909,12,2)),VALUE(MID(A4909,15,2)),VALUE(MID(A4909,18,2))),"")))</f>
        <v/>
      </c>
    </row>
    <row r="4910" customFormat="false" ht="15" hidden="false" customHeight="false" outlineLevel="0" collapsed="false">
      <c r="I4910" s="15" t="str">
        <f aca="false">IF(N4910="","",INT(N4910))</f>
        <v/>
      </c>
      <c r="J4910" s="16" t="str">
        <f aca="false">IF(B4910="","",IF(N4910=_xlfn.MINIFS($N$2:$N$5001,$B$2:$B$5001,B4910),1,0))</f>
        <v/>
      </c>
      <c r="K4910" s="16" t="str">
        <f aca="false">IF(B4910="","",IF(AND(D4910="Formalização",E4910="Concluído"),IF(COUNTIFS($B$2:$B$5001,B4910,$E$2:$E$5001,"Em ajustes",$N$2:$N$5001,"&lt;"&amp;I4910)&gt;0,1,0),0))</f>
        <v/>
      </c>
      <c r="L4910" s="16" t="str">
        <f aca="false">IF(B4910="","",IF(N4910=_xlfn.MAXIFS($N$2:$N$5001,$B$2:$B$5001,B4910,$I$2:$I$5001,I4910),1,0))</f>
        <v/>
      </c>
      <c r="M4910" s="16" t="str">
        <f aca="false">IF(B4910="","",IF(E4910="Em ajustes",IF(N4910=_xlfn.MINIFS($N$2:$N$5001,$B$2:$B$5001,B4910,$E$2:$E$5001,"Em ajustes"),1,0),0))</f>
        <v/>
      </c>
      <c r="N4910" s="17" t="str">
        <f aca="false">IF(A4910="","",IF(ISNUMBER(A4910),A4910,IFERROR(DATE(VALUE(MID(A4910,7,4)),VALUE(MID(A4910,4,2)),VALUE(MID(A4910,1,2)))+TIME(VALUE(MID(A4910,12,2)),VALUE(MID(A4910,15,2)),VALUE(MID(A4910,18,2))),"")))</f>
        <v/>
      </c>
    </row>
    <row r="4911" customFormat="false" ht="15" hidden="false" customHeight="false" outlineLevel="0" collapsed="false">
      <c r="I4911" s="15" t="str">
        <f aca="false">IF(N4911="","",INT(N4911))</f>
        <v/>
      </c>
      <c r="J4911" s="16" t="str">
        <f aca="false">IF(B4911="","",IF(N4911=_xlfn.MINIFS($N$2:$N$5001,$B$2:$B$5001,B4911),1,0))</f>
        <v/>
      </c>
      <c r="K4911" s="16" t="str">
        <f aca="false">IF(B4911="","",IF(AND(D4911="Formalização",E4911="Concluído"),IF(COUNTIFS($B$2:$B$5001,B4911,$E$2:$E$5001,"Em ajustes",$N$2:$N$5001,"&lt;"&amp;I4911)&gt;0,1,0),0))</f>
        <v/>
      </c>
      <c r="L4911" s="16" t="str">
        <f aca="false">IF(B4911="","",IF(N4911=_xlfn.MAXIFS($N$2:$N$5001,$B$2:$B$5001,B4911,$I$2:$I$5001,I4911),1,0))</f>
        <v/>
      </c>
      <c r="M4911" s="16" t="str">
        <f aca="false">IF(B4911="","",IF(E4911="Em ajustes",IF(N4911=_xlfn.MINIFS($N$2:$N$5001,$B$2:$B$5001,B4911,$E$2:$E$5001,"Em ajustes"),1,0),0))</f>
        <v/>
      </c>
      <c r="N4911" s="17" t="str">
        <f aca="false">IF(A4911="","",IF(ISNUMBER(A4911),A4911,IFERROR(DATE(VALUE(MID(A4911,7,4)),VALUE(MID(A4911,4,2)),VALUE(MID(A4911,1,2)))+TIME(VALUE(MID(A4911,12,2)),VALUE(MID(A4911,15,2)),VALUE(MID(A4911,18,2))),"")))</f>
        <v/>
      </c>
    </row>
    <row r="4912" customFormat="false" ht="15" hidden="false" customHeight="false" outlineLevel="0" collapsed="false">
      <c r="I4912" s="15" t="str">
        <f aca="false">IF(N4912="","",INT(N4912))</f>
        <v/>
      </c>
      <c r="J4912" s="16" t="str">
        <f aca="false">IF(B4912="","",IF(N4912=_xlfn.MINIFS($N$2:$N$5001,$B$2:$B$5001,B4912),1,0))</f>
        <v/>
      </c>
      <c r="K4912" s="16" t="str">
        <f aca="false">IF(B4912="","",IF(AND(D4912="Formalização",E4912="Concluído"),IF(COUNTIFS($B$2:$B$5001,B4912,$E$2:$E$5001,"Em ajustes",$N$2:$N$5001,"&lt;"&amp;I4912)&gt;0,1,0),0))</f>
        <v/>
      </c>
      <c r="L4912" s="16" t="str">
        <f aca="false">IF(B4912="","",IF(N4912=_xlfn.MAXIFS($N$2:$N$5001,$B$2:$B$5001,B4912,$I$2:$I$5001,I4912),1,0))</f>
        <v/>
      </c>
      <c r="M4912" s="16" t="str">
        <f aca="false">IF(B4912="","",IF(E4912="Em ajustes",IF(N4912=_xlfn.MINIFS($N$2:$N$5001,$B$2:$B$5001,B4912,$E$2:$E$5001,"Em ajustes"),1,0),0))</f>
        <v/>
      </c>
      <c r="N4912" s="17" t="str">
        <f aca="false">IF(A4912="","",IF(ISNUMBER(A4912),A4912,IFERROR(DATE(VALUE(MID(A4912,7,4)),VALUE(MID(A4912,4,2)),VALUE(MID(A4912,1,2)))+TIME(VALUE(MID(A4912,12,2)),VALUE(MID(A4912,15,2)),VALUE(MID(A4912,18,2))),"")))</f>
        <v/>
      </c>
    </row>
    <row r="4913" customFormat="false" ht="15" hidden="false" customHeight="false" outlineLevel="0" collapsed="false">
      <c r="I4913" s="15" t="str">
        <f aca="false">IF(N4913="","",INT(N4913))</f>
        <v/>
      </c>
      <c r="J4913" s="16" t="str">
        <f aca="false">IF(B4913="","",IF(N4913=_xlfn.MINIFS($N$2:$N$5001,$B$2:$B$5001,B4913),1,0))</f>
        <v/>
      </c>
      <c r="K4913" s="16" t="str">
        <f aca="false">IF(B4913="","",IF(AND(D4913="Formalização",E4913="Concluído"),IF(COUNTIFS($B$2:$B$5001,B4913,$E$2:$E$5001,"Em ajustes",$N$2:$N$5001,"&lt;"&amp;I4913)&gt;0,1,0),0))</f>
        <v/>
      </c>
      <c r="L4913" s="16" t="str">
        <f aca="false">IF(B4913="","",IF(N4913=_xlfn.MAXIFS($N$2:$N$5001,$B$2:$B$5001,B4913,$I$2:$I$5001,I4913),1,0))</f>
        <v/>
      </c>
      <c r="M4913" s="16" t="str">
        <f aca="false">IF(B4913="","",IF(E4913="Em ajustes",IF(N4913=_xlfn.MINIFS($N$2:$N$5001,$B$2:$B$5001,B4913,$E$2:$E$5001,"Em ajustes"),1,0),0))</f>
        <v/>
      </c>
      <c r="N4913" s="17" t="str">
        <f aca="false">IF(A4913="","",IF(ISNUMBER(A4913),A4913,IFERROR(DATE(VALUE(MID(A4913,7,4)),VALUE(MID(A4913,4,2)),VALUE(MID(A4913,1,2)))+TIME(VALUE(MID(A4913,12,2)),VALUE(MID(A4913,15,2)),VALUE(MID(A4913,18,2))),"")))</f>
        <v/>
      </c>
    </row>
    <row r="4914" customFormat="false" ht="15" hidden="false" customHeight="false" outlineLevel="0" collapsed="false">
      <c r="I4914" s="15" t="str">
        <f aca="false">IF(N4914="","",INT(N4914))</f>
        <v/>
      </c>
      <c r="J4914" s="16" t="str">
        <f aca="false">IF(B4914="","",IF(N4914=_xlfn.MINIFS($N$2:$N$5001,$B$2:$B$5001,B4914),1,0))</f>
        <v/>
      </c>
      <c r="K4914" s="16" t="str">
        <f aca="false">IF(B4914="","",IF(AND(D4914="Formalização",E4914="Concluído"),IF(COUNTIFS($B$2:$B$5001,B4914,$E$2:$E$5001,"Em ajustes",$N$2:$N$5001,"&lt;"&amp;I4914)&gt;0,1,0),0))</f>
        <v/>
      </c>
      <c r="L4914" s="16" t="str">
        <f aca="false">IF(B4914="","",IF(N4914=_xlfn.MAXIFS($N$2:$N$5001,$B$2:$B$5001,B4914,$I$2:$I$5001,I4914),1,0))</f>
        <v/>
      </c>
      <c r="M4914" s="16" t="str">
        <f aca="false">IF(B4914="","",IF(E4914="Em ajustes",IF(N4914=_xlfn.MINIFS($N$2:$N$5001,$B$2:$B$5001,B4914,$E$2:$E$5001,"Em ajustes"),1,0),0))</f>
        <v/>
      </c>
      <c r="N4914" s="17" t="str">
        <f aca="false">IF(A4914="","",IF(ISNUMBER(A4914),A4914,IFERROR(DATE(VALUE(MID(A4914,7,4)),VALUE(MID(A4914,4,2)),VALUE(MID(A4914,1,2)))+TIME(VALUE(MID(A4914,12,2)),VALUE(MID(A4914,15,2)),VALUE(MID(A4914,18,2))),"")))</f>
        <v/>
      </c>
    </row>
    <row r="4915" customFormat="false" ht="15" hidden="false" customHeight="false" outlineLevel="0" collapsed="false">
      <c r="I4915" s="15" t="str">
        <f aca="false">IF(N4915="","",INT(N4915))</f>
        <v/>
      </c>
      <c r="J4915" s="16" t="str">
        <f aca="false">IF(B4915="","",IF(N4915=_xlfn.MINIFS($N$2:$N$5001,$B$2:$B$5001,B4915),1,0))</f>
        <v/>
      </c>
      <c r="K4915" s="16" t="str">
        <f aca="false">IF(B4915="","",IF(AND(D4915="Formalização",E4915="Concluído"),IF(COUNTIFS($B$2:$B$5001,B4915,$E$2:$E$5001,"Em ajustes",$N$2:$N$5001,"&lt;"&amp;I4915)&gt;0,1,0),0))</f>
        <v/>
      </c>
      <c r="L4915" s="16" t="str">
        <f aca="false">IF(B4915="","",IF(N4915=_xlfn.MAXIFS($N$2:$N$5001,$B$2:$B$5001,B4915,$I$2:$I$5001,I4915),1,0))</f>
        <v/>
      </c>
      <c r="M4915" s="16" t="str">
        <f aca="false">IF(B4915="","",IF(E4915="Em ajustes",IF(N4915=_xlfn.MINIFS($N$2:$N$5001,$B$2:$B$5001,B4915,$E$2:$E$5001,"Em ajustes"),1,0),0))</f>
        <v/>
      </c>
      <c r="N4915" s="17" t="str">
        <f aca="false">IF(A4915="","",IF(ISNUMBER(A4915),A4915,IFERROR(DATE(VALUE(MID(A4915,7,4)),VALUE(MID(A4915,4,2)),VALUE(MID(A4915,1,2)))+TIME(VALUE(MID(A4915,12,2)),VALUE(MID(A4915,15,2)),VALUE(MID(A4915,18,2))),"")))</f>
        <v/>
      </c>
    </row>
    <row r="4916" customFormat="false" ht="15" hidden="false" customHeight="false" outlineLevel="0" collapsed="false">
      <c r="I4916" s="15" t="str">
        <f aca="false">IF(N4916="","",INT(N4916))</f>
        <v/>
      </c>
      <c r="J4916" s="16" t="str">
        <f aca="false">IF(B4916="","",IF(N4916=_xlfn.MINIFS($N$2:$N$5001,$B$2:$B$5001,B4916),1,0))</f>
        <v/>
      </c>
      <c r="K4916" s="16" t="str">
        <f aca="false">IF(B4916="","",IF(AND(D4916="Formalização",E4916="Concluído"),IF(COUNTIFS($B$2:$B$5001,B4916,$E$2:$E$5001,"Em ajustes",$N$2:$N$5001,"&lt;"&amp;I4916)&gt;0,1,0),0))</f>
        <v/>
      </c>
      <c r="L4916" s="16" t="str">
        <f aca="false">IF(B4916="","",IF(N4916=_xlfn.MAXIFS($N$2:$N$5001,$B$2:$B$5001,B4916,$I$2:$I$5001,I4916),1,0))</f>
        <v/>
      </c>
      <c r="M4916" s="16" t="str">
        <f aca="false">IF(B4916="","",IF(E4916="Em ajustes",IF(N4916=_xlfn.MINIFS($N$2:$N$5001,$B$2:$B$5001,B4916,$E$2:$E$5001,"Em ajustes"),1,0),0))</f>
        <v/>
      </c>
      <c r="N4916" s="17" t="str">
        <f aca="false">IF(A4916="","",IF(ISNUMBER(A4916),A4916,IFERROR(DATE(VALUE(MID(A4916,7,4)),VALUE(MID(A4916,4,2)),VALUE(MID(A4916,1,2)))+TIME(VALUE(MID(A4916,12,2)),VALUE(MID(A4916,15,2)),VALUE(MID(A4916,18,2))),"")))</f>
        <v/>
      </c>
    </row>
    <row r="4917" customFormat="false" ht="15" hidden="false" customHeight="false" outlineLevel="0" collapsed="false">
      <c r="I4917" s="15" t="str">
        <f aca="false">IF(N4917="","",INT(N4917))</f>
        <v/>
      </c>
      <c r="J4917" s="16" t="str">
        <f aca="false">IF(B4917="","",IF(N4917=_xlfn.MINIFS($N$2:$N$5001,$B$2:$B$5001,B4917),1,0))</f>
        <v/>
      </c>
      <c r="K4917" s="16" t="str">
        <f aca="false">IF(B4917="","",IF(AND(D4917="Formalização",E4917="Concluído"),IF(COUNTIFS($B$2:$B$5001,B4917,$E$2:$E$5001,"Em ajustes",$N$2:$N$5001,"&lt;"&amp;I4917)&gt;0,1,0),0))</f>
        <v/>
      </c>
      <c r="L4917" s="16" t="str">
        <f aca="false">IF(B4917="","",IF(N4917=_xlfn.MAXIFS($N$2:$N$5001,$B$2:$B$5001,B4917,$I$2:$I$5001,I4917),1,0))</f>
        <v/>
      </c>
      <c r="M4917" s="16" t="str">
        <f aca="false">IF(B4917="","",IF(E4917="Em ajustes",IF(N4917=_xlfn.MINIFS($N$2:$N$5001,$B$2:$B$5001,B4917,$E$2:$E$5001,"Em ajustes"),1,0),0))</f>
        <v/>
      </c>
      <c r="N4917" s="17" t="str">
        <f aca="false">IF(A4917="","",IF(ISNUMBER(A4917),A4917,IFERROR(DATE(VALUE(MID(A4917,7,4)),VALUE(MID(A4917,4,2)),VALUE(MID(A4917,1,2)))+TIME(VALUE(MID(A4917,12,2)),VALUE(MID(A4917,15,2)),VALUE(MID(A4917,18,2))),"")))</f>
        <v/>
      </c>
    </row>
    <row r="4918" customFormat="false" ht="15" hidden="false" customHeight="false" outlineLevel="0" collapsed="false">
      <c r="I4918" s="15" t="str">
        <f aca="false">IF(N4918="","",INT(N4918))</f>
        <v/>
      </c>
      <c r="J4918" s="16" t="str">
        <f aca="false">IF(B4918="","",IF(N4918=_xlfn.MINIFS($N$2:$N$5001,$B$2:$B$5001,B4918),1,0))</f>
        <v/>
      </c>
      <c r="K4918" s="16" t="str">
        <f aca="false">IF(B4918="","",IF(AND(D4918="Formalização",E4918="Concluído"),IF(COUNTIFS($B$2:$B$5001,B4918,$E$2:$E$5001,"Em ajustes",$N$2:$N$5001,"&lt;"&amp;I4918)&gt;0,1,0),0))</f>
        <v/>
      </c>
      <c r="L4918" s="16" t="str">
        <f aca="false">IF(B4918="","",IF(N4918=_xlfn.MAXIFS($N$2:$N$5001,$B$2:$B$5001,B4918,$I$2:$I$5001,I4918),1,0))</f>
        <v/>
      </c>
      <c r="M4918" s="16" t="str">
        <f aca="false">IF(B4918="","",IF(E4918="Em ajustes",IF(N4918=_xlfn.MINIFS($N$2:$N$5001,$B$2:$B$5001,B4918,$E$2:$E$5001,"Em ajustes"),1,0),0))</f>
        <v/>
      </c>
      <c r="N4918" s="17" t="str">
        <f aca="false">IF(A4918="","",IF(ISNUMBER(A4918),A4918,IFERROR(DATE(VALUE(MID(A4918,7,4)),VALUE(MID(A4918,4,2)),VALUE(MID(A4918,1,2)))+TIME(VALUE(MID(A4918,12,2)),VALUE(MID(A4918,15,2)),VALUE(MID(A4918,18,2))),"")))</f>
        <v/>
      </c>
    </row>
    <row r="4919" customFormat="false" ht="15" hidden="false" customHeight="false" outlineLevel="0" collapsed="false">
      <c r="I4919" s="15" t="str">
        <f aca="false">IF(N4919="","",INT(N4919))</f>
        <v/>
      </c>
      <c r="J4919" s="16" t="str">
        <f aca="false">IF(B4919="","",IF(N4919=_xlfn.MINIFS($N$2:$N$5001,$B$2:$B$5001,B4919),1,0))</f>
        <v/>
      </c>
      <c r="K4919" s="16" t="str">
        <f aca="false">IF(B4919="","",IF(AND(D4919="Formalização",E4919="Concluído"),IF(COUNTIFS($B$2:$B$5001,B4919,$E$2:$E$5001,"Em ajustes",$N$2:$N$5001,"&lt;"&amp;I4919)&gt;0,1,0),0))</f>
        <v/>
      </c>
      <c r="L4919" s="16" t="str">
        <f aca="false">IF(B4919="","",IF(N4919=_xlfn.MAXIFS($N$2:$N$5001,$B$2:$B$5001,B4919,$I$2:$I$5001,I4919),1,0))</f>
        <v/>
      </c>
      <c r="M4919" s="16" t="str">
        <f aca="false">IF(B4919="","",IF(E4919="Em ajustes",IF(N4919=_xlfn.MINIFS($N$2:$N$5001,$B$2:$B$5001,B4919,$E$2:$E$5001,"Em ajustes"),1,0),0))</f>
        <v/>
      </c>
      <c r="N4919" s="17" t="str">
        <f aca="false">IF(A4919="","",IF(ISNUMBER(A4919),A4919,IFERROR(DATE(VALUE(MID(A4919,7,4)),VALUE(MID(A4919,4,2)),VALUE(MID(A4919,1,2)))+TIME(VALUE(MID(A4919,12,2)),VALUE(MID(A4919,15,2)),VALUE(MID(A4919,18,2))),"")))</f>
        <v/>
      </c>
    </row>
    <row r="4920" customFormat="false" ht="15" hidden="false" customHeight="false" outlineLevel="0" collapsed="false">
      <c r="I4920" s="15" t="str">
        <f aca="false">IF(N4920="","",INT(N4920))</f>
        <v/>
      </c>
      <c r="J4920" s="16" t="str">
        <f aca="false">IF(B4920="","",IF(N4920=_xlfn.MINIFS($N$2:$N$5001,$B$2:$B$5001,B4920),1,0))</f>
        <v/>
      </c>
      <c r="K4920" s="16" t="str">
        <f aca="false">IF(B4920="","",IF(AND(D4920="Formalização",E4920="Concluído"),IF(COUNTIFS($B$2:$B$5001,B4920,$E$2:$E$5001,"Em ajustes",$N$2:$N$5001,"&lt;"&amp;I4920)&gt;0,1,0),0))</f>
        <v/>
      </c>
      <c r="L4920" s="16" t="str">
        <f aca="false">IF(B4920="","",IF(N4920=_xlfn.MAXIFS($N$2:$N$5001,$B$2:$B$5001,B4920,$I$2:$I$5001,I4920),1,0))</f>
        <v/>
      </c>
      <c r="M4920" s="16" t="str">
        <f aca="false">IF(B4920="","",IF(E4920="Em ajustes",IF(N4920=_xlfn.MINIFS($N$2:$N$5001,$B$2:$B$5001,B4920,$E$2:$E$5001,"Em ajustes"),1,0),0))</f>
        <v/>
      </c>
      <c r="N4920" s="17" t="str">
        <f aca="false">IF(A4920="","",IF(ISNUMBER(A4920),A4920,IFERROR(DATE(VALUE(MID(A4920,7,4)),VALUE(MID(A4920,4,2)),VALUE(MID(A4920,1,2)))+TIME(VALUE(MID(A4920,12,2)),VALUE(MID(A4920,15,2)),VALUE(MID(A4920,18,2))),"")))</f>
        <v/>
      </c>
    </row>
    <row r="4921" customFormat="false" ht="15" hidden="false" customHeight="false" outlineLevel="0" collapsed="false">
      <c r="I4921" s="15" t="str">
        <f aca="false">IF(N4921="","",INT(N4921))</f>
        <v/>
      </c>
      <c r="J4921" s="16" t="str">
        <f aca="false">IF(B4921="","",IF(N4921=_xlfn.MINIFS($N$2:$N$5001,$B$2:$B$5001,B4921),1,0))</f>
        <v/>
      </c>
      <c r="K4921" s="16" t="str">
        <f aca="false">IF(B4921="","",IF(AND(D4921="Formalização",E4921="Concluído"),IF(COUNTIFS($B$2:$B$5001,B4921,$E$2:$E$5001,"Em ajustes",$N$2:$N$5001,"&lt;"&amp;I4921)&gt;0,1,0),0))</f>
        <v/>
      </c>
      <c r="L4921" s="16" t="str">
        <f aca="false">IF(B4921="","",IF(N4921=_xlfn.MAXIFS($N$2:$N$5001,$B$2:$B$5001,B4921,$I$2:$I$5001,I4921),1,0))</f>
        <v/>
      </c>
      <c r="M4921" s="16" t="str">
        <f aca="false">IF(B4921="","",IF(E4921="Em ajustes",IF(N4921=_xlfn.MINIFS($N$2:$N$5001,$B$2:$B$5001,B4921,$E$2:$E$5001,"Em ajustes"),1,0),0))</f>
        <v/>
      </c>
      <c r="N4921" s="17" t="str">
        <f aca="false">IF(A4921="","",IF(ISNUMBER(A4921),A4921,IFERROR(DATE(VALUE(MID(A4921,7,4)),VALUE(MID(A4921,4,2)),VALUE(MID(A4921,1,2)))+TIME(VALUE(MID(A4921,12,2)),VALUE(MID(A4921,15,2)),VALUE(MID(A4921,18,2))),"")))</f>
        <v/>
      </c>
    </row>
    <row r="4922" customFormat="false" ht="15" hidden="false" customHeight="false" outlineLevel="0" collapsed="false">
      <c r="I4922" s="15" t="str">
        <f aca="false">IF(N4922="","",INT(N4922))</f>
        <v/>
      </c>
      <c r="J4922" s="16" t="str">
        <f aca="false">IF(B4922="","",IF(N4922=_xlfn.MINIFS($N$2:$N$5001,$B$2:$B$5001,B4922),1,0))</f>
        <v/>
      </c>
      <c r="K4922" s="16" t="str">
        <f aca="false">IF(B4922="","",IF(AND(D4922="Formalização",E4922="Concluído"),IF(COUNTIFS($B$2:$B$5001,B4922,$E$2:$E$5001,"Em ajustes",$N$2:$N$5001,"&lt;"&amp;I4922)&gt;0,1,0),0))</f>
        <v/>
      </c>
      <c r="L4922" s="16" t="str">
        <f aca="false">IF(B4922="","",IF(N4922=_xlfn.MAXIFS($N$2:$N$5001,$B$2:$B$5001,B4922,$I$2:$I$5001,I4922),1,0))</f>
        <v/>
      </c>
      <c r="M4922" s="16" t="str">
        <f aca="false">IF(B4922="","",IF(E4922="Em ajustes",IF(N4922=_xlfn.MINIFS($N$2:$N$5001,$B$2:$B$5001,B4922,$E$2:$E$5001,"Em ajustes"),1,0),0))</f>
        <v/>
      </c>
      <c r="N4922" s="17" t="str">
        <f aca="false">IF(A4922="","",IF(ISNUMBER(A4922),A4922,IFERROR(DATE(VALUE(MID(A4922,7,4)),VALUE(MID(A4922,4,2)),VALUE(MID(A4922,1,2)))+TIME(VALUE(MID(A4922,12,2)),VALUE(MID(A4922,15,2)),VALUE(MID(A4922,18,2))),"")))</f>
        <v/>
      </c>
    </row>
    <row r="4923" customFormat="false" ht="15" hidden="false" customHeight="false" outlineLevel="0" collapsed="false">
      <c r="I4923" s="15" t="str">
        <f aca="false">IF(N4923="","",INT(N4923))</f>
        <v/>
      </c>
      <c r="J4923" s="16" t="str">
        <f aca="false">IF(B4923="","",IF(N4923=_xlfn.MINIFS($N$2:$N$5001,$B$2:$B$5001,B4923),1,0))</f>
        <v/>
      </c>
      <c r="K4923" s="16" t="str">
        <f aca="false">IF(B4923="","",IF(AND(D4923="Formalização",E4923="Concluído"),IF(COUNTIFS($B$2:$B$5001,B4923,$E$2:$E$5001,"Em ajustes",$N$2:$N$5001,"&lt;"&amp;I4923)&gt;0,1,0),0))</f>
        <v/>
      </c>
      <c r="L4923" s="16" t="str">
        <f aca="false">IF(B4923="","",IF(N4923=_xlfn.MAXIFS($N$2:$N$5001,$B$2:$B$5001,B4923,$I$2:$I$5001,I4923),1,0))</f>
        <v/>
      </c>
      <c r="M4923" s="16" t="str">
        <f aca="false">IF(B4923="","",IF(E4923="Em ajustes",IF(N4923=_xlfn.MINIFS($N$2:$N$5001,$B$2:$B$5001,B4923,$E$2:$E$5001,"Em ajustes"),1,0),0))</f>
        <v/>
      </c>
      <c r="N4923" s="17" t="str">
        <f aca="false">IF(A4923="","",IF(ISNUMBER(A4923),A4923,IFERROR(DATE(VALUE(MID(A4923,7,4)),VALUE(MID(A4923,4,2)),VALUE(MID(A4923,1,2)))+TIME(VALUE(MID(A4923,12,2)),VALUE(MID(A4923,15,2)),VALUE(MID(A4923,18,2))),"")))</f>
        <v/>
      </c>
    </row>
    <row r="4924" customFormat="false" ht="15" hidden="false" customHeight="false" outlineLevel="0" collapsed="false">
      <c r="I4924" s="15" t="str">
        <f aca="false">IF(N4924="","",INT(N4924))</f>
        <v/>
      </c>
      <c r="J4924" s="16" t="str">
        <f aca="false">IF(B4924="","",IF(N4924=_xlfn.MINIFS($N$2:$N$5001,$B$2:$B$5001,B4924),1,0))</f>
        <v/>
      </c>
      <c r="K4924" s="16" t="str">
        <f aca="false">IF(B4924="","",IF(AND(D4924="Formalização",E4924="Concluído"),IF(COUNTIFS($B$2:$B$5001,B4924,$E$2:$E$5001,"Em ajustes",$N$2:$N$5001,"&lt;"&amp;I4924)&gt;0,1,0),0))</f>
        <v/>
      </c>
      <c r="L4924" s="16" t="str">
        <f aca="false">IF(B4924="","",IF(N4924=_xlfn.MAXIFS($N$2:$N$5001,$B$2:$B$5001,B4924,$I$2:$I$5001,I4924),1,0))</f>
        <v/>
      </c>
      <c r="M4924" s="16" t="str">
        <f aca="false">IF(B4924="","",IF(E4924="Em ajustes",IF(N4924=_xlfn.MINIFS($N$2:$N$5001,$B$2:$B$5001,B4924,$E$2:$E$5001,"Em ajustes"),1,0),0))</f>
        <v/>
      </c>
      <c r="N4924" s="17" t="str">
        <f aca="false">IF(A4924="","",IF(ISNUMBER(A4924),A4924,IFERROR(DATE(VALUE(MID(A4924,7,4)),VALUE(MID(A4924,4,2)),VALUE(MID(A4924,1,2)))+TIME(VALUE(MID(A4924,12,2)),VALUE(MID(A4924,15,2)),VALUE(MID(A4924,18,2))),"")))</f>
        <v/>
      </c>
    </row>
    <row r="4925" customFormat="false" ht="15" hidden="false" customHeight="false" outlineLevel="0" collapsed="false">
      <c r="I4925" s="15" t="str">
        <f aca="false">IF(N4925="","",INT(N4925))</f>
        <v/>
      </c>
      <c r="J4925" s="16" t="str">
        <f aca="false">IF(B4925="","",IF(N4925=_xlfn.MINIFS($N$2:$N$5001,$B$2:$B$5001,B4925),1,0))</f>
        <v/>
      </c>
      <c r="K4925" s="16" t="str">
        <f aca="false">IF(B4925="","",IF(AND(D4925="Formalização",E4925="Concluído"),IF(COUNTIFS($B$2:$B$5001,B4925,$E$2:$E$5001,"Em ajustes",$N$2:$N$5001,"&lt;"&amp;I4925)&gt;0,1,0),0))</f>
        <v/>
      </c>
      <c r="L4925" s="16" t="str">
        <f aca="false">IF(B4925="","",IF(N4925=_xlfn.MAXIFS($N$2:$N$5001,$B$2:$B$5001,B4925,$I$2:$I$5001,I4925),1,0))</f>
        <v/>
      </c>
      <c r="M4925" s="16" t="str">
        <f aca="false">IF(B4925="","",IF(E4925="Em ajustes",IF(N4925=_xlfn.MINIFS($N$2:$N$5001,$B$2:$B$5001,B4925,$E$2:$E$5001,"Em ajustes"),1,0),0))</f>
        <v/>
      </c>
      <c r="N4925" s="17" t="str">
        <f aca="false">IF(A4925="","",IF(ISNUMBER(A4925),A4925,IFERROR(DATE(VALUE(MID(A4925,7,4)),VALUE(MID(A4925,4,2)),VALUE(MID(A4925,1,2)))+TIME(VALUE(MID(A4925,12,2)),VALUE(MID(A4925,15,2)),VALUE(MID(A4925,18,2))),"")))</f>
        <v/>
      </c>
    </row>
    <row r="4926" customFormat="false" ht="15" hidden="false" customHeight="false" outlineLevel="0" collapsed="false">
      <c r="I4926" s="15" t="str">
        <f aca="false">IF(N4926="","",INT(N4926))</f>
        <v/>
      </c>
      <c r="J4926" s="16" t="str">
        <f aca="false">IF(B4926="","",IF(N4926=_xlfn.MINIFS($N$2:$N$5001,$B$2:$B$5001,B4926),1,0))</f>
        <v/>
      </c>
      <c r="K4926" s="16" t="str">
        <f aca="false">IF(B4926="","",IF(AND(D4926="Formalização",E4926="Concluído"),IF(COUNTIFS($B$2:$B$5001,B4926,$E$2:$E$5001,"Em ajustes",$N$2:$N$5001,"&lt;"&amp;I4926)&gt;0,1,0),0))</f>
        <v/>
      </c>
      <c r="L4926" s="16" t="str">
        <f aca="false">IF(B4926="","",IF(N4926=_xlfn.MAXIFS($N$2:$N$5001,$B$2:$B$5001,B4926,$I$2:$I$5001,I4926),1,0))</f>
        <v/>
      </c>
      <c r="M4926" s="16" t="str">
        <f aca="false">IF(B4926="","",IF(E4926="Em ajustes",IF(N4926=_xlfn.MINIFS($N$2:$N$5001,$B$2:$B$5001,B4926,$E$2:$E$5001,"Em ajustes"),1,0),0))</f>
        <v/>
      </c>
      <c r="N4926" s="17" t="str">
        <f aca="false">IF(A4926="","",IF(ISNUMBER(A4926),A4926,IFERROR(DATE(VALUE(MID(A4926,7,4)),VALUE(MID(A4926,4,2)),VALUE(MID(A4926,1,2)))+TIME(VALUE(MID(A4926,12,2)),VALUE(MID(A4926,15,2)),VALUE(MID(A4926,18,2))),"")))</f>
        <v/>
      </c>
    </row>
    <row r="4927" customFormat="false" ht="15" hidden="false" customHeight="false" outlineLevel="0" collapsed="false">
      <c r="I4927" s="15" t="str">
        <f aca="false">IF(N4927="","",INT(N4927))</f>
        <v/>
      </c>
      <c r="J4927" s="16" t="str">
        <f aca="false">IF(B4927="","",IF(N4927=_xlfn.MINIFS($N$2:$N$5001,$B$2:$B$5001,B4927),1,0))</f>
        <v/>
      </c>
      <c r="K4927" s="16" t="str">
        <f aca="false">IF(B4927="","",IF(AND(D4927="Formalização",E4927="Concluído"),IF(COUNTIFS($B$2:$B$5001,B4927,$E$2:$E$5001,"Em ajustes",$N$2:$N$5001,"&lt;"&amp;I4927)&gt;0,1,0),0))</f>
        <v/>
      </c>
      <c r="L4927" s="16" t="str">
        <f aca="false">IF(B4927="","",IF(N4927=_xlfn.MAXIFS($N$2:$N$5001,$B$2:$B$5001,B4927,$I$2:$I$5001,I4927),1,0))</f>
        <v/>
      </c>
      <c r="M4927" s="16" t="str">
        <f aca="false">IF(B4927="","",IF(E4927="Em ajustes",IF(N4927=_xlfn.MINIFS($N$2:$N$5001,$B$2:$B$5001,B4927,$E$2:$E$5001,"Em ajustes"),1,0),0))</f>
        <v/>
      </c>
      <c r="N4927" s="17" t="str">
        <f aca="false">IF(A4927="","",IF(ISNUMBER(A4927),A4927,IFERROR(DATE(VALUE(MID(A4927,7,4)),VALUE(MID(A4927,4,2)),VALUE(MID(A4927,1,2)))+TIME(VALUE(MID(A4927,12,2)),VALUE(MID(A4927,15,2)),VALUE(MID(A4927,18,2))),"")))</f>
        <v/>
      </c>
    </row>
    <row r="4928" customFormat="false" ht="15" hidden="false" customHeight="false" outlineLevel="0" collapsed="false">
      <c r="I4928" s="15" t="str">
        <f aca="false">IF(N4928="","",INT(N4928))</f>
        <v/>
      </c>
      <c r="J4928" s="16" t="str">
        <f aca="false">IF(B4928="","",IF(N4928=_xlfn.MINIFS($N$2:$N$5001,$B$2:$B$5001,B4928),1,0))</f>
        <v/>
      </c>
      <c r="K4928" s="16" t="str">
        <f aca="false">IF(B4928="","",IF(AND(D4928="Formalização",E4928="Concluído"),IF(COUNTIFS($B$2:$B$5001,B4928,$E$2:$E$5001,"Em ajustes",$N$2:$N$5001,"&lt;"&amp;I4928)&gt;0,1,0),0))</f>
        <v/>
      </c>
      <c r="L4928" s="16" t="str">
        <f aca="false">IF(B4928="","",IF(N4928=_xlfn.MAXIFS($N$2:$N$5001,$B$2:$B$5001,B4928,$I$2:$I$5001,I4928),1,0))</f>
        <v/>
      </c>
      <c r="M4928" s="16" t="str">
        <f aca="false">IF(B4928="","",IF(E4928="Em ajustes",IF(N4928=_xlfn.MINIFS($N$2:$N$5001,$B$2:$B$5001,B4928,$E$2:$E$5001,"Em ajustes"),1,0),0))</f>
        <v/>
      </c>
      <c r="N4928" s="17" t="str">
        <f aca="false">IF(A4928="","",IF(ISNUMBER(A4928),A4928,IFERROR(DATE(VALUE(MID(A4928,7,4)),VALUE(MID(A4928,4,2)),VALUE(MID(A4928,1,2)))+TIME(VALUE(MID(A4928,12,2)),VALUE(MID(A4928,15,2)),VALUE(MID(A4928,18,2))),"")))</f>
        <v/>
      </c>
    </row>
    <row r="4929" customFormat="false" ht="15" hidden="false" customHeight="false" outlineLevel="0" collapsed="false">
      <c r="I4929" s="15" t="str">
        <f aca="false">IF(N4929="","",INT(N4929))</f>
        <v/>
      </c>
      <c r="J4929" s="16" t="str">
        <f aca="false">IF(B4929="","",IF(N4929=_xlfn.MINIFS($N$2:$N$5001,$B$2:$B$5001,B4929),1,0))</f>
        <v/>
      </c>
      <c r="K4929" s="16" t="str">
        <f aca="false">IF(B4929="","",IF(AND(D4929="Formalização",E4929="Concluído"),IF(COUNTIFS($B$2:$B$5001,B4929,$E$2:$E$5001,"Em ajustes",$N$2:$N$5001,"&lt;"&amp;I4929)&gt;0,1,0),0))</f>
        <v/>
      </c>
      <c r="L4929" s="16" t="str">
        <f aca="false">IF(B4929="","",IF(N4929=_xlfn.MAXIFS($N$2:$N$5001,$B$2:$B$5001,B4929,$I$2:$I$5001,I4929),1,0))</f>
        <v/>
      </c>
      <c r="M4929" s="16" t="str">
        <f aca="false">IF(B4929="","",IF(E4929="Em ajustes",IF(N4929=_xlfn.MINIFS($N$2:$N$5001,$B$2:$B$5001,B4929,$E$2:$E$5001,"Em ajustes"),1,0),0))</f>
        <v/>
      </c>
      <c r="N4929" s="17" t="str">
        <f aca="false">IF(A4929="","",IF(ISNUMBER(A4929),A4929,IFERROR(DATE(VALUE(MID(A4929,7,4)),VALUE(MID(A4929,4,2)),VALUE(MID(A4929,1,2)))+TIME(VALUE(MID(A4929,12,2)),VALUE(MID(A4929,15,2)),VALUE(MID(A4929,18,2))),"")))</f>
        <v/>
      </c>
    </row>
    <row r="4930" customFormat="false" ht="15" hidden="false" customHeight="false" outlineLevel="0" collapsed="false">
      <c r="I4930" s="15" t="str">
        <f aca="false">IF(N4930="","",INT(N4930))</f>
        <v/>
      </c>
      <c r="J4930" s="16" t="str">
        <f aca="false">IF(B4930="","",IF(N4930=_xlfn.MINIFS($N$2:$N$5001,$B$2:$B$5001,B4930),1,0))</f>
        <v/>
      </c>
      <c r="K4930" s="16" t="str">
        <f aca="false">IF(B4930="","",IF(AND(D4930="Formalização",E4930="Concluído"),IF(COUNTIFS($B$2:$B$5001,B4930,$E$2:$E$5001,"Em ajustes",$N$2:$N$5001,"&lt;"&amp;I4930)&gt;0,1,0),0))</f>
        <v/>
      </c>
      <c r="L4930" s="16" t="str">
        <f aca="false">IF(B4930="","",IF(N4930=_xlfn.MAXIFS($N$2:$N$5001,$B$2:$B$5001,B4930,$I$2:$I$5001,I4930),1,0))</f>
        <v/>
      </c>
      <c r="M4930" s="16" t="str">
        <f aca="false">IF(B4930="","",IF(E4930="Em ajustes",IF(N4930=_xlfn.MINIFS($N$2:$N$5001,$B$2:$B$5001,B4930,$E$2:$E$5001,"Em ajustes"),1,0),0))</f>
        <v/>
      </c>
      <c r="N4930" s="17" t="str">
        <f aca="false">IF(A4930="","",IF(ISNUMBER(A4930),A4930,IFERROR(DATE(VALUE(MID(A4930,7,4)),VALUE(MID(A4930,4,2)),VALUE(MID(A4930,1,2)))+TIME(VALUE(MID(A4930,12,2)),VALUE(MID(A4930,15,2)),VALUE(MID(A4930,18,2))),"")))</f>
        <v/>
      </c>
    </row>
    <row r="4931" customFormat="false" ht="15" hidden="false" customHeight="false" outlineLevel="0" collapsed="false">
      <c r="I4931" s="15" t="str">
        <f aca="false">IF(N4931="","",INT(N4931))</f>
        <v/>
      </c>
      <c r="J4931" s="16" t="str">
        <f aca="false">IF(B4931="","",IF(N4931=_xlfn.MINIFS($N$2:$N$5001,$B$2:$B$5001,B4931),1,0))</f>
        <v/>
      </c>
      <c r="K4931" s="16" t="str">
        <f aca="false">IF(B4931="","",IF(AND(D4931="Formalização",E4931="Concluído"),IF(COUNTIFS($B$2:$B$5001,B4931,$E$2:$E$5001,"Em ajustes",$N$2:$N$5001,"&lt;"&amp;I4931)&gt;0,1,0),0))</f>
        <v/>
      </c>
      <c r="L4931" s="16" t="str">
        <f aca="false">IF(B4931="","",IF(N4931=_xlfn.MAXIFS($N$2:$N$5001,$B$2:$B$5001,B4931,$I$2:$I$5001,I4931),1,0))</f>
        <v/>
      </c>
      <c r="M4931" s="16" t="str">
        <f aca="false">IF(B4931="","",IF(E4931="Em ajustes",IF(N4931=_xlfn.MINIFS($N$2:$N$5001,$B$2:$B$5001,B4931,$E$2:$E$5001,"Em ajustes"),1,0),0))</f>
        <v/>
      </c>
      <c r="N4931" s="17" t="str">
        <f aca="false">IF(A4931="","",IF(ISNUMBER(A4931),A4931,IFERROR(DATE(VALUE(MID(A4931,7,4)),VALUE(MID(A4931,4,2)),VALUE(MID(A4931,1,2)))+TIME(VALUE(MID(A4931,12,2)),VALUE(MID(A4931,15,2)),VALUE(MID(A4931,18,2))),"")))</f>
        <v/>
      </c>
    </row>
    <row r="4932" customFormat="false" ht="15" hidden="false" customHeight="false" outlineLevel="0" collapsed="false">
      <c r="I4932" s="15" t="str">
        <f aca="false">IF(N4932="","",INT(N4932))</f>
        <v/>
      </c>
      <c r="J4932" s="16" t="str">
        <f aca="false">IF(B4932="","",IF(N4932=_xlfn.MINIFS($N$2:$N$5001,$B$2:$B$5001,B4932),1,0))</f>
        <v/>
      </c>
      <c r="K4932" s="16" t="str">
        <f aca="false">IF(B4932="","",IF(AND(D4932="Formalização",E4932="Concluído"),IF(COUNTIFS($B$2:$B$5001,B4932,$E$2:$E$5001,"Em ajustes",$N$2:$N$5001,"&lt;"&amp;I4932)&gt;0,1,0),0))</f>
        <v/>
      </c>
      <c r="L4932" s="16" t="str">
        <f aca="false">IF(B4932="","",IF(N4932=_xlfn.MAXIFS($N$2:$N$5001,$B$2:$B$5001,B4932,$I$2:$I$5001,I4932),1,0))</f>
        <v/>
      </c>
      <c r="M4932" s="16" t="str">
        <f aca="false">IF(B4932="","",IF(E4932="Em ajustes",IF(N4932=_xlfn.MINIFS($N$2:$N$5001,$B$2:$B$5001,B4932,$E$2:$E$5001,"Em ajustes"),1,0),0))</f>
        <v/>
      </c>
      <c r="N4932" s="17" t="str">
        <f aca="false">IF(A4932="","",IF(ISNUMBER(A4932),A4932,IFERROR(DATE(VALUE(MID(A4932,7,4)),VALUE(MID(A4932,4,2)),VALUE(MID(A4932,1,2)))+TIME(VALUE(MID(A4932,12,2)),VALUE(MID(A4932,15,2)),VALUE(MID(A4932,18,2))),"")))</f>
        <v/>
      </c>
    </row>
    <row r="4933" customFormat="false" ht="15" hidden="false" customHeight="false" outlineLevel="0" collapsed="false">
      <c r="I4933" s="15" t="str">
        <f aca="false">IF(N4933="","",INT(N4933))</f>
        <v/>
      </c>
      <c r="J4933" s="16" t="str">
        <f aca="false">IF(B4933="","",IF(N4933=_xlfn.MINIFS($N$2:$N$5001,$B$2:$B$5001,B4933),1,0))</f>
        <v/>
      </c>
      <c r="K4933" s="16" t="str">
        <f aca="false">IF(B4933="","",IF(AND(D4933="Formalização",E4933="Concluído"),IF(COUNTIFS($B$2:$B$5001,B4933,$E$2:$E$5001,"Em ajustes",$N$2:$N$5001,"&lt;"&amp;I4933)&gt;0,1,0),0))</f>
        <v/>
      </c>
      <c r="L4933" s="16" t="str">
        <f aca="false">IF(B4933="","",IF(N4933=_xlfn.MAXIFS($N$2:$N$5001,$B$2:$B$5001,B4933,$I$2:$I$5001,I4933),1,0))</f>
        <v/>
      </c>
      <c r="M4933" s="16" t="str">
        <f aca="false">IF(B4933="","",IF(E4933="Em ajustes",IF(N4933=_xlfn.MINIFS($N$2:$N$5001,$B$2:$B$5001,B4933,$E$2:$E$5001,"Em ajustes"),1,0),0))</f>
        <v/>
      </c>
      <c r="N4933" s="17" t="str">
        <f aca="false">IF(A4933="","",IF(ISNUMBER(A4933),A4933,IFERROR(DATE(VALUE(MID(A4933,7,4)),VALUE(MID(A4933,4,2)),VALUE(MID(A4933,1,2)))+TIME(VALUE(MID(A4933,12,2)),VALUE(MID(A4933,15,2)),VALUE(MID(A4933,18,2))),"")))</f>
        <v/>
      </c>
    </row>
    <row r="4934" customFormat="false" ht="15" hidden="false" customHeight="false" outlineLevel="0" collapsed="false">
      <c r="I4934" s="15" t="str">
        <f aca="false">IF(N4934="","",INT(N4934))</f>
        <v/>
      </c>
      <c r="J4934" s="16" t="str">
        <f aca="false">IF(B4934="","",IF(N4934=_xlfn.MINIFS($N$2:$N$5001,$B$2:$B$5001,B4934),1,0))</f>
        <v/>
      </c>
      <c r="K4934" s="16" t="str">
        <f aca="false">IF(B4934="","",IF(AND(D4934="Formalização",E4934="Concluído"),IF(COUNTIFS($B$2:$B$5001,B4934,$E$2:$E$5001,"Em ajustes",$N$2:$N$5001,"&lt;"&amp;I4934)&gt;0,1,0),0))</f>
        <v/>
      </c>
      <c r="L4934" s="16" t="str">
        <f aca="false">IF(B4934="","",IF(N4934=_xlfn.MAXIFS($N$2:$N$5001,$B$2:$B$5001,B4934,$I$2:$I$5001,I4934),1,0))</f>
        <v/>
      </c>
      <c r="M4934" s="16" t="str">
        <f aca="false">IF(B4934="","",IF(E4934="Em ajustes",IF(N4934=_xlfn.MINIFS($N$2:$N$5001,$B$2:$B$5001,B4934,$E$2:$E$5001,"Em ajustes"),1,0),0))</f>
        <v/>
      </c>
      <c r="N4934" s="17" t="str">
        <f aca="false">IF(A4934="","",IF(ISNUMBER(A4934),A4934,IFERROR(DATE(VALUE(MID(A4934,7,4)),VALUE(MID(A4934,4,2)),VALUE(MID(A4934,1,2)))+TIME(VALUE(MID(A4934,12,2)),VALUE(MID(A4934,15,2)),VALUE(MID(A4934,18,2))),"")))</f>
        <v/>
      </c>
    </row>
    <row r="4935" customFormat="false" ht="15" hidden="false" customHeight="false" outlineLevel="0" collapsed="false">
      <c r="I4935" s="15" t="str">
        <f aca="false">IF(N4935="","",INT(N4935))</f>
        <v/>
      </c>
      <c r="J4935" s="16" t="str">
        <f aca="false">IF(B4935="","",IF(N4935=_xlfn.MINIFS($N$2:$N$5001,$B$2:$B$5001,B4935),1,0))</f>
        <v/>
      </c>
      <c r="K4935" s="16" t="str">
        <f aca="false">IF(B4935="","",IF(AND(D4935="Formalização",E4935="Concluído"),IF(COUNTIFS($B$2:$B$5001,B4935,$E$2:$E$5001,"Em ajustes",$N$2:$N$5001,"&lt;"&amp;I4935)&gt;0,1,0),0))</f>
        <v/>
      </c>
      <c r="L4935" s="16" t="str">
        <f aca="false">IF(B4935="","",IF(N4935=_xlfn.MAXIFS($N$2:$N$5001,$B$2:$B$5001,B4935,$I$2:$I$5001,I4935),1,0))</f>
        <v/>
      </c>
      <c r="M4935" s="16" t="str">
        <f aca="false">IF(B4935="","",IF(E4935="Em ajustes",IF(N4935=_xlfn.MINIFS($N$2:$N$5001,$B$2:$B$5001,B4935,$E$2:$E$5001,"Em ajustes"),1,0),0))</f>
        <v/>
      </c>
      <c r="N4935" s="17" t="str">
        <f aca="false">IF(A4935="","",IF(ISNUMBER(A4935),A4935,IFERROR(DATE(VALUE(MID(A4935,7,4)),VALUE(MID(A4935,4,2)),VALUE(MID(A4935,1,2)))+TIME(VALUE(MID(A4935,12,2)),VALUE(MID(A4935,15,2)),VALUE(MID(A4935,18,2))),"")))</f>
        <v/>
      </c>
    </row>
    <row r="4936" customFormat="false" ht="15" hidden="false" customHeight="false" outlineLevel="0" collapsed="false">
      <c r="I4936" s="15" t="str">
        <f aca="false">IF(N4936="","",INT(N4936))</f>
        <v/>
      </c>
      <c r="J4936" s="16" t="str">
        <f aca="false">IF(B4936="","",IF(N4936=_xlfn.MINIFS($N$2:$N$5001,$B$2:$B$5001,B4936),1,0))</f>
        <v/>
      </c>
      <c r="K4936" s="16" t="str">
        <f aca="false">IF(B4936="","",IF(AND(D4936="Formalização",E4936="Concluído"),IF(COUNTIFS($B$2:$B$5001,B4936,$E$2:$E$5001,"Em ajustes",$N$2:$N$5001,"&lt;"&amp;I4936)&gt;0,1,0),0))</f>
        <v/>
      </c>
      <c r="L4936" s="16" t="str">
        <f aca="false">IF(B4936="","",IF(N4936=_xlfn.MAXIFS($N$2:$N$5001,$B$2:$B$5001,B4936,$I$2:$I$5001,I4936),1,0))</f>
        <v/>
      </c>
      <c r="M4936" s="16" t="str">
        <f aca="false">IF(B4936="","",IF(E4936="Em ajustes",IF(N4936=_xlfn.MINIFS($N$2:$N$5001,$B$2:$B$5001,B4936,$E$2:$E$5001,"Em ajustes"),1,0),0))</f>
        <v/>
      </c>
      <c r="N4936" s="17" t="str">
        <f aca="false">IF(A4936="","",IF(ISNUMBER(A4936),A4936,IFERROR(DATE(VALUE(MID(A4936,7,4)),VALUE(MID(A4936,4,2)),VALUE(MID(A4936,1,2)))+TIME(VALUE(MID(A4936,12,2)),VALUE(MID(A4936,15,2)),VALUE(MID(A4936,18,2))),"")))</f>
        <v/>
      </c>
    </row>
    <row r="4937" customFormat="false" ht="15" hidden="false" customHeight="false" outlineLevel="0" collapsed="false">
      <c r="I4937" s="15" t="str">
        <f aca="false">IF(N4937="","",INT(N4937))</f>
        <v/>
      </c>
      <c r="J4937" s="16" t="str">
        <f aca="false">IF(B4937="","",IF(N4937=_xlfn.MINIFS($N$2:$N$5001,$B$2:$B$5001,B4937),1,0))</f>
        <v/>
      </c>
      <c r="K4937" s="16" t="str">
        <f aca="false">IF(B4937="","",IF(AND(D4937="Formalização",E4937="Concluído"),IF(COUNTIFS($B$2:$B$5001,B4937,$E$2:$E$5001,"Em ajustes",$N$2:$N$5001,"&lt;"&amp;I4937)&gt;0,1,0),0))</f>
        <v/>
      </c>
      <c r="L4937" s="16" t="str">
        <f aca="false">IF(B4937="","",IF(N4937=_xlfn.MAXIFS($N$2:$N$5001,$B$2:$B$5001,B4937,$I$2:$I$5001,I4937),1,0))</f>
        <v/>
      </c>
      <c r="M4937" s="16" t="str">
        <f aca="false">IF(B4937="","",IF(E4937="Em ajustes",IF(N4937=_xlfn.MINIFS($N$2:$N$5001,$B$2:$B$5001,B4937,$E$2:$E$5001,"Em ajustes"),1,0),0))</f>
        <v/>
      </c>
      <c r="N4937" s="17" t="str">
        <f aca="false">IF(A4937="","",IF(ISNUMBER(A4937),A4937,IFERROR(DATE(VALUE(MID(A4937,7,4)),VALUE(MID(A4937,4,2)),VALUE(MID(A4937,1,2)))+TIME(VALUE(MID(A4937,12,2)),VALUE(MID(A4937,15,2)),VALUE(MID(A4937,18,2))),"")))</f>
        <v/>
      </c>
    </row>
    <row r="4938" customFormat="false" ht="15" hidden="false" customHeight="false" outlineLevel="0" collapsed="false">
      <c r="I4938" s="15" t="str">
        <f aca="false">IF(N4938="","",INT(N4938))</f>
        <v/>
      </c>
      <c r="J4938" s="16" t="str">
        <f aca="false">IF(B4938="","",IF(N4938=_xlfn.MINIFS($N$2:$N$5001,$B$2:$B$5001,B4938),1,0))</f>
        <v/>
      </c>
      <c r="K4938" s="16" t="str">
        <f aca="false">IF(B4938="","",IF(AND(D4938="Formalização",E4938="Concluído"),IF(COUNTIFS($B$2:$B$5001,B4938,$E$2:$E$5001,"Em ajustes",$N$2:$N$5001,"&lt;"&amp;I4938)&gt;0,1,0),0))</f>
        <v/>
      </c>
      <c r="L4938" s="16" t="str">
        <f aca="false">IF(B4938="","",IF(N4938=_xlfn.MAXIFS($N$2:$N$5001,$B$2:$B$5001,B4938,$I$2:$I$5001,I4938),1,0))</f>
        <v/>
      </c>
      <c r="M4938" s="16" t="str">
        <f aca="false">IF(B4938="","",IF(E4938="Em ajustes",IF(N4938=_xlfn.MINIFS($N$2:$N$5001,$B$2:$B$5001,B4938,$E$2:$E$5001,"Em ajustes"),1,0),0))</f>
        <v/>
      </c>
      <c r="N4938" s="17" t="str">
        <f aca="false">IF(A4938="","",IF(ISNUMBER(A4938),A4938,IFERROR(DATE(VALUE(MID(A4938,7,4)),VALUE(MID(A4938,4,2)),VALUE(MID(A4938,1,2)))+TIME(VALUE(MID(A4938,12,2)),VALUE(MID(A4938,15,2)),VALUE(MID(A4938,18,2))),"")))</f>
        <v/>
      </c>
    </row>
    <row r="4939" customFormat="false" ht="15" hidden="false" customHeight="false" outlineLevel="0" collapsed="false">
      <c r="I4939" s="15" t="str">
        <f aca="false">IF(N4939="","",INT(N4939))</f>
        <v/>
      </c>
      <c r="J4939" s="16" t="str">
        <f aca="false">IF(B4939="","",IF(N4939=_xlfn.MINIFS($N$2:$N$5001,$B$2:$B$5001,B4939),1,0))</f>
        <v/>
      </c>
      <c r="K4939" s="16" t="str">
        <f aca="false">IF(B4939="","",IF(AND(D4939="Formalização",E4939="Concluído"),IF(COUNTIFS($B$2:$B$5001,B4939,$E$2:$E$5001,"Em ajustes",$N$2:$N$5001,"&lt;"&amp;I4939)&gt;0,1,0),0))</f>
        <v/>
      </c>
      <c r="L4939" s="16" t="str">
        <f aca="false">IF(B4939="","",IF(N4939=_xlfn.MAXIFS($N$2:$N$5001,$B$2:$B$5001,B4939,$I$2:$I$5001,I4939),1,0))</f>
        <v/>
      </c>
      <c r="M4939" s="16" t="str">
        <f aca="false">IF(B4939="","",IF(E4939="Em ajustes",IF(N4939=_xlfn.MINIFS($N$2:$N$5001,$B$2:$B$5001,B4939,$E$2:$E$5001,"Em ajustes"),1,0),0))</f>
        <v/>
      </c>
      <c r="N4939" s="17" t="str">
        <f aca="false">IF(A4939="","",IF(ISNUMBER(A4939),A4939,IFERROR(DATE(VALUE(MID(A4939,7,4)),VALUE(MID(A4939,4,2)),VALUE(MID(A4939,1,2)))+TIME(VALUE(MID(A4939,12,2)),VALUE(MID(A4939,15,2)),VALUE(MID(A4939,18,2))),"")))</f>
        <v/>
      </c>
    </row>
    <row r="4940" customFormat="false" ht="15" hidden="false" customHeight="false" outlineLevel="0" collapsed="false">
      <c r="I4940" s="15" t="str">
        <f aca="false">IF(N4940="","",INT(N4940))</f>
        <v/>
      </c>
      <c r="J4940" s="16" t="str">
        <f aca="false">IF(B4940="","",IF(N4940=_xlfn.MINIFS($N$2:$N$5001,$B$2:$B$5001,B4940),1,0))</f>
        <v/>
      </c>
      <c r="K4940" s="16" t="str">
        <f aca="false">IF(B4940="","",IF(AND(D4940="Formalização",E4940="Concluído"),IF(COUNTIFS($B$2:$B$5001,B4940,$E$2:$E$5001,"Em ajustes",$N$2:$N$5001,"&lt;"&amp;I4940)&gt;0,1,0),0))</f>
        <v/>
      </c>
      <c r="L4940" s="16" t="str">
        <f aca="false">IF(B4940="","",IF(N4940=_xlfn.MAXIFS($N$2:$N$5001,$B$2:$B$5001,B4940,$I$2:$I$5001,I4940),1,0))</f>
        <v/>
      </c>
      <c r="M4940" s="16" t="str">
        <f aca="false">IF(B4940="","",IF(E4940="Em ajustes",IF(N4940=_xlfn.MINIFS($N$2:$N$5001,$B$2:$B$5001,B4940,$E$2:$E$5001,"Em ajustes"),1,0),0))</f>
        <v/>
      </c>
      <c r="N4940" s="17" t="str">
        <f aca="false">IF(A4940="","",IF(ISNUMBER(A4940),A4940,IFERROR(DATE(VALUE(MID(A4940,7,4)),VALUE(MID(A4940,4,2)),VALUE(MID(A4940,1,2)))+TIME(VALUE(MID(A4940,12,2)),VALUE(MID(A4940,15,2)),VALUE(MID(A4940,18,2))),"")))</f>
        <v/>
      </c>
    </row>
    <row r="4941" customFormat="false" ht="15" hidden="false" customHeight="false" outlineLevel="0" collapsed="false">
      <c r="I4941" s="15" t="str">
        <f aca="false">IF(N4941="","",INT(N4941))</f>
        <v/>
      </c>
      <c r="J4941" s="16" t="str">
        <f aca="false">IF(B4941="","",IF(N4941=_xlfn.MINIFS($N$2:$N$5001,$B$2:$B$5001,B4941),1,0))</f>
        <v/>
      </c>
      <c r="K4941" s="16" t="str">
        <f aca="false">IF(B4941="","",IF(AND(D4941="Formalização",E4941="Concluído"),IF(COUNTIFS($B$2:$B$5001,B4941,$E$2:$E$5001,"Em ajustes",$N$2:$N$5001,"&lt;"&amp;I4941)&gt;0,1,0),0))</f>
        <v/>
      </c>
      <c r="L4941" s="16" t="str">
        <f aca="false">IF(B4941="","",IF(N4941=_xlfn.MAXIFS($N$2:$N$5001,$B$2:$B$5001,B4941,$I$2:$I$5001,I4941),1,0))</f>
        <v/>
      </c>
      <c r="M4941" s="16" t="str">
        <f aca="false">IF(B4941="","",IF(E4941="Em ajustes",IF(N4941=_xlfn.MINIFS($N$2:$N$5001,$B$2:$B$5001,B4941,$E$2:$E$5001,"Em ajustes"),1,0),0))</f>
        <v/>
      </c>
      <c r="N4941" s="17" t="str">
        <f aca="false">IF(A4941="","",IF(ISNUMBER(A4941),A4941,IFERROR(DATE(VALUE(MID(A4941,7,4)),VALUE(MID(A4941,4,2)),VALUE(MID(A4941,1,2)))+TIME(VALUE(MID(A4941,12,2)),VALUE(MID(A4941,15,2)),VALUE(MID(A4941,18,2))),"")))</f>
        <v/>
      </c>
    </row>
    <row r="4942" customFormat="false" ht="15" hidden="false" customHeight="false" outlineLevel="0" collapsed="false">
      <c r="I4942" s="15" t="str">
        <f aca="false">IF(N4942="","",INT(N4942))</f>
        <v/>
      </c>
      <c r="J4942" s="16" t="str">
        <f aca="false">IF(B4942="","",IF(N4942=_xlfn.MINIFS($N$2:$N$5001,$B$2:$B$5001,B4942),1,0))</f>
        <v/>
      </c>
      <c r="K4942" s="16" t="str">
        <f aca="false">IF(B4942="","",IF(AND(D4942="Formalização",E4942="Concluído"),IF(COUNTIFS($B$2:$B$5001,B4942,$E$2:$E$5001,"Em ajustes",$N$2:$N$5001,"&lt;"&amp;I4942)&gt;0,1,0),0))</f>
        <v/>
      </c>
      <c r="L4942" s="16" t="str">
        <f aca="false">IF(B4942="","",IF(N4942=_xlfn.MAXIFS($N$2:$N$5001,$B$2:$B$5001,B4942,$I$2:$I$5001,I4942),1,0))</f>
        <v/>
      </c>
      <c r="M4942" s="16" t="str">
        <f aca="false">IF(B4942="","",IF(E4942="Em ajustes",IF(N4942=_xlfn.MINIFS($N$2:$N$5001,$B$2:$B$5001,B4942,$E$2:$E$5001,"Em ajustes"),1,0),0))</f>
        <v/>
      </c>
      <c r="N4942" s="17" t="str">
        <f aca="false">IF(A4942="","",IF(ISNUMBER(A4942),A4942,IFERROR(DATE(VALUE(MID(A4942,7,4)),VALUE(MID(A4942,4,2)),VALUE(MID(A4942,1,2)))+TIME(VALUE(MID(A4942,12,2)),VALUE(MID(A4942,15,2)),VALUE(MID(A4942,18,2))),"")))</f>
        <v/>
      </c>
    </row>
    <row r="4943" customFormat="false" ht="15" hidden="false" customHeight="false" outlineLevel="0" collapsed="false">
      <c r="I4943" s="15" t="str">
        <f aca="false">IF(N4943="","",INT(N4943))</f>
        <v/>
      </c>
      <c r="J4943" s="16" t="str">
        <f aca="false">IF(B4943="","",IF(N4943=_xlfn.MINIFS($N$2:$N$5001,$B$2:$B$5001,B4943),1,0))</f>
        <v/>
      </c>
      <c r="K4943" s="16" t="str">
        <f aca="false">IF(B4943="","",IF(AND(D4943="Formalização",E4943="Concluído"),IF(COUNTIFS($B$2:$B$5001,B4943,$E$2:$E$5001,"Em ajustes",$N$2:$N$5001,"&lt;"&amp;I4943)&gt;0,1,0),0))</f>
        <v/>
      </c>
      <c r="L4943" s="16" t="str">
        <f aca="false">IF(B4943="","",IF(N4943=_xlfn.MAXIFS($N$2:$N$5001,$B$2:$B$5001,B4943,$I$2:$I$5001,I4943),1,0))</f>
        <v/>
      </c>
      <c r="M4943" s="16" t="str">
        <f aca="false">IF(B4943="","",IF(E4943="Em ajustes",IF(N4943=_xlfn.MINIFS($N$2:$N$5001,$B$2:$B$5001,B4943,$E$2:$E$5001,"Em ajustes"),1,0),0))</f>
        <v/>
      </c>
      <c r="N4943" s="17" t="str">
        <f aca="false">IF(A4943="","",IF(ISNUMBER(A4943),A4943,IFERROR(DATE(VALUE(MID(A4943,7,4)),VALUE(MID(A4943,4,2)),VALUE(MID(A4943,1,2)))+TIME(VALUE(MID(A4943,12,2)),VALUE(MID(A4943,15,2)),VALUE(MID(A4943,18,2))),"")))</f>
        <v/>
      </c>
    </row>
    <row r="4944" customFormat="false" ht="15" hidden="false" customHeight="false" outlineLevel="0" collapsed="false">
      <c r="I4944" s="15" t="str">
        <f aca="false">IF(N4944="","",INT(N4944))</f>
        <v/>
      </c>
      <c r="J4944" s="16" t="str">
        <f aca="false">IF(B4944="","",IF(N4944=_xlfn.MINIFS($N$2:$N$5001,$B$2:$B$5001,B4944),1,0))</f>
        <v/>
      </c>
      <c r="K4944" s="16" t="str">
        <f aca="false">IF(B4944="","",IF(AND(D4944="Formalização",E4944="Concluído"),IF(COUNTIFS($B$2:$B$5001,B4944,$E$2:$E$5001,"Em ajustes",$N$2:$N$5001,"&lt;"&amp;I4944)&gt;0,1,0),0))</f>
        <v/>
      </c>
      <c r="L4944" s="16" t="str">
        <f aca="false">IF(B4944="","",IF(N4944=_xlfn.MAXIFS($N$2:$N$5001,$B$2:$B$5001,B4944,$I$2:$I$5001,I4944),1,0))</f>
        <v/>
      </c>
      <c r="M4944" s="16" t="str">
        <f aca="false">IF(B4944="","",IF(E4944="Em ajustes",IF(N4944=_xlfn.MINIFS($N$2:$N$5001,$B$2:$B$5001,B4944,$E$2:$E$5001,"Em ajustes"),1,0),0))</f>
        <v/>
      </c>
      <c r="N4944" s="17" t="str">
        <f aca="false">IF(A4944="","",IF(ISNUMBER(A4944),A4944,IFERROR(DATE(VALUE(MID(A4944,7,4)),VALUE(MID(A4944,4,2)),VALUE(MID(A4944,1,2)))+TIME(VALUE(MID(A4944,12,2)),VALUE(MID(A4944,15,2)),VALUE(MID(A4944,18,2))),"")))</f>
        <v/>
      </c>
    </row>
    <row r="4945" customFormat="false" ht="15" hidden="false" customHeight="false" outlineLevel="0" collapsed="false">
      <c r="I4945" s="15" t="str">
        <f aca="false">IF(N4945="","",INT(N4945))</f>
        <v/>
      </c>
      <c r="J4945" s="16" t="str">
        <f aca="false">IF(B4945="","",IF(N4945=_xlfn.MINIFS($N$2:$N$5001,$B$2:$B$5001,B4945),1,0))</f>
        <v/>
      </c>
      <c r="K4945" s="16" t="str">
        <f aca="false">IF(B4945="","",IF(AND(D4945="Formalização",E4945="Concluído"),IF(COUNTIFS($B$2:$B$5001,B4945,$E$2:$E$5001,"Em ajustes",$N$2:$N$5001,"&lt;"&amp;I4945)&gt;0,1,0),0))</f>
        <v/>
      </c>
      <c r="L4945" s="16" t="str">
        <f aca="false">IF(B4945="","",IF(N4945=_xlfn.MAXIFS($N$2:$N$5001,$B$2:$B$5001,B4945,$I$2:$I$5001,I4945),1,0))</f>
        <v/>
      </c>
      <c r="M4945" s="16" t="str">
        <f aca="false">IF(B4945="","",IF(E4945="Em ajustes",IF(N4945=_xlfn.MINIFS($N$2:$N$5001,$B$2:$B$5001,B4945,$E$2:$E$5001,"Em ajustes"),1,0),0))</f>
        <v/>
      </c>
      <c r="N4945" s="17" t="str">
        <f aca="false">IF(A4945="","",IF(ISNUMBER(A4945),A4945,IFERROR(DATE(VALUE(MID(A4945,7,4)),VALUE(MID(A4945,4,2)),VALUE(MID(A4945,1,2)))+TIME(VALUE(MID(A4945,12,2)),VALUE(MID(A4945,15,2)),VALUE(MID(A4945,18,2))),"")))</f>
        <v/>
      </c>
    </row>
    <row r="4946" customFormat="false" ht="15" hidden="false" customHeight="false" outlineLevel="0" collapsed="false">
      <c r="I4946" s="15" t="str">
        <f aca="false">IF(N4946="","",INT(N4946))</f>
        <v/>
      </c>
      <c r="J4946" s="16" t="str">
        <f aca="false">IF(B4946="","",IF(N4946=_xlfn.MINIFS($N$2:$N$5001,$B$2:$B$5001,B4946),1,0))</f>
        <v/>
      </c>
      <c r="K4946" s="16" t="str">
        <f aca="false">IF(B4946="","",IF(AND(D4946="Formalização",E4946="Concluído"),IF(COUNTIFS($B$2:$B$5001,B4946,$E$2:$E$5001,"Em ajustes",$N$2:$N$5001,"&lt;"&amp;I4946)&gt;0,1,0),0))</f>
        <v/>
      </c>
      <c r="L4946" s="16" t="str">
        <f aca="false">IF(B4946="","",IF(N4946=_xlfn.MAXIFS($N$2:$N$5001,$B$2:$B$5001,B4946,$I$2:$I$5001,I4946),1,0))</f>
        <v/>
      </c>
      <c r="M4946" s="16" t="str">
        <f aca="false">IF(B4946="","",IF(E4946="Em ajustes",IF(N4946=_xlfn.MINIFS($N$2:$N$5001,$B$2:$B$5001,B4946,$E$2:$E$5001,"Em ajustes"),1,0),0))</f>
        <v/>
      </c>
      <c r="N4946" s="17" t="str">
        <f aca="false">IF(A4946="","",IF(ISNUMBER(A4946),A4946,IFERROR(DATE(VALUE(MID(A4946,7,4)),VALUE(MID(A4946,4,2)),VALUE(MID(A4946,1,2)))+TIME(VALUE(MID(A4946,12,2)),VALUE(MID(A4946,15,2)),VALUE(MID(A4946,18,2))),"")))</f>
        <v/>
      </c>
    </row>
    <row r="4947" customFormat="false" ht="15" hidden="false" customHeight="false" outlineLevel="0" collapsed="false">
      <c r="I4947" s="15" t="str">
        <f aca="false">IF(N4947="","",INT(N4947))</f>
        <v/>
      </c>
      <c r="J4947" s="16" t="str">
        <f aca="false">IF(B4947="","",IF(N4947=_xlfn.MINIFS($N$2:$N$5001,$B$2:$B$5001,B4947),1,0))</f>
        <v/>
      </c>
      <c r="K4947" s="16" t="str">
        <f aca="false">IF(B4947="","",IF(AND(D4947="Formalização",E4947="Concluído"),IF(COUNTIFS($B$2:$B$5001,B4947,$E$2:$E$5001,"Em ajustes",$N$2:$N$5001,"&lt;"&amp;I4947)&gt;0,1,0),0))</f>
        <v/>
      </c>
      <c r="L4947" s="16" t="str">
        <f aca="false">IF(B4947="","",IF(N4947=_xlfn.MAXIFS($N$2:$N$5001,$B$2:$B$5001,B4947,$I$2:$I$5001,I4947),1,0))</f>
        <v/>
      </c>
      <c r="M4947" s="16" t="str">
        <f aca="false">IF(B4947="","",IF(E4947="Em ajustes",IF(N4947=_xlfn.MINIFS($N$2:$N$5001,$B$2:$B$5001,B4947,$E$2:$E$5001,"Em ajustes"),1,0),0))</f>
        <v/>
      </c>
      <c r="N4947" s="17" t="str">
        <f aca="false">IF(A4947="","",IF(ISNUMBER(A4947),A4947,IFERROR(DATE(VALUE(MID(A4947,7,4)),VALUE(MID(A4947,4,2)),VALUE(MID(A4947,1,2)))+TIME(VALUE(MID(A4947,12,2)),VALUE(MID(A4947,15,2)),VALUE(MID(A4947,18,2))),"")))</f>
        <v/>
      </c>
    </row>
    <row r="4948" customFormat="false" ht="15" hidden="false" customHeight="false" outlineLevel="0" collapsed="false">
      <c r="I4948" s="15" t="str">
        <f aca="false">IF(N4948="","",INT(N4948))</f>
        <v/>
      </c>
      <c r="J4948" s="16" t="str">
        <f aca="false">IF(B4948="","",IF(N4948=_xlfn.MINIFS($N$2:$N$5001,$B$2:$B$5001,B4948),1,0))</f>
        <v/>
      </c>
      <c r="K4948" s="16" t="str">
        <f aca="false">IF(B4948="","",IF(AND(D4948="Formalização",E4948="Concluído"),IF(COUNTIFS($B$2:$B$5001,B4948,$E$2:$E$5001,"Em ajustes",$N$2:$N$5001,"&lt;"&amp;I4948)&gt;0,1,0),0))</f>
        <v/>
      </c>
      <c r="L4948" s="16" t="str">
        <f aca="false">IF(B4948="","",IF(N4948=_xlfn.MAXIFS($N$2:$N$5001,$B$2:$B$5001,B4948,$I$2:$I$5001,I4948),1,0))</f>
        <v/>
      </c>
      <c r="M4948" s="16" t="str">
        <f aca="false">IF(B4948="","",IF(E4948="Em ajustes",IF(N4948=_xlfn.MINIFS($N$2:$N$5001,$B$2:$B$5001,B4948,$E$2:$E$5001,"Em ajustes"),1,0),0))</f>
        <v/>
      </c>
      <c r="N4948" s="17" t="str">
        <f aca="false">IF(A4948="","",IF(ISNUMBER(A4948),A4948,IFERROR(DATE(VALUE(MID(A4948,7,4)),VALUE(MID(A4948,4,2)),VALUE(MID(A4948,1,2)))+TIME(VALUE(MID(A4948,12,2)),VALUE(MID(A4948,15,2)),VALUE(MID(A4948,18,2))),"")))</f>
        <v/>
      </c>
    </row>
    <row r="4949" customFormat="false" ht="15" hidden="false" customHeight="false" outlineLevel="0" collapsed="false">
      <c r="I4949" s="15" t="str">
        <f aca="false">IF(N4949="","",INT(N4949))</f>
        <v/>
      </c>
      <c r="J4949" s="16" t="str">
        <f aca="false">IF(B4949="","",IF(N4949=_xlfn.MINIFS($N$2:$N$5001,$B$2:$B$5001,B4949),1,0))</f>
        <v/>
      </c>
      <c r="K4949" s="16" t="str">
        <f aca="false">IF(B4949="","",IF(AND(D4949="Formalização",E4949="Concluído"),IF(COUNTIFS($B$2:$B$5001,B4949,$E$2:$E$5001,"Em ajustes",$N$2:$N$5001,"&lt;"&amp;I4949)&gt;0,1,0),0))</f>
        <v/>
      </c>
      <c r="L4949" s="16" t="str">
        <f aca="false">IF(B4949="","",IF(N4949=_xlfn.MAXIFS($N$2:$N$5001,$B$2:$B$5001,B4949,$I$2:$I$5001,I4949),1,0))</f>
        <v/>
      </c>
      <c r="M4949" s="16" t="str">
        <f aca="false">IF(B4949="","",IF(E4949="Em ajustes",IF(N4949=_xlfn.MINIFS($N$2:$N$5001,$B$2:$B$5001,B4949,$E$2:$E$5001,"Em ajustes"),1,0),0))</f>
        <v/>
      </c>
      <c r="N4949" s="17" t="str">
        <f aca="false">IF(A4949="","",IF(ISNUMBER(A4949),A4949,IFERROR(DATE(VALUE(MID(A4949,7,4)),VALUE(MID(A4949,4,2)),VALUE(MID(A4949,1,2)))+TIME(VALUE(MID(A4949,12,2)),VALUE(MID(A4949,15,2)),VALUE(MID(A4949,18,2))),"")))</f>
        <v/>
      </c>
    </row>
    <row r="4950" customFormat="false" ht="15" hidden="false" customHeight="false" outlineLevel="0" collapsed="false">
      <c r="I4950" s="15" t="str">
        <f aca="false">IF(N4950="","",INT(N4950))</f>
        <v/>
      </c>
      <c r="J4950" s="16" t="str">
        <f aca="false">IF(B4950="","",IF(N4950=_xlfn.MINIFS($N$2:$N$5001,$B$2:$B$5001,B4950),1,0))</f>
        <v/>
      </c>
      <c r="K4950" s="16" t="str">
        <f aca="false">IF(B4950="","",IF(AND(D4950="Formalização",E4950="Concluído"),IF(COUNTIFS($B$2:$B$5001,B4950,$E$2:$E$5001,"Em ajustes",$N$2:$N$5001,"&lt;"&amp;I4950)&gt;0,1,0),0))</f>
        <v/>
      </c>
      <c r="L4950" s="16" t="str">
        <f aca="false">IF(B4950="","",IF(N4950=_xlfn.MAXIFS($N$2:$N$5001,$B$2:$B$5001,B4950,$I$2:$I$5001,I4950),1,0))</f>
        <v/>
      </c>
      <c r="M4950" s="16" t="str">
        <f aca="false">IF(B4950="","",IF(E4950="Em ajustes",IF(N4950=_xlfn.MINIFS($N$2:$N$5001,$B$2:$B$5001,B4950,$E$2:$E$5001,"Em ajustes"),1,0),0))</f>
        <v/>
      </c>
      <c r="N4950" s="17" t="str">
        <f aca="false">IF(A4950="","",IF(ISNUMBER(A4950),A4950,IFERROR(DATE(VALUE(MID(A4950,7,4)),VALUE(MID(A4950,4,2)),VALUE(MID(A4950,1,2)))+TIME(VALUE(MID(A4950,12,2)),VALUE(MID(A4950,15,2)),VALUE(MID(A4950,18,2))),"")))</f>
        <v/>
      </c>
    </row>
    <row r="4951" customFormat="false" ht="15" hidden="false" customHeight="false" outlineLevel="0" collapsed="false">
      <c r="I4951" s="15" t="str">
        <f aca="false">IF(N4951="","",INT(N4951))</f>
        <v/>
      </c>
      <c r="J4951" s="16" t="str">
        <f aca="false">IF(B4951="","",IF(N4951=_xlfn.MINIFS($N$2:$N$5001,$B$2:$B$5001,B4951),1,0))</f>
        <v/>
      </c>
      <c r="K4951" s="16" t="str">
        <f aca="false">IF(B4951="","",IF(AND(D4951="Formalização",E4951="Concluído"),IF(COUNTIFS($B$2:$B$5001,B4951,$E$2:$E$5001,"Em ajustes",$N$2:$N$5001,"&lt;"&amp;I4951)&gt;0,1,0),0))</f>
        <v/>
      </c>
      <c r="L4951" s="16" t="str">
        <f aca="false">IF(B4951="","",IF(N4951=_xlfn.MAXIFS($N$2:$N$5001,$B$2:$B$5001,B4951,$I$2:$I$5001,I4951),1,0))</f>
        <v/>
      </c>
      <c r="M4951" s="16" t="str">
        <f aca="false">IF(B4951="","",IF(E4951="Em ajustes",IF(N4951=_xlfn.MINIFS($N$2:$N$5001,$B$2:$B$5001,B4951,$E$2:$E$5001,"Em ajustes"),1,0),0))</f>
        <v/>
      </c>
      <c r="N4951" s="17" t="str">
        <f aca="false">IF(A4951="","",IF(ISNUMBER(A4951),A4951,IFERROR(DATE(VALUE(MID(A4951,7,4)),VALUE(MID(A4951,4,2)),VALUE(MID(A4951,1,2)))+TIME(VALUE(MID(A4951,12,2)),VALUE(MID(A4951,15,2)),VALUE(MID(A4951,18,2))),"")))</f>
        <v/>
      </c>
    </row>
    <row r="4952" customFormat="false" ht="15" hidden="false" customHeight="false" outlineLevel="0" collapsed="false">
      <c r="I4952" s="15" t="str">
        <f aca="false">IF(N4952="","",INT(N4952))</f>
        <v/>
      </c>
      <c r="J4952" s="16" t="str">
        <f aca="false">IF(B4952="","",IF(N4952=_xlfn.MINIFS($N$2:$N$5001,$B$2:$B$5001,B4952),1,0))</f>
        <v/>
      </c>
      <c r="K4952" s="16" t="str">
        <f aca="false">IF(B4952="","",IF(AND(D4952="Formalização",E4952="Concluído"),IF(COUNTIFS($B$2:$B$5001,B4952,$E$2:$E$5001,"Em ajustes",$N$2:$N$5001,"&lt;"&amp;I4952)&gt;0,1,0),0))</f>
        <v/>
      </c>
      <c r="L4952" s="16" t="str">
        <f aca="false">IF(B4952="","",IF(N4952=_xlfn.MAXIFS($N$2:$N$5001,$B$2:$B$5001,B4952,$I$2:$I$5001,I4952),1,0))</f>
        <v/>
      </c>
      <c r="M4952" s="16" t="str">
        <f aca="false">IF(B4952="","",IF(E4952="Em ajustes",IF(N4952=_xlfn.MINIFS($N$2:$N$5001,$B$2:$B$5001,B4952,$E$2:$E$5001,"Em ajustes"),1,0),0))</f>
        <v/>
      </c>
      <c r="N4952" s="17" t="str">
        <f aca="false">IF(A4952="","",IF(ISNUMBER(A4952),A4952,IFERROR(DATE(VALUE(MID(A4952,7,4)),VALUE(MID(A4952,4,2)),VALUE(MID(A4952,1,2)))+TIME(VALUE(MID(A4952,12,2)),VALUE(MID(A4952,15,2)),VALUE(MID(A4952,18,2))),"")))</f>
        <v/>
      </c>
    </row>
    <row r="4953" customFormat="false" ht="15" hidden="false" customHeight="false" outlineLevel="0" collapsed="false">
      <c r="I4953" s="15" t="str">
        <f aca="false">IF(N4953="","",INT(N4953))</f>
        <v/>
      </c>
      <c r="J4953" s="16" t="str">
        <f aca="false">IF(B4953="","",IF(N4953=_xlfn.MINIFS($N$2:$N$5001,$B$2:$B$5001,B4953),1,0))</f>
        <v/>
      </c>
      <c r="K4953" s="16" t="str">
        <f aca="false">IF(B4953="","",IF(AND(D4953="Formalização",E4953="Concluído"),IF(COUNTIFS($B$2:$B$5001,B4953,$E$2:$E$5001,"Em ajustes",$N$2:$N$5001,"&lt;"&amp;I4953)&gt;0,1,0),0))</f>
        <v/>
      </c>
      <c r="L4953" s="16" t="str">
        <f aca="false">IF(B4953="","",IF(N4953=_xlfn.MAXIFS($N$2:$N$5001,$B$2:$B$5001,B4953,$I$2:$I$5001,I4953),1,0))</f>
        <v/>
      </c>
      <c r="M4953" s="16" t="str">
        <f aca="false">IF(B4953="","",IF(E4953="Em ajustes",IF(N4953=_xlfn.MINIFS($N$2:$N$5001,$B$2:$B$5001,B4953,$E$2:$E$5001,"Em ajustes"),1,0),0))</f>
        <v/>
      </c>
      <c r="N4953" s="17" t="str">
        <f aca="false">IF(A4953="","",IF(ISNUMBER(A4953),A4953,IFERROR(DATE(VALUE(MID(A4953,7,4)),VALUE(MID(A4953,4,2)),VALUE(MID(A4953,1,2)))+TIME(VALUE(MID(A4953,12,2)),VALUE(MID(A4953,15,2)),VALUE(MID(A4953,18,2))),"")))</f>
        <v/>
      </c>
    </row>
    <row r="4954" customFormat="false" ht="15" hidden="false" customHeight="false" outlineLevel="0" collapsed="false">
      <c r="I4954" s="15" t="str">
        <f aca="false">IF(N4954="","",INT(N4954))</f>
        <v/>
      </c>
      <c r="J4954" s="16" t="str">
        <f aca="false">IF(B4954="","",IF(N4954=_xlfn.MINIFS($N$2:$N$5001,$B$2:$B$5001,B4954),1,0))</f>
        <v/>
      </c>
      <c r="K4954" s="16" t="str">
        <f aca="false">IF(B4954="","",IF(AND(D4954="Formalização",E4954="Concluído"),IF(COUNTIFS($B$2:$B$5001,B4954,$E$2:$E$5001,"Em ajustes",$N$2:$N$5001,"&lt;"&amp;I4954)&gt;0,1,0),0))</f>
        <v/>
      </c>
      <c r="L4954" s="16" t="str">
        <f aca="false">IF(B4954="","",IF(N4954=_xlfn.MAXIFS($N$2:$N$5001,$B$2:$B$5001,B4954,$I$2:$I$5001,I4954),1,0))</f>
        <v/>
      </c>
      <c r="M4954" s="16" t="str">
        <f aca="false">IF(B4954="","",IF(E4954="Em ajustes",IF(N4954=_xlfn.MINIFS($N$2:$N$5001,$B$2:$B$5001,B4954,$E$2:$E$5001,"Em ajustes"),1,0),0))</f>
        <v/>
      </c>
      <c r="N4954" s="17" t="str">
        <f aca="false">IF(A4954="","",IF(ISNUMBER(A4954),A4954,IFERROR(DATE(VALUE(MID(A4954,7,4)),VALUE(MID(A4954,4,2)),VALUE(MID(A4954,1,2)))+TIME(VALUE(MID(A4954,12,2)),VALUE(MID(A4954,15,2)),VALUE(MID(A4954,18,2))),"")))</f>
        <v/>
      </c>
    </row>
    <row r="4955" customFormat="false" ht="15" hidden="false" customHeight="false" outlineLevel="0" collapsed="false">
      <c r="I4955" s="15" t="str">
        <f aca="false">IF(N4955="","",INT(N4955))</f>
        <v/>
      </c>
      <c r="J4955" s="16" t="str">
        <f aca="false">IF(B4955="","",IF(N4955=_xlfn.MINIFS($N$2:$N$5001,$B$2:$B$5001,B4955),1,0))</f>
        <v/>
      </c>
      <c r="K4955" s="16" t="str">
        <f aca="false">IF(B4955="","",IF(AND(D4955="Formalização",E4955="Concluído"),IF(COUNTIFS($B$2:$B$5001,B4955,$E$2:$E$5001,"Em ajustes",$N$2:$N$5001,"&lt;"&amp;I4955)&gt;0,1,0),0))</f>
        <v/>
      </c>
      <c r="L4955" s="16" t="str">
        <f aca="false">IF(B4955="","",IF(N4955=_xlfn.MAXIFS($N$2:$N$5001,$B$2:$B$5001,B4955,$I$2:$I$5001,I4955),1,0))</f>
        <v/>
      </c>
      <c r="M4955" s="16" t="str">
        <f aca="false">IF(B4955="","",IF(E4955="Em ajustes",IF(N4955=_xlfn.MINIFS($N$2:$N$5001,$B$2:$B$5001,B4955,$E$2:$E$5001,"Em ajustes"),1,0),0))</f>
        <v/>
      </c>
      <c r="N4955" s="17" t="str">
        <f aca="false">IF(A4955="","",IF(ISNUMBER(A4955),A4955,IFERROR(DATE(VALUE(MID(A4955,7,4)),VALUE(MID(A4955,4,2)),VALUE(MID(A4955,1,2)))+TIME(VALUE(MID(A4955,12,2)),VALUE(MID(A4955,15,2)),VALUE(MID(A4955,18,2))),"")))</f>
        <v/>
      </c>
    </row>
    <row r="4956" customFormat="false" ht="15" hidden="false" customHeight="false" outlineLevel="0" collapsed="false">
      <c r="I4956" s="15" t="str">
        <f aca="false">IF(N4956="","",INT(N4956))</f>
        <v/>
      </c>
      <c r="J4956" s="16" t="str">
        <f aca="false">IF(B4956="","",IF(N4956=_xlfn.MINIFS($N$2:$N$5001,$B$2:$B$5001,B4956),1,0))</f>
        <v/>
      </c>
      <c r="K4956" s="16" t="str">
        <f aca="false">IF(B4956="","",IF(AND(D4956="Formalização",E4956="Concluído"),IF(COUNTIFS($B$2:$B$5001,B4956,$E$2:$E$5001,"Em ajustes",$N$2:$N$5001,"&lt;"&amp;I4956)&gt;0,1,0),0))</f>
        <v/>
      </c>
      <c r="L4956" s="16" t="str">
        <f aca="false">IF(B4956="","",IF(N4956=_xlfn.MAXIFS($N$2:$N$5001,$B$2:$B$5001,B4956,$I$2:$I$5001,I4956),1,0))</f>
        <v/>
      </c>
      <c r="M4956" s="16" t="str">
        <f aca="false">IF(B4956="","",IF(E4956="Em ajustes",IF(N4956=_xlfn.MINIFS($N$2:$N$5001,$B$2:$B$5001,B4956,$E$2:$E$5001,"Em ajustes"),1,0),0))</f>
        <v/>
      </c>
      <c r="N4956" s="17" t="str">
        <f aca="false">IF(A4956="","",IF(ISNUMBER(A4956),A4956,IFERROR(DATE(VALUE(MID(A4956,7,4)),VALUE(MID(A4956,4,2)),VALUE(MID(A4956,1,2)))+TIME(VALUE(MID(A4956,12,2)),VALUE(MID(A4956,15,2)),VALUE(MID(A4956,18,2))),"")))</f>
        <v/>
      </c>
    </row>
    <row r="4957" customFormat="false" ht="15" hidden="false" customHeight="false" outlineLevel="0" collapsed="false">
      <c r="I4957" s="15" t="str">
        <f aca="false">IF(N4957="","",INT(N4957))</f>
        <v/>
      </c>
      <c r="J4957" s="16" t="str">
        <f aca="false">IF(B4957="","",IF(N4957=_xlfn.MINIFS($N$2:$N$5001,$B$2:$B$5001,B4957),1,0))</f>
        <v/>
      </c>
      <c r="K4957" s="16" t="str">
        <f aca="false">IF(B4957="","",IF(AND(D4957="Formalização",E4957="Concluído"),IF(COUNTIFS($B$2:$B$5001,B4957,$E$2:$E$5001,"Em ajustes",$N$2:$N$5001,"&lt;"&amp;I4957)&gt;0,1,0),0))</f>
        <v/>
      </c>
      <c r="L4957" s="16" t="str">
        <f aca="false">IF(B4957="","",IF(N4957=_xlfn.MAXIFS($N$2:$N$5001,$B$2:$B$5001,B4957,$I$2:$I$5001,I4957),1,0))</f>
        <v/>
      </c>
      <c r="M4957" s="16" t="str">
        <f aca="false">IF(B4957="","",IF(E4957="Em ajustes",IF(N4957=_xlfn.MINIFS($N$2:$N$5001,$B$2:$B$5001,B4957,$E$2:$E$5001,"Em ajustes"),1,0),0))</f>
        <v/>
      </c>
      <c r="N4957" s="17" t="str">
        <f aca="false">IF(A4957="","",IF(ISNUMBER(A4957),A4957,IFERROR(DATE(VALUE(MID(A4957,7,4)),VALUE(MID(A4957,4,2)),VALUE(MID(A4957,1,2)))+TIME(VALUE(MID(A4957,12,2)),VALUE(MID(A4957,15,2)),VALUE(MID(A4957,18,2))),"")))</f>
        <v/>
      </c>
    </row>
    <row r="4958" customFormat="false" ht="15" hidden="false" customHeight="false" outlineLevel="0" collapsed="false">
      <c r="I4958" s="15" t="str">
        <f aca="false">IF(N4958="","",INT(N4958))</f>
        <v/>
      </c>
      <c r="J4958" s="16" t="str">
        <f aca="false">IF(B4958="","",IF(N4958=_xlfn.MINIFS($N$2:$N$5001,$B$2:$B$5001,B4958),1,0))</f>
        <v/>
      </c>
      <c r="K4958" s="16" t="str">
        <f aca="false">IF(B4958="","",IF(AND(D4958="Formalização",E4958="Concluído"),IF(COUNTIFS($B$2:$B$5001,B4958,$E$2:$E$5001,"Em ajustes",$N$2:$N$5001,"&lt;"&amp;I4958)&gt;0,1,0),0))</f>
        <v/>
      </c>
      <c r="L4958" s="16" t="str">
        <f aca="false">IF(B4958="","",IF(N4958=_xlfn.MAXIFS($N$2:$N$5001,$B$2:$B$5001,B4958,$I$2:$I$5001,I4958),1,0))</f>
        <v/>
      </c>
      <c r="M4958" s="16" t="str">
        <f aca="false">IF(B4958="","",IF(E4958="Em ajustes",IF(N4958=_xlfn.MINIFS($N$2:$N$5001,$B$2:$B$5001,B4958,$E$2:$E$5001,"Em ajustes"),1,0),0))</f>
        <v/>
      </c>
      <c r="N4958" s="17" t="str">
        <f aca="false">IF(A4958="","",IF(ISNUMBER(A4958),A4958,IFERROR(DATE(VALUE(MID(A4958,7,4)),VALUE(MID(A4958,4,2)),VALUE(MID(A4958,1,2)))+TIME(VALUE(MID(A4958,12,2)),VALUE(MID(A4958,15,2)),VALUE(MID(A4958,18,2))),"")))</f>
        <v/>
      </c>
    </row>
    <row r="4959" customFormat="false" ht="15" hidden="false" customHeight="false" outlineLevel="0" collapsed="false">
      <c r="I4959" s="15" t="str">
        <f aca="false">IF(N4959="","",INT(N4959))</f>
        <v/>
      </c>
      <c r="J4959" s="16" t="str">
        <f aca="false">IF(B4959="","",IF(N4959=_xlfn.MINIFS($N$2:$N$5001,$B$2:$B$5001,B4959),1,0))</f>
        <v/>
      </c>
      <c r="K4959" s="16" t="str">
        <f aca="false">IF(B4959="","",IF(AND(D4959="Formalização",E4959="Concluído"),IF(COUNTIFS($B$2:$B$5001,B4959,$E$2:$E$5001,"Em ajustes",$N$2:$N$5001,"&lt;"&amp;I4959)&gt;0,1,0),0))</f>
        <v/>
      </c>
      <c r="L4959" s="16" t="str">
        <f aca="false">IF(B4959="","",IF(N4959=_xlfn.MAXIFS($N$2:$N$5001,$B$2:$B$5001,B4959,$I$2:$I$5001,I4959),1,0))</f>
        <v/>
      </c>
      <c r="M4959" s="16" t="str">
        <f aca="false">IF(B4959="","",IF(E4959="Em ajustes",IF(N4959=_xlfn.MINIFS($N$2:$N$5001,$B$2:$B$5001,B4959,$E$2:$E$5001,"Em ajustes"),1,0),0))</f>
        <v/>
      </c>
      <c r="N4959" s="17" t="str">
        <f aca="false">IF(A4959="","",IF(ISNUMBER(A4959),A4959,IFERROR(DATE(VALUE(MID(A4959,7,4)),VALUE(MID(A4959,4,2)),VALUE(MID(A4959,1,2)))+TIME(VALUE(MID(A4959,12,2)),VALUE(MID(A4959,15,2)),VALUE(MID(A4959,18,2))),"")))</f>
        <v/>
      </c>
    </row>
    <row r="4960" customFormat="false" ht="15" hidden="false" customHeight="false" outlineLevel="0" collapsed="false">
      <c r="I4960" s="15" t="str">
        <f aca="false">IF(N4960="","",INT(N4960))</f>
        <v/>
      </c>
      <c r="J4960" s="16" t="str">
        <f aca="false">IF(B4960="","",IF(N4960=_xlfn.MINIFS($N$2:$N$5001,$B$2:$B$5001,B4960),1,0))</f>
        <v/>
      </c>
      <c r="K4960" s="16" t="str">
        <f aca="false">IF(B4960="","",IF(AND(D4960="Formalização",E4960="Concluído"),IF(COUNTIFS($B$2:$B$5001,B4960,$E$2:$E$5001,"Em ajustes",$N$2:$N$5001,"&lt;"&amp;I4960)&gt;0,1,0),0))</f>
        <v/>
      </c>
      <c r="L4960" s="16" t="str">
        <f aca="false">IF(B4960="","",IF(N4960=_xlfn.MAXIFS($N$2:$N$5001,$B$2:$B$5001,B4960,$I$2:$I$5001,I4960),1,0))</f>
        <v/>
      </c>
      <c r="M4960" s="16" t="str">
        <f aca="false">IF(B4960="","",IF(E4960="Em ajustes",IF(N4960=_xlfn.MINIFS($N$2:$N$5001,$B$2:$B$5001,B4960,$E$2:$E$5001,"Em ajustes"),1,0),0))</f>
        <v/>
      </c>
      <c r="N4960" s="17" t="str">
        <f aca="false">IF(A4960="","",IF(ISNUMBER(A4960),A4960,IFERROR(DATE(VALUE(MID(A4960,7,4)),VALUE(MID(A4960,4,2)),VALUE(MID(A4960,1,2)))+TIME(VALUE(MID(A4960,12,2)),VALUE(MID(A4960,15,2)),VALUE(MID(A4960,18,2))),"")))</f>
        <v/>
      </c>
    </row>
    <row r="4961" customFormat="false" ht="15" hidden="false" customHeight="false" outlineLevel="0" collapsed="false">
      <c r="I4961" s="15" t="str">
        <f aca="false">IF(N4961="","",INT(N4961))</f>
        <v/>
      </c>
      <c r="J4961" s="16" t="str">
        <f aca="false">IF(B4961="","",IF(N4961=_xlfn.MINIFS($N$2:$N$5001,$B$2:$B$5001,B4961),1,0))</f>
        <v/>
      </c>
      <c r="K4961" s="16" t="str">
        <f aca="false">IF(B4961="","",IF(AND(D4961="Formalização",E4961="Concluído"),IF(COUNTIFS($B$2:$B$5001,B4961,$E$2:$E$5001,"Em ajustes",$N$2:$N$5001,"&lt;"&amp;I4961)&gt;0,1,0),0))</f>
        <v/>
      </c>
      <c r="L4961" s="16" t="str">
        <f aca="false">IF(B4961="","",IF(N4961=_xlfn.MAXIFS($N$2:$N$5001,$B$2:$B$5001,B4961,$I$2:$I$5001,I4961),1,0))</f>
        <v/>
      </c>
      <c r="M4961" s="16" t="str">
        <f aca="false">IF(B4961="","",IF(E4961="Em ajustes",IF(N4961=_xlfn.MINIFS($N$2:$N$5001,$B$2:$B$5001,B4961,$E$2:$E$5001,"Em ajustes"),1,0),0))</f>
        <v/>
      </c>
      <c r="N4961" s="17" t="str">
        <f aca="false">IF(A4961="","",IF(ISNUMBER(A4961),A4961,IFERROR(DATE(VALUE(MID(A4961,7,4)),VALUE(MID(A4961,4,2)),VALUE(MID(A4961,1,2)))+TIME(VALUE(MID(A4961,12,2)),VALUE(MID(A4961,15,2)),VALUE(MID(A4961,18,2))),"")))</f>
        <v/>
      </c>
    </row>
    <row r="4962" customFormat="false" ht="15" hidden="false" customHeight="false" outlineLevel="0" collapsed="false">
      <c r="I4962" s="15" t="str">
        <f aca="false">IF(N4962="","",INT(N4962))</f>
        <v/>
      </c>
      <c r="J4962" s="16" t="str">
        <f aca="false">IF(B4962="","",IF(N4962=_xlfn.MINIFS($N$2:$N$5001,$B$2:$B$5001,B4962),1,0))</f>
        <v/>
      </c>
      <c r="K4962" s="16" t="str">
        <f aca="false">IF(B4962="","",IF(AND(D4962="Formalização",E4962="Concluído"),IF(COUNTIFS($B$2:$B$5001,B4962,$E$2:$E$5001,"Em ajustes",$N$2:$N$5001,"&lt;"&amp;I4962)&gt;0,1,0),0))</f>
        <v/>
      </c>
      <c r="L4962" s="16" t="str">
        <f aca="false">IF(B4962="","",IF(N4962=_xlfn.MAXIFS($N$2:$N$5001,$B$2:$B$5001,B4962,$I$2:$I$5001,I4962),1,0))</f>
        <v/>
      </c>
      <c r="M4962" s="16" t="str">
        <f aca="false">IF(B4962="","",IF(E4962="Em ajustes",IF(N4962=_xlfn.MINIFS($N$2:$N$5001,$B$2:$B$5001,B4962,$E$2:$E$5001,"Em ajustes"),1,0),0))</f>
        <v/>
      </c>
      <c r="N4962" s="17" t="str">
        <f aca="false">IF(A4962="","",IF(ISNUMBER(A4962),A4962,IFERROR(DATE(VALUE(MID(A4962,7,4)),VALUE(MID(A4962,4,2)),VALUE(MID(A4962,1,2)))+TIME(VALUE(MID(A4962,12,2)),VALUE(MID(A4962,15,2)),VALUE(MID(A4962,18,2))),"")))</f>
        <v/>
      </c>
    </row>
    <row r="4963" customFormat="false" ht="15" hidden="false" customHeight="false" outlineLevel="0" collapsed="false">
      <c r="I4963" s="15" t="str">
        <f aca="false">IF(N4963="","",INT(N4963))</f>
        <v/>
      </c>
      <c r="J4963" s="16" t="str">
        <f aca="false">IF(B4963="","",IF(N4963=_xlfn.MINIFS($N$2:$N$5001,$B$2:$B$5001,B4963),1,0))</f>
        <v/>
      </c>
      <c r="K4963" s="16" t="str">
        <f aca="false">IF(B4963="","",IF(AND(D4963="Formalização",E4963="Concluído"),IF(COUNTIFS($B$2:$B$5001,B4963,$E$2:$E$5001,"Em ajustes",$N$2:$N$5001,"&lt;"&amp;I4963)&gt;0,1,0),0))</f>
        <v/>
      </c>
      <c r="L4963" s="16" t="str">
        <f aca="false">IF(B4963="","",IF(N4963=_xlfn.MAXIFS($N$2:$N$5001,$B$2:$B$5001,B4963,$I$2:$I$5001,I4963),1,0))</f>
        <v/>
      </c>
      <c r="M4963" s="16" t="str">
        <f aca="false">IF(B4963="","",IF(E4963="Em ajustes",IF(N4963=_xlfn.MINIFS($N$2:$N$5001,$B$2:$B$5001,B4963,$E$2:$E$5001,"Em ajustes"),1,0),0))</f>
        <v/>
      </c>
      <c r="N4963" s="17" t="str">
        <f aca="false">IF(A4963="","",IF(ISNUMBER(A4963),A4963,IFERROR(DATE(VALUE(MID(A4963,7,4)),VALUE(MID(A4963,4,2)),VALUE(MID(A4963,1,2)))+TIME(VALUE(MID(A4963,12,2)),VALUE(MID(A4963,15,2)),VALUE(MID(A4963,18,2))),"")))</f>
        <v/>
      </c>
    </row>
    <row r="4964" customFormat="false" ht="15" hidden="false" customHeight="false" outlineLevel="0" collapsed="false">
      <c r="I4964" s="15" t="str">
        <f aca="false">IF(N4964="","",INT(N4964))</f>
        <v/>
      </c>
      <c r="J4964" s="16" t="str">
        <f aca="false">IF(B4964="","",IF(N4964=_xlfn.MINIFS($N$2:$N$5001,$B$2:$B$5001,B4964),1,0))</f>
        <v/>
      </c>
      <c r="K4964" s="16" t="str">
        <f aca="false">IF(B4964="","",IF(AND(D4964="Formalização",E4964="Concluído"),IF(COUNTIFS($B$2:$B$5001,B4964,$E$2:$E$5001,"Em ajustes",$N$2:$N$5001,"&lt;"&amp;I4964)&gt;0,1,0),0))</f>
        <v/>
      </c>
      <c r="L4964" s="16" t="str">
        <f aca="false">IF(B4964="","",IF(N4964=_xlfn.MAXIFS($N$2:$N$5001,$B$2:$B$5001,B4964,$I$2:$I$5001,I4964),1,0))</f>
        <v/>
      </c>
      <c r="M4964" s="16" t="str">
        <f aca="false">IF(B4964="","",IF(E4964="Em ajustes",IF(N4964=_xlfn.MINIFS($N$2:$N$5001,$B$2:$B$5001,B4964,$E$2:$E$5001,"Em ajustes"),1,0),0))</f>
        <v/>
      </c>
      <c r="N4964" s="17" t="str">
        <f aca="false">IF(A4964="","",IF(ISNUMBER(A4964),A4964,IFERROR(DATE(VALUE(MID(A4964,7,4)),VALUE(MID(A4964,4,2)),VALUE(MID(A4964,1,2)))+TIME(VALUE(MID(A4964,12,2)),VALUE(MID(A4964,15,2)),VALUE(MID(A4964,18,2))),"")))</f>
        <v/>
      </c>
    </row>
    <row r="4965" customFormat="false" ht="15" hidden="false" customHeight="false" outlineLevel="0" collapsed="false">
      <c r="I4965" s="15" t="str">
        <f aca="false">IF(N4965="","",INT(N4965))</f>
        <v/>
      </c>
      <c r="J4965" s="16" t="str">
        <f aca="false">IF(B4965="","",IF(N4965=_xlfn.MINIFS($N$2:$N$5001,$B$2:$B$5001,B4965),1,0))</f>
        <v/>
      </c>
      <c r="K4965" s="16" t="str">
        <f aca="false">IF(B4965="","",IF(AND(D4965="Formalização",E4965="Concluído"),IF(COUNTIFS($B$2:$B$5001,B4965,$E$2:$E$5001,"Em ajustes",$N$2:$N$5001,"&lt;"&amp;I4965)&gt;0,1,0),0))</f>
        <v/>
      </c>
      <c r="L4965" s="16" t="str">
        <f aca="false">IF(B4965="","",IF(N4965=_xlfn.MAXIFS($N$2:$N$5001,$B$2:$B$5001,B4965,$I$2:$I$5001,I4965),1,0))</f>
        <v/>
      </c>
      <c r="M4965" s="16" t="str">
        <f aca="false">IF(B4965="","",IF(E4965="Em ajustes",IF(N4965=_xlfn.MINIFS($N$2:$N$5001,$B$2:$B$5001,B4965,$E$2:$E$5001,"Em ajustes"),1,0),0))</f>
        <v/>
      </c>
      <c r="N4965" s="17" t="str">
        <f aca="false">IF(A4965="","",IF(ISNUMBER(A4965),A4965,IFERROR(DATE(VALUE(MID(A4965,7,4)),VALUE(MID(A4965,4,2)),VALUE(MID(A4965,1,2)))+TIME(VALUE(MID(A4965,12,2)),VALUE(MID(A4965,15,2)),VALUE(MID(A4965,18,2))),"")))</f>
        <v/>
      </c>
    </row>
    <row r="4966" customFormat="false" ht="15" hidden="false" customHeight="false" outlineLevel="0" collapsed="false">
      <c r="I4966" s="15" t="str">
        <f aca="false">IF(N4966="","",INT(N4966))</f>
        <v/>
      </c>
      <c r="J4966" s="16" t="str">
        <f aca="false">IF(B4966="","",IF(N4966=_xlfn.MINIFS($N$2:$N$5001,$B$2:$B$5001,B4966),1,0))</f>
        <v/>
      </c>
      <c r="K4966" s="16" t="str">
        <f aca="false">IF(B4966="","",IF(AND(D4966="Formalização",E4966="Concluído"),IF(COUNTIFS($B$2:$B$5001,B4966,$E$2:$E$5001,"Em ajustes",$N$2:$N$5001,"&lt;"&amp;I4966)&gt;0,1,0),0))</f>
        <v/>
      </c>
      <c r="L4966" s="16" t="str">
        <f aca="false">IF(B4966="","",IF(N4966=_xlfn.MAXIFS($N$2:$N$5001,$B$2:$B$5001,B4966,$I$2:$I$5001,I4966),1,0))</f>
        <v/>
      </c>
      <c r="M4966" s="16" t="str">
        <f aca="false">IF(B4966="","",IF(E4966="Em ajustes",IF(N4966=_xlfn.MINIFS($N$2:$N$5001,$B$2:$B$5001,B4966,$E$2:$E$5001,"Em ajustes"),1,0),0))</f>
        <v/>
      </c>
      <c r="N4966" s="17" t="str">
        <f aca="false">IF(A4966="","",IF(ISNUMBER(A4966),A4966,IFERROR(DATE(VALUE(MID(A4966,7,4)),VALUE(MID(A4966,4,2)),VALUE(MID(A4966,1,2)))+TIME(VALUE(MID(A4966,12,2)),VALUE(MID(A4966,15,2)),VALUE(MID(A4966,18,2))),"")))</f>
        <v/>
      </c>
    </row>
    <row r="4967" customFormat="false" ht="15" hidden="false" customHeight="false" outlineLevel="0" collapsed="false">
      <c r="I4967" s="15" t="str">
        <f aca="false">IF(N4967="","",INT(N4967))</f>
        <v/>
      </c>
      <c r="J4967" s="16" t="str">
        <f aca="false">IF(B4967="","",IF(N4967=_xlfn.MINIFS($N$2:$N$5001,$B$2:$B$5001,B4967),1,0))</f>
        <v/>
      </c>
      <c r="K4967" s="16" t="str">
        <f aca="false">IF(B4967="","",IF(AND(D4967="Formalização",E4967="Concluído"),IF(COUNTIFS($B$2:$B$5001,B4967,$E$2:$E$5001,"Em ajustes",$N$2:$N$5001,"&lt;"&amp;I4967)&gt;0,1,0),0))</f>
        <v/>
      </c>
      <c r="L4967" s="16" t="str">
        <f aca="false">IF(B4967="","",IF(N4967=_xlfn.MAXIFS($N$2:$N$5001,$B$2:$B$5001,B4967,$I$2:$I$5001,I4967),1,0))</f>
        <v/>
      </c>
      <c r="M4967" s="16" t="str">
        <f aca="false">IF(B4967="","",IF(E4967="Em ajustes",IF(N4967=_xlfn.MINIFS($N$2:$N$5001,$B$2:$B$5001,B4967,$E$2:$E$5001,"Em ajustes"),1,0),0))</f>
        <v/>
      </c>
      <c r="N4967" s="17" t="str">
        <f aca="false">IF(A4967="","",IF(ISNUMBER(A4967),A4967,IFERROR(DATE(VALUE(MID(A4967,7,4)),VALUE(MID(A4967,4,2)),VALUE(MID(A4967,1,2)))+TIME(VALUE(MID(A4967,12,2)),VALUE(MID(A4967,15,2)),VALUE(MID(A4967,18,2))),"")))</f>
        <v/>
      </c>
    </row>
    <row r="4968" customFormat="false" ht="15" hidden="false" customHeight="false" outlineLevel="0" collapsed="false">
      <c r="I4968" s="15" t="str">
        <f aca="false">IF(N4968="","",INT(N4968))</f>
        <v/>
      </c>
      <c r="J4968" s="16" t="str">
        <f aca="false">IF(B4968="","",IF(N4968=_xlfn.MINIFS($N$2:$N$5001,$B$2:$B$5001,B4968),1,0))</f>
        <v/>
      </c>
      <c r="K4968" s="16" t="str">
        <f aca="false">IF(B4968="","",IF(AND(D4968="Formalização",E4968="Concluído"),IF(COUNTIFS($B$2:$B$5001,B4968,$E$2:$E$5001,"Em ajustes",$N$2:$N$5001,"&lt;"&amp;I4968)&gt;0,1,0),0))</f>
        <v/>
      </c>
      <c r="L4968" s="16" t="str">
        <f aca="false">IF(B4968="","",IF(N4968=_xlfn.MAXIFS($N$2:$N$5001,$B$2:$B$5001,B4968,$I$2:$I$5001,I4968),1,0))</f>
        <v/>
      </c>
      <c r="M4968" s="16" t="str">
        <f aca="false">IF(B4968="","",IF(E4968="Em ajustes",IF(N4968=_xlfn.MINIFS($N$2:$N$5001,$B$2:$B$5001,B4968,$E$2:$E$5001,"Em ajustes"),1,0),0))</f>
        <v/>
      </c>
      <c r="N4968" s="17" t="str">
        <f aca="false">IF(A4968="","",IF(ISNUMBER(A4968),A4968,IFERROR(DATE(VALUE(MID(A4968,7,4)),VALUE(MID(A4968,4,2)),VALUE(MID(A4968,1,2)))+TIME(VALUE(MID(A4968,12,2)),VALUE(MID(A4968,15,2)),VALUE(MID(A4968,18,2))),"")))</f>
        <v/>
      </c>
    </row>
    <row r="4969" customFormat="false" ht="15" hidden="false" customHeight="false" outlineLevel="0" collapsed="false">
      <c r="I4969" s="15" t="str">
        <f aca="false">IF(N4969="","",INT(N4969))</f>
        <v/>
      </c>
      <c r="J4969" s="16" t="str">
        <f aca="false">IF(B4969="","",IF(N4969=_xlfn.MINIFS($N$2:$N$5001,$B$2:$B$5001,B4969),1,0))</f>
        <v/>
      </c>
      <c r="K4969" s="16" t="str">
        <f aca="false">IF(B4969="","",IF(AND(D4969="Formalização",E4969="Concluído"),IF(COUNTIFS($B$2:$B$5001,B4969,$E$2:$E$5001,"Em ajustes",$N$2:$N$5001,"&lt;"&amp;I4969)&gt;0,1,0),0))</f>
        <v/>
      </c>
      <c r="L4969" s="16" t="str">
        <f aca="false">IF(B4969="","",IF(N4969=_xlfn.MAXIFS($N$2:$N$5001,$B$2:$B$5001,B4969,$I$2:$I$5001,I4969),1,0))</f>
        <v/>
      </c>
      <c r="M4969" s="16" t="str">
        <f aca="false">IF(B4969="","",IF(E4969="Em ajustes",IF(N4969=_xlfn.MINIFS($N$2:$N$5001,$B$2:$B$5001,B4969,$E$2:$E$5001,"Em ajustes"),1,0),0))</f>
        <v/>
      </c>
      <c r="N4969" s="17" t="str">
        <f aca="false">IF(A4969="","",IF(ISNUMBER(A4969),A4969,IFERROR(DATE(VALUE(MID(A4969,7,4)),VALUE(MID(A4969,4,2)),VALUE(MID(A4969,1,2)))+TIME(VALUE(MID(A4969,12,2)),VALUE(MID(A4969,15,2)),VALUE(MID(A4969,18,2))),"")))</f>
        <v/>
      </c>
    </row>
    <row r="4970" customFormat="false" ht="15" hidden="false" customHeight="false" outlineLevel="0" collapsed="false">
      <c r="I4970" s="15" t="str">
        <f aca="false">IF(N4970="","",INT(N4970))</f>
        <v/>
      </c>
      <c r="J4970" s="16" t="str">
        <f aca="false">IF(B4970="","",IF(N4970=_xlfn.MINIFS($N$2:$N$5001,$B$2:$B$5001,B4970),1,0))</f>
        <v/>
      </c>
      <c r="K4970" s="16" t="str">
        <f aca="false">IF(B4970="","",IF(AND(D4970="Formalização",E4970="Concluído"),IF(COUNTIFS($B$2:$B$5001,B4970,$E$2:$E$5001,"Em ajustes",$N$2:$N$5001,"&lt;"&amp;I4970)&gt;0,1,0),0))</f>
        <v/>
      </c>
      <c r="L4970" s="16" t="str">
        <f aca="false">IF(B4970="","",IF(N4970=_xlfn.MAXIFS($N$2:$N$5001,$B$2:$B$5001,B4970,$I$2:$I$5001,I4970),1,0))</f>
        <v/>
      </c>
      <c r="M4970" s="16" t="str">
        <f aca="false">IF(B4970="","",IF(E4970="Em ajustes",IF(N4970=_xlfn.MINIFS($N$2:$N$5001,$B$2:$B$5001,B4970,$E$2:$E$5001,"Em ajustes"),1,0),0))</f>
        <v/>
      </c>
      <c r="N4970" s="17" t="str">
        <f aca="false">IF(A4970="","",IF(ISNUMBER(A4970),A4970,IFERROR(DATE(VALUE(MID(A4970,7,4)),VALUE(MID(A4970,4,2)),VALUE(MID(A4970,1,2)))+TIME(VALUE(MID(A4970,12,2)),VALUE(MID(A4970,15,2)),VALUE(MID(A4970,18,2))),"")))</f>
        <v/>
      </c>
    </row>
    <row r="4971" customFormat="false" ht="15" hidden="false" customHeight="false" outlineLevel="0" collapsed="false">
      <c r="I4971" s="15" t="str">
        <f aca="false">IF(N4971="","",INT(N4971))</f>
        <v/>
      </c>
      <c r="J4971" s="16" t="str">
        <f aca="false">IF(B4971="","",IF(N4971=_xlfn.MINIFS($N$2:$N$5001,$B$2:$B$5001,B4971),1,0))</f>
        <v/>
      </c>
      <c r="K4971" s="16" t="str">
        <f aca="false">IF(B4971="","",IF(AND(D4971="Formalização",E4971="Concluído"),IF(COUNTIFS($B$2:$B$5001,B4971,$E$2:$E$5001,"Em ajustes",$N$2:$N$5001,"&lt;"&amp;I4971)&gt;0,1,0),0))</f>
        <v/>
      </c>
      <c r="L4971" s="16" t="str">
        <f aca="false">IF(B4971="","",IF(N4971=_xlfn.MAXIFS($N$2:$N$5001,$B$2:$B$5001,B4971,$I$2:$I$5001,I4971),1,0))</f>
        <v/>
      </c>
      <c r="M4971" s="16" t="str">
        <f aca="false">IF(B4971="","",IF(E4971="Em ajustes",IF(N4971=_xlfn.MINIFS($N$2:$N$5001,$B$2:$B$5001,B4971,$E$2:$E$5001,"Em ajustes"),1,0),0))</f>
        <v/>
      </c>
      <c r="N4971" s="17" t="str">
        <f aca="false">IF(A4971="","",IF(ISNUMBER(A4971),A4971,IFERROR(DATE(VALUE(MID(A4971,7,4)),VALUE(MID(A4971,4,2)),VALUE(MID(A4971,1,2)))+TIME(VALUE(MID(A4971,12,2)),VALUE(MID(A4971,15,2)),VALUE(MID(A4971,18,2))),"")))</f>
        <v/>
      </c>
    </row>
    <row r="4972" customFormat="false" ht="15" hidden="false" customHeight="false" outlineLevel="0" collapsed="false">
      <c r="I4972" s="15" t="str">
        <f aca="false">IF(N4972="","",INT(N4972))</f>
        <v/>
      </c>
      <c r="J4972" s="16" t="str">
        <f aca="false">IF(B4972="","",IF(N4972=_xlfn.MINIFS($N$2:$N$5001,$B$2:$B$5001,B4972),1,0))</f>
        <v/>
      </c>
      <c r="K4972" s="16" t="str">
        <f aca="false">IF(B4972="","",IF(AND(D4972="Formalização",E4972="Concluído"),IF(COUNTIFS($B$2:$B$5001,B4972,$E$2:$E$5001,"Em ajustes",$N$2:$N$5001,"&lt;"&amp;I4972)&gt;0,1,0),0))</f>
        <v/>
      </c>
      <c r="L4972" s="16" t="str">
        <f aca="false">IF(B4972="","",IF(N4972=_xlfn.MAXIFS($N$2:$N$5001,$B$2:$B$5001,B4972,$I$2:$I$5001,I4972),1,0))</f>
        <v/>
      </c>
      <c r="M4972" s="16" t="str">
        <f aca="false">IF(B4972="","",IF(E4972="Em ajustes",IF(N4972=_xlfn.MINIFS($N$2:$N$5001,$B$2:$B$5001,B4972,$E$2:$E$5001,"Em ajustes"),1,0),0))</f>
        <v/>
      </c>
      <c r="N4972" s="17" t="str">
        <f aca="false">IF(A4972="","",IF(ISNUMBER(A4972),A4972,IFERROR(DATE(VALUE(MID(A4972,7,4)),VALUE(MID(A4972,4,2)),VALUE(MID(A4972,1,2)))+TIME(VALUE(MID(A4972,12,2)),VALUE(MID(A4972,15,2)),VALUE(MID(A4972,18,2))),"")))</f>
        <v/>
      </c>
    </row>
    <row r="4973" customFormat="false" ht="15" hidden="false" customHeight="false" outlineLevel="0" collapsed="false">
      <c r="I4973" s="15" t="str">
        <f aca="false">IF(N4973="","",INT(N4973))</f>
        <v/>
      </c>
      <c r="J4973" s="16" t="str">
        <f aca="false">IF(B4973="","",IF(N4973=_xlfn.MINIFS($N$2:$N$5001,$B$2:$B$5001,B4973),1,0))</f>
        <v/>
      </c>
      <c r="K4973" s="16" t="str">
        <f aca="false">IF(B4973="","",IF(AND(D4973="Formalização",E4973="Concluído"),IF(COUNTIFS($B$2:$B$5001,B4973,$E$2:$E$5001,"Em ajustes",$N$2:$N$5001,"&lt;"&amp;I4973)&gt;0,1,0),0))</f>
        <v/>
      </c>
      <c r="L4973" s="16" t="str">
        <f aca="false">IF(B4973="","",IF(N4973=_xlfn.MAXIFS($N$2:$N$5001,$B$2:$B$5001,B4973,$I$2:$I$5001,I4973),1,0))</f>
        <v/>
      </c>
      <c r="M4973" s="16" t="str">
        <f aca="false">IF(B4973="","",IF(E4973="Em ajustes",IF(N4973=_xlfn.MINIFS($N$2:$N$5001,$B$2:$B$5001,B4973,$E$2:$E$5001,"Em ajustes"),1,0),0))</f>
        <v/>
      </c>
      <c r="N4973" s="17" t="str">
        <f aca="false">IF(A4973="","",IF(ISNUMBER(A4973),A4973,IFERROR(DATE(VALUE(MID(A4973,7,4)),VALUE(MID(A4973,4,2)),VALUE(MID(A4973,1,2)))+TIME(VALUE(MID(A4973,12,2)),VALUE(MID(A4973,15,2)),VALUE(MID(A4973,18,2))),"")))</f>
        <v/>
      </c>
    </row>
    <row r="4974" customFormat="false" ht="15" hidden="false" customHeight="false" outlineLevel="0" collapsed="false">
      <c r="I4974" s="15" t="str">
        <f aca="false">IF(N4974="","",INT(N4974))</f>
        <v/>
      </c>
      <c r="J4974" s="16" t="str">
        <f aca="false">IF(B4974="","",IF(N4974=_xlfn.MINIFS($N$2:$N$5001,$B$2:$B$5001,B4974),1,0))</f>
        <v/>
      </c>
      <c r="K4974" s="16" t="str">
        <f aca="false">IF(B4974="","",IF(AND(D4974="Formalização",E4974="Concluído"),IF(COUNTIFS($B$2:$B$5001,B4974,$E$2:$E$5001,"Em ajustes",$N$2:$N$5001,"&lt;"&amp;I4974)&gt;0,1,0),0))</f>
        <v/>
      </c>
      <c r="L4974" s="16" t="str">
        <f aca="false">IF(B4974="","",IF(N4974=_xlfn.MAXIFS($N$2:$N$5001,$B$2:$B$5001,B4974,$I$2:$I$5001,I4974),1,0))</f>
        <v/>
      </c>
      <c r="M4974" s="16" t="str">
        <f aca="false">IF(B4974="","",IF(E4974="Em ajustes",IF(N4974=_xlfn.MINIFS($N$2:$N$5001,$B$2:$B$5001,B4974,$E$2:$E$5001,"Em ajustes"),1,0),0))</f>
        <v/>
      </c>
      <c r="N4974" s="17" t="str">
        <f aca="false">IF(A4974="","",IF(ISNUMBER(A4974),A4974,IFERROR(DATE(VALUE(MID(A4974,7,4)),VALUE(MID(A4974,4,2)),VALUE(MID(A4974,1,2)))+TIME(VALUE(MID(A4974,12,2)),VALUE(MID(A4974,15,2)),VALUE(MID(A4974,18,2))),"")))</f>
        <v/>
      </c>
    </row>
    <row r="4975" customFormat="false" ht="15" hidden="false" customHeight="false" outlineLevel="0" collapsed="false">
      <c r="I4975" s="15" t="str">
        <f aca="false">IF(N4975="","",INT(N4975))</f>
        <v/>
      </c>
      <c r="J4975" s="16" t="str">
        <f aca="false">IF(B4975="","",IF(N4975=_xlfn.MINIFS($N$2:$N$5001,$B$2:$B$5001,B4975),1,0))</f>
        <v/>
      </c>
      <c r="K4975" s="16" t="str">
        <f aca="false">IF(B4975="","",IF(AND(D4975="Formalização",E4975="Concluído"),IF(COUNTIFS($B$2:$B$5001,B4975,$E$2:$E$5001,"Em ajustes",$N$2:$N$5001,"&lt;"&amp;I4975)&gt;0,1,0),0))</f>
        <v/>
      </c>
      <c r="L4975" s="16" t="str">
        <f aca="false">IF(B4975="","",IF(N4975=_xlfn.MAXIFS($N$2:$N$5001,$B$2:$B$5001,B4975,$I$2:$I$5001,I4975),1,0))</f>
        <v/>
      </c>
      <c r="M4975" s="16" t="str">
        <f aca="false">IF(B4975="","",IF(E4975="Em ajustes",IF(N4975=_xlfn.MINIFS($N$2:$N$5001,$B$2:$B$5001,B4975,$E$2:$E$5001,"Em ajustes"),1,0),0))</f>
        <v/>
      </c>
      <c r="N4975" s="17" t="str">
        <f aca="false">IF(A4975="","",IF(ISNUMBER(A4975),A4975,IFERROR(DATE(VALUE(MID(A4975,7,4)),VALUE(MID(A4975,4,2)),VALUE(MID(A4975,1,2)))+TIME(VALUE(MID(A4975,12,2)),VALUE(MID(A4975,15,2)),VALUE(MID(A4975,18,2))),"")))</f>
        <v/>
      </c>
    </row>
    <row r="4976" customFormat="false" ht="15" hidden="false" customHeight="false" outlineLevel="0" collapsed="false">
      <c r="I4976" s="15" t="str">
        <f aca="false">IF(N4976="","",INT(N4976))</f>
        <v/>
      </c>
      <c r="J4976" s="16" t="str">
        <f aca="false">IF(B4976="","",IF(N4976=_xlfn.MINIFS($N$2:$N$5001,$B$2:$B$5001,B4976),1,0))</f>
        <v/>
      </c>
      <c r="K4976" s="16" t="str">
        <f aca="false">IF(B4976="","",IF(AND(D4976="Formalização",E4976="Concluído"),IF(COUNTIFS($B$2:$B$5001,B4976,$E$2:$E$5001,"Em ajustes",$N$2:$N$5001,"&lt;"&amp;I4976)&gt;0,1,0),0))</f>
        <v/>
      </c>
      <c r="L4976" s="16" t="str">
        <f aca="false">IF(B4976="","",IF(N4976=_xlfn.MAXIFS($N$2:$N$5001,$B$2:$B$5001,B4976,$I$2:$I$5001,I4976),1,0))</f>
        <v/>
      </c>
      <c r="M4976" s="16" t="str">
        <f aca="false">IF(B4976="","",IF(E4976="Em ajustes",IF(N4976=_xlfn.MINIFS($N$2:$N$5001,$B$2:$B$5001,B4976,$E$2:$E$5001,"Em ajustes"),1,0),0))</f>
        <v/>
      </c>
      <c r="N4976" s="17" t="str">
        <f aca="false">IF(A4976="","",IF(ISNUMBER(A4976),A4976,IFERROR(DATE(VALUE(MID(A4976,7,4)),VALUE(MID(A4976,4,2)),VALUE(MID(A4976,1,2)))+TIME(VALUE(MID(A4976,12,2)),VALUE(MID(A4976,15,2)),VALUE(MID(A4976,18,2))),"")))</f>
        <v/>
      </c>
    </row>
    <row r="4977" customFormat="false" ht="15" hidden="false" customHeight="false" outlineLevel="0" collapsed="false">
      <c r="I4977" s="15" t="str">
        <f aca="false">IF(N4977="","",INT(N4977))</f>
        <v/>
      </c>
      <c r="J4977" s="16" t="str">
        <f aca="false">IF(B4977="","",IF(N4977=_xlfn.MINIFS($N$2:$N$5001,$B$2:$B$5001,B4977),1,0))</f>
        <v/>
      </c>
      <c r="K4977" s="16" t="str">
        <f aca="false">IF(B4977="","",IF(AND(D4977="Formalização",E4977="Concluído"),IF(COUNTIFS($B$2:$B$5001,B4977,$E$2:$E$5001,"Em ajustes",$N$2:$N$5001,"&lt;"&amp;I4977)&gt;0,1,0),0))</f>
        <v/>
      </c>
      <c r="L4977" s="16" t="str">
        <f aca="false">IF(B4977="","",IF(N4977=_xlfn.MAXIFS($N$2:$N$5001,$B$2:$B$5001,B4977,$I$2:$I$5001,I4977),1,0))</f>
        <v/>
      </c>
      <c r="M4977" s="16" t="str">
        <f aca="false">IF(B4977="","",IF(E4977="Em ajustes",IF(N4977=_xlfn.MINIFS($N$2:$N$5001,$B$2:$B$5001,B4977,$E$2:$E$5001,"Em ajustes"),1,0),0))</f>
        <v/>
      </c>
      <c r="N4977" s="17" t="str">
        <f aca="false">IF(A4977="","",IF(ISNUMBER(A4977),A4977,IFERROR(DATE(VALUE(MID(A4977,7,4)),VALUE(MID(A4977,4,2)),VALUE(MID(A4977,1,2)))+TIME(VALUE(MID(A4977,12,2)),VALUE(MID(A4977,15,2)),VALUE(MID(A4977,18,2))),"")))</f>
        <v/>
      </c>
    </row>
    <row r="4978" customFormat="false" ht="15" hidden="false" customHeight="false" outlineLevel="0" collapsed="false">
      <c r="I4978" s="15" t="str">
        <f aca="false">IF(N4978="","",INT(N4978))</f>
        <v/>
      </c>
      <c r="J4978" s="16" t="str">
        <f aca="false">IF(B4978="","",IF(N4978=_xlfn.MINIFS($N$2:$N$5001,$B$2:$B$5001,B4978),1,0))</f>
        <v/>
      </c>
      <c r="K4978" s="16" t="str">
        <f aca="false">IF(B4978="","",IF(AND(D4978="Formalização",E4978="Concluído"),IF(COUNTIFS($B$2:$B$5001,B4978,$E$2:$E$5001,"Em ajustes",$N$2:$N$5001,"&lt;"&amp;I4978)&gt;0,1,0),0))</f>
        <v/>
      </c>
      <c r="L4978" s="16" t="str">
        <f aca="false">IF(B4978="","",IF(N4978=_xlfn.MAXIFS($N$2:$N$5001,$B$2:$B$5001,B4978,$I$2:$I$5001,I4978),1,0))</f>
        <v/>
      </c>
      <c r="M4978" s="16" t="str">
        <f aca="false">IF(B4978="","",IF(E4978="Em ajustes",IF(N4978=_xlfn.MINIFS($N$2:$N$5001,$B$2:$B$5001,B4978,$E$2:$E$5001,"Em ajustes"),1,0),0))</f>
        <v/>
      </c>
      <c r="N4978" s="17" t="str">
        <f aca="false">IF(A4978="","",IF(ISNUMBER(A4978),A4978,IFERROR(DATE(VALUE(MID(A4978,7,4)),VALUE(MID(A4978,4,2)),VALUE(MID(A4978,1,2)))+TIME(VALUE(MID(A4978,12,2)),VALUE(MID(A4978,15,2)),VALUE(MID(A4978,18,2))),"")))</f>
        <v/>
      </c>
    </row>
    <row r="4979" customFormat="false" ht="15" hidden="false" customHeight="false" outlineLevel="0" collapsed="false">
      <c r="I4979" s="15" t="str">
        <f aca="false">IF(N4979="","",INT(N4979))</f>
        <v/>
      </c>
      <c r="J4979" s="16" t="str">
        <f aca="false">IF(B4979="","",IF(N4979=_xlfn.MINIFS($N$2:$N$5001,$B$2:$B$5001,B4979),1,0))</f>
        <v/>
      </c>
      <c r="K4979" s="16" t="str">
        <f aca="false">IF(B4979="","",IF(AND(D4979="Formalização",E4979="Concluído"),IF(COUNTIFS($B$2:$B$5001,B4979,$E$2:$E$5001,"Em ajustes",$N$2:$N$5001,"&lt;"&amp;I4979)&gt;0,1,0),0))</f>
        <v/>
      </c>
      <c r="L4979" s="16" t="str">
        <f aca="false">IF(B4979="","",IF(N4979=_xlfn.MAXIFS($N$2:$N$5001,$B$2:$B$5001,B4979,$I$2:$I$5001,I4979),1,0))</f>
        <v/>
      </c>
      <c r="M4979" s="16" t="str">
        <f aca="false">IF(B4979="","",IF(E4979="Em ajustes",IF(N4979=_xlfn.MINIFS($N$2:$N$5001,$B$2:$B$5001,B4979,$E$2:$E$5001,"Em ajustes"),1,0),0))</f>
        <v/>
      </c>
      <c r="N4979" s="17" t="str">
        <f aca="false">IF(A4979="","",IF(ISNUMBER(A4979),A4979,IFERROR(DATE(VALUE(MID(A4979,7,4)),VALUE(MID(A4979,4,2)),VALUE(MID(A4979,1,2)))+TIME(VALUE(MID(A4979,12,2)),VALUE(MID(A4979,15,2)),VALUE(MID(A4979,18,2))),"")))</f>
        <v/>
      </c>
    </row>
    <row r="4980" customFormat="false" ht="15" hidden="false" customHeight="false" outlineLevel="0" collapsed="false">
      <c r="I4980" s="15" t="str">
        <f aca="false">IF(N4980="","",INT(N4980))</f>
        <v/>
      </c>
      <c r="J4980" s="16" t="str">
        <f aca="false">IF(B4980="","",IF(N4980=_xlfn.MINIFS($N$2:$N$5001,$B$2:$B$5001,B4980),1,0))</f>
        <v/>
      </c>
      <c r="K4980" s="16" t="str">
        <f aca="false">IF(B4980="","",IF(AND(D4980="Formalização",E4980="Concluído"),IF(COUNTIFS($B$2:$B$5001,B4980,$E$2:$E$5001,"Em ajustes",$N$2:$N$5001,"&lt;"&amp;I4980)&gt;0,1,0),0))</f>
        <v/>
      </c>
      <c r="L4980" s="16" t="str">
        <f aca="false">IF(B4980="","",IF(N4980=_xlfn.MAXIFS($N$2:$N$5001,$B$2:$B$5001,B4980,$I$2:$I$5001,I4980),1,0))</f>
        <v/>
      </c>
      <c r="M4980" s="16" t="str">
        <f aca="false">IF(B4980="","",IF(E4980="Em ajustes",IF(N4980=_xlfn.MINIFS($N$2:$N$5001,$B$2:$B$5001,B4980,$E$2:$E$5001,"Em ajustes"),1,0),0))</f>
        <v/>
      </c>
      <c r="N4980" s="17" t="str">
        <f aca="false">IF(A4980="","",IF(ISNUMBER(A4980),A4980,IFERROR(DATE(VALUE(MID(A4980,7,4)),VALUE(MID(A4980,4,2)),VALUE(MID(A4980,1,2)))+TIME(VALUE(MID(A4980,12,2)),VALUE(MID(A4980,15,2)),VALUE(MID(A4980,18,2))),"")))</f>
        <v/>
      </c>
    </row>
    <row r="4981" customFormat="false" ht="15" hidden="false" customHeight="false" outlineLevel="0" collapsed="false">
      <c r="I4981" s="15" t="str">
        <f aca="false">IF(N4981="","",INT(N4981))</f>
        <v/>
      </c>
      <c r="J4981" s="16" t="str">
        <f aca="false">IF(B4981="","",IF(N4981=_xlfn.MINIFS($N$2:$N$5001,$B$2:$B$5001,B4981),1,0))</f>
        <v/>
      </c>
      <c r="K4981" s="16" t="str">
        <f aca="false">IF(B4981="","",IF(AND(D4981="Formalização",E4981="Concluído"),IF(COUNTIFS($B$2:$B$5001,B4981,$E$2:$E$5001,"Em ajustes",$N$2:$N$5001,"&lt;"&amp;I4981)&gt;0,1,0),0))</f>
        <v/>
      </c>
      <c r="L4981" s="16" t="str">
        <f aca="false">IF(B4981="","",IF(N4981=_xlfn.MAXIFS($N$2:$N$5001,$B$2:$B$5001,B4981,$I$2:$I$5001,I4981),1,0))</f>
        <v/>
      </c>
      <c r="M4981" s="16" t="str">
        <f aca="false">IF(B4981="","",IF(E4981="Em ajustes",IF(N4981=_xlfn.MINIFS($N$2:$N$5001,$B$2:$B$5001,B4981,$E$2:$E$5001,"Em ajustes"),1,0),0))</f>
        <v/>
      </c>
      <c r="N4981" s="17" t="str">
        <f aca="false">IF(A4981="","",IF(ISNUMBER(A4981),A4981,IFERROR(DATE(VALUE(MID(A4981,7,4)),VALUE(MID(A4981,4,2)),VALUE(MID(A4981,1,2)))+TIME(VALUE(MID(A4981,12,2)),VALUE(MID(A4981,15,2)),VALUE(MID(A4981,18,2))),"")))</f>
        <v/>
      </c>
    </row>
    <row r="4982" customFormat="false" ht="15" hidden="false" customHeight="false" outlineLevel="0" collapsed="false">
      <c r="I4982" s="15" t="str">
        <f aca="false">IF(N4982="","",INT(N4982))</f>
        <v/>
      </c>
      <c r="J4982" s="16" t="str">
        <f aca="false">IF(B4982="","",IF(N4982=_xlfn.MINIFS($N$2:$N$5001,$B$2:$B$5001,B4982),1,0))</f>
        <v/>
      </c>
      <c r="K4982" s="16" t="str">
        <f aca="false">IF(B4982="","",IF(AND(D4982="Formalização",E4982="Concluído"),IF(COUNTIFS($B$2:$B$5001,B4982,$E$2:$E$5001,"Em ajustes",$N$2:$N$5001,"&lt;"&amp;I4982)&gt;0,1,0),0))</f>
        <v/>
      </c>
      <c r="L4982" s="16" t="str">
        <f aca="false">IF(B4982="","",IF(N4982=_xlfn.MAXIFS($N$2:$N$5001,$B$2:$B$5001,B4982,$I$2:$I$5001,I4982),1,0))</f>
        <v/>
      </c>
      <c r="M4982" s="16" t="str">
        <f aca="false">IF(B4982="","",IF(E4982="Em ajustes",IF(N4982=_xlfn.MINIFS($N$2:$N$5001,$B$2:$B$5001,B4982,$E$2:$E$5001,"Em ajustes"),1,0),0))</f>
        <v/>
      </c>
      <c r="N4982" s="17" t="str">
        <f aca="false">IF(A4982="","",IF(ISNUMBER(A4982),A4982,IFERROR(DATE(VALUE(MID(A4982,7,4)),VALUE(MID(A4982,4,2)),VALUE(MID(A4982,1,2)))+TIME(VALUE(MID(A4982,12,2)),VALUE(MID(A4982,15,2)),VALUE(MID(A4982,18,2))),"")))</f>
        <v/>
      </c>
    </row>
    <row r="4983" customFormat="false" ht="15" hidden="false" customHeight="false" outlineLevel="0" collapsed="false">
      <c r="I4983" s="15" t="str">
        <f aca="false">IF(N4983="","",INT(N4983))</f>
        <v/>
      </c>
      <c r="J4983" s="16" t="str">
        <f aca="false">IF(B4983="","",IF(N4983=_xlfn.MINIFS($N$2:$N$5001,$B$2:$B$5001,B4983),1,0))</f>
        <v/>
      </c>
      <c r="K4983" s="16" t="str">
        <f aca="false">IF(B4983="","",IF(AND(D4983="Formalização",E4983="Concluído"),IF(COUNTIFS($B$2:$B$5001,B4983,$E$2:$E$5001,"Em ajustes",$N$2:$N$5001,"&lt;"&amp;I4983)&gt;0,1,0),0))</f>
        <v/>
      </c>
      <c r="L4983" s="16" t="str">
        <f aca="false">IF(B4983="","",IF(N4983=_xlfn.MAXIFS($N$2:$N$5001,$B$2:$B$5001,B4983,$I$2:$I$5001,I4983),1,0))</f>
        <v/>
      </c>
      <c r="M4983" s="16" t="str">
        <f aca="false">IF(B4983="","",IF(E4983="Em ajustes",IF(N4983=_xlfn.MINIFS($N$2:$N$5001,$B$2:$B$5001,B4983,$E$2:$E$5001,"Em ajustes"),1,0),0))</f>
        <v/>
      </c>
      <c r="N4983" s="17" t="str">
        <f aca="false">IF(A4983="","",IF(ISNUMBER(A4983),A4983,IFERROR(DATE(VALUE(MID(A4983,7,4)),VALUE(MID(A4983,4,2)),VALUE(MID(A4983,1,2)))+TIME(VALUE(MID(A4983,12,2)),VALUE(MID(A4983,15,2)),VALUE(MID(A4983,18,2))),"")))</f>
        <v/>
      </c>
    </row>
    <row r="4984" customFormat="false" ht="15" hidden="false" customHeight="false" outlineLevel="0" collapsed="false">
      <c r="I4984" s="15" t="str">
        <f aca="false">IF(N4984="","",INT(N4984))</f>
        <v/>
      </c>
      <c r="J4984" s="16" t="str">
        <f aca="false">IF(B4984="","",IF(N4984=_xlfn.MINIFS($N$2:$N$5001,$B$2:$B$5001,B4984),1,0))</f>
        <v/>
      </c>
      <c r="K4984" s="16" t="str">
        <f aca="false">IF(B4984="","",IF(AND(D4984="Formalização",E4984="Concluído"),IF(COUNTIFS($B$2:$B$5001,B4984,$E$2:$E$5001,"Em ajustes",$N$2:$N$5001,"&lt;"&amp;I4984)&gt;0,1,0),0))</f>
        <v/>
      </c>
      <c r="L4984" s="16" t="str">
        <f aca="false">IF(B4984="","",IF(N4984=_xlfn.MAXIFS($N$2:$N$5001,$B$2:$B$5001,B4984,$I$2:$I$5001,I4984),1,0))</f>
        <v/>
      </c>
      <c r="M4984" s="16" t="str">
        <f aca="false">IF(B4984="","",IF(E4984="Em ajustes",IF(N4984=_xlfn.MINIFS($N$2:$N$5001,$B$2:$B$5001,B4984,$E$2:$E$5001,"Em ajustes"),1,0),0))</f>
        <v/>
      </c>
      <c r="N4984" s="17" t="str">
        <f aca="false">IF(A4984="","",IF(ISNUMBER(A4984),A4984,IFERROR(DATE(VALUE(MID(A4984,7,4)),VALUE(MID(A4984,4,2)),VALUE(MID(A4984,1,2)))+TIME(VALUE(MID(A4984,12,2)),VALUE(MID(A4984,15,2)),VALUE(MID(A4984,18,2))),"")))</f>
        <v/>
      </c>
    </row>
    <row r="4985" customFormat="false" ht="15" hidden="false" customHeight="false" outlineLevel="0" collapsed="false">
      <c r="I4985" s="15" t="str">
        <f aca="false">IF(N4985="","",INT(N4985))</f>
        <v/>
      </c>
      <c r="J4985" s="16" t="str">
        <f aca="false">IF(B4985="","",IF(N4985=_xlfn.MINIFS($N$2:$N$5001,$B$2:$B$5001,B4985),1,0))</f>
        <v/>
      </c>
      <c r="K4985" s="16" t="str">
        <f aca="false">IF(B4985="","",IF(AND(D4985="Formalização",E4985="Concluído"),IF(COUNTIFS($B$2:$B$5001,B4985,$E$2:$E$5001,"Em ajustes",$N$2:$N$5001,"&lt;"&amp;I4985)&gt;0,1,0),0))</f>
        <v/>
      </c>
      <c r="L4985" s="16" t="str">
        <f aca="false">IF(B4985="","",IF(N4985=_xlfn.MAXIFS($N$2:$N$5001,$B$2:$B$5001,B4985,$I$2:$I$5001,I4985),1,0))</f>
        <v/>
      </c>
      <c r="M4985" s="16" t="str">
        <f aca="false">IF(B4985="","",IF(E4985="Em ajustes",IF(N4985=_xlfn.MINIFS($N$2:$N$5001,$B$2:$B$5001,B4985,$E$2:$E$5001,"Em ajustes"),1,0),0))</f>
        <v/>
      </c>
      <c r="N4985" s="17" t="str">
        <f aca="false">IF(A4985="","",IF(ISNUMBER(A4985),A4985,IFERROR(DATE(VALUE(MID(A4985,7,4)),VALUE(MID(A4985,4,2)),VALUE(MID(A4985,1,2)))+TIME(VALUE(MID(A4985,12,2)),VALUE(MID(A4985,15,2)),VALUE(MID(A4985,18,2))),"")))</f>
        <v/>
      </c>
    </row>
    <row r="4986" customFormat="false" ht="15" hidden="false" customHeight="false" outlineLevel="0" collapsed="false">
      <c r="I4986" s="15" t="str">
        <f aca="false">IF(N4986="","",INT(N4986))</f>
        <v/>
      </c>
      <c r="J4986" s="16" t="str">
        <f aca="false">IF(B4986="","",IF(N4986=_xlfn.MINIFS($N$2:$N$5001,$B$2:$B$5001,B4986),1,0))</f>
        <v/>
      </c>
      <c r="K4986" s="16" t="str">
        <f aca="false">IF(B4986="","",IF(AND(D4986="Formalização",E4986="Concluído"),IF(COUNTIFS($B$2:$B$5001,B4986,$E$2:$E$5001,"Em ajustes",$N$2:$N$5001,"&lt;"&amp;I4986)&gt;0,1,0),0))</f>
        <v/>
      </c>
      <c r="L4986" s="16" t="str">
        <f aca="false">IF(B4986="","",IF(N4986=_xlfn.MAXIFS($N$2:$N$5001,$B$2:$B$5001,B4986,$I$2:$I$5001,I4986),1,0))</f>
        <v/>
      </c>
      <c r="M4986" s="16" t="str">
        <f aca="false">IF(B4986="","",IF(E4986="Em ajustes",IF(N4986=_xlfn.MINIFS($N$2:$N$5001,$B$2:$B$5001,B4986,$E$2:$E$5001,"Em ajustes"),1,0),0))</f>
        <v/>
      </c>
      <c r="N4986" s="17" t="str">
        <f aca="false">IF(A4986="","",IF(ISNUMBER(A4986),A4986,IFERROR(DATE(VALUE(MID(A4986,7,4)),VALUE(MID(A4986,4,2)),VALUE(MID(A4986,1,2)))+TIME(VALUE(MID(A4986,12,2)),VALUE(MID(A4986,15,2)),VALUE(MID(A4986,18,2))),"")))</f>
        <v/>
      </c>
    </row>
    <row r="4987" customFormat="false" ht="15" hidden="false" customHeight="false" outlineLevel="0" collapsed="false">
      <c r="I4987" s="15" t="str">
        <f aca="false">IF(N4987="","",INT(N4987))</f>
        <v/>
      </c>
      <c r="J4987" s="16" t="str">
        <f aca="false">IF(B4987="","",IF(N4987=_xlfn.MINIFS($N$2:$N$5001,$B$2:$B$5001,B4987),1,0))</f>
        <v/>
      </c>
      <c r="K4987" s="16" t="str">
        <f aca="false">IF(B4987="","",IF(AND(D4987="Formalização",E4987="Concluído"),IF(COUNTIFS($B$2:$B$5001,B4987,$E$2:$E$5001,"Em ajustes",$N$2:$N$5001,"&lt;"&amp;I4987)&gt;0,1,0),0))</f>
        <v/>
      </c>
      <c r="L4987" s="16" t="str">
        <f aca="false">IF(B4987="","",IF(N4987=_xlfn.MAXIFS($N$2:$N$5001,$B$2:$B$5001,B4987,$I$2:$I$5001,I4987),1,0))</f>
        <v/>
      </c>
      <c r="M4987" s="16" t="str">
        <f aca="false">IF(B4987="","",IF(E4987="Em ajustes",IF(N4987=_xlfn.MINIFS($N$2:$N$5001,$B$2:$B$5001,B4987,$E$2:$E$5001,"Em ajustes"),1,0),0))</f>
        <v/>
      </c>
      <c r="N4987" s="17" t="str">
        <f aca="false">IF(A4987="","",IF(ISNUMBER(A4987),A4987,IFERROR(DATE(VALUE(MID(A4987,7,4)),VALUE(MID(A4987,4,2)),VALUE(MID(A4987,1,2)))+TIME(VALUE(MID(A4987,12,2)),VALUE(MID(A4987,15,2)),VALUE(MID(A4987,18,2))),"")))</f>
        <v/>
      </c>
    </row>
    <row r="4988" customFormat="false" ht="15" hidden="false" customHeight="false" outlineLevel="0" collapsed="false">
      <c r="I4988" s="15" t="str">
        <f aca="false">IF(N4988="","",INT(N4988))</f>
        <v/>
      </c>
      <c r="J4988" s="16" t="str">
        <f aca="false">IF(B4988="","",IF(N4988=_xlfn.MINIFS($N$2:$N$5001,$B$2:$B$5001,B4988),1,0))</f>
        <v/>
      </c>
      <c r="K4988" s="16" t="str">
        <f aca="false">IF(B4988="","",IF(AND(D4988="Formalização",E4988="Concluído"),IF(COUNTIFS($B$2:$B$5001,B4988,$E$2:$E$5001,"Em ajustes",$N$2:$N$5001,"&lt;"&amp;I4988)&gt;0,1,0),0))</f>
        <v/>
      </c>
      <c r="L4988" s="16" t="str">
        <f aca="false">IF(B4988="","",IF(N4988=_xlfn.MAXIFS($N$2:$N$5001,$B$2:$B$5001,B4988,$I$2:$I$5001,I4988),1,0))</f>
        <v/>
      </c>
      <c r="M4988" s="16" t="str">
        <f aca="false">IF(B4988="","",IF(E4988="Em ajustes",IF(N4988=_xlfn.MINIFS($N$2:$N$5001,$B$2:$B$5001,B4988,$E$2:$E$5001,"Em ajustes"),1,0),0))</f>
        <v/>
      </c>
      <c r="N4988" s="17" t="str">
        <f aca="false">IF(A4988="","",IF(ISNUMBER(A4988),A4988,IFERROR(DATE(VALUE(MID(A4988,7,4)),VALUE(MID(A4988,4,2)),VALUE(MID(A4988,1,2)))+TIME(VALUE(MID(A4988,12,2)),VALUE(MID(A4988,15,2)),VALUE(MID(A4988,18,2))),"")))</f>
        <v/>
      </c>
    </row>
    <row r="4989" customFormat="false" ht="15" hidden="false" customHeight="false" outlineLevel="0" collapsed="false">
      <c r="I4989" s="15" t="str">
        <f aca="false">IF(N4989="","",INT(N4989))</f>
        <v/>
      </c>
      <c r="J4989" s="16" t="str">
        <f aca="false">IF(B4989="","",IF(N4989=_xlfn.MINIFS($N$2:$N$5001,$B$2:$B$5001,B4989),1,0))</f>
        <v/>
      </c>
      <c r="K4989" s="16" t="str">
        <f aca="false">IF(B4989="","",IF(AND(D4989="Formalização",E4989="Concluído"),IF(COUNTIFS($B$2:$B$5001,B4989,$E$2:$E$5001,"Em ajustes",$N$2:$N$5001,"&lt;"&amp;I4989)&gt;0,1,0),0))</f>
        <v/>
      </c>
      <c r="L4989" s="16" t="str">
        <f aca="false">IF(B4989="","",IF(N4989=_xlfn.MAXIFS($N$2:$N$5001,$B$2:$B$5001,B4989,$I$2:$I$5001,I4989),1,0))</f>
        <v/>
      </c>
      <c r="M4989" s="16" t="str">
        <f aca="false">IF(B4989="","",IF(E4989="Em ajustes",IF(N4989=_xlfn.MINIFS($N$2:$N$5001,$B$2:$B$5001,B4989,$E$2:$E$5001,"Em ajustes"),1,0),0))</f>
        <v/>
      </c>
      <c r="N4989" s="17" t="str">
        <f aca="false">IF(A4989="","",IF(ISNUMBER(A4989),A4989,IFERROR(DATE(VALUE(MID(A4989,7,4)),VALUE(MID(A4989,4,2)),VALUE(MID(A4989,1,2)))+TIME(VALUE(MID(A4989,12,2)),VALUE(MID(A4989,15,2)),VALUE(MID(A4989,18,2))),"")))</f>
        <v/>
      </c>
    </row>
    <row r="4990" customFormat="false" ht="15" hidden="false" customHeight="false" outlineLevel="0" collapsed="false">
      <c r="I4990" s="15" t="str">
        <f aca="false">IF(N4990="","",INT(N4990))</f>
        <v/>
      </c>
      <c r="J4990" s="16" t="str">
        <f aca="false">IF(B4990="","",IF(N4990=_xlfn.MINIFS($N$2:$N$5001,$B$2:$B$5001,B4990),1,0))</f>
        <v/>
      </c>
      <c r="K4990" s="16" t="str">
        <f aca="false">IF(B4990="","",IF(AND(D4990="Formalização",E4990="Concluído"),IF(COUNTIFS($B$2:$B$5001,B4990,$E$2:$E$5001,"Em ajustes",$N$2:$N$5001,"&lt;"&amp;I4990)&gt;0,1,0),0))</f>
        <v/>
      </c>
      <c r="L4990" s="16" t="str">
        <f aca="false">IF(B4990="","",IF(N4990=_xlfn.MAXIFS($N$2:$N$5001,$B$2:$B$5001,B4990,$I$2:$I$5001,I4990),1,0))</f>
        <v/>
      </c>
      <c r="M4990" s="16" t="str">
        <f aca="false">IF(B4990="","",IF(E4990="Em ajustes",IF(N4990=_xlfn.MINIFS($N$2:$N$5001,$B$2:$B$5001,B4990,$E$2:$E$5001,"Em ajustes"),1,0),0))</f>
        <v/>
      </c>
      <c r="N4990" s="17" t="str">
        <f aca="false">IF(A4990="","",IF(ISNUMBER(A4990),A4990,IFERROR(DATE(VALUE(MID(A4990,7,4)),VALUE(MID(A4990,4,2)),VALUE(MID(A4990,1,2)))+TIME(VALUE(MID(A4990,12,2)),VALUE(MID(A4990,15,2)),VALUE(MID(A4990,18,2))),"")))</f>
        <v/>
      </c>
    </row>
    <row r="4991" customFormat="false" ht="15" hidden="false" customHeight="false" outlineLevel="0" collapsed="false">
      <c r="I4991" s="15" t="str">
        <f aca="false">IF(N4991="","",INT(N4991))</f>
        <v/>
      </c>
      <c r="J4991" s="16" t="str">
        <f aca="false">IF(B4991="","",IF(N4991=_xlfn.MINIFS($N$2:$N$5001,$B$2:$B$5001,B4991),1,0))</f>
        <v/>
      </c>
      <c r="K4991" s="16" t="str">
        <f aca="false">IF(B4991="","",IF(AND(D4991="Formalização",E4991="Concluído"),IF(COUNTIFS($B$2:$B$5001,B4991,$E$2:$E$5001,"Em ajustes",$N$2:$N$5001,"&lt;"&amp;I4991)&gt;0,1,0),0))</f>
        <v/>
      </c>
      <c r="L4991" s="16" t="str">
        <f aca="false">IF(B4991="","",IF(N4991=_xlfn.MAXIFS($N$2:$N$5001,$B$2:$B$5001,B4991,$I$2:$I$5001,I4991),1,0))</f>
        <v/>
      </c>
      <c r="M4991" s="16" t="str">
        <f aca="false">IF(B4991="","",IF(E4991="Em ajustes",IF(N4991=_xlfn.MINIFS($N$2:$N$5001,$B$2:$B$5001,B4991,$E$2:$E$5001,"Em ajustes"),1,0),0))</f>
        <v/>
      </c>
      <c r="N4991" s="17" t="str">
        <f aca="false">IF(A4991="","",IF(ISNUMBER(A4991),A4991,IFERROR(DATE(VALUE(MID(A4991,7,4)),VALUE(MID(A4991,4,2)),VALUE(MID(A4991,1,2)))+TIME(VALUE(MID(A4991,12,2)),VALUE(MID(A4991,15,2)),VALUE(MID(A4991,18,2))),"")))</f>
        <v/>
      </c>
    </row>
    <row r="4992" customFormat="false" ht="15" hidden="false" customHeight="false" outlineLevel="0" collapsed="false">
      <c r="I4992" s="15" t="str">
        <f aca="false">IF(N4992="","",INT(N4992))</f>
        <v/>
      </c>
      <c r="J4992" s="16" t="str">
        <f aca="false">IF(B4992="","",IF(N4992=_xlfn.MINIFS($N$2:$N$5001,$B$2:$B$5001,B4992),1,0))</f>
        <v/>
      </c>
      <c r="K4992" s="16" t="str">
        <f aca="false">IF(B4992="","",IF(AND(D4992="Formalização",E4992="Concluído"),IF(COUNTIFS($B$2:$B$5001,B4992,$E$2:$E$5001,"Em ajustes",$N$2:$N$5001,"&lt;"&amp;I4992)&gt;0,1,0),0))</f>
        <v/>
      </c>
      <c r="L4992" s="16" t="str">
        <f aca="false">IF(B4992="","",IF(N4992=_xlfn.MAXIFS($N$2:$N$5001,$B$2:$B$5001,B4992,$I$2:$I$5001,I4992),1,0))</f>
        <v/>
      </c>
      <c r="M4992" s="16" t="str">
        <f aca="false">IF(B4992="","",IF(E4992="Em ajustes",IF(N4992=_xlfn.MINIFS($N$2:$N$5001,$B$2:$B$5001,B4992,$E$2:$E$5001,"Em ajustes"),1,0),0))</f>
        <v/>
      </c>
      <c r="N4992" s="17" t="str">
        <f aca="false">IF(A4992="","",IF(ISNUMBER(A4992),A4992,IFERROR(DATE(VALUE(MID(A4992,7,4)),VALUE(MID(A4992,4,2)),VALUE(MID(A4992,1,2)))+TIME(VALUE(MID(A4992,12,2)),VALUE(MID(A4992,15,2)),VALUE(MID(A4992,18,2))),"")))</f>
        <v/>
      </c>
    </row>
    <row r="4993" customFormat="false" ht="15" hidden="false" customHeight="false" outlineLevel="0" collapsed="false">
      <c r="I4993" s="15" t="str">
        <f aca="false">IF(N4993="","",INT(N4993))</f>
        <v/>
      </c>
      <c r="J4993" s="16" t="str">
        <f aca="false">IF(B4993="","",IF(N4993=_xlfn.MINIFS($N$2:$N$5001,$B$2:$B$5001,B4993),1,0))</f>
        <v/>
      </c>
      <c r="K4993" s="16" t="str">
        <f aca="false">IF(B4993="","",IF(AND(D4993="Formalização",E4993="Concluído"),IF(COUNTIFS($B$2:$B$5001,B4993,$E$2:$E$5001,"Em ajustes",$N$2:$N$5001,"&lt;"&amp;I4993)&gt;0,1,0),0))</f>
        <v/>
      </c>
      <c r="L4993" s="16" t="str">
        <f aca="false">IF(B4993="","",IF(N4993=_xlfn.MAXIFS($N$2:$N$5001,$B$2:$B$5001,B4993,$I$2:$I$5001,I4993),1,0))</f>
        <v/>
      </c>
      <c r="M4993" s="16" t="str">
        <f aca="false">IF(B4993="","",IF(E4993="Em ajustes",IF(N4993=_xlfn.MINIFS($N$2:$N$5001,$B$2:$B$5001,B4993,$E$2:$E$5001,"Em ajustes"),1,0),0))</f>
        <v/>
      </c>
      <c r="N4993" s="17" t="str">
        <f aca="false">IF(A4993="","",IF(ISNUMBER(A4993),A4993,IFERROR(DATE(VALUE(MID(A4993,7,4)),VALUE(MID(A4993,4,2)),VALUE(MID(A4993,1,2)))+TIME(VALUE(MID(A4993,12,2)),VALUE(MID(A4993,15,2)),VALUE(MID(A4993,18,2))),"")))</f>
        <v/>
      </c>
    </row>
    <row r="4994" customFormat="false" ht="15" hidden="false" customHeight="false" outlineLevel="0" collapsed="false">
      <c r="I4994" s="15" t="str">
        <f aca="false">IF(N4994="","",INT(N4994))</f>
        <v/>
      </c>
      <c r="J4994" s="16" t="str">
        <f aca="false">IF(B4994="","",IF(N4994=_xlfn.MINIFS($N$2:$N$5001,$B$2:$B$5001,B4994),1,0))</f>
        <v/>
      </c>
      <c r="K4994" s="16" t="str">
        <f aca="false">IF(B4994="","",IF(AND(D4994="Formalização",E4994="Concluído"),IF(COUNTIFS($B$2:$B$5001,B4994,$E$2:$E$5001,"Em ajustes",$N$2:$N$5001,"&lt;"&amp;I4994)&gt;0,1,0),0))</f>
        <v/>
      </c>
      <c r="L4994" s="16" t="str">
        <f aca="false">IF(B4994="","",IF(N4994=_xlfn.MAXIFS($N$2:$N$5001,$B$2:$B$5001,B4994,$I$2:$I$5001,I4994),1,0))</f>
        <v/>
      </c>
      <c r="M4994" s="16" t="str">
        <f aca="false">IF(B4994="","",IF(E4994="Em ajustes",IF(N4994=_xlfn.MINIFS($N$2:$N$5001,$B$2:$B$5001,B4994,$E$2:$E$5001,"Em ajustes"),1,0),0))</f>
        <v/>
      </c>
      <c r="N4994" s="17" t="str">
        <f aca="false">IF(A4994="","",IF(ISNUMBER(A4994),A4994,IFERROR(DATE(VALUE(MID(A4994,7,4)),VALUE(MID(A4994,4,2)),VALUE(MID(A4994,1,2)))+TIME(VALUE(MID(A4994,12,2)),VALUE(MID(A4994,15,2)),VALUE(MID(A4994,18,2))),"")))</f>
        <v/>
      </c>
    </row>
    <row r="4995" customFormat="false" ht="15" hidden="false" customHeight="false" outlineLevel="0" collapsed="false">
      <c r="I4995" s="15" t="str">
        <f aca="false">IF(N4995="","",INT(N4995))</f>
        <v/>
      </c>
      <c r="J4995" s="16" t="str">
        <f aca="false">IF(B4995="","",IF(N4995=_xlfn.MINIFS($N$2:$N$5001,$B$2:$B$5001,B4995),1,0))</f>
        <v/>
      </c>
      <c r="K4995" s="16" t="str">
        <f aca="false">IF(B4995="","",IF(AND(D4995="Formalização",E4995="Concluído"),IF(COUNTIFS($B$2:$B$5001,B4995,$E$2:$E$5001,"Em ajustes",$N$2:$N$5001,"&lt;"&amp;I4995)&gt;0,1,0),0))</f>
        <v/>
      </c>
      <c r="L4995" s="16" t="str">
        <f aca="false">IF(B4995="","",IF(N4995=_xlfn.MAXIFS($N$2:$N$5001,$B$2:$B$5001,B4995,$I$2:$I$5001,I4995),1,0))</f>
        <v/>
      </c>
      <c r="M4995" s="16" t="str">
        <f aca="false">IF(B4995="","",IF(E4995="Em ajustes",IF(N4995=_xlfn.MINIFS($N$2:$N$5001,$B$2:$B$5001,B4995,$E$2:$E$5001,"Em ajustes"),1,0),0))</f>
        <v/>
      </c>
      <c r="N4995" s="17" t="str">
        <f aca="false">IF(A4995="","",IF(ISNUMBER(A4995),A4995,IFERROR(DATE(VALUE(MID(A4995,7,4)),VALUE(MID(A4995,4,2)),VALUE(MID(A4995,1,2)))+TIME(VALUE(MID(A4995,12,2)),VALUE(MID(A4995,15,2)),VALUE(MID(A4995,18,2))),"")))</f>
        <v/>
      </c>
    </row>
    <row r="4996" customFormat="false" ht="15" hidden="false" customHeight="false" outlineLevel="0" collapsed="false">
      <c r="I4996" s="15" t="str">
        <f aca="false">IF(N4996="","",INT(N4996))</f>
        <v/>
      </c>
      <c r="J4996" s="16" t="str">
        <f aca="false">IF(B4996="","",IF(N4996=_xlfn.MINIFS($N$2:$N$5001,$B$2:$B$5001,B4996),1,0))</f>
        <v/>
      </c>
      <c r="K4996" s="16" t="str">
        <f aca="false">IF(B4996="","",IF(AND(D4996="Formalização",E4996="Concluído"),IF(COUNTIFS($B$2:$B$5001,B4996,$E$2:$E$5001,"Em ajustes",$N$2:$N$5001,"&lt;"&amp;I4996)&gt;0,1,0),0))</f>
        <v/>
      </c>
      <c r="L4996" s="16" t="str">
        <f aca="false">IF(B4996="","",IF(N4996=_xlfn.MAXIFS($N$2:$N$5001,$B$2:$B$5001,B4996,$I$2:$I$5001,I4996),1,0))</f>
        <v/>
      </c>
      <c r="M4996" s="16" t="str">
        <f aca="false">IF(B4996="","",IF(E4996="Em ajustes",IF(N4996=_xlfn.MINIFS($N$2:$N$5001,$B$2:$B$5001,B4996,$E$2:$E$5001,"Em ajustes"),1,0),0))</f>
        <v/>
      </c>
      <c r="N4996" s="17" t="str">
        <f aca="false">IF(A4996="","",IF(ISNUMBER(A4996),A4996,IFERROR(DATE(VALUE(MID(A4996,7,4)),VALUE(MID(A4996,4,2)),VALUE(MID(A4996,1,2)))+TIME(VALUE(MID(A4996,12,2)),VALUE(MID(A4996,15,2)),VALUE(MID(A4996,18,2))),"")))</f>
        <v/>
      </c>
    </row>
    <row r="4997" customFormat="false" ht="15" hidden="false" customHeight="false" outlineLevel="0" collapsed="false">
      <c r="I4997" s="15" t="str">
        <f aca="false">IF(N4997="","",INT(N4997))</f>
        <v/>
      </c>
      <c r="J4997" s="16" t="str">
        <f aca="false">IF(B4997="","",IF(N4997=_xlfn.MINIFS($N$2:$N$5001,$B$2:$B$5001,B4997),1,0))</f>
        <v/>
      </c>
      <c r="K4997" s="16" t="str">
        <f aca="false">IF(B4997="","",IF(AND(D4997="Formalização",E4997="Concluído"),IF(COUNTIFS($B$2:$B$5001,B4997,$E$2:$E$5001,"Em ajustes",$N$2:$N$5001,"&lt;"&amp;I4997)&gt;0,1,0),0))</f>
        <v/>
      </c>
      <c r="L4997" s="16" t="str">
        <f aca="false">IF(B4997="","",IF(N4997=_xlfn.MAXIFS($N$2:$N$5001,$B$2:$B$5001,B4997,$I$2:$I$5001,I4997),1,0))</f>
        <v/>
      </c>
      <c r="M4997" s="16" t="str">
        <f aca="false">IF(B4997="","",IF(E4997="Em ajustes",IF(N4997=_xlfn.MINIFS($N$2:$N$5001,$B$2:$B$5001,B4997,$E$2:$E$5001,"Em ajustes"),1,0),0))</f>
        <v/>
      </c>
      <c r="N4997" s="17" t="str">
        <f aca="false">IF(A4997="","",IF(ISNUMBER(A4997),A4997,IFERROR(DATE(VALUE(MID(A4997,7,4)),VALUE(MID(A4997,4,2)),VALUE(MID(A4997,1,2)))+TIME(VALUE(MID(A4997,12,2)),VALUE(MID(A4997,15,2)),VALUE(MID(A4997,18,2))),"")))</f>
        <v/>
      </c>
    </row>
    <row r="4998" customFormat="false" ht="15" hidden="false" customHeight="false" outlineLevel="0" collapsed="false">
      <c r="I4998" s="15" t="str">
        <f aca="false">IF(N4998="","",INT(N4998))</f>
        <v/>
      </c>
      <c r="J4998" s="16" t="str">
        <f aca="false">IF(B4998="","",IF(N4998=_xlfn.MINIFS($N$2:$N$5001,$B$2:$B$5001,B4998),1,0))</f>
        <v/>
      </c>
      <c r="K4998" s="16" t="str">
        <f aca="false">IF(B4998="","",IF(AND(D4998="Formalização",E4998="Concluído"),IF(COUNTIFS($B$2:$B$5001,B4998,$E$2:$E$5001,"Em ajustes",$N$2:$N$5001,"&lt;"&amp;I4998)&gt;0,1,0),0))</f>
        <v/>
      </c>
      <c r="L4998" s="16" t="str">
        <f aca="false">IF(B4998="","",IF(N4998=_xlfn.MAXIFS($N$2:$N$5001,$B$2:$B$5001,B4998,$I$2:$I$5001,I4998),1,0))</f>
        <v/>
      </c>
      <c r="M4998" s="16" t="str">
        <f aca="false">IF(B4998="","",IF(E4998="Em ajustes",IF(N4998=_xlfn.MINIFS($N$2:$N$5001,$B$2:$B$5001,B4998,$E$2:$E$5001,"Em ajustes"),1,0),0))</f>
        <v/>
      </c>
      <c r="N4998" s="17" t="str">
        <f aca="false">IF(A4998="","",IF(ISNUMBER(A4998),A4998,IFERROR(DATE(VALUE(MID(A4998,7,4)),VALUE(MID(A4998,4,2)),VALUE(MID(A4998,1,2)))+TIME(VALUE(MID(A4998,12,2)),VALUE(MID(A4998,15,2)),VALUE(MID(A4998,18,2))),"")))</f>
        <v/>
      </c>
    </row>
    <row r="4999" customFormat="false" ht="15" hidden="false" customHeight="false" outlineLevel="0" collapsed="false">
      <c r="I4999" s="15" t="str">
        <f aca="false">IF(N4999="","",INT(N4999))</f>
        <v/>
      </c>
      <c r="J4999" s="16" t="str">
        <f aca="false">IF(B4999="","",IF(N4999=_xlfn.MINIFS($N$2:$N$5001,$B$2:$B$5001,B4999),1,0))</f>
        <v/>
      </c>
      <c r="K4999" s="16" t="str">
        <f aca="false">IF(B4999="","",IF(AND(D4999="Formalização",E4999="Concluído"),IF(COUNTIFS($B$2:$B$5001,B4999,$E$2:$E$5001,"Em ajustes",$N$2:$N$5001,"&lt;"&amp;I4999)&gt;0,1,0),0))</f>
        <v/>
      </c>
      <c r="L4999" s="16" t="str">
        <f aca="false">IF(B4999="","",IF(N4999=_xlfn.MAXIFS($N$2:$N$5001,$B$2:$B$5001,B4999,$I$2:$I$5001,I4999),1,0))</f>
        <v/>
      </c>
      <c r="M4999" s="16" t="str">
        <f aca="false">IF(B4999="","",IF(E4999="Em ajustes",IF(N4999=_xlfn.MINIFS($N$2:$N$5001,$B$2:$B$5001,B4999,$E$2:$E$5001,"Em ajustes"),1,0),0))</f>
        <v/>
      </c>
      <c r="N4999" s="17" t="str">
        <f aca="false">IF(A4999="","",IF(ISNUMBER(A4999),A4999,IFERROR(DATE(VALUE(MID(A4999,7,4)),VALUE(MID(A4999,4,2)),VALUE(MID(A4999,1,2)))+TIME(VALUE(MID(A4999,12,2)),VALUE(MID(A4999,15,2)),VALUE(MID(A4999,18,2))),"")))</f>
        <v/>
      </c>
    </row>
    <row r="5000" customFormat="false" ht="15" hidden="false" customHeight="false" outlineLevel="0" collapsed="false">
      <c r="I5000" s="15" t="str">
        <f aca="false">IF(N5000="","",INT(N5000))</f>
        <v/>
      </c>
      <c r="J5000" s="16" t="str">
        <f aca="false">IF(B5000="","",IF(N5000=_xlfn.MINIFS($N$2:$N$5001,$B$2:$B$5001,B5000),1,0))</f>
        <v/>
      </c>
      <c r="K5000" s="16" t="str">
        <f aca="false">IF(B5000="","",IF(AND(D5000="Formalização",E5000="Concluído"),IF(COUNTIFS($B$2:$B$5001,B5000,$E$2:$E$5001,"Em ajustes",$N$2:$N$5001,"&lt;"&amp;I5000)&gt;0,1,0),0))</f>
        <v/>
      </c>
      <c r="L5000" s="16" t="str">
        <f aca="false">IF(B5000="","",IF(N5000=_xlfn.MAXIFS($N$2:$N$5001,$B$2:$B$5001,B5000,$I$2:$I$5001,I5000),1,0))</f>
        <v/>
      </c>
      <c r="M5000" s="16" t="str">
        <f aca="false">IF(B5000="","",IF(E5000="Em ajustes",IF(N5000=_xlfn.MINIFS($N$2:$N$5001,$B$2:$B$5001,B5000,$E$2:$E$5001,"Em ajustes"),1,0),0))</f>
        <v/>
      </c>
      <c r="N5000" s="17" t="str">
        <f aca="false">IF(A5000="","",IF(ISNUMBER(A5000),A5000,IFERROR(DATE(VALUE(MID(A5000,7,4)),VALUE(MID(A5000,4,2)),VALUE(MID(A5000,1,2)))+TIME(VALUE(MID(A5000,12,2)),VALUE(MID(A5000,15,2)),VALUE(MID(A5000,18,2))),"")))</f>
        <v/>
      </c>
    </row>
    <row r="5001" customFormat="false" ht="15" hidden="false" customHeight="false" outlineLevel="0" collapsed="false">
      <c r="I5001" s="15" t="str">
        <f aca="false">IF(N5001="","",INT(N5001))</f>
        <v/>
      </c>
      <c r="J5001" s="16" t="str">
        <f aca="false">IF(B5001="","",IF(N5001=_xlfn.MINIFS($N$2:$N$5001,$B$2:$B$5001,B5001),1,0))</f>
        <v/>
      </c>
      <c r="K5001" s="16" t="str">
        <f aca="false">IF(B5001="","",IF(AND(D5001="Formalização",E5001="Concluído"),IF(COUNTIFS($B$2:$B$5001,B5001,$E$2:$E$5001,"Em ajustes",$N$2:$N$5001,"&lt;"&amp;I5001)&gt;0,1,0),0))</f>
        <v/>
      </c>
      <c r="L5001" s="16" t="str">
        <f aca="false">IF(B5001="","",IF(N5001=_xlfn.MAXIFS($N$2:$N$5001,$B$2:$B$5001,B5001,$I$2:$I$5001,I5001),1,0))</f>
        <v/>
      </c>
      <c r="M5001" s="16" t="str">
        <f aca="false">IF(B5001="","",IF(E5001="Em ajustes",IF(N5001=_xlfn.MINIFS($N$2:$N$5001,$B$2:$B$5001,B5001,$E$2:$E$5001,"Em ajustes"),1,0),0))</f>
        <v/>
      </c>
      <c r="N5001" s="17" t="str">
        <f aca="false">IF(A5001="","",IF(ISNUMBER(A5001),A5001,IFERROR(DATE(VALUE(MID(A5001,7,4)),VALUE(MID(A5001,4,2)),VALUE(MID(A5001,1,2)))+TIME(VALUE(MID(A5001,12,2)),VALUE(MID(A5001,15,2)),VALUE(MID(A5001,18,2))),"")))</f>
        <v/>
      </c>
    </row>
    <row r="5003" customFormat="false" ht="15" hidden="false" customHeight="false" outlineLevel="0" collapsed="false">
      <c r="A5003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0"/>
  </cols>
  <sheetData>
    <row r="1" customFormat="false" ht="33.75" hidden="false" customHeight="true" outlineLevel="0" collapsed="false">
      <c r="A1" s="11" t="s">
        <v>23</v>
      </c>
      <c r="B1" s="11" t="s">
        <v>10</v>
      </c>
      <c r="C1" s="11" t="s">
        <v>55</v>
      </c>
      <c r="D1" s="11" t="s">
        <v>6</v>
      </c>
      <c r="E1" s="11" t="s">
        <v>7</v>
      </c>
    </row>
    <row r="2" customFormat="false" ht="15" hidden="false" customHeight="false" outlineLevel="0" collapsed="false">
      <c r="A2" s="18" t="n">
        <v>46235</v>
      </c>
      <c r="B2" s="9" t="n">
        <f aca="false">SUMPRODUCT((Dados!$I$2:$I$5001=A2)*(Dados!$J$2:$J$5001=1))</f>
        <v>0</v>
      </c>
      <c r="C2" s="9" t="n">
        <f aca="false">SUMPRODUCT((Dados!$I$2:$I$5001=A2)*(Dados!$M$2:$M$5001=1))</f>
        <v>0</v>
      </c>
      <c r="D2" s="9" t="n">
        <f aca="false">SUMPRODUCT((Dados!$I$2:$I$5001=A2)*(Dados!$K$2:$K$5001=1)*(Dados!$L$2:$L$5001=1))</f>
        <v>0</v>
      </c>
      <c r="E2" s="9" t="n">
        <f aca="false">SUMPRODUCT((Dados!$I$2:$I$5001=A2)*(Dados!$D$2:$D$5001="Formalização")*(Dados!$E$2:$E$5001="Concluído")*(Dados!$L$2:$L$5001=1))</f>
        <v>0</v>
      </c>
    </row>
    <row r="3" customFormat="false" ht="15" hidden="false" customHeight="false" outlineLevel="0" collapsed="false">
      <c r="A3" s="18" t="n">
        <f aca="false">A2+1</f>
        <v>46236</v>
      </c>
      <c r="B3" s="9" t="n">
        <f aca="false">SUMPRODUCT((Dados!$I$2:$I$5001=A3)*(Dados!$J$2:$J$5001=1))</f>
        <v>0</v>
      </c>
      <c r="C3" s="9" t="n">
        <f aca="false">SUMPRODUCT((Dados!$I$2:$I$5001=A3)*(Dados!$M$2:$M$5001=1))</f>
        <v>0</v>
      </c>
      <c r="D3" s="9" t="n">
        <f aca="false">SUMPRODUCT((Dados!$I$2:$I$5001=A3)*(Dados!$K$2:$K$5001=1)*(Dados!$L$2:$L$5001=1))</f>
        <v>0</v>
      </c>
      <c r="E3" s="9" t="n">
        <f aca="false">SUMPRODUCT((Dados!$I$2:$I$5001=A3)*(Dados!$D$2:$D$5001="Formalização")*(Dados!$E$2:$E$5001="Concluído")*(Dados!$L$2:$L$5001=1))</f>
        <v>0</v>
      </c>
    </row>
    <row r="4" customFormat="false" ht="15" hidden="false" customHeight="false" outlineLevel="0" collapsed="false">
      <c r="A4" s="18" t="n">
        <f aca="false">A3+1</f>
        <v>46237</v>
      </c>
      <c r="B4" s="9" t="n">
        <f aca="false">SUMPRODUCT((Dados!$I$2:$I$5001=A4)*(Dados!$J$2:$J$5001=1))</f>
        <v>0</v>
      </c>
      <c r="C4" s="9" t="n">
        <f aca="false">SUMPRODUCT((Dados!$I$2:$I$5001=A4)*(Dados!$M$2:$M$5001=1))</f>
        <v>0</v>
      </c>
      <c r="D4" s="9" t="n">
        <f aca="false">SUMPRODUCT((Dados!$I$2:$I$5001=A4)*(Dados!$K$2:$K$5001=1)*(Dados!$L$2:$L$5001=1))</f>
        <v>0</v>
      </c>
      <c r="E4" s="9" t="n">
        <f aca="false">SUMPRODUCT((Dados!$I$2:$I$5001=A4)*(Dados!$D$2:$D$5001="Formalização")*(Dados!$E$2:$E$5001="Concluído")*(Dados!$L$2:$L$5001=1))</f>
        <v>0</v>
      </c>
    </row>
    <row r="5" customFormat="false" ht="15" hidden="false" customHeight="false" outlineLevel="0" collapsed="false">
      <c r="A5" s="18" t="n">
        <f aca="false">A4+1</f>
        <v>46238</v>
      </c>
      <c r="B5" s="9" t="n">
        <f aca="false">SUMPRODUCT((Dados!$I$2:$I$5001=A5)*(Dados!$J$2:$J$5001=1))</f>
        <v>0</v>
      </c>
      <c r="C5" s="9" t="n">
        <f aca="false">SUMPRODUCT((Dados!$I$2:$I$5001=A5)*(Dados!$M$2:$M$5001=1))</f>
        <v>0</v>
      </c>
      <c r="D5" s="9" t="n">
        <f aca="false">SUMPRODUCT((Dados!$I$2:$I$5001=A5)*(Dados!$K$2:$K$5001=1)*(Dados!$L$2:$L$5001=1))</f>
        <v>0</v>
      </c>
      <c r="E5" s="9" t="n">
        <f aca="false">SUMPRODUCT((Dados!$I$2:$I$5001=A5)*(Dados!$D$2:$D$5001="Formalização")*(Dados!$E$2:$E$5001="Concluído")*(Dados!$L$2:$L$5001=1))</f>
        <v>0</v>
      </c>
    </row>
    <row r="6" customFormat="false" ht="15" hidden="false" customHeight="false" outlineLevel="0" collapsed="false">
      <c r="A6" s="18" t="n">
        <f aca="false">A5+1</f>
        <v>46239</v>
      </c>
      <c r="B6" s="9" t="n">
        <f aca="false">SUMPRODUCT((Dados!$I$2:$I$5001=A6)*(Dados!$J$2:$J$5001=1))</f>
        <v>0</v>
      </c>
      <c r="C6" s="9" t="n">
        <f aca="false">SUMPRODUCT((Dados!$I$2:$I$5001=A6)*(Dados!$M$2:$M$5001=1))</f>
        <v>0</v>
      </c>
      <c r="D6" s="9" t="n">
        <f aca="false">SUMPRODUCT((Dados!$I$2:$I$5001=A6)*(Dados!$K$2:$K$5001=1)*(Dados!$L$2:$L$5001=1))</f>
        <v>0</v>
      </c>
      <c r="E6" s="9" t="n">
        <f aca="false">SUMPRODUCT((Dados!$I$2:$I$5001=A6)*(Dados!$D$2:$D$5001="Formalização")*(Dados!$E$2:$E$5001="Concluído")*(Dados!$L$2:$L$5001=1))</f>
        <v>0</v>
      </c>
    </row>
    <row r="7" customFormat="false" ht="15" hidden="false" customHeight="false" outlineLevel="0" collapsed="false">
      <c r="A7" s="18" t="n">
        <f aca="false">A6+1</f>
        <v>46240</v>
      </c>
      <c r="B7" s="9" t="n">
        <f aca="false">SUMPRODUCT((Dados!$I$2:$I$5001=A7)*(Dados!$J$2:$J$5001=1))</f>
        <v>0</v>
      </c>
      <c r="C7" s="9" t="n">
        <f aca="false">SUMPRODUCT((Dados!$I$2:$I$5001=A7)*(Dados!$M$2:$M$5001=1))</f>
        <v>0</v>
      </c>
      <c r="D7" s="9" t="n">
        <f aca="false">SUMPRODUCT((Dados!$I$2:$I$5001=A7)*(Dados!$K$2:$K$5001=1)*(Dados!$L$2:$L$5001=1))</f>
        <v>0</v>
      </c>
      <c r="E7" s="9" t="n">
        <f aca="false">SUMPRODUCT((Dados!$I$2:$I$5001=A7)*(Dados!$D$2:$D$5001="Formalização")*(Dados!$E$2:$E$5001="Concluído")*(Dados!$L$2:$L$5001=1))</f>
        <v>0</v>
      </c>
    </row>
    <row r="8" customFormat="false" ht="15" hidden="false" customHeight="false" outlineLevel="0" collapsed="false">
      <c r="A8" s="18" t="n">
        <f aca="false">A7+1</f>
        <v>46241</v>
      </c>
      <c r="B8" s="9" t="n">
        <f aca="false">SUMPRODUCT((Dados!$I$2:$I$5001=A8)*(Dados!$J$2:$J$5001=1))</f>
        <v>0</v>
      </c>
      <c r="C8" s="9" t="n">
        <f aca="false">SUMPRODUCT((Dados!$I$2:$I$5001=A8)*(Dados!$M$2:$M$5001=1))</f>
        <v>0</v>
      </c>
      <c r="D8" s="9" t="n">
        <f aca="false">SUMPRODUCT((Dados!$I$2:$I$5001=A8)*(Dados!$K$2:$K$5001=1)*(Dados!$L$2:$L$5001=1))</f>
        <v>0</v>
      </c>
      <c r="E8" s="9" t="n">
        <f aca="false">SUMPRODUCT((Dados!$I$2:$I$5001=A8)*(Dados!$D$2:$D$5001="Formalização")*(Dados!$E$2:$E$5001="Concluído")*(Dados!$L$2:$L$5001=1))</f>
        <v>0</v>
      </c>
    </row>
    <row r="9" customFormat="false" ht="15" hidden="false" customHeight="false" outlineLevel="0" collapsed="false">
      <c r="A9" s="18" t="n">
        <f aca="false">A8+1</f>
        <v>46242</v>
      </c>
      <c r="B9" s="9" t="n">
        <f aca="false">SUMPRODUCT((Dados!$I$2:$I$5001=A9)*(Dados!$J$2:$J$5001=1))</f>
        <v>0</v>
      </c>
      <c r="C9" s="9" t="n">
        <f aca="false">SUMPRODUCT((Dados!$I$2:$I$5001=A9)*(Dados!$M$2:$M$5001=1))</f>
        <v>0</v>
      </c>
      <c r="D9" s="9" t="n">
        <f aca="false">SUMPRODUCT((Dados!$I$2:$I$5001=A9)*(Dados!$K$2:$K$5001=1)*(Dados!$L$2:$L$5001=1))</f>
        <v>0</v>
      </c>
      <c r="E9" s="9" t="n">
        <f aca="false">SUMPRODUCT((Dados!$I$2:$I$5001=A9)*(Dados!$D$2:$D$5001="Formalização")*(Dados!$E$2:$E$5001="Concluído")*(Dados!$L$2:$L$5001=1))</f>
        <v>0</v>
      </c>
    </row>
    <row r="10" customFormat="false" ht="15" hidden="false" customHeight="false" outlineLevel="0" collapsed="false">
      <c r="A10" s="18" t="n">
        <f aca="false">A9+1</f>
        <v>46243</v>
      </c>
      <c r="B10" s="9" t="n">
        <f aca="false">SUMPRODUCT((Dados!$I$2:$I$5001=A10)*(Dados!$J$2:$J$5001=1))</f>
        <v>1</v>
      </c>
      <c r="C10" s="9" t="n">
        <f aca="false">SUMPRODUCT((Dados!$I$2:$I$5001=A10)*(Dados!$M$2:$M$5001=1))</f>
        <v>0</v>
      </c>
      <c r="D10" s="9" t="n">
        <f aca="false">SUMPRODUCT((Dados!$I$2:$I$5001=A10)*(Dados!$K$2:$K$5001=1)*(Dados!$L$2:$L$5001=1))</f>
        <v>0</v>
      </c>
      <c r="E10" s="9" t="n">
        <f aca="false">SUMPRODUCT((Dados!$I$2:$I$5001=A10)*(Dados!$D$2:$D$5001="Formalização")*(Dados!$E$2:$E$5001="Concluído")*(Dados!$L$2:$L$5001=1))</f>
        <v>0</v>
      </c>
    </row>
    <row r="11" customFormat="false" ht="15" hidden="false" customHeight="false" outlineLevel="0" collapsed="false">
      <c r="A11" s="18" t="n">
        <f aca="false">A10+1</f>
        <v>46244</v>
      </c>
      <c r="B11" s="9" t="n">
        <f aca="false">SUMPRODUCT((Dados!$I$2:$I$5001=A11)*(Dados!$J$2:$J$5001=1))</f>
        <v>0</v>
      </c>
      <c r="C11" s="9" t="n">
        <f aca="false">SUMPRODUCT((Dados!$I$2:$I$5001=A11)*(Dados!$M$2:$M$5001=1))</f>
        <v>1</v>
      </c>
      <c r="D11" s="9" t="n">
        <f aca="false">SUMPRODUCT((Dados!$I$2:$I$5001=A11)*(Dados!$K$2:$K$5001=1)*(Dados!$L$2:$L$5001=1))</f>
        <v>0</v>
      </c>
      <c r="E11" s="9" t="n">
        <f aca="false">SUMPRODUCT((Dados!$I$2:$I$5001=A11)*(Dados!$D$2:$D$5001="Formalização")*(Dados!$E$2:$E$5001="Concluído")*(Dados!$L$2:$L$5001=1))</f>
        <v>0</v>
      </c>
    </row>
    <row r="12" customFormat="false" ht="15" hidden="false" customHeight="false" outlineLevel="0" collapsed="false">
      <c r="A12" s="18" t="n">
        <f aca="false">A11+1</f>
        <v>46245</v>
      </c>
      <c r="B12" s="9" t="n">
        <f aca="false">SUMPRODUCT((Dados!$I$2:$I$5001=A12)*(Dados!$J$2:$J$5001=1))</f>
        <v>1</v>
      </c>
      <c r="C12" s="9" t="n">
        <f aca="false">SUMPRODUCT((Dados!$I$2:$I$5001=A12)*(Dados!$M$2:$M$5001=1))</f>
        <v>1</v>
      </c>
      <c r="D12" s="9" t="n">
        <f aca="false">SUMPRODUCT((Dados!$I$2:$I$5001=A12)*(Dados!$K$2:$K$5001=1)*(Dados!$L$2:$L$5001=1))</f>
        <v>0</v>
      </c>
      <c r="E12" s="9" t="n">
        <f aca="false">SUMPRODUCT((Dados!$I$2:$I$5001=A12)*(Dados!$D$2:$D$5001="Formalização")*(Dados!$E$2:$E$5001="Concluído")*(Dados!$L$2:$L$5001=1))</f>
        <v>0</v>
      </c>
    </row>
    <row r="13" customFormat="false" ht="15" hidden="false" customHeight="false" outlineLevel="0" collapsed="false">
      <c r="A13" s="18" t="n">
        <f aca="false">A12+1</f>
        <v>46246</v>
      </c>
      <c r="B13" s="9" t="n">
        <f aca="false">SUMPRODUCT((Dados!$I$2:$I$5001=A13)*(Dados!$J$2:$J$5001=1))</f>
        <v>0</v>
      </c>
      <c r="C13" s="9" t="n">
        <f aca="false">SUMPRODUCT((Dados!$I$2:$I$5001=A13)*(Dados!$M$2:$M$5001=1))</f>
        <v>0</v>
      </c>
      <c r="D13" s="9" t="n">
        <f aca="false">SUMPRODUCT((Dados!$I$2:$I$5001=A13)*(Dados!$K$2:$K$5001=1)*(Dados!$L$2:$L$5001=1))</f>
        <v>0</v>
      </c>
      <c r="E13" s="9" t="n">
        <f aca="false">SUMPRODUCT((Dados!$I$2:$I$5001=A13)*(Dados!$D$2:$D$5001="Formalização")*(Dados!$E$2:$E$5001="Concluído")*(Dados!$L$2:$L$5001=1))</f>
        <v>0</v>
      </c>
    </row>
    <row r="14" customFormat="false" ht="15" hidden="false" customHeight="false" outlineLevel="0" collapsed="false">
      <c r="A14" s="18" t="n">
        <f aca="false">A13+1</f>
        <v>46247</v>
      </c>
      <c r="B14" s="9" t="n">
        <f aca="false">SUMPRODUCT((Dados!$I$2:$I$5001=A14)*(Dados!$J$2:$J$5001=1))</f>
        <v>0</v>
      </c>
      <c r="C14" s="9" t="n">
        <f aca="false">SUMPRODUCT((Dados!$I$2:$I$5001=A14)*(Dados!$M$2:$M$5001=1))</f>
        <v>0</v>
      </c>
      <c r="D14" s="9" t="n">
        <f aca="false">SUMPRODUCT((Dados!$I$2:$I$5001=A14)*(Dados!$K$2:$K$5001=1)*(Dados!$L$2:$L$5001=1))</f>
        <v>0</v>
      </c>
      <c r="E14" s="9" t="n">
        <f aca="false">SUMPRODUCT((Dados!$I$2:$I$5001=A14)*(Dados!$D$2:$D$5001="Formalização")*(Dados!$E$2:$E$5001="Concluído")*(Dados!$L$2:$L$5001=1))</f>
        <v>0</v>
      </c>
    </row>
    <row r="15" customFormat="false" ht="15" hidden="false" customHeight="false" outlineLevel="0" collapsed="false">
      <c r="A15" s="18" t="n">
        <f aca="false">A14+1</f>
        <v>46248</v>
      </c>
      <c r="B15" s="9" t="n">
        <f aca="false">SUMPRODUCT((Dados!$I$2:$I$5001=A15)*(Dados!$J$2:$J$5001=1))</f>
        <v>1</v>
      </c>
      <c r="C15" s="9" t="n">
        <f aca="false">SUMPRODUCT((Dados!$I$2:$I$5001=A15)*(Dados!$M$2:$M$5001=1))</f>
        <v>1</v>
      </c>
      <c r="D15" s="9" t="n">
        <f aca="false">SUMPRODUCT((Dados!$I$2:$I$5001=A15)*(Dados!$K$2:$K$5001=1)*(Dados!$L$2:$L$5001=1))</f>
        <v>0</v>
      </c>
      <c r="E15" s="9" t="n">
        <f aca="false">SUMPRODUCT((Dados!$I$2:$I$5001=A15)*(Dados!$D$2:$D$5001="Formalização")*(Dados!$E$2:$E$5001="Concluído")*(Dados!$L$2:$L$5001=1))</f>
        <v>0</v>
      </c>
    </row>
    <row r="16" customFormat="false" ht="15" hidden="false" customHeight="false" outlineLevel="0" collapsed="false">
      <c r="A16" s="18" t="n">
        <f aca="false">A15+1</f>
        <v>46249</v>
      </c>
      <c r="B16" s="9" t="n">
        <f aca="false">SUMPRODUCT((Dados!$I$2:$I$5001=A16)*(Dados!$J$2:$J$5001=1))</f>
        <v>1</v>
      </c>
      <c r="C16" s="9" t="n">
        <f aca="false">SUMPRODUCT((Dados!$I$2:$I$5001=A16)*(Dados!$M$2:$M$5001=1))</f>
        <v>0</v>
      </c>
      <c r="D16" s="9" t="n">
        <f aca="false">SUMPRODUCT((Dados!$I$2:$I$5001=A16)*(Dados!$K$2:$K$5001=1)*(Dados!$L$2:$L$5001=1))</f>
        <v>1</v>
      </c>
      <c r="E16" s="9" t="n">
        <f aca="false">SUMPRODUCT((Dados!$I$2:$I$5001=A16)*(Dados!$D$2:$D$5001="Formalização")*(Dados!$E$2:$E$5001="Concluído")*(Dados!$L$2:$L$5001=1))</f>
        <v>1</v>
      </c>
    </row>
    <row r="17" customFormat="false" ht="15" hidden="false" customHeight="false" outlineLevel="0" collapsed="false">
      <c r="A17" s="18" t="n">
        <f aca="false">A16+1</f>
        <v>46250</v>
      </c>
      <c r="B17" s="9" t="n">
        <f aca="false">SUMPRODUCT((Dados!$I$2:$I$5001=A17)*(Dados!$J$2:$J$5001=1))</f>
        <v>0</v>
      </c>
      <c r="C17" s="9" t="n">
        <f aca="false">SUMPRODUCT((Dados!$I$2:$I$5001=A17)*(Dados!$M$2:$M$5001=1))</f>
        <v>0</v>
      </c>
      <c r="D17" s="9" t="n">
        <f aca="false">SUMPRODUCT((Dados!$I$2:$I$5001=A17)*(Dados!$K$2:$K$5001=1)*(Dados!$L$2:$L$5001=1))</f>
        <v>1</v>
      </c>
      <c r="E17" s="9" t="n">
        <f aca="false">SUMPRODUCT((Dados!$I$2:$I$5001=A17)*(Dados!$D$2:$D$5001="Formalização")*(Dados!$E$2:$E$5001="Concluído")*(Dados!$L$2:$L$5001=1))</f>
        <v>1</v>
      </c>
    </row>
    <row r="18" customFormat="false" ht="15" hidden="false" customHeight="false" outlineLevel="0" collapsed="false">
      <c r="A18" s="18" t="n">
        <f aca="false">A17+1</f>
        <v>46251</v>
      </c>
      <c r="B18" s="9" t="n">
        <f aca="false">SUMPRODUCT((Dados!$I$2:$I$5001=A18)*(Dados!$J$2:$J$5001=1))</f>
        <v>3</v>
      </c>
      <c r="C18" s="9" t="n">
        <f aca="false">SUMPRODUCT((Dados!$I$2:$I$5001=A18)*(Dados!$M$2:$M$5001=1))</f>
        <v>2</v>
      </c>
      <c r="D18" s="9" t="n">
        <f aca="false">SUMPRODUCT((Dados!$I$2:$I$5001=A18)*(Dados!$K$2:$K$5001=1)*(Dados!$L$2:$L$5001=1))</f>
        <v>0</v>
      </c>
      <c r="E18" s="9" t="n">
        <f aca="false">SUMPRODUCT((Dados!$I$2:$I$5001=A18)*(Dados!$D$2:$D$5001="Formalização")*(Dados!$E$2:$E$5001="Concluído")*(Dados!$L$2:$L$5001=1))</f>
        <v>0</v>
      </c>
    </row>
    <row r="19" customFormat="false" ht="15" hidden="false" customHeight="false" outlineLevel="0" collapsed="false">
      <c r="A19" s="18" t="n">
        <f aca="false">A18+1</f>
        <v>46252</v>
      </c>
      <c r="B19" s="9" t="n">
        <f aca="false">SUMPRODUCT((Dados!$I$2:$I$5001=A19)*(Dados!$J$2:$J$5001=1))</f>
        <v>0</v>
      </c>
      <c r="C19" s="9" t="n">
        <f aca="false">SUMPRODUCT((Dados!$I$2:$I$5001=A19)*(Dados!$M$2:$M$5001=1))</f>
        <v>0</v>
      </c>
      <c r="D19" s="9" t="n">
        <f aca="false">SUMPRODUCT((Dados!$I$2:$I$5001=A19)*(Dados!$K$2:$K$5001=1)*(Dados!$L$2:$L$5001=1))</f>
        <v>0</v>
      </c>
      <c r="E19" s="9" t="n">
        <f aca="false">SUMPRODUCT((Dados!$I$2:$I$5001=A19)*(Dados!$D$2:$D$5001="Formalização")*(Dados!$E$2:$E$5001="Concluído")*(Dados!$L$2:$L$5001=1))</f>
        <v>0</v>
      </c>
    </row>
    <row r="20" customFormat="false" ht="15" hidden="false" customHeight="false" outlineLevel="0" collapsed="false">
      <c r="A20" s="18" t="n">
        <f aca="false">A19+1</f>
        <v>46253</v>
      </c>
      <c r="B20" s="9" t="n">
        <f aca="false">SUMPRODUCT((Dados!$I$2:$I$5001=A20)*(Dados!$J$2:$J$5001=1))</f>
        <v>0</v>
      </c>
      <c r="C20" s="9" t="n">
        <f aca="false">SUMPRODUCT((Dados!$I$2:$I$5001=A20)*(Dados!$M$2:$M$5001=1))</f>
        <v>0</v>
      </c>
      <c r="D20" s="9" t="n">
        <f aca="false">SUMPRODUCT((Dados!$I$2:$I$5001=A20)*(Dados!$K$2:$K$5001=1)*(Dados!$L$2:$L$5001=1))</f>
        <v>0</v>
      </c>
      <c r="E20" s="9" t="n">
        <f aca="false">SUMPRODUCT((Dados!$I$2:$I$5001=A20)*(Dados!$D$2:$D$5001="Formalização")*(Dados!$E$2:$E$5001="Concluído")*(Dados!$L$2:$L$5001=1))</f>
        <v>0</v>
      </c>
    </row>
    <row r="21" customFormat="false" ht="15" hidden="false" customHeight="false" outlineLevel="0" collapsed="false">
      <c r="A21" s="18" t="n">
        <f aca="false">A20+1</f>
        <v>46254</v>
      </c>
      <c r="B21" s="9" t="n">
        <f aca="false">SUMPRODUCT((Dados!$I$2:$I$5001=A21)*(Dados!$J$2:$J$5001=1))</f>
        <v>0</v>
      </c>
      <c r="C21" s="9" t="n">
        <f aca="false">SUMPRODUCT((Dados!$I$2:$I$5001=A21)*(Dados!$M$2:$M$5001=1))</f>
        <v>0</v>
      </c>
      <c r="D21" s="9" t="n">
        <f aca="false">SUMPRODUCT((Dados!$I$2:$I$5001=A21)*(Dados!$K$2:$K$5001=1)*(Dados!$L$2:$L$5001=1))</f>
        <v>0</v>
      </c>
      <c r="E21" s="9" t="n">
        <f aca="false">SUMPRODUCT((Dados!$I$2:$I$5001=A21)*(Dados!$D$2:$D$5001="Formalização")*(Dados!$E$2:$E$5001="Concluído")*(Dados!$L$2:$L$5001=1))</f>
        <v>0</v>
      </c>
    </row>
    <row r="22" customFormat="false" ht="15" hidden="false" customHeight="false" outlineLevel="0" collapsed="false">
      <c r="A22" s="18" t="n">
        <f aca="false">A21+1</f>
        <v>46255</v>
      </c>
      <c r="B22" s="9" t="n">
        <f aca="false">SUMPRODUCT((Dados!$I$2:$I$5001=A22)*(Dados!$J$2:$J$5001=1))</f>
        <v>0</v>
      </c>
      <c r="C22" s="9" t="n">
        <f aca="false">SUMPRODUCT((Dados!$I$2:$I$5001=A22)*(Dados!$M$2:$M$5001=1))</f>
        <v>0</v>
      </c>
      <c r="D22" s="9" t="n">
        <f aca="false">SUMPRODUCT((Dados!$I$2:$I$5001=A22)*(Dados!$K$2:$K$5001=1)*(Dados!$L$2:$L$5001=1))</f>
        <v>0</v>
      </c>
      <c r="E22" s="9" t="n">
        <f aca="false">SUMPRODUCT((Dados!$I$2:$I$5001=A22)*(Dados!$D$2:$D$5001="Formalização")*(Dados!$E$2:$E$5001="Concluído")*(Dados!$L$2:$L$5001=1))</f>
        <v>0</v>
      </c>
    </row>
    <row r="23" customFormat="false" ht="15" hidden="false" customHeight="false" outlineLevel="0" collapsed="false">
      <c r="A23" s="18" t="n">
        <f aca="false">A22+1</f>
        <v>46256</v>
      </c>
      <c r="B23" s="9" t="n">
        <f aca="false">SUMPRODUCT((Dados!$I$2:$I$5001=A23)*(Dados!$J$2:$J$5001=1))</f>
        <v>0</v>
      </c>
      <c r="C23" s="9" t="n">
        <f aca="false">SUMPRODUCT((Dados!$I$2:$I$5001=A23)*(Dados!$M$2:$M$5001=1))</f>
        <v>0</v>
      </c>
      <c r="D23" s="9" t="n">
        <f aca="false">SUMPRODUCT((Dados!$I$2:$I$5001=A23)*(Dados!$K$2:$K$5001=1)*(Dados!$L$2:$L$5001=1))</f>
        <v>0</v>
      </c>
      <c r="E23" s="9" t="n">
        <f aca="false">SUMPRODUCT((Dados!$I$2:$I$5001=A23)*(Dados!$D$2:$D$5001="Formalização")*(Dados!$E$2:$E$5001="Concluído")*(Dados!$L$2:$L$5001=1))</f>
        <v>0</v>
      </c>
    </row>
    <row r="24" customFormat="false" ht="15" hidden="false" customHeight="false" outlineLevel="0" collapsed="false">
      <c r="A24" s="18" t="n">
        <f aca="false">A23+1</f>
        <v>46257</v>
      </c>
      <c r="B24" s="9" t="n">
        <f aca="false">SUMPRODUCT((Dados!$I$2:$I$5001=A24)*(Dados!$J$2:$J$5001=1))</f>
        <v>0</v>
      </c>
      <c r="C24" s="9" t="n">
        <f aca="false">SUMPRODUCT((Dados!$I$2:$I$5001=A24)*(Dados!$M$2:$M$5001=1))</f>
        <v>0</v>
      </c>
      <c r="D24" s="9" t="n">
        <f aca="false">SUMPRODUCT((Dados!$I$2:$I$5001=A24)*(Dados!$K$2:$K$5001=1)*(Dados!$L$2:$L$5001=1))</f>
        <v>0</v>
      </c>
      <c r="E24" s="9" t="n">
        <f aca="false">SUMPRODUCT((Dados!$I$2:$I$5001=A24)*(Dados!$D$2:$D$5001="Formalização")*(Dados!$E$2:$E$5001="Concluído")*(Dados!$L$2:$L$5001=1))</f>
        <v>0</v>
      </c>
    </row>
    <row r="25" customFormat="false" ht="15" hidden="false" customHeight="false" outlineLevel="0" collapsed="false">
      <c r="A25" s="18" t="n">
        <f aca="false">A24+1</f>
        <v>46258</v>
      </c>
      <c r="B25" s="9" t="n">
        <f aca="false">SUMPRODUCT((Dados!$I$2:$I$5001=A25)*(Dados!$J$2:$J$5001=1))</f>
        <v>0</v>
      </c>
      <c r="C25" s="9" t="n">
        <f aca="false">SUMPRODUCT((Dados!$I$2:$I$5001=A25)*(Dados!$M$2:$M$5001=1))</f>
        <v>0</v>
      </c>
      <c r="D25" s="9" t="n">
        <f aca="false">SUMPRODUCT((Dados!$I$2:$I$5001=A25)*(Dados!$K$2:$K$5001=1)*(Dados!$L$2:$L$5001=1))</f>
        <v>0</v>
      </c>
      <c r="E25" s="9" t="n">
        <f aca="false">SUMPRODUCT((Dados!$I$2:$I$5001=A25)*(Dados!$D$2:$D$5001="Formalização")*(Dados!$E$2:$E$5001="Concluído")*(Dados!$L$2:$L$5001=1))</f>
        <v>0</v>
      </c>
    </row>
    <row r="26" customFormat="false" ht="15" hidden="false" customHeight="false" outlineLevel="0" collapsed="false">
      <c r="A26" s="18" t="n">
        <f aca="false">A25+1</f>
        <v>46259</v>
      </c>
      <c r="B26" s="9" t="n">
        <f aca="false">SUMPRODUCT((Dados!$I$2:$I$5001=A26)*(Dados!$J$2:$J$5001=1))</f>
        <v>0</v>
      </c>
      <c r="C26" s="9" t="n">
        <f aca="false">SUMPRODUCT((Dados!$I$2:$I$5001=A26)*(Dados!$M$2:$M$5001=1))</f>
        <v>0</v>
      </c>
      <c r="D26" s="9" t="n">
        <f aca="false">SUMPRODUCT((Dados!$I$2:$I$5001=A26)*(Dados!$K$2:$K$5001=1)*(Dados!$L$2:$L$5001=1))</f>
        <v>0</v>
      </c>
      <c r="E26" s="9" t="n">
        <f aca="false">SUMPRODUCT((Dados!$I$2:$I$5001=A26)*(Dados!$D$2:$D$5001="Formalização")*(Dados!$E$2:$E$5001="Concluído")*(Dados!$L$2:$L$5001=1))</f>
        <v>0</v>
      </c>
    </row>
    <row r="27" customFormat="false" ht="15" hidden="false" customHeight="false" outlineLevel="0" collapsed="false">
      <c r="A27" s="18" t="n">
        <f aca="false">A26+1</f>
        <v>46260</v>
      </c>
      <c r="B27" s="9" t="n">
        <f aca="false">SUMPRODUCT((Dados!$I$2:$I$5001=A27)*(Dados!$J$2:$J$5001=1))</f>
        <v>0</v>
      </c>
      <c r="C27" s="9" t="n">
        <f aca="false">SUMPRODUCT((Dados!$I$2:$I$5001=A27)*(Dados!$M$2:$M$5001=1))</f>
        <v>0</v>
      </c>
      <c r="D27" s="9" t="n">
        <f aca="false">SUMPRODUCT((Dados!$I$2:$I$5001=A27)*(Dados!$K$2:$K$5001=1)*(Dados!$L$2:$L$5001=1))</f>
        <v>0</v>
      </c>
      <c r="E27" s="9" t="n">
        <f aca="false">SUMPRODUCT((Dados!$I$2:$I$5001=A27)*(Dados!$D$2:$D$5001="Formalização")*(Dados!$E$2:$E$5001="Concluído")*(Dados!$L$2:$L$5001=1))</f>
        <v>0</v>
      </c>
    </row>
    <row r="28" customFormat="false" ht="15" hidden="false" customHeight="false" outlineLevel="0" collapsed="false">
      <c r="A28" s="18" t="n">
        <f aca="false">A27+1</f>
        <v>46261</v>
      </c>
      <c r="B28" s="9" t="n">
        <f aca="false">SUMPRODUCT((Dados!$I$2:$I$5001=A28)*(Dados!$J$2:$J$5001=1))</f>
        <v>0</v>
      </c>
      <c r="C28" s="9" t="n">
        <f aca="false">SUMPRODUCT((Dados!$I$2:$I$5001=A28)*(Dados!$M$2:$M$5001=1))</f>
        <v>0</v>
      </c>
      <c r="D28" s="9" t="n">
        <f aca="false">SUMPRODUCT((Dados!$I$2:$I$5001=A28)*(Dados!$K$2:$K$5001=1)*(Dados!$L$2:$L$5001=1))</f>
        <v>0</v>
      </c>
      <c r="E28" s="9" t="n">
        <f aca="false">SUMPRODUCT((Dados!$I$2:$I$5001=A28)*(Dados!$D$2:$D$5001="Formalização")*(Dados!$E$2:$E$5001="Concluído")*(Dados!$L$2:$L$5001=1))</f>
        <v>0</v>
      </c>
    </row>
    <row r="29" customFormat="false" ht="15" hidden="false" customHeight="false" outlineLevel="0" collapsed="false">
      <c r="A29" s="18" t="n">
        <f aca="false">A28+1</f>
        <v>46262</v>
      </c>
      <c r="B29" s="9" t="n">
        <f aca="false">SUMPRODUCT((Dados!$I$2:$I$5001=A29)*(Dados!$J$2:$J$5001=1))</f>
        <v>0</v>
      </c>
      <c r="C29" s="9" t="n">
        <f aca="false">SUMPRODUCT((Dados!$I$2:$I$5001=A29)*(Dados!$M$2:$M$5001=1))</f>
        <v>0</v>
      </c>
      <c r="D29" s="9" t="n">
        <f aca="false">SUMPRODUCT((Dados!$I$2:$I$5001=A29)*(Dados!$K$2:$K$5001=1)*(Dados!$L$2:$L$5001=1))</f>
        <v>0</v>
      </c>
      <c r="E29" s="9" t="n">
        <f aca="false">SUMPRODUCT((Dados!$I$2:$I$5001=A29)*(Dados!$D$2:$D$5001="Formalização")*(Dados!$E$2:$E$5001="Concluído")*(Dados!$L$2:$L$5001=1))</f>
        <v>0</v>
      </c>
    </row>
    <row r="30" customFormat="false" ht="15" hidden="false" customHeight="false" outlineLevel="0" collapsed="false">
      <c r="A30" s="18" t="n">
        <f aca="false">A29+1</f>
        <v>46263</v>
      </c>
      <c r="B30" s="9" t="n">
        <f aca="false">SUMPRODUCT((Dados!$I$2:$I$5001=A30)*(Dados!$J$2:$J$5001=1))</f>
        <v>0</v>
      </c>
      <c r="C30" s="9" t="n">
        <f aca="false">SUMPRODUCT((Dados!$I$2:$I$5001=A30)*(Dados!$M$2:$M$5001=1))</f>
        <v>0</v>
      </c>
      <c r="D30" s="9" t="n">
        <f aca="false">SUMPRODUCT((Dados!$I$2:$I$5001=A30)*(Dados!$K$2:$K$5001=1)*(Dados!$L$2:$L$5001=1))</f>
        <v>0</v>
      </c>
      <c r="E30" s="9" t="n">
        <f aca="false">SUMPRODUCT((Dados!$I$2:$I$5001=A30)*(Dados!$D$2:$D$5001="Formalização")*(Dados!$E$2:$E$5001="Concluído")*(Dados!$L$2:$L$5001=1))</f>
        <v>0</v>
      </c>
    </row>
    <row r="31" customFormat="false" ht="15" hidden="false" customHeight="false" outlineLevel="0" collapsed="false">
      <c r="A31" s="18" t="n">
        <f aca="false">A30+1</f>
        <v>46264</v>
      </c>
      <c r="B31" s="9" t="n">
        <f aca="false">SUMPRODUCT((Dados!$I$2:$I$5001=A31)*(Dados!$J$2:$J$5001=1))</f>
        <v>0</v>
      </c>
      <c r="C31" s="9" t="n">
        <f aca="false">SUMPRODUCT((Dados!$I$2:$I$5001=A31)*(Dados!$M$2:$M$5001=1))</f>
        <v>0</v>
      </c>
      <c r="D31" s="9" t="n">
        <f aca="false">SUMPRODUCT((Dados!$I$2:$I$5001=A31)*(Dados!$K$2:$K$5001=1)*(Dados!$L$2:$L$5001=1))</f>
        <v>0</v>
      </c>
      <c r="E31" s="9" t="n">
        <f aca="false">SUMPRODUCT((Dados!$I$2:$I$5001=A31)*(Dados!$D$2:$D$5001="Formalização")*(Dados!$E$2:$E$5001="Concluído")*(Dados!$L$2:$L$5001=1))</f>
        <v>0</v>
      </c>
    </row>
    <row r="32" customFormat="false" ht="15" hidden="false" customHeight="false" outlineLevel="0" collapsed="false">
      <c r="A32" s="18" t="n">
        <f aca="false">A31+1</f>
        <v>46265</v>
      </c>
      <c r="B32" s="9" t="n">
        <f aca="false">SUMPRODUCT((Dados!$I$2:$I$5001=A32)*(Dados!$J$2:$J$5001=1))</f>
        <v>0</v>
      </c>
      <c r="C32" s="9" t="n">
        <f aca="false">SUMPRODUCT((Dados!$I$2:$I$5001=A32)*(Dados!$M$2:$M$5001=1))</f>
        <v>0</v>
      </c>
      <c r="D32" s="9" t="n">
        <f aca="false">SUMPRODUCT((Dados!$I$2:$I$5001=A32)*(Dados!$K$2:$K$5001=1)*(Dados!$L$2:$L$5001=1))</f>
        <v>0</v>
      </c>
      <c r="E32" s="9" t="n">
        <f aca="false">SUMPRODUCT((Dados!$I$2:$I$5001=A32)*(Dados!$D$2:$D$5001="Formalização")*(Dados!$E$2:$E$5001="Concluído")*(Dados!$L$2:$L$5001=1))</f>
        <v>0</v>
      </c>
    </row>
    <row r="33" customFormat="false" ht="15" hidden="false" customHeight="false" outlineLevel="0" collapsed="false">
      <c r="A33" s="18" t="n">
        <f aca="false">A32+1</f>
        <v>46266</v>
      </c>
      <c r="B33" s="9" t="n">
        <f aca="false">SUMPRODUCT((Dados!$I$2:$I$5001=A33)*(Dados!$J$2:$J$5001=1))</f>
        <v>0</v>
      </c>
      <c r="C33" s="9" t="n">
        <f aca="false">SUMPRODUCT((Dados!$I$2:$I$5001=A33)*(Dados!$M$2:$M$5001=1))</f>
        <v>0</v>
      </c>
      <c r="D33" s="9" t="n">
        <f aca="false">SUMPRODUCT((Dados!$I$2:$I$5001=A33)*(Dados!$K$2:$K$5001=1)*(Dados!$L$2:$L$5001=1))</f>
        <v>0</v>
      </c>
      <c r="E33" s="9" t="n">
        <f aca="false">SUMPRODUCT((Dados!$I$2:$I$5001=A33)*(Dados!$D$2:$D$5001="Formalização")*(Dados!$E$2:$E$5001="Concluído")*(Dados!$L$2:$L$5001=1))</f>
        <v>0</v>
      </c>
    </row>
    <row r="34" customFormat="false" ht="15" hidden="false" customHeight="false" outlineLevel="0" collapsed="false">
      <c r="A34" s="18" t="n">
        <f aca="false">A33+1</f>
        <v>46267</v>
      </c>
      <c r="B34" s="9" t="n">
        <f aca="false">SUMPRODUCT((Dados!$I$2:$I$5001=A34)*(Dados!$J$2:$J$5001=1))</f>
        <v>0</v>
      </c>
      <c r="C34" s="9" t="n">
        <f aca="false">SUMPRODUCT((Dados!$I$2:$I$5001=A34)*(Dados!$M$2:$M$5001=1))</f>
        <v>0</v>
      </c>
      <c r="D34" s="9" t="n">
        <f aca="false">SUMPRODUCT((Dados!$I$2:$I$5001=A34)*(Dados!$K$2:$K$5001=1)*(Dados!$L$2:$L$5001=1))</f>
        <v>0</v>
      </c>
      <c r="E34" s="9" t="n">
        <f aca="false">SUMPRODUCT((Dados!$I$2:$I$5001=A34)*(Dados!$D$2:$D$5001="Formalização")*(Dados!$E$2:$E$5001="Concluído")*(Dados!$L$2:$L$5001=1))</f>
        <v>0</v>
      </c>
    </row>
    <row r="35" customFormat="false" ht="15" hidden="false" customHeight="false" outlineLevel="0" collapsed="false">
      <c r="A35" s="18" t="n">
        <f aca="false">A34+1</f>
        <v>46268</v>
      </c>
      <c r="B35" s="9" t="n">
        <f aca="false">SUMPRODUCT((Dados!$I$2:$I$5001=A35)*(Dados!$J$2:$J$5001=1))</f>
        <v>0</v>
      </c>
      <c r="C35" s="9" t="n">
        <f aca="false">SUMPRODUCT((Dados!$I$2:$I$5001=A35)*(Dados!$M$2:$M$5001=1))</f>
        <v>0</v>
      </c>
      <c r="D35" s="9" t="n">
        <f aca="false">SUMPRODUCT((Dados!$I$2:$I$5001=A35)*(Dados!$K$2:$K$5001=1)*(Dados!$L$2:$L$5001=1))</f>
        <v>0</v>
      </c>
      <c r="E35" s="9" t="n">
        <f aca="false">SUMPRODUCT((Dados!$I$2:$I$5001=A35)*(Dados!$D$2:$D$5001="Formalização")*(Dados!$E$2:$E$5001="Concluído")*(Dados!$L$2:$L$5001=1))</f>
        <v>0</v>
      </c>
    </row>
    <row r="36" customFormat="false" ht="15" hidden="false" customHeight="false" outlineLevel="0" collapsed="false">
      <c r="A36" s="18" t="n">
        <f aca="false">A35+1</f>
        <v>46269</v>
      </c>
      <c r="B36" s="9" t="n">
        <f aca="false">SUMPRODUCT((Dados!$I$2:$I$5001=A36)*(Dados!$J$2:$J$5001=1))</f>
        <v>0</v>
      </c>
      <c r="C36" s="9" t="n">
        <f aca="false">SUMPRODUCT((Dados!$I$2:$I$5001=A36)*(Dados!$M$2:$M$5001=1))</f>
        <v>0</v>
      </c>
      <c r="D36" s="9" t="n">
        <f aca="false">SUMPRODUCT((Dados!$I$2:$I$5001=A36)*(Dados!$K$2:$K$5001=1)*(Dados!$L$2:$L$5001=1))</f>
        <v>0</v>
      </c>
      <c r="E36" s="9" t="n">
        <f aca="false">SUMPRODUCT((Dados!$I$2:$I$5001=A36)*(Dados!$D$2:$D$5001="Formalização")*(Dados!$E$2:$E$5001="Concluído")*(Dados!$L$2:$L$5001=1))</f>
        <v>0</v>
      </c>
    </row>
    <row r="37" customFormat="false" ht="15" hidden="false" customHeight="false" outlineLevel="0" collapsed="false">
      <c r="A37" s="18" t="n">
        <f aca="false">A36+1</f>
        <v>46270</v>
      </c>
      <c r="B37" s="9" t="n">
        <f aca="false">SUMPRODUCT((Dados!$I$2:$I$5001=A37)*(Dados!$J$2:$J$5001=1))</f>
        <v>0</v>
      </c>
      <c r="C37" s="9" t="n">
        <f aca="false">SUMPRODUCT((Dados!$I$2:$I$5001=A37)*(Dados!$M$2:$M$5001=1))</f>
        <v>0</v>
      </c>
      <c r="D37" s="9" t="n">
        <f aca="false">SUMPRODUCT((Dados!$I$2:$I$5001=A37)*(Dados!$K$2:$K$5001=1)*(Dados!$L$2:$L$5001=1))</f>
        <v>0</v>
      </c>
      <c r="E37" s="9" t="n">
        <f aca="false">SUMPRODUCT((Dados!$I$2:$I$5001=A37)*(Dados!$D$2:$D$5001="Formalização")*(Dados!$E$2:$E$5001="Concluído")*(Dados!$L$2:$L$5001=1))</f>
        <v>0</v>
      </c>
    </row>
    <row r="38" customFormat="false" ht="15" hidden="false" customHeight="false" outlineLevel="0" collapsed="false">
      <c r="A38" s="18" t="n">
        <f aca="false">A37+1</f>
        <v>46271</v>
      </c>
      <c r="B38" s="9" t="n">
        <f aca="false">SUMPRODUCT((Dados!$I$2:$I$5001=A38)*(Dados!$J$2:$J$5001=1))</f>
        <v>0</v>
      </c>
      <c r="C38" s="9" t="n">
        <f aca="false">SUMPRODUCT((Dados!$I$2:$I$5001=A38)*(Dados!$M$2:$M$5001=1))</f>
        <v>0</v>
      </c>
      <c r="D38" s="9" t="n">
        <f aca="false">SUMPRODUCT((Dados!$I$2:$I$5001=A38)*(Dados!$K$2:$K$5001=1)*(Dados!$L$2:$L$5001=1))</f>
        <v>0</v>
      </c>
      <c r="E38" s="9" t="n">
        <f aca="false">SUMPRODUCT((Dados!$I$2:$I$5001=A38)*(Dados!$D$2:$D$5001="Formalização")*(Dados!$E$2:$E$5001="Concluído")*(Dados!$L$2:$L$5001=1))</f>
        <v>0</v>
      </c>
    </row>
    <row r="39" customFormat="false" ht="15" hidden="false" customHeight="false" outlineLevel="0" collapsed="false">
      <c r="A39" s="18" t="n">
        <f aca="false">A38+1</f>
        <v>46272</v>
      </c>
      <c r="B39" s="9" t="n">
        <f aca="false">SUMPRODUCT((Dados!$I$2:$I$5001=A39)*(Dados!$J$2:$J$5001=1))</f>
        <v>0</v>
      </c>
      <c r="C39" s="9" t="n">
        <f aca="false">SUMPRODUCT((Dados!$I$2:$I$5001=A39)*(Dados!$M$2:$M$5001=1))</f>
        <v>0</v>
      </c>
      <c r="D39" s="9" t="n">
        <f aca="false">SUMPRODUCT((Dados!$I$2:$I$5001=A39)*(Dados!$K$2:$K$5001=1)*(Dados!$L$2:$L$5001=1))</f>
        <v>0</v>
      </c>
      <c r="E39" s="9" t="n">
        <f aca="false">SUMPRODUCT((Dados!$I$2:$I$5001=A39)*(Dados!$D$2:$D$5001="Formalização")*(Dados!$E$2:$E$5001="Concluído")*(Dados!$L$2:$L$5001=1))</f>
        <v>0</v>
      </c>
    </row>
    <row r="40" customFormat="false" ht="15" hidden="false" customHeight="false" outlineLevel="0" collapsed="false">
      <c r="A40" s="18" t="n">
        <f aca="false">A39+1</f>
        <v>46273</v>
      </c>
      <c r="B40" s="9" t="n">
        <f aca="false">SUMPRODUCT((Dados!$I$2:$I$5001=A40)*(Dados!$J$2:$J$5001=1))</f>
        <v>0</v>
      </c>
      <c r="C40" s="9" t="n">
        <f aca="false">SUMPRODUCT((Dados!$I$2:$I$5001=A40)*(Dados!$M$2:$M$5001=1))</f>
        <v>0</v>
      </c>
      <c r="D40" s="9" t="n">
        <f aca="false">SUMPRODUCT((Dados!$I$2:$I$5001=A40)*(Dados!$K$2:$K$5001=1)*(Dados!$L$2:$L$5001=1))</f>
        <v>0</v>
      </c>
      <c r="E40" s="9" t="n">
        <f aca="false">SUMPRODUCT((Dados!$I$2:$I$5001=A40)*(Dados!$D$2:$D$5001="Formalização")*(Dados!$E$2:$E$5001="Concluído")*(Dados!$L$2:$L$5001=1))</f>
        <v>0</v>
      </c>
    </row>
    <row r="41" customFormat="false" ht="15" hidden="false" customHeight="false" outlineLevel="0" collapsed="false">
      <c r="A41" s="18" t="n">
        <f aca="false">A40+1</f>
        <v>46274</v>
      </c>
      <c r="B41" s="9" t="n">
        <f aca="false">SUMPRODUCT((Dados!$I$2:$I$5001=A41)*(Dados!$J$2:$J$5001=1))</f>
        <v>0</v>
      </c>
      <c r="C41" s="9" t="n">
        <f aca="false">SUMPRODUCT((Dados!$I$2:$I$5001=A41)*(Dados!$M$2:$M$5001=1))</f>
        <v>0</v>
      </c>
      <c r="D41" s="9" t="n">
        <f aca="false">SUMPRODUCT((Dados!$I$2:$I$5001=A41)*(Dados!$K$2:$K$5001=1)*(Dados!$L$2:$L$5001=1))</f>
        <v>0</v>
      </c>
      <c r="E41" s="9" t="n">
        <f aca="false">SUMPRODUCT((Dados!$I$2:$I$5001=A41)*(Dados!$D$2:$D$5001="Formalização")*(Dados!$E$2:$E$5001="Concluído")*(Dados!$L$2:$L$5001=1))</f>
        <v>0</v>
      </c>
    </row>
    <row r="42" customFormat="false" ht="15" hidden="false" customHeight="false" outlineLevel="0" collapsed="false">
      <c r="A42" s="18" t="n">
        <f aca="false">A41+1</f>
        <v>46275</v>
      </c>
      <c r="B42" s="9" t="n">
        <f aca="false">SUMPRODUCT((Dados!$I$2:$I$5001=A42)*(Dados!$J$2:$J$5001=1))</f>
        <v>0</v>
      </c>
      <c r="C42" s="9" t="n">
        <f aca="false">SUMPRODUCT((Dados!$I$2:$I$5001=A42)*(Dados!$M$2:$M$5001=1))</f>
        <v>0</v>
      </c>
      <c r="D42" s="9" t="n">
        <f aca="false">SUMPRODUCT((Dados!$I$2:$I$5001=A42)*(Dados!$K$2:$K$5001=1)*(Dados!$L$2:$L$5001=1))</f>
        <v>0</v>
      </c>
      <c r="E42" s="9" t="n">
        <f aca="false">SUMPRODUCT((Dados!$I$2:$I$5001=A42)*(Dados!$D$2:$D$5001="Formalização")*(Dados!$E$2:$E$5001="Concluído")*(Dados!$L$2:$L$5001=1))</f>
        <v>0</v>
      </c>
    </row>
    <row r="43" customFormat="false" ht="15" hidden="false" customHeight="false" outlineLevel="0" collapsed="false">
      <c r="A43" s="18" t="n">
        <f aca="false">A42+1</f>
        <v>46276</v>
      </c>
      <c r="B43" s="9" t="n">
        <f aca="false">SUMPRODUCT((Dados!$I$2:$I$5001=A43)*(Dados!$J$2:$J$5001=1))</f>
        <v>0</v>
      </c>
      <c r="C43" s="9" t="n">
        <f aca="false">SUMPRODUCT((Dados!$I$2:$I$5001=A43)*(Dados!$M$2:$M$5001=1))</f>
        <v>0</v>
      </c>
      <c r="D43" s="9" t="n">
        <f aca="false">SUMPRODUCT((Dados!$I$2:$I$5001=A43)*(Dados!$K$2:$K$5001=1)*(Dados!$L$2:$L$5001=1))</f>
        <v>0</v>
      </c>
      <c r="E43" s="9" t="n">
        <f aca="false">SUMPRODUCT((Dados!$I$2:$I$5001=A43)*(Dados!$D$2:$D$5001="Formalização")*(Dados!$E$2:$E$5001="Concluído")*(Dados!$L$2:$L$5001=1))</f>
        <v>0</v>
      </c>
    </row>
    <row r="44" customFormat="false" ht="15" hidden="false" customHeight="false" outlineLevel="0" collapsed="false">
      <c r="A44" s="18" t="n">
        <f aca="false">A43+1</f>
        <v>46277</v>
      </c>
      <c r="B44" s="9" t="n">
        <f aca="false">SUMPRODUCT((Dados!$I$2:$I$5001=A44)*(Dados!$J$2:$J$5001=1))</f>
        <v>0</v>
      </c>
      <c r="C44" s="9" t="n">
        <f aca="false">SUMPRODUCT((Dados!$I$2:$I$5001=A44)*(Dados!$M$2:$M$5001=1))</f>
        <v>0</v>
      </c>
      <c r="D44" s="9" t="n">
        <f aca="false">SUMPRODUCT((Dados!$I$2:$I$5001=A44)*(Dados!$K$2:$K$5001=1)*(Dados!$L$2:$L$5001=1))</f>
        <v>0</v>
      </c>
      <c r="E44" s="9" t="n">
        <f aca="false">SUMPRODUCT((Dados!$I$2:$I$5001=A44)*(Dados!$D$2:$D$5001="Formalização")*(Dados!$E$2:$E$5001="Concluído")*(Dados!$L$2:$L$5001=1))</f>
        <v>0</v>
      </c>
    </row>
    <row r="45" customFormat="false" ht="15" hidden="false" customHeight="false" outlineLevel="0" collapsed="false">
      <c r="A45" s="18" t="n">
        <f aca="false">A44+1</f>
        <v>46278</v>
      </c>
      <c r="B45" s="9" t="n">
        <f aca="false">SUMPRODUCT((Dados!$I$2:$I$5001=A45)*(Dados!$J$2:$J$5001=1))</f>
        <v>0</v>
      </c>
      <c r="C45" s="9" t="n">
        <f aca="false">SUMPRODUCT((Dados!$I$2:$I$5001=A45)*(Dados!$M$2:$M$5001=1))</f>
        <v>0</v>
      </c>
      <c r="D45" s="9" t="n">
        <f aca="false">SUMPRODUCT((Dados!$I$2:$I$5001=A45)*(Dados!$K$2:$K$5001=1)*(Dados!$L$2:$L$5001=1))</f>
        <v>0</v>
      </c>
      <c r="E45" s="9" t="n">
        <f aca="false">SUMPRODUCT((Dados!$I$2:$I$5001=A45)*(Dados!$D$2:$D$5001="Formalização")*(Dados!$E$2:$E$5001="Concluído")*(Dados!$L$2:$L$5001=1))</f>
        <v>0</v>
      </c>
    </row>
    <row r="46" customFormat="false" ht="15" hidden="false" customHeight="false" outlineLevel="0" collapsed="false">
      <c r="A46" s="18" t="n">
        <f aca="false">A45+1</f>
        <v>46279</v>
      </c>
      <c r="B46" s="9" t="n">
        <f aca="false">SUMPRODUCT((Dados!$I$2:$I$5001=A46)*(Dados!$J$2:$J$5001=1))</f>
        <v>0</v>
      </c>
      <c r="C46" s="9" t="n">
        <f aca="false">SUMPRODUCT((Dados!$I$2:$I$5001=A46)*(Dados!$M$2:$M$5001=1))</f>
        <v>0</v>
      </c>
      <c r="D46" s="9" t="n">
        <f aca="false">SUMPRODUCT((Dados!$I$2:$I$5001=A46)*(Dados!$K$2:$K$5001=1)*(Dados!$L$2:$L$5001=1))</f>
        <v>0</v>
      </c>
      <c r="E46" s="9" t="n">
        <f aca="false">SUMPRODUCT((Dados!$I$2:$I$5001=A46)*(Dados!$D$2:$D$5001="Formalização")*(Dados!$E$2:$E$5001="Concluído")*(Dados!$L$2:$L$5001=1))</f>
        <v>0</v>
      </c>
    </row>
    <row r="47" customFormat="false" ht="15" hidden="false" customHeight="false" outlineLevel="0" collapsed="false">
      <c r="A47" s="18" t="n">
        <f aca="false">A46+1</f>
        <v>46280</v>
      </c>
      <c r="B47" s="9" t="n">
        <f aca="false">SUMPRODUCT((Dados!$I$2:$I$5001=A47)*(Dados!$J$2:$J$5001=1))</f>
        <v>0</v>
      </c>
      <c r="C47" s="9" t="n">
        <f aca="false">SUMPRODUCT((Dados!$I$2:$I$5001=A47)*(Dados!$M$2:$M$5001=1))</f>
        <v>0</v>
      </c>
      <c r="D47" s="9" t="n">
        <f aca="false">SUMPRODUCT((Dados!$I$2:$I$5001=A47)*(Dados!$K$2:$K$5001=1)*(Dados!$L$2:$L$5001=1))</f>
        <v>0</v>
      </c>
      <c r="E47" s="9" t="n">
        <f aca="false">SUMPRODUCT((Dados!$I$2:$I$5001=A47)*(Dados!$D$2:$D$5001="Formalização")*(Dados!$E$2:$E$5001="Concluído")*(Dados!$L$2:$L$5001=1))</f>
        <v>0</v>
      </c>
    </row>
    <row r="48" customFormat="false" ht="15" hidden="false" customHeight="false" outlineLevel="0" collapsed="false">
      <c r="A48" s="18" t="n">
        <f aca="false">A47+1</f>
        <v>46281</v>
      </c>
      <c r="B48" s="9" t="n">
        <f aca="false">SUMPRODUCT((Dados!$I$2:$I$5001=A48)*(Dados!$J$2:$J$5001=1))</f>
        <v>0</v>
      </c>
      <c r="C48" s="9" t="n">
        <f aca="false">SUMPRODUCT((Dados!$I$2:$I$5001=A48)*(Dados!$M$2:$M$5001=1))</f>
        <v>0</v>
      </c>
      <c r="D48" s="9" t="n">
        <f aca="false">SUMPRODUCT((Dados!$I$2:$I$5001=A48)*(Dados!$K$2:$K$5001=1)*(Dados!$L$2:$L$5001=1))</f>
        <v>0</v>
      </c>
      <c r="E48" s="9" t="n">
        <f aca="false">SUMPRODUCT((Dados!$I$2:$I$5001=A48)*(Dados!$D$2:$D$5001="Formalização")*(Dados!$E$2:$E$5001="Concluído")*(Dados!$L$2:$L$5001=1))</f>
        <v>0</v>
      </c>
    </row>
    <row r="49" customFormat="false" ht="15" hidden="false" customHeight="false" outlineLevel="0" collapsed="false">
      <c r="A49" s="18" t="n">
        <f aca="false">A48+1</f>
        <v>46282</v>
      </c>
      <c r="B49" s="9" t="n">
        <f aca="false">SUMPRODUCT((Dados!$I$2:$I$5001=A49)*(Dados!$J$2:$J$5001=1))</f>
        <v>0</v>
      </c>
      <c r="C49" s="9" t="n">
        <f aca="false">SUMPRODUCT((Dados!$I$2:$I$5001=A49)*(Dados!$M$2:$M$5001=1))</f>
        <v>0</v>
      </c>
      <c r="D49" s="9" t="n">
        <f aca="false">SUMPRODUCT((Dados!$I$2:$I$5001=A49)*(Dados!$K$2:$K$5001=1)*(Dados!$L$2:$L$5001=1))</f>
        <v>0</v>
      </c>
      <c r="E49" s="9" t="n">
        <f aca="false">SUMPRODUCT((Dados!$I$2:$I$5001=A49)*(Dados!$D$2:$D$5001="Formalização")*(Dados!$E$2:$E$5001="Concluído")*(Dados!$L$2:$L$5001=1))</f>
        <v>0</v>
      </c>
    </row>
    <row r="50" customFormat="false" ht="15" hidden="false" customHeight="false" outlineLevel="0" collapsed="false">
      <c r="A50" s="18" t="n">
        <f aca="false">A49+1</f>
        <v>46283</v>
      </c>
      <c r="B50" s="9" t="n">
        <f aca="false">SUMPRODUCT((Dados!$I$2:$I$5001=A50)*(Dados!$J$2:$J$5001=1))</f>
        <v>0</v>
      </c>
      <c r="C50" s="9" t="n">
        <f aca="false">SUMPRODUCT((Dados!$I$2:$I$5001=A50)*(Dados!$M$2:$M$5001=1))</f>
        <v>0</v>
      </c>
      <c r="D50" s="9" t="n">
        <f aca="false">SUMPRODUCT((Dados!$I$2:$I$5001=A50)*(Dados!$K$2:$K$5001=1)*(Dados!$L$2:$L$5001=1))</f>
        <v>0</v>
      </c>
      <c r="E50" s="9" t="n">
        <f aca="false">SUMPRODUCT((Dados!$I$2:$I$5001=A50)*(Dados!$D$2:$D$5001="Formalização")*(Dados!$E$2:$E$5001="Concluído")*(Dados!$L$2:$L$5001=1))</f>
        <v>0</v>
      </c>
    </row>
    <row r="51" customFormat="false" ht="15" hidden="false" customHeight="false" outlineLevel="0" collapsed="false">
      <c r="A51" s="18" t="n">
        <f aca="false">A50+1</f>
        <v>46284</v>
      </c>
      <c r="B51" s="9" t="n">
        <f aca="false">SUMPRODUCT((Dados!$I$2:$I$5001=A51)*(Dados!$J$2:$J$5001=1))</f>
        <v>0</v>
      </c>
      <c r="C51" s="9" t="n">
        <f aca="false">SUMPRODUCT((Dados!$I$2:$I$5001=A51)*(Dados!$M$2:$M$5001=1))</f>
        <v>0</v>
      </c>
      <c r="D51" s="9" t="n">
        <f aca="false">SUMPRODUCT((Dados!$I$2:$I$5001=A51)*(Dados!$K$2:$K$5001=1)*(Dados!$L$2:$L$5001=1))</f>
        <v>0</v>
      </c>
      <c r="E51" s="9" t="n">
        <f aca="false">SUMPRODUCT((Dados!$I$2:$I$5001=A51)*(Dados!$D$2:$D$5001="Formalização")*(Dados!$E$2:$E$5001="Concluído")*(Dados!$L$2:$L$5001=1))</f>
        <v>0</v>
      </c>
    </row>
    <row r="52" customFormat="false" ht="15" hidden="false" customHeight="false" outlineLevel="0" collapsed="false">
      <c r="A52" s="18" t="n">
        <f aca="false">A51+1</f>
        <v>46285</v>
      </c>
      <c r="B52" s="9" t="n">
        <f aca="false">SUMPRODUCT((Dados!$I$2:$I$5001=A52)*(Dados!$J$2:$J$5001=1))</f>
        <v>0</v>
      </c>
      <c r="C52" s="9" t="n">
        <f aca="false">SUMPRODUCT((Dados!$I$2:$I$5001=A52)*(Dados!$M$2:$M$5001=1))</f>
        <v>0</v>
      </c>
      <c r="D52" s="9" t="n">
        <f aca="false">SUMPRODUCT((Dados!$I$2:$I$5001=A52)*(Dados!$K$2:$K$5001=1)*(Dados!$L$2:$L$5001=1))</f>
        <v>0</v>
      </c>
      <c r="E52" s="9" t="n">
        <f aca="false">SUMPRODUCT((Dados!$I$2:$I$5001=A52)*(Dados!$D$2:$D$5001="Formalização")*(Dados!$E$2:$E$5001="Concluído")*(Dados!$L$2:$L$5001=1))</f>
        <v>0</v>
      </c>
    </row>
    <row r="53" customFormat="false" ht="15" hidden="false" customHeight="false" outlineLevel="0" collapsed="false">
      <c r="A53" s="18" t="n">
        <f aca="false">A52+1</f>
        <v>46286</v>
      </c>
      <c r="B53" s="9" t="n">
        <f aca="false">SUMPRODUCT((Dados!$I$2:$I$5001=A53)*(Dados!$J$2:$J$5001=1))</f>
        <v>0</v>
      </c>
      <c r="C53" s="9" t="n">
        <f aca="false">SUMPRODUCT((Dados!$I$2:$I$5001=A53)*(Dados!$M$2:$M$5001=1))</f>
        <v>0</v>
      </c>
      <c r="D53" s="9" t="n">
        <f aca="false">SUMPRODUCT((Dados!$I$2:$I$5001=A53)*(Dados!$K$2:$K$5001=1)*(Dados!$L$2:$L$5001=1))</f>
        <v>0</v>
      </c>
      <c r="E53" s="9" t="n">
        <f aca="false">SUMPRODUCT((Dados!$I$2:$I$5001=A53)*(Dados!$D$2:$D$5001="Formalização")*(Dados!$E$2:$E$5001="Concluído")*(Dados!$L$2:$L$5001=1))</f>
        <v>0</v>
      </c>
    </row>
    <row r="54" customFormat="false" ht="15" hidden="false" customHeight="false" outlineLevel="0" collapsed="false">
      <c r="A54" s="18" t="n">
        <f aca="false">A53+1</f>
        <v>46287</v>
      </c>
      <c r="B54" s="9" t="n">
        <f aca="false">SUMPRODUCT((Dados!$I$2:$I$5001=A54)*(Dados!$J$2:$J$5001=1))</f>
        <v>0</v>
      </c>
      <c r="C54" s="9" t="n">
        <f aca="false">SUMPRODUCT((Dados!$I$2:$I$5001=A54)*(Dados!$M$2:$M$5001=1))</f>
        <v>0</v>
      </c>
      <c r="D54" s="9" t="n">
        <f aca="false">SUMPRODUCT((Dados!$I$2:$I$5001=A54)*(Dados!$K$2:$K$5001=1)*(Dados!$L$2:$L$5001=1))</f>
        <v>0</v>
      </c>
      <c r="E54" s="9" t="n">
        <f aca="false">SUMPRODUCT((Dados!$I$2:$I$5001=A54)*(Dados!$D$2:$D$5001="Formalização")*(Dados!$E$2:$E$5001="Concluído")*(Dados!$L$2:$L$5001=1))</f>
        <v>0</v>
      </c>
    </row>
    <row r="55" customFormat="false" ht="15" hidden="false" customHeight="false" outlineLevel="0" collapsed="false">
      <c r="A55" s="18" t="n">
        <f aca="false">A54+1</f>
        <v>46288</v>
      </c>
      <c r="B55" s="9" t="n">
        <f aca="false">SUMPRODUCT((Dados!$I$2:$I$5001=A55)*(Dados!$J$2:$J$5001=1))</f>
        <v>0</v>
      </c>
      <c r="C55" s="9" t="n">
        <f aca="false">SUMPRODUCT((Dados!$I$2:$I$5001=A55)*(Dados!$M$2:$M$5001=1))</f>
        <v>0</v>
      </c>
      <c r="D55" s="9" t="n">
        <f aca="false">SUMPRODUCT((Dados!$I$2:$I$5001=A55)*(Dados!$K$2:$K$5001=1)*(Dados!$L$2:$L$5001=1))</f>
        <v>0</v>
      </c>
      <c r="E55" s="9" t="n">
        <f aca="false">SUMPRODUCT((Dados!$I$2:$I$5001=A55)*(Dados!$D$2:$D$5001="Formalização")*(Dados!$E$2:$E$5001="Concluído")*(Dados!$L$2:$L$5001=1))</f>
        <v>0</v>
      </c>
    </row>
    <row r="56" customFormat="false" ht="15" hidden="false" customHeight="false" outlineLevel="0" collapsed="false">
      <c r="A56" s="18" t="n">
        <f aca="false">A55+1</f>
        <v>46289</v>
      </c>
      <c r="B56" s="9" t="n">
        <f aca="false">SUMPRODUCT((Dados!$I$2:$I$5001=A56)*(Dados!$J$2:$J$5001=1))</f>
        <v>0</v>
      </c>
      <c r="C56" s="9" t="n">
        <f aca="false">SUMPRODUCT((Dados!$I$2:$I$5001=A56)*(Dados!$M$2:$M$5001=1))</f>
        <v>0</v>
      </c>
      <c r="D56" s="9" t="n">
        <f aca="false">SUMPRODUCT((Dados!$I$2:$I$5001=A56)*(Dados!$K$2:$K$5001=1)*(Dados!$L$2:$L$5001=1))</f>
        <v>0</v>
      </c>
      <c r="E56" s="9" t="n">
        <f aca="false">SUMPRODUCT((Dados!$I$2:$I$5001=A56)*(Dados!$D$2:$D$5001="Formalização")*(Dados!$E$2:$E$5001="Concluído")*(Dados!$L$2:$L$5001=1))</f>
        <v>0</v>
      </c>
    </row>
    <row r="57" customFormat="false" ht="15" hidden="false" customHeight="false" outlineLevel="0" collapsed="false">
      <c r="A57" s="18" t="n">
        <f aca="false">A56+1</f>
        <v>46290</v>
      </c>
      <c r="B57" s="9" t="n">
        <f aca="false">SUMPRODUCT((Dados!$I$2:$I$5001=A57)*(Dados!$J$2:$J$5001=1))</f>
        <v>0</v>
      </c>
      <c r="C57" s="9" t="n">
        <f aca="false">SUMPRODUCT((Dados!$I$2:$I$5001=A57)*(Dados!$M$2:$M$5001=1))</f>
        <v>0</v>
      </c>
      <c r="D57" s="9" t="n">
        <f aca="false">SUMPRODUCT((Dados!$I$2:$I$5001=A57)*(Dados!$K$2:$K$5001=1)*(Dados!$L$2:$L$5001=1))</f>
        <v>0</v>
      </c>
      <c r="E57" s="9" t="n">
        <f aca="false">SUMPRODUCT((Dados!$I$2:$I$5001=A57)*(Dados!$D$2:$D$5001="Formalização")*(Dados!$E$2:$E$5001="Concluído")*(Dados!$L$2:$L$5001=1))</f>
        <v>0</v>
      </c>
    </row>
    <row r="58" customFormat="false" ht="15" hidden="false" customHeight="false" outlineLevel="0" collapsed="false">
      <c r="A58" s="18" t="n">
        <f aca="false">A57+1</f>
        <v>46291</v>
      </c>
      <c r="B58" s="9" t="n">
        <f aca="false">SUMPRODUCT((Dados!$I$2:$I$5001=A58)*(Dados!$J$2:$J$5001=1))</f>
        <v>0</v>
      </c>
      <c r="C58" s="9" t="n">
        <f aca="false">SUMPRODUCT((Dados!$I$2:$I$5001=A58)*(Dados!$M$2:$M$5001=1))</f>
        <v>0</v>
      </c>
      <c r="D58" s="9" t="n">
        <f aca="false">SUMPRODUCT((Dados!$I$2:$I$5001=A58)*(Dados!$K$2:$K$5001=1)*(Dados!$L$2:$L$5001=1))</f>
        <v>0</v>
      </c>
      <c r="E58" s="9" t="n">
        <f aca="false">SUMPRODUCT((Dados!$I$2:$I$5001=A58)*(Dados!$D$2:$D$5001="Formalização")*(Dados!$E$2:$E$5001="Concluído")*(Dados!$L$2:$L$5001=1))</f>
        <v>0</v>
      </c>
    </row>
    <row r="59" customFormat="false" ht="15" hidden="false" customHeight="false" outlineLevel="0" collapsed="false">
      <c r="A59" s="18" t="n">
        <f aca="false">A58+1</f>
        <v>46292</v>
      </c>
      <c r="B59" s="9" t="n">
        <f aca="false">SUMPRODUCT((Dados!$I$2:$I$5001=A59)*(Dados!$J$2:$J$5001=1))</f>
        <v>0</v>
      </c>
      <c r="C59" s="9" t="n">
        <f aca="false">SUMPRODUCT((Dados!$I$2:$I$5001=A59)*(Dados!$M$2:$M$5001=1))</f>
        <v>0</v>
      </c>
      <c r="D59" s="9" t="n">
        <f aca="false">SUMPRODUCT((Dados!$I$2:$I$5001=A59)*(Dados!$K$2:$K$5001=1)*(Dados!$L$2:$L$5001=1))</f>
        <v>0</v>
      </c>
      <c r="E59" s="9" t="n">
        <f aca="false">SUMPRODUCT((Dados!$I$2:$I$5001=A59)*(Dados!$D$2:$D$5001="Formalização")*(Dados!$E$2:$E$5001="Concluído")*(Dados!$L$2:$L$5001=1))</f>
        <v>0</v>
      </c>
    </row>
    <row r="60" customFormat="false" ht="15" hidden="false" customHeight="false" outlineLevel="0" collapsed="false">
      <c r="A60" s="18" t="n">
        <f aca="false">A59+1</f>
        <v>46293</v>
      </c>
      <c r="B60" s="9" t="n">
        <f aca="false">SUMPRODUCT((Dados!$I$2:$I$5001=A60)*(Dados!$J$2:$J$5001=1))</f>
        <v>0</v>
      </c>
      <c r="C60" s="9" t="n">
        <f aca="false">SUMPRODUCT((Dados!$I$2:$I$5001=A60)*(Dados!$M$2:$M$5001=1))</f>
        <v>0</v>
      </c>
      <c r="D60" s="9" t="n">
        <f aca="false">SUMPRODUCT((Dados!$I$2:$I$5001=A60)*(Dados!$K$2:$K$5001=1)*(Dados!$L$2:$L$5001=1))</f>
        <v>0</v>
      </c>
      <c r="E60" s="9" t="n">
        <f aca="false">SUMPRODUCT((Dados!$I$2:$I$5001=A60)*(Dados!$D$2:$D$5001="Formalização")*(Dados!$E$2:$E$5001="Concluído")*(Dados!$L$2:$L$5001=1))</f>
        <v>0</v>
      </c>
    </row>
    <row r="61" customFormat="false" ht="15" hidden="false" customHeight="false" outlineLevel="0" collapsed="false">
      <c r="A61" s="18" t="n">
        <f aca="false">A60+1</f>
        <v>46294</v>
      </c>
      <c r="B61" s="9" t="n">
        <f aca="false">SUMPRODUCT((Dados!$I$2:$I$5001=A61)*(Dados!$J$2:$J$5001=1))</f>
        <v>0</v>
      </c>
      <c r="C61" s="9" t="n">
        <f aca="false">SUMPRODUCT((Dados!$I$2:$I$5001=A61)*(Dados!$M$2:$M$5001=1))</f>
        <v>0</v>
      </c>
      <c r="D61" s="9" t="n">
        <f aca="false">SUMPRODUCT((Dados!$I$2:$I$5001=A61)*(Dados!$K$2:$K$5001=1)*(Dados!$L$2:$L$5001=1))</f>
        <v>0</v>
      </c>
      <c r="E61" s="9" t="n">
        <f aca="false">SUMPRODUCT((Dados!$I$2:$I$5001=A61)*(Dados!$D$2:$D$5001="Formalização")*(Dados!$E$2:$E$5001="Concluído")*(Dados!$L$2:$L$5001=1))</f>
        <v>0</v>
      </c>
    </row>
    <row r="62" customFormat="false" ht="15" hidden="false" customHeight="false" outlineLevel="0" collapsed="false">
      <c r="A62" s="18" t="n">
        <f aca="false">A61+1</f>
        <v>46295</v>
      </c>
      <c r="B62" s="9" t="n">
        <f aca="false">SUMPRODUCT((Dados!$I$2:$I$5001=A62)*(Dados!$J$2:$J$5001=1))</f>
        <v>0</v>
      </c>
      <c r="C62" s="9" t="n">
        <f aca="false">SUMPRODUCT((Dados!$I$2:$I$5001=A62)*(Dados!$M$2:$M$5001=1))</f>
        <v>0</v>
      </c>
      <c r="D62" s="9" t="n">
        <f aca="false">SUMPRODUCT((Dados!$I$2:$I$5001=A62)*(Dados!$K$2:$K$5001=1)*(Dados!$L$2:$L$5001=1))</f>
        <v>0</v>
      </c>
      <c r="E62" s="9" t="n">
        <f aca="false">SUMPRODUCT((Dados!$I$2:$I$5001=A62)*(Dados!$D$2:$D$5001="Formalização")*(Dados!$E$2:$E$5001="Concluído")*(Dados!$L$2:$L$5001=1))</f>
        <v>0</v>
      </c>
    </row>
    <row r="63" customFormat="false" ht="15" hidden="false" customHeight="false" outlineLevel="0" collapsed="false">
      <c r="A63" s="18" t="n">
        <f aca="false">A62+1</f>
        <v>46296</v>
      </c>
      <c r="B63" s="9" t="n">
        <f aca="false">SUMPRODUCT((Dados!$I$2:$I$5001=A63)*(Dados!$J$2:$J$5001=1))</f>
        <v>0</v>
      </c>
      <c r="C63" s="9" t="n">
        <f aca="false">SUMPRODUCT((Dados!$I$2:$I$5001=A63)*(Dados!$M$2:$M$5001=1))</f>
        <v>0</v>
      </c>
      <c r="D63" s="9" t="n">
        <f aca="false">SUMPRODUCT((Dados!$I$2:$I$5001=A63)*(Dados!$K$2:$K$5001=1)*(Dados!$L$2:$L$5001=1))</f>
        <v>0</v>
      </c>
      <c r="E63" s="9" t="n">
        <f aca="false">SUMPRODUCT((Dados!$I$2:$I$5001=A63)*(Dados!$D$2:$D$5001="Formalização")*(Dados!$E$2:$E$5001="Concluído")*(Dados!$L$2:$L$5001=1))</f>
        <v>0</v>
      </c>
    </row>
    <row r="64" customFormat="false" ht="15" hidden="false" customHeight="false" outlineLevel="0" collapsed="false">
      <c r="A64" s="18" t="n">
        <f aca="false">A63+1</f>
        <v>46297</v>
      </c>
      <c r="B64" s="9" t="n">
        <f aca="false">SUMPRODUCT((Dados!$I$2:$I$5001=A64)*(Dados!$J$2:$J$5001=1))</f>
        <v>0</v>
      </c>
      <c r="C64" s="9" t="n">
        <f aca="false">SUMPRODUCT((Dados!$I$2:$I$5001=A64)*(Dados!$M$2:$M$5001=1))</f>
        <v>0</v>
      </c>
      <c r="D64" s="9" t="n">
        <f aca="false">SUMPRODUCT((Dados!$I$2:$I$5001=A64)*(Dados!$K$2:$K$5001=1)*(Dados!$L$2:$L$5001=1))</f>
        <v>0</v>
      </c>
      <c r="E64" s="9" t="n">
        <f aca="false">SUMPRODUCT((Dados!$I$2:$I$5001=A64)*(Dados!$D$2:$D$5001="Formalização")*(Dados!$E$2:$E$5001="Concluído")*(Dados!$L$2:$L$5001=1))</f>
        <v>0</v>
      </c>
    </row>
    <row r="65" customFormat="false" ht="15" hidden="false" customHeight="false" outlineLevel="0" collapsed="false">
      <c r="A65" s="18" t="n">
        <f aca="false">A64+1</f>
        <v>46298</v>
      </c>
      <c r="B65" s="9" t="n">
        <f aca="false">SUMPRODUCT((Dados!$I$2:$I$5001=A65)*(Dados!$J$2:$J$5001=1))</f>
        <v>0</v>
      </c>
      <c r="C65" s="9" t="n">
        <f aca="false">SUMPRODUCT((Dados!$I$2:$I$5001=A65)*(Dados!$M$2:$M$5001=1))</f>
        <v>0</v>
      </c>
      <c r="D65" s="9" t="n">
        <f aca="false">SUMPRODUCT((Dados!$I$2:$I$5001=A65)*(Dados!$K$2:$K$5001=1)*(Dados!$L$2:$L$5001=1))</f>
        <v>0</v>
      </c>
      <c r="E65" s="9" t="n">
        <f aca="false">SUMPRODUCT((Dados!$I$2:$I$5001=A65)*(Dados!$D$2:$D$5001="Formalização")*(Dados!$E$2:$E$5001="Concluído")*(Dados!$L$2:$L$5001=1))</f>
        <v>0</v>
      </c>
    </row>
    <row r="66" customFormat="false" ht="15" hidden="false" customHeight="false" outlineLevel="0" collapsed="false">
      <c r="A66" s="18" t="n">
        <f aca="false">A65+1</f>
        <v>46299</v>
      </c>
      <c r="B66" s="9" t="n">
        <f aca="false">SUMPRODUCT((Dados!$I$2:$I$5001=A66)*(Dados!$J$2:$J$5001=1))</f>
        <v>0</v>
      </c>
      <c r="C66" s="9" t="n">
        <f aca="false">SUMPRODUCT((Dados!$I$2:$I$5001=A66)*(Dados!$M$2:$M$5001=1))</f>
        <v>0</v>
      </c>
      <c r="D66" s="9" t="n">
        <f aca="false">SUMPRODUCT((Dados!$I$2:$I$5001=A66)*(Dados!$K$2:$K$5001=1)*(Dados!$L$2:$L$5001=1))</f>
        <v>0</v>
      </c>
      <c r="E66" s="9" t="n">
        <f aca="false">SUMPRODUCT((Dados!$I$2:$I$5001=A66)*(Dados!$D$2:$D$5001="Formalização")*(Dados!$E$2:$E$5001="Concluído")*(Dados!$L$2:$L$5001=1))</f>
        <v>0</v>
      </c>
    </row>
    <row r="67" customFormat="false" ht="15" hidden="false" customHeight="false" outlineLevel="0" collapsed="false">
      <c r="A67" s="18" t="n">
        <f aca="false">A66+1</f>
        <v>46300</v>
      </c>
      <c r="B67" s="9" t="n">
        <f aca="false">SUMPRODUCT((Dados!$I$2:$I$5001=A67)*(Dados!$J$2:$J$5001=1))</f>
        <v>0</v>
      </c>
      <c r="C67" s="9" t="n">
        <f aca="false">SUMPRODUCT((Dados!$I$2:$I$5001=A67)*(Dados!$M$2:$M$5001=1))</f>
        <v>0</v>
      </c>
      <c r="D67" s="9" t="n">
        <f aca="false">SUMPRODUCT((Dados!$I$2:$I$5001=A67)*(Dados!$K$2:$K$5001=1)*(Dados!$L$2:$L$5001=1))</f>
        <v>0</v>
      </c>
      <c r="E67" s="9" t="n">
        <f aca="false">SUMPRODUCT((Dados!$I$2:$I$5001=A67)*(Dados!$D$2:$D$5001="Formalização")*(Dados!$E$2:$E$5001="Concluído")*(Dados!$L$2:$L$5001=1))</f>
        <v>0</v>
      </c>
    </row>
    <row r="68" customFormat="false" ht="15" hidden="false" customHeight="false" outlineLevel="0" collapsed="false">
      <c r="A68" s="18" t="n">
        <f aca="false">A67+1</f>
        <v>46301</v>
      </c>
      <c r="B68" s="9" t="n">
        <f aca="false">SUMPRODUCT((Dados!$I$2:$I$5001=A68)*(Dados!$J$2:$J$5001=1))</f>
        <v>0</v>
      </c>
      <c r="C68" s="9" t="n">
        <f aca="false">SUMPRODUCT((Dados!$I$2:$I$5001=A68)*(Dados!$M$2:$M$5001=1))</f>
        <v>0</v>
      </c>
      <c r="D68" s="9" t="n">
        <f aca="false">SUMPRODUCT((Dados!$I$2:$I$5001=A68)*(Dados!$K$2:$K$5001=1)*(Dados!$L$2:$L$5001=1))</f>
        <v>0</v>
      </c>
      <c r="E68" s="9" t="n">
        <f aca="false">SUMPRODUCT((Dados!$I$2:$I$5001=A68)*(Dados!$D$2:$D$5001="Formalização")*(Dados!$E$2:$E$5001="Concluído")*(Dados!$L$2:$L$5001=1))</f>
        <v>0</v>
      </c>
    </row>
    <row r="69" customFormat="false" ht="15" hidden="false" customHeight="false" outlineLevel="0" collapsed="false">
      <c r="A69" s="18" t="n">
        <f aca="false">A68+1</f>
        <v>46302</v>
      </c>
      <c r="B69" s="9" t="n">
        <f aca="false">SUMPRODUCT((Dados!$I$2:$I$5001=A69)*(Dados!$J$2:$J$5001=1))</f>
        <v>0</v>
      </c>
      <c r="C69" s="9" t="n">
        <f aca="false">SUMPRODUCT((Dados!$I$2:$I$5001=A69)*(Dados!$M$2:$M$5001=1))</f>
        <v>0</v>
      </c>
      <c r="D69" s="9" t="n">
        <f aca="false">SUMPRODUCT((Dados!$I$2:$I$5001=A69)*(Dados!$K$2:$K$5001=1)*(Dados!$L$2:$L$5001=1))</f>
        <v>0</v>
      </c>
      <c r="E69" s="9" t="n">
        <f aca="false">SUMPRODUCT((Dados!$I$2:$I$5001=A69)*(Dados!$D$2:$D$5001="Formalização")*(Dados!$E$2:$E$5001="Concluído")*(Dados!$L$2:$L$5001=1))</f>
        <v>0</v>
      </c>
    </row>
    <row r="70" customFormat="false" ht="15" hidden="false" customHeight="false" outlineLevel="0" collapsed="false">
      <c r="A70" s="18" t="n">
        <f aca="false">A69+1</f>
        <v>46303</v>
      </c>
      <c r="B70" s="9" t="n">
        <f aca="false">SUMPRODUCT((Dados!$I$2:$I$5001=A70)*(Dados!$J$2:$J$5001=1))</f>
        <v>0</v>
      </c>
      <c r="C70" s="9" t="n">
        <f aca="false">SUMPRODUCT((Dados!$I$2:$I$5001=A70)*(Dados!$M$2:$M$5001=1))</f>
        <v>0</v>
      </c>
      <c r="D70" s="9" t="n">
        <f aca="false">SUMPRODUCT((Dados!$I$2:$I$5001=A70)*(Dados!$K$2:$K$5001=1)*(Dados!$L$2:$L$5001=1))</f>
        <v>0</v>
      </c>
      <c r="E70" s="9" t="n">
        <f aca="false">SUMPRODUCT((Dados!$I$2:$I$5001=A70)*(Dados!$D$2:$D$5001="Formalização")*(Dados!$E$2:$E$5001="Concluído")*(Dados!$L$2:$L$5001=1))</f>
        <v>0</v>
      </c>
    </row>
    <row r="71" customFormat="false" ht="15" hidden="false" customHeight="false" outlineLevel="0" collapsed="false">
      <c r="A71" s="18" t="n">
        <f aca="false">A70+1</f>
        <v>46304</v>
      </c>
      <c r="B71" s="9" t="n">
        <f aca="false">SUMPRODUCT((Dados!$I$2:$I$5001=A71)*(Dados!$J$2:$J$5001=1))</f>
        <v>0</v>
      </c>
      <c r="C71" s="9" t="n">
        <f aca="false">SUMPRODUCT((Dados!$I$2:$I$5001=A71)*(Dados!$M$2:$M$5001=1))</f>
        <v>0</v>
      </c>
      <c r="D71" s="9" t="n">
        <f aca="false">SUMPRODUCT((Dados!$I$2:$I$5001=A71)*(Dados!$K$2:$K$5001=1)*(Dados!$L$2:$L$5001=1))</f>
        <v>0</v>
      </c>
      <c r="E71" s="9" t="n">
        <f aca="false">SUMPRODUCT((Dados!$I$2:$I$5001=A71)*(Dados!$D$2:$D$5001="Formalização")*(Dados!$E$2:$E$5001="Concluído")*(Dados!$L$2:$L$5001=1))</f>
        <v>0</v>
      </c>
    </row>
    <row r="72" customFormat="false" ht="15" hidden="false" customHeight="false" outlineLevel="0" collapsed="false">
      <c r="A72" s="18" t="n">
        <f aca="false">A71+1</f>
        <v>46305</v>
      </c>
      <c r="B72" s="9" t="n">
        <f aca="false">SUMPRODUCT((Dados!$I$2:$I$5001=A72)*(Dados!$J$2:$J$5001=1))</f>
        <v>0</v>
      </c>
      <c r="C72" s="9" t="n">
        <f aca="false">SUMPRODUCT((Dados!$I$2:$I$5001=A72)*(Dados!$M$2:$M$5001=1))</f>
        <v>0</v>
      </c>
      <c r="D72" s="9" t="n">
        <f aca="false">SUMPRODUCT((Dados!$I$2:$I$5001=A72)*(Dados!$K$2:$K$5001=1)*(Dados!$L$2:$L$5001=1))</f>
        <v>0</v>
      </c>
      <c r="E72" s="9" t="n">
        <f aca="false">SUMPRODUCT((Dados!$I$2:$I$5001=A72)*(Dados!$D$2:$D$5001="Formalização")*(Dados!$E$2:$E$5001="Concluído")*(Dados!$L$2:$L$5001=1))</f>
        <v>0</v>
      </c>
    </row>
    <row r="73" customFormat="false" ht="15" hidden="false" customHeight="false" outlineLevel="0" collapsed="false">
      <c r="A73" s="18" t="n">
        <f aca="false">A72+1</f>
        <v>46306</v>
      </c>
      <c r="B73" s="9" t="n">
        <f aca="false">SUMPRODUCT((Dados!$I$2:$I$5001=A73)*(Dados!$J$2:$J$5001=1))</f>
        <v>0</v>
      </c>
      <c r="C73" s="9" t="n">
        <f aca="false">SUMPRODUCT((Dados!$I$2:$I$5001=A73)*(Dados!$M$2:$M$5001=1))</f>
        <v>0</v>
      </c>
      <c r="D73" s="9" t="n">
        <f aca="false">SUMPRODUCT((Dados!$I$2:$I$5001=A73)*(Dados!$K$2:$K$5001=1)*(Dados!$L$2:$L$5001=1))</f>
        <v>0</v>
      </c>
      <c r="E73" s="9" t="n">
        <f aca="false">SUMPRODUCT((Dados!$I$2:$I$5001=A73)*(Dados!$D$2:$D$5001="Formalização")*(Dados!$E$2:$E$5001="Concluído")*(Dados!$L$2:$L$5001=1))</f>
        <v>0</v>
      </c>
    </row>
    <row r="74" customFormat="false" ht="15" hidden="false" customHeight="false" outlineLevel="0" collapsed="false">
      <c r="A74" s="18" t="n">
        <f aca="false">A73+1</f>
        <v>46307</v>
      </c>
      <c r="B74" s="9" t="n">
        <f aca="false">SUMPRODUCT((Dados!$I$2:$I$5001=A74)*(Dados!$J$2:$J$5001=1))</f>
        <v>0</v>
      </c>
      <c r="C74" s="9" t="n">
        <f aca="false">SUMPRODUCT((Dados!$I$2:$I$5001=A74)*(Dados!$M$2:$M$5001=1))</f>
        <v>0</v>
      </c>
      <c r="D74" s="9" t="n">
        <f aca="false">SUMPRODUCT((Dados!$I$2:$I$5001=A74)*(Dados!$K$2:$K$5001=1)*(Dados!$L$2:$L$5001=1))</f>
        <v>0</v>
      </c>
      <c r="E74" s="9" t="n">
        <f aca="false">SUMPRODUCT((Dados!$I$2:$I$5001=A74)*(Dados!$D$2:$D$5001="Formalização")*(Dados!$E$2:$E$5001="Concluído")*(Dados!$L$2:$L$5001=1))</f>
        <v>0</v>
      </c>
    </row>
    <row r="75" customFormat="false" ht="15" hidden="false" customHeight="false" outlineLevel="0" collapsed="false">
      <c r="A75" s="18" t="n">
        <f aca="false">A74+1</f>
        <v>46308</v>
      </c>
      <c r="B75" s="9" t="n">
        <f aca="false">SUMPRODUCT((Dados!$I$2:$I$5001=A75)*(Dados!$J$2:$J$5001=1))</f>
        <v>0</v>
      </c>
      <c r="C75" s="9" t="n">
        <f aca="false">SUMPRODUCT((Dados!$I$2:$I$5001=A75)*(Dados!$M$2:$M$5001=1))</f>
        <v>0</v>
      </c>
      <c r="D75" s="9" t="n">
        <f aca="false">SUMPRODUCT((Dados!$I$2:$I$5001=A75)*(Dados!$K$2:$K$5001=1)*(Dados!$L$2:$L$5001=1))</f>
        <v>0</v>
      </c>
      <c r="E75" s="9" t="n">
        <f aca="false">SUMPRODUCT((Dados!$I$2:$I$5001=A75)*(Dados!$D$2:$D$5001="Formalização")*(Dados!$E$2:$E$5001="Concluído")*(Dados!$L$2:$L$5001=1))</f>
        <v>0</v>
      </c>
    </row>
    <row r="76" customFormat="false" ht="15" hidden="false" customHeight="false" outlineLevel="0" collapsed="false">
      <c r="A76" s="18" t="n">
        <f aca="false">A75+1</f>
        <v>46309</v>
      </c>
      <c r="B76" s="9" t="n">
        <f aca="false">SUMPRODUCT((Dados!$I$2:$I$5001=A76)*(Dados!$J$2:$J$5001=1))</f>
        <v>0</v>
      </c>
      <c r="C76" s="9" t="n">
        <f aca="false">SUMPRODUCT((Dados!$I$2:$I$5001=A76)*(Dados!$M$2:$M$5001=1))</f>
        <v>0</v>
      </c>
      <c r="D76" s="9" t="n">
        <f aca="false">SUMPRODUCT((Dados!$I$2:$I$5001=A76)*(Dados!$K$2:$K$5001=1)*(Dados!$L$2:$L$5001=1))</f>
        <v>0</v>
      </c>
      <c r="E76" s="9" t="n">
        <f aca="false">SUMPRODUCT((Dados!$I$2:$I$5001=A76)*(Dados!$D$2:$D$5001="Formalização")*(Dados!$E$2:$E$5001="Concluído")*(Dados!$L$2:$L$5001=1))</f>
        <v>0</v>
      </c>
    </row>
    <row r="77" customFormat="false" ht="15" hidden="false" customHeight="false" outlineLevel="0" collapsed="false">
      <c r="A77" s="18" t="n">
        <f aca="false">A76+1</f>
        <v>46310</v>
      </c>
      <c r="B77" s="9" t="n">
        <f aca="false">SUMPRODUCT((Dados!$I$2:$I$5001=A77)*(Dados!$J$2:$J$5001=1))</f>
        <v>0</v>
      </c>
      <c r="C77" s="9" t="n">
        <f aca="false">SUMPRODUCT((Dados!$I$2:$I$5001=A77)*(Dados!$M$2:$M$5001=1))</f>
        <v>0</v>
      </c>
      <c r="D77" s="9" t="n">
        <f aca="false">SUMPRODUCT((Dados!$I$2:$I$5001=A77)*(Dados!$K$2:$K$5001=1)*(Dados!$L$2:$L$5001=1))</f>
        <v>0</v>
      </c>
      <c r="E77" s="9" t="n">
        <f aca="false">SUMPRODUCT((Dados!$I$2:$I$5001=A77)*(Dados!$D$2:$D$5001="Formalização")*(Dados!$E$2:$E$5001="Concluído")*(Dados!$L$2:$L$5001=1))</f>
        <v>0</v>
      </c>
    </row>
    <row r="78" customFormat="false" ht="15" hidden="false" customHeight="false" outlineLevel="0" collapsed="false">
      <c r="A78" s="18" t="n">
        <f aca="false">A77+1</f>
        <v>46311</v>
      </c>
      <c r="B78" s="9" t="n">
        <f aca="false">SUMPRODUCT((Dados!$I$2:$I$5001=A78)*(Dados!$J$2:$J$5001=1))</f>
        <v>0</v>
      </c>
      <c r="C78" s="9" t="n">
        <f aca="false">SUMPRODUCT((Dados!$I$2:$I$5001=A78)*(Dados!$M$2:$M$5001=1))</f>
        <v>0</v>
      </c>
      <c r="D78" s="9" t="n">
        <f aca="false">SUMPRODUCT((Dados!$I$2:$I$5001=A78)*(Dados!$K$2:$K$5001=1)*(Dados!$L$2:$L$5001=1))</f>
        <v>0</v>
      </c>
      <c r="E78" s="9" t="n">
        <f aca="false">SUMPRODUCT((Dados!$I$2:$I$5001=A78)*(Dados!$D$2:$D$5001="Formalização")*(Dados!$E$2:$E$5001="Concluído")*(Dados!$L$2:$L$5001=1))</f>
        <v>0</v>
      </c>
    </row>
    <row r="79" customFormat="false" ht="15" hidden="false" customHeight="false" outlineLevel="0" collapsed="false">
      <c r="A79" s="18" t="n">
        <f aca="false">A78+1</f>
        <v>46312</v>
      </c>
      <c r="B79" s="9" t="n">
        <f aca="false">SUMPRODUCT((Dados!$I$2:$I$5001=A79)*(Dados!$J$2:$J$5001=1))</f>
        <v>0</v>
      </c>
      <c r="C79" s="9" t="n">
        <f aca="false">SUMPRODUCT((Dados!$I$2:$I$5001=A79)*(Dados!$M$2:$M$5001=1))</f>
        <v>0</v>
      </c>
      <c r="D79" s="9" t="n">
        <f aca="false">SUMPRODUCT((Dados!$I$2:$I$5001=A79)*(Dados!$K$2:$K$5001=1)*(Dados!$L$2:$L$5001=1))</f>
        <v>0</v>
      </c>
      <c r="E79" s="9" t="n">
        <f aca="false">SUMPRODUCT((Dados!$I$2:$I$5001=A79)*(Dados!$D$2:$D$5001="Formalização")*(Dados!$E$2:$E$5001="Concluído")*(Dados!$L$2:$L$5001=1))</f>
        <v>0</v>
      </c>
    </row>
    <row r="80" customFormat="false" ht="15" hidden="false" customHeight="false" outlineLevel="0" collapsed="false">
      <c r="A80" s="18" t="n">
        <f aca="false">A79+1</f>
        <v>46313</v>
      </c>
      <c r="B80" s="9" t="n">
        <f aca="false">SUMPRODUCT((Dados!$I$2:$I$5001=A80)*(Dados!$J$2:$J$5001=1))</f>
        <v>0</v>
      </c>
      <c r="C80" s="9" t="n">
        <f aca="false">SUMPRODUCT((Dados!$I$2:$I$5001=A80)*(Dados!$M$2:$M$5001=1))</f>
        <v>0</v>
      </c>
      <c r="D80" s="9" t="n">
        <f aca="false">SUMPRODUCT((Dados!$I$2:$I$5001=A80)*(Dados!$K$2:$K$5001=1)*(Dados!$L$2:$L$5001=1))</f>
        <v>0</v>
      </c>
      <c r="E80" s="9" t="n">
        <f aca="false">SUMPRODUCT((Dados!$I$2:$I$5001=A80)*(Dados!$D$2:$D$5001="Formalização")*(Dados!$E$2:$E$5001="Concluído")*(Dados!$L$2:$L$5001=1))</f>
        <v>0</v>
      </c>
    </row>
    <row r="81" customFormat="false" ht="15" hidden="false" customHeight="false" outlineLevel="0" collapsed="false">
      <c r="A81" s="18" t="n">
        <f aca="false">A80+1</f>
        <v>46314</v>
      </c>
      <c r="B81" s="9" t="n">
        <f aca="false">SUMPRODUCT((Dados!$I$2:$I$5001=A81)*(Dados!$J$2:$J$5001=1))</f>
        <v>0</v>
      </c>
      <c r="C81" s="9" t="n">
        <f aca="false">SUMPRODUCT((Dados!$I$2:$I$5001=A81)*(Dados!$M$2:$M$5001=1))</f>
        <v>0</v>
      </c>
      <c r="D81" s="9" t="n">
        <f aca="false">SUMPRODUCT((Dados!$I$2:$I$5001=A81)*(Dados!$K$2:$K$5001=1)*(Dados!$L$2:$L$5001=1))</f>
        <v>0</v>
      </c>
      <c r="E81" s="9" t="n">
        <f aca="false">SUMPRODUCT((Dados!$I$2:$I$5001=A81)*(Dados!$D$2:$D$5001="Formalização")*(Dados!$E$2:$E$5001="Concluído")*(Dados!$L$2:$L$5001=1))</f>
        <v>0</v>
      </c>
    </row>
    <row r="82" customFormat="false" ht="15" hidden="false" customHeight="false" outlineLevel="0" collapsed="false">
      <c r="A82" s="18" t="n">
        <f aca="false">A81+1</f>
        <v>46315</v>
      </c>
      <c r="B82" s="9" t="n">
        <f aca="false">SUMPRODUCT((Dados!$I$2:$I$5001=A82)*(Dados!$J$2:$J$5001=1))</f>
        <v>0</v>
      </c>
      <c r="C82" s="9" t="n">
        <f aca="false">SUMPRODUCT((Dados!$I$2:$I$5001=A82)*(Dados!$M$2:$M$5001=1))</f>
        <v>0</v>
      </c>
      <c r="D82" s="9" t="n">
        <f aca="false">SUMPRODUCT((Dados!$I$2:$I$5001=A82)*(Dados!$K$2:$K$5001=1)*(Dados!$L$2:$L$5001=1))</f>
        <v>0</v>
      </c>
      <c r="E82" s="9" t="n">
        <f aca="false">SUMPRODUCT((Dados!$I$2:$I$5001=A82)*(Dados!$D$2:$D$5001="Formalização")*(Dados!$E$2:$E$5001="Concluído")*(Dados!$L$2:$L$5001=1))</f>
        <v>0</v>
      </c>
    </row>
    <row r="83" customFormat="false" ht="15" hidden="false" customHeight="false" outlineLevel="0" collapsed="false">
      <c r="A83" s="18" t="n">
        <f aca="false">A82+1</f>
        <v>46316</v>
      </c>
      <c r="B83" s="9" t="n">
        <f aca="false">SUMPRODUCT((Dados!$I$2:$I$5001=A83)*(Dados!$J$2:$J$5001=1))</f>
        <v>0</v>
      </c>
      <c r="C83" s="9" t="n">
        <f aca="false">SUMPRODUCT((Dados!$I$2:$I$5001=A83)*(Dados!$M$2:$M$5001=1))</f>
        <v>0</v>
      </c>
      <c r="D83" s="9" t="n">
        <f aca="false">SUMPRODUCT((Dados!$I$2:$I$5001=A83)*(Dados!$K$2:$K$5001=1)*(Dados!$L$2:$L$5001=1))</f>
        <v>0</v>
      </c>
      <c r="E83" s="9" t="n">
        <f aca="false">SUMPRODUCT((Dados!$I$2:$I$5001=A83)*(Dados!$D$2:$D$5001="Formalização")*(Dados!$E$2:$E$5001="Concluído")*(Dados!$L$2:$L$5001=1))</f>
        <v>0</v>
      </c>
    </row>
    <row r="84" customFormat="false" ht="15" hidden="false" customHeight="false" outlineLevel="0" collapsed="false">
      <c r="A84" s="18" t="n">
        <f aca="false">A83+1</f>
        <v>46317</v>
      </c>
      <c r="B84" s="9" t="n">
        <f aca="false">SUMPRODUCT((Dados!$I$2:$I$5001=A84)*(Dados!$J$2:$J$5001=1))</f>
        <v>0</v>
      </c>
      <c r="C84" s="9" t="n">
        <f aca="false">SUMPRODUCT((Dados!$I$2:$I$5001=A84)*(Dados!$M$2:$M$5001=1))</f>
        <v>0</v>
      </c>
      <c r="D84" s="9" t="n">
        <f aca="false">SUMPRODUCT((Dados!$I$2:$I$5001=A84)*(Dados!$K$2:$K$5001=1)*(Dados!$L$2:$L$5001=1))</f>
        <v>0</v>
      </c>
      <c r="E84" s="9" t="n">
        <f aca="false">SUMPRODUCT((Dados!$I$2:$I$5001=A84)*(Dados!$D$2:$D$5001="Formalização")*(Dados!$E$2:$E$5001="Concluído")*(Dados!$L$2:$L$5001=1))</f>
        <v>0</v>
      </c>
    </row>
    <row r="85" customFormat="false" ht="15" hidden="false" customHeight="false" outlineLevel="0" collapsed="false">
      <c r="A85" s="18" t="n">
        <f aca="false">A84+1</f>
        <v>46318</v>
      </c>
      <c r="B85" s="9" t="n">
        <f aca="false">SUMPRODUCT((Dados!$I$2:$I$5001=A85)*(Dados!$J$2:$J$5001=1))</f>
        <v>0</v>
      </c>
      <c r="C85" s="9" t="n">
        <f aca="false">SUMPRODUCT((Dados!$I$2:$I$5001=A85)*(Dados!$M$2:$M$5001=1))</f>
        <v>0</v>
      </c>
      <c r="D85" s="9" t="n">
        <f aca="false">SUMPRODUCT((Dados!$I$2:$I$5001=A85)*(Dados!$K$2:$K$5001=1)*(Dados!$L$2:$L$5001=1))</f>
        <v>0</v>
      </c>
      <c r="E85" s="9" t="n">
        <f aca="false">SUMPRODUCT((Dados!$I$2:$I$5001=A85)*(Dados!$D$2:$D$5001="Formalização")*(Dados!$E$2:$E$5001="Concluído")*(Dados!$L$2:$L$5001=1))</f>
        <v>0</v>
      </c>
    </row>
    <row r="86" customFormat="false" ht="15" hidden="false" customHeight="false" outlineLevel="0" collapsed="false">
      <c r="A86" s="18" t="n">
        <f aca="false">A85+1</f>
        <v>46319</v>
      </c>
      <c r="B86" s="9" t="n">
        <f aca="false">SUMPRODUCT((Dados!$I$2:$I$5001=A86)*(Dados!$J$2:$J$5001=1))</f>
        <v>0</v>
      </c>
      <c r="C86" s="9" t="n">
        <f aca="false">SUMPRODUCT((Dados!$I$2:$I$5001=A86)*(Dados!$M$2:$M$5001=1))</f>
        <v>0</v>
      </c>
      <c r="D86" s="9" t="n">
        <f aca="false">SUMPRODUCT((Dados!$I$2:$I$5001=A86)*(Dados!$K$2:$K$5001=1)*(Dados!$L$2:$L$5001=1))</f>
        <v>0</v>
      </c>
      <c r="E86" s="9" t="n">
        <f aca="false">SUMPRODUCT((Dados!$I$2:$I$5001=A86)*(Dados!$D$2:$D$5001="Formalização")*(Dados!$E$2:$E$5001="Concluído")*(Dados!$L$2:$L$5001=1))</f>
        <v>0</v>
      </c>
    </row>
    <row r="87" customFormat="false" ht="15" hidden="false" customHeight="false" outlineLevel="0" collapsed="false">
      <c r="A87" s="18" t="n">
        <f aca="false">A86+1</f>
        <v>46320</v>
      </c>
      <c r="B87" s="9" t="n">
        <f aca="false">SUMPRODUCT((Dados!$I$2:$I$5001=A87)*(Dados!$J$2:$J$5001=1))</f>
        <v>0</v>
      </c>
      <c r="C87" s="9" t="n">
        <f aca="false">SUMPRODUCT((Dados!$I$2:$I$5001=A87)*(Dados!$M$2:$M$5001=1))</f>
        <v>0</v>
      </c>
      <c r="D87" s="9" t="n">
        <f aca="false">SUMPRODUCT((Dados!$I$2:$I$5001=A87)*(Dados!$K$2:$K$5001=1)*(Dados!$L$2:$L$5001=1))</f>
        <v>0</v>
      </c>
      <c r="E87" s="9" t="n">
        <f aca="false">SUMPRODUCT((Dados!$I$2:$I$5001=A87)*(Dados!$D$2:$D$5001="Formalização")*(Dados!$E$2:$E$5001="Concluído")*(Dados!$L$2:$L$5001=1))</f>
        <v>0</v>
      </c>
    </row>
    <row r="88" customFormat="false" ht="15" hidden="false" customHeight="false" outlineLevel="0" collapsed="false">
      <c r="A88" s="18" t="n">
        <f aca="false">A87+1</f>
        <v>46321</v>
      </c>
      <c r="B88" s="9" t="n">
        <f aca="false">SUMPRODUCT((Dados!$I$2:$I$5001=A88)*(Dados!$J$2:$J$5001=1))</f>
        <v>0</v>
      </c>
      <c r="C88" s="9" t="n">
        <f aca="false">SUMPRODUCT((Dados!$I$2:$I$5001=A88)*(Dados!$M$2:$M$5001=1))</f>
        <v>0</v>
      </c>
      <c r="D88" s="9" t="n">
        <f aca="false">SUMPRODUCT((Dados!$I$2:$I$5001=A88)*(Dados!$K$2:$K$5001=1)*(Dados!$L$2:$L$5001=1))</f>
        <v>0</v>
      </c>
      <c r="E88" s="9" t="n">
        <f aca="false">SUMPRODUCT((Dados!$I$2:$I$5001=A88)*(Dados!$D$2:$D$5001="Formalização")*(Dados!$E$2:$E$5001="Concluído")*(Dados!$L$2:$L$5001=1))</f>
        <v>0</v>
      </c>
    </row>
    <row r="89" customFormat="false" ht="15" hidden="false" customHeight="false" outlineLevel="0" collapsed="false">
      <c r="A89" s="18" t="n">
        <f aca="false">A88+1</f>
        <v>46322</v>
      </c>
      <c r="B89" s="9" t="n">
        <f aca="false">SUMPRODUCT((Dados!$I$2:$I$5001=A89)*(Dados!$J$2:$J$5001=1))</f>
        <v>0</v>
      </c>
      <c r="C89" s="9" t="n">
        <f aca="false">SUMPRODUCT((Dados!$I$2:$I$5001=A89)*(Dados!$M$2:$M$5001=1))</f>
        <v>0</v>
      </c>
      <c r="D89" s="9" t="n">
        <f aca="false">SUMPRODUCT((Dados!$I$2:$I$5001=A89)*(Dados!$K$2:$K$5001=1)*(Dados!$L$2:$L$5001=1))</f>
        <v>0</v>
      </c>
      <c r="E89" s="9" t="n">
        <f aca="false">SUMPRODUCT((Dados!$I$2:$I$5001=A89)*(Dados!$D$2:$D$5001="Formalização")*(Dados!$E$2:$E$5001="Concluído")*(Dados!$L$2:$L$5001=1))</f>
        <v>0</v>
      </c>
    </row>
    <row r="90" customFormat="false" ht="15" hidden="false" customHeight="false" outlineLevel="0" collapsed="false">
      <c r="A90" s="18" t="n">
        <f aca="false">A89+1</f>
        <v>46323</v>
      </c>
      <c r="B90" s="9" t="n">
        <f aca="false">SUMPRODUCT((Dados!$I$2:$I$5001=A90)*(Dados!$J$2:$J$5001=1))</f>
        <v>0</v>
      </c>
      <c r="C90" s="9" t="n">
        <f aca="false">SUMPRODUCT((Dados!$I$2:$I$5001=A90)*(Dados!$M$2:$M$5001=1))</f>
        <v>0</v>
      </c>
      <c r="D90" s="9" t="n">
        <f aca="false">SUMPRODUCT((Dados!$I$2:$I$5001=A90)*(Dados!$K$2:$K$5001=1)*(Dados!$L$2:$L$5001=1))</f>
        <v>0</v>
      </c>
      <c r="E90" s="9" t="n">
        <f aca="false">SUMPRODUCT((Dados!$I$2:$I$5001=A90)*(Dados!$D$2:$D$5001="Formalização")*(Dados!$E$2:$E$5001="Concluído")*(Dados!$L$2:$L$5001=1))</f>
        <v>0</v>
      </c>
    </row>
    <row r="91" customFormat="false" ht="15" hidden="false" customHeight="false" outlineLevel="0" collapsed="false">
      <c r="A91" s="18" t="n">
        <f aca="false">A90+1</f>
        <v>46324</v>
      </c>
      <c r="B91" s="9" t="n">
        <f aca="false">SUMPRODUCT((Dados!$I$2:$I$5001=A91)*(Dados!$J$2:$J$5001=1))</f>
        <v>0</v>
      </c>
      <c r="C91" s="9" t="n">
        <f aca="false">SUMPRODUCT((Dados!$I$2:$I$5001=A91)*(Dados!$M$2:$M$5001=1))</f>
        <v>0</v>
      </c>
      <c r="D91" s="9" t="n">
        <f aca="false">SUMPRODUCT((Dados!$I$2:$I$5001=A91)*(Dados!$K$2:$K$5001=1)*(Dados!$L$2:$L$5001=1))</f>
        <v>0</v>
      </c>
      <c r="E91" s="9" t="n">
        <f aca="false">SUMPRODUCT((Dados!$I$2:$I$5001=A91)*(Dados!$D$2:$D$5001="Formalização")*(Dados!$E$2:$E$5001="Concluído")*(Dados!$L$2:$L$5001=1))</f>
        <v>0</v>
      </c>
    </row>
    <row r="92" customFormat="false" ht="15" hidden="false" customHeight="false" outlineLevel="0" collapsed="false">
      <c r="A92" s="18" t="n">
        <f aca="false">A91+1</f>
        <v>46325</v>
      </c>
      <c r="B92" s="9" t="n">
        <f aca="false">SUMPRODUCT((Dados!$I$2:$I$5001=A92)*(Dados!$J$2:$J$5001=1))</f>
        <v>0</v>
      </c>
      <c r="C92" s="9" t="n">
        <f aca="false">SUMPRODUCT((Dados!$I$2:$I$5001=A92)*(Dados!$M$2:$M$5001=1))</f>
        <v>0</v>
      </c>
      <c r="D92" s="9" t="n">
        <f aca="false">SUMPRODUCT((Dados!$I$2:$I$5001=A92)*(Dados!$K$2:$K$5001=1)*(Dados!$L$2:$L$5001=1))</f>
        <v>0</v>
      </c>
      <c r="E92" s="9" t="n">
        <f aca="false">SUMPRODUCT((Dados!$I$2:$I$5001=A92)*(Dados!$D$2:$D$5001="Formalização")*(Dados!$E$2:$E$5001="Concluído")*(Dados!$L$2:$L$5001=1))</f>
        <v>0</v>
      </c>
    </row>
    <row r="93" customFormat="false" ht="15" hidden="false" customHeight="false" outlineLevel="0" collapsed="false">
      <c r="A93" s="18" t="n">
        <f aca="false">A92+1</f>
        <v>46326</v>
      </c>
      <c r="B93" s="9" t="n">
        <f aca="false">SUMPRODUCT((Dados!$I$2:$I$5001=A93)*(Dados!$J$2:$J$5001=1))</f>
        <v>0</v>
      </c>
      <c r="C93" s="9" t="n">
        <f aca="false">SUMPRODUCT((Dados!$I$2:$I$5001=A93)*(Dados!$M$2:$M$5001=1))</f>
        <v>0</v>
      </c>
      <c r="D93" s="9" t="n">
        <f aca="false">SUMPRODUCT((Dados!$I$2:$I$5001=A93)*(Dados!$K$2:$K$5001=1)*(Dados!$L$2:$L$5001=1))</f>
        <v>0</v>
      </c>
      <c r="E93" s="9" t="n">
        <f aca="false">SUMPRODUCT((Dados!$I$2:$I$5001=A93)*(Dados!$D$2:$D$5001="Formalização")*(Dados!$E$2:$E$5001="Concluído")*(Dados!$L$2:$L$5001=1))</f>
        <v>0</v>
      </c>
    </row>
    <row r="94" customFormat="false" ht="15" hidden="false" customHeight="false" outlineLevel="0" collapsed="false">
      <c r="A94" s="18" t="n">
        <f aca="false">A93+1</f>
        <v>46327</v>
      </c>
      <c r="B94" s="9" t="n">
        <f aca="false">SUMPRODUCT((Dados!$I$2:$I$5001=A94)*(Dados!$J$2:$J$5001=1))</f>
        <v>0</v>
      </c>
      <c r="C94" s="9" t="n">
        <f aca="false">SUMPRODUCT((Dados!$I$2:$I$5001=A94)*(Dados!$M$2:$M$5001=1))</f>
        <v>0</v>
      </c>
      <c r="D94" s="9" t="n">
        <f aca="false">SUMPRODUCT((Dados!$I$2:$I$5001=A94)*(Dados!$K$2:$K$5001=1)*(Dados!$L$2:$L$5001=1))</f>
        <v>0</v>
      </c>
      <c r="E94" s="9" t="n">
        <f aca="false">SUMPRODUCT((Dados!$I$2:$I$5001=A94)*(Dados!$D$2:$D$5001="Formalização")*(Dados!$E$2:$E$5001="Concluído")*(Dados!$L$2:$L$5001=1))</f>
        <v>0</v>
      </c>
    </row>
    <row r="95" customFormat="false" ht="15" hidden="false" customHeight="false" outlineLevel="0" collapsed="false">
      <c r="A95" s="18" t="n">
        <f aca="false">A94+1</f>
        <v>46328</v>
      </c>
      <c r="B95" s="9" t="n">
        <f aca="false">SUMPRODUCT((Dados!$I$2:$I$5001=A95)*(Dados!$J$2:$J$5001=1))</f>
        <v>0</v>
      </c>
      <c r="C95" s="9" t="n">
        <f aca="false">SUMPRODUCT((Dados!$I$2:$I$5001=A95)*(Dados!$M$2:$M$5001=1))</f>
        <v>0</v>
      </c>
      <c r="D95" s="9" t="n">
        <f aca="false">SUMPRODUCT((Dados!$I$2:$I$5001=A95)*(Dados!$K$2:$K$5001=1)*(Dados!$L$2:$L$5001=1))</f>
        <v>0</v>
      </c>
      <c r="E95" s="9" t="n">
        <f aca="false">SUMPRODUCT((Dados!$I$2:$I$5001=A95)*(Dados!$D$2:$D$5001="Formalização")*(Dados!$E$2:$E$5001="Concluído")*(Dados!$L$2:$L$5001=1))</f>
        <v>0</v>
      </c>
    </row>
    <row r="96" customFormat="false" ht="15" hidden="false" customHeight="false" outlineLevel="0" collapsed="false">
      <c r="A96" s="18" t="n">
        <f aca="false">A95+1</f>
        <v>46329</v>
      </c>
      <c r="B96" s="9" t="n">
        <f aca="false">SUMPRODUCT((Dados!$I$2:$I$5001=A96)*(Dados!$J$2:$J$5001=1))</f>
        <v>0</v>
      </c>
      <c r="C96" s="9" t="n">
        <f aca="false">SUMPRODUCT((Dados!$I$2:$I$5001=A96)*(Dados!$M$2:$M$5001=1))</f>
        <v>0</v>
      </c>
      <c r="D96" s="9" t="n">
        <f aca="false">SUMPRODUCT((Dados!$I$2:$I$5001=A96)*(Dados!$K$2:$K$5001=1)*(Dados!$L$2:$L$5001=1))</f>
        <v>0</v>
      </c>
      <c r="E96" s="9" t="n">
        <f aca="false">SUMPRODUCT((Dados!$I$2:$I$5001=A96)*(Dados!$D$2:$D$5001="Formalização")*(Dados!$E$2:$E$5001="Concluído")*(Dados!$L$2:$L$5001=1))</f>
        <v>0</v>
      </c>
    </row>
    <row r="97" customFormat="false" ht="15" hidden="false" customHeight="false" outlineLevel="0" collapsed="false">
      <c r="A97" s="18" t="n">
        <f aca="false">A96+1</f>
        <v>46330</v>
      </c>
      <c r="B97" s="9" t="n">
        <f aca="false">SUMPRODUCT((Dados!$I$2:$I$5001=A97)*(Dados!$J$2:$J$5001=1))</f>
        <v>0</v>
      </c>
      <c r="C97" s="9" t="n">
        <f aca="false">SUMPRODUCT((Dados!$I$2:$I$5001=A97)*(Dados!$M$2:$M$5001=1))</f>
        <v>0</v>
      </c>
      <c r="D97" s="9" t="n">
        <f aca="false">SUMPRODUCT((Dados!$I$2:$I$5001=A97)*(Dados!$K$2:$K$5001=1)*(Dados!$L$2:$L$5001=1))</f>
        <v>0</v>
      </c>
      <c r="E97" s="9" t="n">
        <f aca="false">SUMPRODUCT((Dados!$I$2:$I$5001=A97)*(Dados!$D$2:$D$5001="Formalização")*(Dados!$E$2:$E$5001="Concluído")*(Dados!$L$2:$L$5001=1))</f>
        <v>0</v>
      </c>
    </row>
    <row r="98" customFormat="false" ht="15" hidden="false" customHeight="false" outlineLevel="0" collapsed="false">
      <c r="A98" s="18" t="n">
        <f aca="false">A97+1</f>
        <v>46331</v>
      </c>
      <c r="B98" s="9" t="n">
        <f aca="false">SUMPRODUCT((Dados!$I$2:$I$5001=A98)*(Dados!$J$2:$J$5001=1))</f>
        <v>0</v>
      </c>
      <c r="C98" s="9" t="n">
        <f aca="false">SUMPRODUCT((Dados!$I$2:$I$5001=A98)*(Dados!$M$2:$M$5001=1))</f>
        <v>0</v>
      </c>
      <c r="D98" s="9" t="n">
        <f aca="false">SUMPRODUCT((Dados!$I$2:$I$5001=A98)*(Dados!$K$2:$K$5001=1)*(Dados!$L$2:$L$5001=1))</f>
        <v>0</v>
      </c>
      <c r="E98" s="9" t="n">
        <f aca="false">SUMPRODUCT((Dados!$I$2:$I$5001=A98)*(Dados!$D$2:$D$5001="Formalização")*(Dados!$E$2:$E$5001="Concluído")*(Dados!$L$2:$L$5001=1))</f>
        <v>0</v>
      </c>
    </row>
    <row r="99" customFormat="false" ht="15" hidden="false" customHeight="false" outlineLevel="0" collapsed="false">
      <c r="A99" s="18" t="n">
        <f aca="false">A98+1</f>
        <v>46332</v>
      </c>
      <c r="B99" s="9" t="n">
        <f aca="false">SUMPRODUCT((Dados!$I$2:$I$5001=A99)*(Dados!$J$2:$J$5001=1))</f>
        <v>0</v>
      </c>
      <c r="C99" s="9" t="n">
        <f aca="false">SUMPRODUCT((Dados!$I$2:$I$5001=A99)*(Dados!$M$2:$M$5001=1))</f>
        <v>0</v>
      </c>
      <c r="D99" s="9" t="n">
        <f aca="false">SUMPRODUCT((Dados!$I$2:$I$5001=A99)*(Dados!$K$2:$K$5001=1)*(Dados!$L$2:$L$5001=1))</f>
        <v>0</v>
      </c>
      <c r="E99" s="9" t="n">
        <f aca="false">SUMPRODUCT((Dados!$I$2:$I$5001=A99)*(Dados!$D$2:$D$5001="Formalização")*(Dados!$E$2:$E$5001="Concluído")*(Dados!$L$2:$L$5001=1))</f>
        <v>0</v>
      </c>
    </row>
    <row r="100" customFormat="false" ht="15" hidden="false" customHeight="false" outlineLevel="0" collapsed="false">
      <c r="A100" s="18" t="n">
        <f aca="false">A99+1</f>
        <v>46333</v>
      </c>
      <c r="B100" s="9" t="n">
        <f aca="false">SUMPRODUCT((Dados!$I$2:$I$5001=A100)*(Dados!$J$2:$J$5001=1))</f>
        <v>0</v>
      </c>
      <c r="C100" s="9" t="n">
        <f aca="false">SUMPRODUCT((Dados!$I$2:$I$5001=A100)*(Dados!$M$2:$M$5001=1))</f>
        <v>0</v>
      </c>
      <c r="D100" s="9" t="n">
        <f aca="false">SUMPRODUCT((Dados!$I$2:$I$5001=A100)*(Dados!$K$2:$K$5001=1)*(Dados!$L$2:$L$5001=1))</f>
        <v>0</v>
      </c>
      <c r="E100" s="9" t="n">
        <f aca="false">SUMPRODUCT((Dados!$I$2:$I$5001=A100)*(Dados!$D$2:$D$5001="Formalização")*(Dados!$E$2:$E$5001="Concluído")*(Dados!$L$2:$L$5001=1))</f>
        <v>0</v>
      </c>
    </row>
    <row r="101" customFormat="false" ht="15" hidden="false" customHeight="false" outlineLevel="0" collapsed="false">
      <c r="A101" s="18" t="n">
        <f aca="false">A100+1</f>
        <v>46334</v>
      </c>
      <c r="B101" s="9" t="n">
        <f aca="false">SUMPRODUCT((Dados!$I$2:$I$5001=A101)*(Dados!$J$2:$J$5001=1))</f>
        <v>0</v>
      </c>
      <c r="C101" s="9" t="n">
        <f aca="false">SUMPRODUCT((Dados!$I$2:$I$5001=A101)*(Dados!$M$2:$M$5001=1))</f>
        <v>0</v>
      </c>
      <c r="D101" s="9" t="n">
        <f aca="false">SUMPRODUCT((Dados!$I$2:$I$5001=A101)*(Dados!$K$2:$K$5001=1)*(Dados!$L$2:$L$5001=1))</f>
        <v>0</v>
      </c>
      <c r="E101" s="9" t="n">
        <f aca="false">SUMPRODUCT((Dados!$I$2:$I$5001=A101)*(Dados!$D$2:$D$5001="Formalização")*(Dados!$E$2:$E$5001="Concluído")*(Dados!$L$2:$L$5001=1))</f>
        <v>0</v>
      </c>
    </row>
    <row r="102" customFormat="false" ht="15" hidden="false" customHeight="false" outlineLevel="0" collapsed="false">
      <c r="A102" s="18" t="n">
        <f aca="false">A101+1</f>
        <v>46335</v>
      </c>
      <c r="B102" s="9" t="n">
        <f aca="false">SUMPRODUCT((Dados!$I$2:$I$5001=A102)*(Dados!$J$2:$J$5001=1))</f>
        <v>0</v>
      </c>
      <c r="C102" s="9" t="n">
        <f aca="false">SUMPRODUCT((Dados!$I$2:$I$5001=A102)*(Dados!$M$2:$M$5001=1))</f>
        <v>0</v>
      </c>
      <c r="D102" s="9" t="n">
        <f aca="false">SUMPRODUCT((Dados!$I$2:$I$5001=A102)*(Dados!$K$2:$K$5001=1)*(Dados!$L$2:$L$5001=1))</f>
        <v>0</v>
      </c>
      <c r="E102" s="9" t="n">
        <f aca="false">SUMPRODUCT((Dados!$I$2:$I$5001=A102)*(Dados!$D$2:$D$5001="Formalização")*(Dados!$E$2:$E$5001="Concluído")*(Dados!$L$2:$L$5001=1))</f>
        <v>0</v>
      </c>
    </row>
    <row r="103" customFormat="false" ht="15" hidden="false" customHeight="false" outlineLevel="0" collapsed="false">
      <c r="A103" s="18" t="n">
        <f aca="false">A102+1</f>
        <v>46336</v>
      </c>
      <c r="B103" s="9" t="n">
        <f aca="false">SUMPRODUCT((Dados!$I$2:$I$5001=A103)*(Dados!$J$2:$J$5001=1))</f>
        <v>0</v>
      </c>
      <c r="C103" s="9" t="n">
        <f aca="false">SUMPRODUCT((Dados!$I$2:$I$5001=A103)*(Dados!$M$2:$M$5001=1))</f>
        <v>0</v>
      </c>
      <c r="D103" s="9" t="n">
        <f aca="false">SUMPRODUCT((Dados!$I$2:$I$5001=A103)*(Dados!$K$2:$K$5001=1)*(Dados!$L$2:$L$5001=1))</f>
        <v>0</v>
      </c>
      <c r="E103" s="9" t="n">
        <f aca="false">SUMPRODUCT((Dados!$I$2:$I$5001=A103)*(Dados!$D$2:$D$5001="Formalização")*(Dados!$E$2:$E$5001="Concluído")*(Dados!$L$2:$L$5001=1))</f>
        <v>0</v>
      </c>
    </row>
    <row r="104" customFormat="false" ht="15" hidden="false" customHeight="false" outlineLevel="0" collapsed="false">
      <c r="A104" s="18" t="n">
        <f aca="false">A103+1</f>
        <v>46337</v>
      </c>
      <c r="B104" s="9" t="n">
        <f aca="false">SUMPRODUCT((Dados!$I$2:$I$5001=A104)*(Dados!$J$2:$J$5001=1))</f>
        <v>0</v>
      </c>
      <c r="C104" s="9" t="n">
        <f aca="false">SUMPRODUCT((Dados!$I$2:$I$5001=A104)*(Dados!$M$2:$M$5001=1))</f>
        <v>0</v>
      </c>
      <c r="D104" s="9" t="n">
        <f aca="false">SUMPRODUCT((Dados!$I$2:$I$5001=A104)*(Dados!$K$2:$K$5001=1)*(Dados!$L$2:$L$5001=1))</f>
        <v>0</v>
      </c>
      <c r="E104" s="9" t="n">
        <f aca="false">SUMPRODUCT((Dados!$I$2:$I$5001=A104)*(Dados!$D$2:$D$5001="Formalização")*(Dados!$E$2:$E$5001="Concluído")*(Dados!$L$2:$L$5001=1))</f>
        <v>0</v>
      </c>
    </row>
    <row r="105" customFormat="false" ht="15" hidden="false" customHeight="false" outlineLevel="0" collapsed="false">
      <c r="A105" s="18" t="n">
        <f aca="false">A104+1</f>
        <v>46338</v>
      </c>
      <c r="B105" s="9" t="n">
        <f aca="false">SUMPRODUCT((Dados!$I$2:$I$5001=A105)*(Dados!$J$2:$J$5001=1))</f>
        <v>0</v>
      </c>
      <c r="C105" s="9" t="n">
        <f aca="false">SUMPRODUCT((Dados!$I$2:$I$5001=A105)*(Dados!$M$2:$M$5001=1))</f>
        <v>0</v>
      </c>
      <c r="D105" s="9" t="n">
        <f aca="false">SUMPRODUCT((Dados!$I$2:$I$5001=A105)*(Dados!$K$2:$K$5001=1)*(Dados!$L$2:$L$5001=1))</f>
        <v>0</v>
      </c>
      <c r="E105" s="9" t="n">
        <f aca="false">SUMPRODUCT((Dados!$I$2:$I$5001=A105)*(Dados!$D$2:$D$5001="Formalização")*(Dados!$E$2:$E$5001="Concluído")*(Dados!$L$2:$L$5001=1))</f>
        <v>0</v>
      </c>
    </row>
    <row r="106" customFormat="false" ht="15" hidden="false" customHeight="false" outlineLevel="0" collapsed="false">
      <c r="A106" s="18" t="n">
        <f aca="false">A105+1</f>
        <v>46339</v>
      </c>
      <c r="B106" s="9" t="n">
        <f aca="false">SUMPRODUCT((Dados!$I$2:$I$5001=A106)*(Dados!$J$2:$J$5001=1))</f>
        <v>0</v>
      </c>
      <c r="C106" s="9" t="n">
        <f aca="false">SUMPRODUCT((Dados!$I$2:$I$5001=A106)*(Dados!$M$2:$M$5001=1))</f>
        <v>0</v>
      </c>
      <c r="D106" s="9" t="n">
        <f aca="false">SUMPRODUCT((Dados!$I$2:$I$5001=A106)*(Dados!$K$2:$K$5001=1)*(Dados!$L$2:$L$5001=1))</f>
        <v>0</v>
      </c>
      <c r="E106" s="9" t="n">
        <f aca="false">SUMPRODUCT((Dados!$I$2:$I$5001=A106)*(Dados!$D$2:$D$5001="Formalização")*(Dados!$E$2:$E$5001="Concluído")*(Dados!$L$2:$L$5001=1))</f>
        <v>0</v>
      </c>
    </row>
    <row r="107" customFormat="false" ht="15" hidden="false" customHeight="false" outlineLevel="0" collapsed="false">
      <c r="A107" s="18" t="n">
        <f aca="false">A106+1</f>
        <v>46340</v>
      </c>
      <c r="B107" s="9" t="n">
        <f aca="false">SUMPRODUCT((Dados!$I$2:$I$5001=A107)*(Dados!$J$2:$J$5001=1))</f>
        <v>0</v>
      </c>
      <c r="C107" s="9" t="n">
        <f aca="false">SUMPRODUCT((Dados!$I$2:$I$5001=A107)*(Dados!$M$2:$M$5001=1))</f>
        <v>0</v>
      </c>
      <c r="D107" s="9" t="n">
        <f aca="false">SUMPRODUCT((Dados!$I$2:$I$5001=A107)*(Dados!$K$2:$K$5001=1)*(Dados!$L$2:$L$5001=1))</f>
        <v>0</v>
      </c>
      <c r="E107" s="9" t="n">
        <f aca="false">SUMPRODUCT((Dados!$I$2:$I$5001=A107)*(Dados!$D$2:$D$5001="Formalização")*(Dados!$E$2:$E$5001="Concluído")*(Dados!$L$2:$L$5001=1))</f>
        <v>0</v>
      </c>
    </row>
    <row r="108" customFormat="false" ht="15" hidden="false" customHeight="false" outlineLevel="0" collapsed="false">
      <c r="A108" s="18" t="n">
        <f aca="false">A107+1</f>
        <v>46341</v>
      </c>
      <c r="B108" s="9" t="n">
        <f aca="false">SUMPRODUCT((Dados!$I$2:$I$5001=A108)*(Dados!$J$2:$J$5001=1))</f>
        <v>0</v>
      </c>
      <c r="C108" s="9" t="n">
        <f aca="false">SUMPRODUCT((Dados!$I$2:$I$5001=A108)*(Dados!$M$2:$M$5001=1))</f>
        <v>0</v>
      </c>
      <c r="D108" s="9" t="n">
        <f aca="false">SUMPRODUCT((Dados!$I$2:$I$5001=A108)*(Dados!$K$2:$K$5001=1)*(Dados!$L$2:$L$5001=1))</f>
        <v>0</v>
      </c>
      <c r="E108" s="9" t="n">
        <f aca="false">SUMPRODUCT((Dados!$I$2:$I$5001=A108)*(Dados!$D$2:$D$5001="Formalização")*(Dados!$E$2:$E$5001="Concluído")*(Dados!$L$2:$L$5001=1))</f>
        <v>0</v>
      </c>
    </row>
    <row r="109" customFormat="false" ht="15" hidden="false" customHeight="false" outlineLevel="0" collapsed="false">
      <c r="A109" s="18" t="n">
        <f aca="false">A108+1</f>
        <v>46342</v>
      </c>
      <c r="B109" s="9" t="n">
        <f aca="false">SUMPRODUCT((Dados!$I$2:$I$5001=A109)*(Dados!$J$2:$J$5001=1))</f>
        <v>0</v>
      </c>
      <c r="C109" s="9" t="n">
        <f aca="false">SUMPRODUCT((Dados!$I$2:$I$5001=A109)*(Dados!$M$2:$M$5001=1))</f>
        <v>0</v>
      </c>
      <c r="D109" s="9" t="n">
        <f aca="false">SUMPRODUCT((Dados!$I$2:$I$5001=A109)*(Dados!$K$2:$K$5001=1)*(Dados!$L$2:$L$5001=1))</f>
        <v>0</v>
      </c>
      <c r="E109" s="9" t="n">
        <f aca="false">SUMPRODUCT((Dados!$I$2:$I$5001=A109)*(Dados!$D$2:$D$5001="Formalização")*(Dados!$E$2:$E$5001="Concluído")*(Dados!$L$2:$L$5001=1))</f>
        <v>0</v>
      </c>
    </row>
    <row r="110" customFormat="false" ht="15" hidden="false" customHeight="false" outlineLevel="0" collapsed="false">
      <c r="A110" s="18" t="n">
        <f aca="false">A109+1</f>
        <v>46343</v>
      </c>
      <c r="B110" s="9" t="n">
        <f aca="false">SUMPRODUCT((Dados!$I$2:$I$5001=A110)*(Dados!$J$2:$J$5001=1))</f>
        <v>0</v>
      </c>
      <c r="C110" s="9" t="n">
        <f aca="false">SUMPRODUCT((Dados!$I$2:$I$5001=A110)*(Dados!$M$2:$M$5001=1))</f>
        <v>0</v>
      </c>
      <c r="D110" s="9" t="n">
        <f aca="false">SUMPRODUCT((Dados!$I$2:$I$5001=A110)*(Dados!$K$2:$K$5001=1)*(Dados!$L$2:$L$5001=1))</f>
        <v>0</v>
      </c>
      <c r="E110" s="9" t="n">
        <f aca="false">SUMPRODUCT((Dados!$I$2:$I$5001=A110)*(Dados!$D$2:$D$5001="Formalização")*(Dados!$E$2:$E$5001="Concluído")*(Dados!$L$2:$L$5001=1))</f>
        <v>0</v>
      </c>
    </row>
    <row r="111" customFormat="false" ht="15" hidden="false" customHeight="false" outlineLevel="0" collapsed="false">
      <c r="A111" s="18" t="n">
        <f aca="false">A110+1</f>
        <v>46344</v>
      </c>
      <c r="B111" s="9" t="n">
        <f aca="false">SUMPRODUCT((Dados!$I$2:$I$5001=A111)*(Dados!$J$2:$J$5001=1))</f>
        <v>0</v>
      </c>
      <c r="C111" s="9" t="n">
        <f aca="false">SUMPRODUCT((Dados!$I$2:$I$5001=A111)*(Dados!$M$2:$M$5001=1))</f>
        <v>0</v>
      </c>
      <c r="D111" s="9" t="n">
        <f aca="false">SUMPRODUCT((Dados!$I$2:$I$5001=A111)*(Dados!$K$2:$K$5001=1)*(Dados!$L$2:$L$5001=1))</f>
        <v>0</v>
      </c>
      <c r="E111" s="9" t="n">
        <f aca="false">SUMPRODUCT((Dados!$I$2:$I$5001=A111)*(Dados!$D$2:$D$5001="Formalização")*(Dados!$E$2:$E$5001="Concluído")*(Dados!$L$2:$L$5001=1))</f>
        <v>0</v>
      </c>
    </row>
    <row r="112" customFormat="false" ht="15" hidden="false" customHeight="false" outlineLevel="0" collapsed="false">
      <c r="A112" s="18" t="n">
        <f aca="false">A111+1</f>
        <v>46345</v>
      </c>
      <c r="B112" s="9" t="n">
        <f aca="false">SUMPRODUCT((Dados!$I$2:$I$5001=A112)*(Dados!$J$2:$J$5001=1))</f>
        <v>0</v>
      </c>
      <c r="C112" s="9" t="n">
        <f aca="false">SUMPRODUCT((Dados!$I$2:$I$5001=A112)*(Dados!$M$2:$M$5001=1))</f>
        <v>0</v>
      </c>
      <c r="D112" s="9" t="n">
        <f aca="false">SUMPRODUCT((Dados!$I$2:$I$5001=A112)*(Dados!$K$2:$K$5001=1)*(Dados!$L$2:$L$5001=1))</f>
        <v>0</v>
      </c>
      <c r="E112" s="9" t="n">
        <f aca="false">SUMPRODUCT((Dados!$I$2:$I$5001=A112)*(Dados!$D$2:$D$5001="Formalização")*(Dados!$E$2:$E$5001="Concluído")*(Dados!$L$2:$L$5001=1))</f>
        <v>0</v>
      </c>
    </row>
    <row r="113" customFormat="false" ht="15" hidden="false" customHeight="false" outlineLevel="0" collapsed="false">
      <c r="A113" s="18" t="n">
        <f aca="false">A112+1</f>
        <v>46346</v>
      </c>
      <c r="B113" s="9" t="n">
        <f aca="false">SUMPRODUCT((Dados!$I$2:$I$5001=A113)*(Dados!$J$2:$J$5001=1))</f>
        <v>0</v>
      </c>
      <c r="C113" s="9" t="n">
        <f aca="false">SUMPRODUCT((Dados!$I$2:$I$5001=A113)*(Dados!$M$2:$M$5001=1))</f>
        <v>0</v>
      </c>
      <c r="D113" s="9" t="n">
        <f aca="false">SUMPRODUCT((Dados!$I$2:$I$5001=A113)*(Dados!$K$2:$K$5001=1)*(Dados!$L$2:$L$5001=1))</f>
        <v>0</v>
      </c>
      <c r="E113" s="9" t="n">
        <f aca="false">SUMPRODUCT((Dados!$I$2:$I$5001=A113)*(Dados!$D$2:$D$5001="Formalização")*(Dados!$E$2:$E$5001="Concluído")*(Dados!$L$2:$L$5001=1))</f>
        <v>0</v>
      </c>
    </row>
    <row r="114" customFormat="false" ht="15" hidden="false" customHeight="false" outlineLevel="0" collapsed="false">
      <c r="A114" s="18" t="n">
        <f aca="false">A113+1</f>
        <v>46347</v>
      </c>
      <c r="B114" s="9" t="n">
        <f aca="false">SUMPRODUCT((Dados!$I$2:$I$5001=A114)*(Dados!$J$2:$J$5001=1))</f>
        <v>0</v>
      </c>
      <c r="C114" s="9" t="n">
        <f aca="false">SUMPRODUCT((Dados!$I$2:$I$5001=A114)*(Dados!$M$2:$M$5001=1))</f>
        <v>0</v>
      </c>
      <c r="D114" s="9" t="n">
        <f aca="false">SUMPRODUCT((Dados!$I$2:$I$5001=A114)*(Dados!$K$2:$K$5001=1)*(Dados!$L$2:$L$5001=1))</f>
        <v>0</v>
      </c>
      <c r="E114" s="9" t="n">
        <f aca="false">SUMPRODUCT((Dados!$I$2:$I$5001=A114)*(Dados!$D$2:$D$5001="Formalização")*(Dados!$E$2:$E$5001="Concluído")*(Dados!$L$2:$L$5001=1))</f>
        <v>0</v>
      </c>
    </row>
    <row r="115" customFormat="false" ht="15" hidden="false" customHeight="false" outlineLevel="0" collapsed="false">
      <c r="A115" s="18" t="n">
        <f aca="false">A114+1</f>
        <v>46348</v>
      </c>
      <c r="B115" s="9" t="n">
        <f aca="false">SUMPRODUCT((Dados!$I$2:$I$5001=A115)*(Dados!$J$2:$J$5001=1))</f>
        <v>0</v>
      </c>
      <c r="C115" s="9" t="n">
        <f aca="false">SUMPRODUCT((Dados!$I$2:$I$5001=A115)*(Dados!$M$2:$M$5001=1))</f>
        <v>0</v>
      </c>
      <c r="D115" s="9" t="n">
        <f aca="false">SUMPRODUCT((Dados!$I$2:$I$5001=A115)*(Dados!$K$2:$K$5001=1)*(Dados!$L$2:$L$5001=1))</f>
        <v>0</v>
      </c>
      <c r="E115" s="9" t="n">
        <f aca="false">SUMPRODUCT((Dados!$I$2:$I$5001=A115)*(Dados!$D$2:$D$5001="Formalização")*(Dados!$E$2:$E$5001="Concluído")*(Dados!$L$2:$L$5001=1))</f>
        <v>0</v>
      </c>
    </row>
    <row r="116" customFormat="false" ht="15" hidden="false" customHeight="false" outlineLevel="0" collapsed="false">
      <c r="A116" s="18" t="n">
        <f aca="false">A115+1</f>
        <v>46349</v>
      </c>
      <c r="B116" s="9" t="n">
        <f aca="false">SUMPRODUCT((Dados!$I$2:$I$5001=A116)*(Dados!$J$2:$J$5001=1))</f>
        <v>0</v>
      </c>
      <c r="C116" s="9" t="n">
        <f aca="false">SUMPRODUCT((Dados!$I$2:$I$5001=A116)*(Dados!$M$2:$M$5001=1))</f>
        <v>0</v>
      </c>
      <c r="D116" s="9" t="n">
        <f aca="false">SUMPRODUCT((Dados!$I$2:$I$5001=A116)*(Dados!$K$2:$K$5001=1)*(Dados!$L$2:$L$5001=1))</f>
        <v>0</v>
      </c>
      <c r="E116" s="9" t="n">
        <f aca="false">SUMPRODUCT((Dados!$I$2:$I$5001=A116)*(Dados!$D$2:$D$5001="Formalização")*(Dados!$E$2:$E$5001="Concluído")*(Dados!$L$2:$L$5001=1))</f>
        <v>0</v>
      </c>
    </row>
    <row r="117" customFormat="false" ht="15" hidden="false" customHeight="false" outlineLevel="0" collapsed="false">
      <c r="A117" s="18" t="n">
        <f aca="false">A116+1</f>
        <v>46350</v>
      </c>
      <c r="B117" s="9" t="n">
        <f aca="false">SUMPRODUCT((Dados!$I$2:$I$5001=A117)*(Dados!$J$2:$J$5001=1))</f>
        <v>0</v>
      </c>
      <c r="C117" s="9" t="n">
        <f aca="false">SUMPRODUCT((Dados!$I$2:$I$5001=A117)*(Dados!$M$2:$M$5001=1))</f>
        <v>0</v>
      </c>
      <c r="D117" s="9" t="n">
        <f aca="false">SUMPRODUCT((Dados!$I$2:$I$5001=A117)*(Dados!$K$2:$K$5001=1)*(Dados!$L$2:$L$5001=1))</f>
        <v>0</v>
      </c>
      <c r="E117" s="9" t="n">
        <f aca="false">SUMPRODUCT((Dados!$I$2:$I$5001=A117)*(Dados!$D$2:$D$5001="Formalização")*(Dados!$E$2:$E$5001="Concluído")*(Dados!$L$2:$L$5001=1))</f>
        <v>0</v>
      </c>
    </row>
    <row r="118" customFormat="false" ht="15" hidden="false" customHeight="false" outlineLevel="0" collapsed="false">
      <c r="A118" s="18" t="n">
        <f aca="false">A117+1</f>
        <v>46351</v>
      </c>
      <c r="B118" s="9" t="n">
        <f aca="false">SUMPRODUCT((Dados!$I$2:$I$5001=A118)*(Dados!$J$2:$J$5001=1))</f>
        <v>0</v>
      </c>
      <c r="C118" s="9" t="n">
        <f aca="false">SUMPRODUCT((Dados!$I$2:$I$5001=A118)*(Dados!$M$2:$M$5001=1))</f>
        <v>0</v>
      </c>
      <c r="D118" s="9" t="n">
        <f aca="false">SUMPRODUCT((Dados!$I$2:$I$5001=A118)*(Dados!$K$2:$K$5001=1)*(Dados!$L$2:$L$5001=1))</f>
        <v>0</v>
      </c>
      <c r="E118" s="9" t="n">
        <f aca="false">SUMPRODUCT((Dados!$I$2:$I$5001=A118)*(Dados!$D$2:$D$5001="Formalização")*(Dados!$E$2:$E$5001="Concluído")*(Dados!$L$2:$L$5001=1))</f>
        <v>0</v>
      </c>
    </row>
    <row r="119" customFormat="false" ht="15" hidden="false" customHeight="false" outlineLevel="0" collapsed="false">
      <c r="A119" s="18" t="n">
        <f aca="false">A118+1</f>
        <v>46352</v>
      </c>
      <c r="B119" s="9" t="n">
        <f aca="false">SUMPRODUCT((Dados!$I$2:$I$5001=A119)*(Dados!$J$2:$J$5001=1))</f>
        <v>0</v>
      </c>
      <c r="C119" s="9" t="n">
        <f aca="false">SUMPRODUCT((Dados!$I$2:$I$5001=A119)*(Dados!$M$2:$M$5001=1))</f>
        <v>0</v>
      </c>
      <c r="D119" s="9" t="n">
        <f aca="false">SUMPRODUCT((Dados!$I$2:$I$5001=A119)*(Dados!$K$2:$K$5001=1)*(Dados!$L$2:$L$5001=1))</f>
        <v>0</v>
      </c>
      <c r="E119" s="9" t="n">
        <f aca="false">SUMPRODUCT((Dados!$I$2:$I$5001=A119)*(Dados!$D$2:$D$5001="Formalização")*(Dados!$E$2:$E$5001="Concluído")*(Dados!$L$2:$L$5001=1))</f>
        <v>0</v>
      </c>
    </row>
    <row r="120" customFormat="false" ht="15" hidden="false" customHeight="false" outlineLevel="0" collapsed="false">
      <c r="A120" s="18" t="n">
        <f aca="false">A119+1</f>
        <v>46353</v>
      </c>
      <c r="B120" s="9" t="n">
        <f aca="false">SUMPRODUCT((Dados!$I$2:$I$5001=A120)*(Dados!$J$2:$J$5001=1))</f>
        <v>0</v>
      </c>
      <c r="C120" s="9" t="n">
        <f aca="false">SUMPRODUCT((Dados!$I$2:$I$5001=A120)*(Dados!$M$2:$M$5001=1))</f>
        <v>0</v>
      </c>
      <c r="D120" s="9" t="n">
        <f aca="false">SUMPRODUCT((Dados!$I$2:$I$5001=A120)*(Dados!$K$2:$K$5001=1)*(Dados!$L$2:$L$5001=1))</f>
        <v>0</v>
      </c>
      <c r="E120" s="9" t="n">
        <f aca="false">SUMPRODUCT((Dados!$I$2:$I$5001=A120)*(Dados!$D$2:$D$5001="Formalização")*(Dados!$E$2:$E$5001="Concluído")*(Dados!$L$2:$L$5001=1))</f>
        <v>0</v>
      </c>
    </row>
    <row r="121" customFormat="false" ht="15" hidden="false" customHeight="false" outlineLevel="0" collapsed="false">
      <c r="A121" s="18" t="n">
        <f aca="false">A120+1</f>
        <v>46354</v>
      </c>
      <c r="B121" s="9" t="n">
        <f aca="false">SUMPRODUCT((Dados!$I$2:$I$5001=A121)*(Dados!$J$2:$J$5001=1))</f>
        <v>0</v>
      </c>
      <c r="C121" s="9" t="n">
        <f aca="false">SUMPRODUCT((Dados!$I$2:$I$5001=A121)*(Dados!$M$2:$M$5001=1))</f>
        <v>0</v>
      </c>
      <c r="D121" s="9" t="n">
        <f aca="false">SUMPRODUCT((Dados!$I$2:$I$5001=A121)*(Dados!$K$2:$K$5001=1)*(Dados!$L$2:$L$5001=1))</f>
        <v>0</v>
      </c>
      <c r="E121" s="9" t="n">
        <f aca="false">SUMPRODUCT((Dados!$I$2:$I$5001=A121)*(Dados!$D$2:$D$5001="Formalização")*(Dados!$E$2:$E$5001="Concluído")*(Dados!$L$2:$L$5001=1))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2026-08-18T12:36:36Z</dcterms:created>
  <dc:creator>openpyxl</dc:creator>
  <dc:description/>
  <dc:language>en-US</dc:language>
  <cp:lastModifiedBy/>
  <dcterms:modified xsi:type="dcterms:W3CDTF">2026-08-18T12:36:47Z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